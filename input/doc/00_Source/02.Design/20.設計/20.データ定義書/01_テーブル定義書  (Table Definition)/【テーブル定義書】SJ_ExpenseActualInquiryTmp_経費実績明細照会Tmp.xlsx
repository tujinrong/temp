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240" documentId="8_{85B83AA0-15BF-4EFB-8041-719389BFDF5E}" xr6:coauthVersionLast="47" xr6:coauthVersionMax="47" xr10:uidLastSave="{72BC3FFC-77AD-424A-9213-B1F5117069EE}"/>
  <bookViews>
    <workbookView xWindow="-108" yWindow="-108" windowWidth="23256" windowHeight="13896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テーブル定義!$A$1:$M$57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2" i="5"/>
  <c r="B13" i="5"/>
  <c r="B14" i="5"/>
  <c r="B15" i="5"/>
  <c r="B16" i="5"/>
  <c r="B17" i="5"/>
  <c r="F2" i="9" a="1"/>
  <c r="F2" i="9" s="1"/>
  <c r="B27" i="5" l="1"/>
  <c r="B26" i="5"/>
  <c r="B25" i="5"/>
  <c r="B24" i="5"/>
  <c r="B8" i="5"/>
  <c r="B9" i="5"/>
  <c r="B10" i="5"/>
  <c r="B28" i="5"/>
  <c r="B18" i="5"/>
  <c r="B19" i="5"/>
  <c r="B20" i="5"/>
  <c r="B21" i="5"/>
  <c r="B22" i="5"/>
  <c r="B23" i="5"/>
  <c r="B29" i="5"/>
  <c r="BA2" i="9" l="1"/>
  <c r="H3" i="5" s="1"/>
  <c r="AT2" i="9"/>
  <c r="H2" i="5" s="1"/>
  <c r="AT3" i="9" a="1"/>
  <c r="BA3" i="9"/>
  <c r="M3" i="5" l="1"/>
  <c r="AT3" i="9"/>
  <c r="M2" i="5" s="1"/>
  <c r="B56" i="5" l="1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<sst xmlns="http://schemas.openxmlformats.org/spreadsheetml/2006/main" count="287" uniqueCount="206">
  <si>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</si>
  <si>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</si>
  <si>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</si>
  <si>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</si>
  <si>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</si>
  <si>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</si>
  <si>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</si>
  <si>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</si>
  <si>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</si>
  <si>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</si>
  <si>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</si>
  <si>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</si>
  <si>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</si>
  <si>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</si>
  <si>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</si>
  <si>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</si>
  <si>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</si>
  <si>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</si>
  <si>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</si>
  <si>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</si>
  <si>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</si>
  <si>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</si>
  <si>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</si>
  <si>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</si>
  <si>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</si>
  <si>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</si>
  <si>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</si>
  <si>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</si>
  <si>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</si>
  <si>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</si>
  <si>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</si>
  <si>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</si>
  <si>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</si>
  <si>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</si>
  <si>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</si>
  <si>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</si>
  <si>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</si>
  <si>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</si>
  <si>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</si>
  <si>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</si>
  <si>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</si>
  <si>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</si>
  <si>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</si>
  <si>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</si>
  <si>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</si>
  <si>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</si>
  <si>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</si>
  <si>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</si>
  <si>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</si>
  <si>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</si>
  <si>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</si>
  <si>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</si>
  <si>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</si>
  <si>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</si>
  <si>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</si>
  <si>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</si>
  <si>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</si>
  <si>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</si>
  <si>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</si>
  <si>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</si>
  <si>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</si>
  <si>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</si>
  <si>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</si>
  <si>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</si>
  <si>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</si>
  <si>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</si>
  <si>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</si>
  <si>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</si>
  <si>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</si>
  <si>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</si>
  <si>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</si>
  <si>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</si>
  <si>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</si>
  <si>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</si>
  <si>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</si>
  <si>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</si>
  <si>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</si>
  <si>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</si>
  <si>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</si>
  <si>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</si>
  <si>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</si>
  <si>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</si>
  <si>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</si>
  <si>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</si>
  <si>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</si>
  <si>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</si>
  <si>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</si>
  <si>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</si>
  <si>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</si>
  <si>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</si>
  <si>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</si>
  <si>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</si>
  <si>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</si>
  <si>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</si>
  <si>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</si>
  <si>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作成者</t>
  </si>
  <si>
    <t>-</t>
    <phoneticPr fontId="2"/>
  </si>
  <si>
    <t>createdBy</t>
  </si>
  <si>
    <t>String</t>
  </si>
  <si>
    <t>CreatedBy</t>
  </si>
  <si>
    <t>NO</t>
  </si>
  <si>
    <t>system項目　CreatedBy:Yes</t>
    <rPh sb="6" eb="8">
      <t>コウモク</t>
    </rPh>
    <phoneticPr fontId="2"/>
  </si>
  <si>
    <t>作成日時</t>
  </si>
  <si>
    <t>createdDateTime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</si>
  <si>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</si>
  <si>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</si>
  <si>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</si>
  <si>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</si>
  <si>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</si>
  <si>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</si>
  <si>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</si>
  <si>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</si>
  <si>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</si>
  <si>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</si>
  <si>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</si>
  <si>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UtcDateTime</t>
  </si>
  <si>
    <t>Save Data Per Company</t>
    <phoneticPr fontId="2"/>
  </si>
  <si>
    <t>Yes</t>
  </si>
  <si>
    <t>Yes</t>
    <phoneticPr fontId="2"/>
  </si>
  <si>
    <t>No</t>
    <phoneticPr fontId="2"/>
  </si>
  <si>
    <t>会計システム刷新プロジェクト（LIBRA）</t>
    <phoneticPr fontId="2"/>
  </si>
  <si>
    <t>経費実績明細照会Tmp</t>
    <phoneticPr fontId="2"/>
  </si>
  <si>
    <t>TempDB</t>
  </si>
  <si>
    <t>アドオン</t>
  </si>
  <si>
    <t>JBS井田</t>
    <rPh sb="3" eb="5">
      <t>イダ</t>
    </rPh>
    <phoneticPr fontId="2"/>
  </si>
  <si>
    <t>日付</t>
  </si>
  <si>
    <t>文書日付</t>
  </si>
  <si>
    <t>原価センタ名</t>
  </si>
  <si>
    <t>勘定科目</t>
  </si>
  <si>
    <t>勘定科目名</t>
  </si>
  <si>
    <t>金額</t>
    <rPh sb="0" eb="2">
      <t>キンガク</t>
    </rPh>
    <phoneticPr fontId="2"/>
  </si>
  <si>
    <t>相手勘定科目</t>
  </si>
  <si>
    <t>相手勘定科目名</t>
  </si>
  <si>
    <t>相手先コード</t>
  </si>
  <si>
    <t>相手先名</t>
  </si>
  <si>
    <t>説明</t>
  </si>
  <si>
    <t>伝票ヘッダテキスト</t>
  </si>
  <si>
    <t>伝票</t>
  </si>
  <si>
    <t>AccountingDate</t>
    <phoneticPr fontId="2"/>
  </si>
  <si>
    <t>Date</t>
  </si>
  <si>
    <t>RefVoucherNum</t>
    <phoneticPr fontId="2"/>
  </si>
  <si>
    <t>原価センタ</t>
    <phoneticPr fontId="2"/>
  </si>
  <si>
    <t>CostCenterName</t>
    <phoneticPr fontId="2"/>
  </si>
  <si>
    <t>MainAccountName</t>
    <phoneticPr fontId="2"/>
  </si>
  <si>
    <t>AccountingCurrencyAmount</t>
    <phoneticPr fontId="2"/>
  </si>
  <si>
    <t>Real</t>
  </si>
  <si>
    <t>30</t>
    <phoneticPr fontId="2"/>
  </si>
  <si>
    <t>60</t>
    <phoneticPr fontId="2"/>
  </si>
  <si>
    <t>160</t>
    <phoneticPr fontId="2"/>
  </si>
  <si>
    <t>OffsetAccount</t>
    <phoneticPr fontId="2"/>
  </si>
  <si>
    <t>OffsetAccountName</t>
    <phoneticPr fontId="2"/>
  </si>
  <si>
    <t>512</t>
    <phoneticPr fontId="2"/>
  </si>
  <si>
    <t>Text</t>
    <phoneticPr fontId="2"/>
  </si>
  <si>
    <t>CostCenter</t>
    <phoneticPr fontId="2"/>
  </si>
  <si>
    <t>参照伝票番号</t>
    <rPh sb="0" eb="2">
      <t>サンショウ</t>
    </rPh>
    <rPh sb="2" eb="4">
      <t>デンピョウ</t>
    </rPh>
    <rPh sb="4" eb="6">
      <t>バンゴウ</t>
    </rPh>
    <phoneticPr fontId="2"/>
  </si>
  <si>
    <t>DocumentDate</t>
    <phoneticPr fontId="2"/>
  </si>
  <si>
    <t>TransYear</t>
    <phoneticPr fontId="2"/>
  </si>
  <si>
    <t>SJ_TransDate</t>
    <phoneticPr fontId="2"/>
  </si>
  <si>
    <t>SJ_DocumentDate</t>
    <phoneticPr fontId="2"/>
  </si>
  <si>
    <t>SJ_RefVoucherNum</t>
    <phoneticPr fontId="2"/>
  </si>
  <si>
    <t>100</t>
    <phoneticPr fontId="2"/>
  </si>
  <si>
    <t>SJ_CostCenter</t>
    <phoneticPr fontId="2"/>
  </si>
  <si>
    <t>SJ_CostCenterName</t>
    <phoneticPr fontId="2"/>
  </si>
  <si>
    <t>SJ_MainAccountName</t>
    <phoneticPr fontId="2"/>
  </si>
  <si>
    <t>SJ_AmountMSTDebCred</t>
    <phoneticPr fontId="2"/>
  </si>
  <si>
    <t>SJ_OffsetAccount</t>
    <phoneticPr fontId="2"/>
  </si>
  <si>
    <t>SJ_OffsetAccountName</t>
    <phoneticPr fontId="2"/>
  </si>
  <si>
    <t>OffsetCompanyCode</t>
    <phoneticPr fontId="2"/>
  </si>
  <si>
    <t>OffsetCompanyName</t>
    <phoneticPr fontId="2"/>
  </si>
  <si>
    <t>VoucherHeaderText</t>
    <phoneticPr fontId="2"/>
  </si>
  <si>
    <t>SJ_OffsetCompanyCode</t>
    <phoneticPr fontId="2"/>
  </si>
  <si>
    <t>SJ_OffsetCompanyName</t>
    <phoneticPr fontId="2"/>
  </si>
  <si>
    <t>SJ_Text</t>
    <phoneticPr fontId="2"/>
  </si>
  <si>
    <t>SJ_VoucherHeaderText</t>
    <phoneticPr fontId="2"/>
  </si>
  <si>
    <t>SJ_TransYear</t>
    <phoneticPr fontId="2"/>
  </si>
  <si>
    <t>SJ00257</t>
    <phoneticPr fontId="2"/>
  </si>
  <si>
    <t>SJ00381</t>
    <phoneticPr fontId="2"/>
  </si>
  <si>
    <t>SJ00036</t>
    <phoneticPr fontId="2"/>
  </si>
  <si>
    <t>SJ00481</t>
  </si>
  <si>
    <t>SJ00482</t>
    <phoneticPr fontId="2"/>
  </si>
  <si>
    <t>SJ00483</t>
  </si>
  <si>
    <t>SJ00487</t>
  </si>
  <si>
    <t>SJ00486</t>
  </si>
  <si>
    <t>SJ00488</t>
  </si>
  <si>
    <t>SJ00489</t>
  </si>
  <si>
    <t>SJ00490</t>
  </si>
  <si>
    <t>SJ00491</t>
  </si>
  <si>
    <t>SJ00492</t>
  </si>
  <si>
    <t>SJ00493</t>
  </si>
  <si>
    <t>SJ_ExpenseActualInquiryTmp</t>
    <phoneticPr fontId="2"/>
  </si>
  <si>
    <t>MainAccountId</t>
    <phoneticPr fontId="2"/>
  </si>
  <si>
    <t>SJ_MainAccountId</t>
    <phoneticPr fontId="2"/>
  </si>
  <si>
    <t>VoucherNum</t>
    <phoneticPr fontId="2"/>
  </si>
  <si>
    <t>SJ_VoucherNum</t>
    <phoneticPr fontId="2"/>
  </si>
  <si>
    <t>10</t>
    <phoneticPr fontId="2"/>
  </si>
  <si>
    <t>年度</t>
    <phoneticPr fontId="2"/>
  </si>
  <si>
    <t>シート「テーブル定義」</t>
    <rPh sb="8" eb="10">
      <t>テイギ</t>
    </rPh>
    <phoneticPr fontId="2"/>
  </si>
  <si>
    <t>1.1</t>
    <phoneticPr fontId="2"/>
  </si>
  <si>
    <t xml:space="preserve">シート：テーブル定義以下のように修正。
■変更前
1.年度（TransYear）
   型：Date
■変更後
1.年度（TransYear）
   型：String　桁数：10
</t>
    <rPh sb="8" eb="10">
      <t>テイギ</t>
    </rPh>
    <rPh sb="10" eb="12">
      <t>イカ</t>
    </rPh>
    <rPh sb="16" eb="18">
      <t>シュウセイ</t>
    </rPh>
    <rPh sb="21" eb="23">
      <t>ヘンコウ</t>
    </rPh>
    <rPh sb="23" eb="24">
      <t>マエ</t>
    </rPh>
    <rPh sb="44" eb="45">
      <t>カタ</t>
    </rPh>
    <rPh sb="55" eb="56">
      <t>アト</t>
    </rPh>
    <rPh sb="85" eb="87">
      <t>ケタスウ</t>
    </rPh>
    <phoneticPr fontId="2"/>
  </si>
  <si>
    <t>SJ00494</t>
    <phoneticPr fontId="2"/>
  </si>
  <si>
    <t>SJ00495</t>
    <phoneticPr fontId="2"/>
  </si>
  <si>
    <t>SJ00496</t>
    <phoneticPr fontId="2"/>
  </si>
  <si>
    <t>シート：テーブル定義以下のように修正。
■変更前
・経費実績明細照会Tmp　
ラベルID：SJ00497
・No15　伝票ヘッダテキスト
ラベルID：SJ00495
・No16 伝票
ラベルID：SJ00496
■変更後
・経費実績明細照会Tmp　
ラベルID：SJ00496
・No15　伝票ヘッダテキスト
ラベルID：SJ00494
・No16 伝票
ラベルID：SJ00495</t>
    <rPh sb="8" eb="10">
      <t>テイギ</t>
    </rPh>
    <rPh sb="10" eb="12">
      <t>イカ</t>
    </rPh>
    <rPh sb="16" eb="18">
      <t>シュウセイ</t>
    </rPh>
    <rPh sb="21" eb="23">
      <t>ヘンコウ</t>
    </rPh>
    <rPh sb="23" eb="24">
      <t>マエ</t>
    </rPh>
    <rPh sb="59" eb="61">
      <t>デンピョウ</t>
    </rPh>
    <rPh sb="89" eb="91">
      <t>デンピョウ</t>
    </rPh>
    <rPh sb="109" eb="110">
      <t>アト</t>
    </rPh>
    <phoneticPr fontId="2"/>
  </si>
  <si>
    <t xml:space="preserve">シート：テーブル定義
以下のように修正。
■No.1~No.16
PK:  No
必須:No
</t>
    <rPh sb="8" eb="10">
      <t>テイギ</t>
    </rPh>
    <rPh sb="11" eb="13">
      <t>イカ</t>
    </rPh>
    <rPh sb="17" eb="19">
      <t>シュウセイ</t>
    </rPh>
    <rPh sb="41" eb="43">
      <t>ヒッス</t>
    </rPh>
    <phoneticPr fontId="2"/>
  </si>
  <si>
    <t>1.2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</si>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</sst>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4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5" borderId="3" xfId="2" applyNumberFormat="1" applyFont="1" applyFill="1" applyBorder="1" applyAlignment="1">
      <alignment horizontal="right" vertical="center"/>
    </xf>
    <xf numFmtId="0" fontId="8" fillId="6" borderId="3" xfId="2" applyFont="1" applyFill="1" applyBorder="1" applyAlignment="1">
      <alignment horizontal="center" vertical="center"/>
    </xf>
    <xf numFmtId="49" fontId="8" fillId="6" borderId="3" xfId="2" applyNumberFormat="1" applyFont="1" applyFill="1" applyBorder="1">
      <alignment vertical="center"/>
    </xf>
    <xf numFmtId="49" fontId="8" fillId="6" borderId="3" xfId="2" applyNumberFormat="1" applyFont="1" applyFill="1" applyBorder="1" applyAlignment="1">
      <alignment horizontal="left" vertical="center"/>
    </xf>
    <xf numFmtId="49" fontId="10" fillId="6" borderId="3" xfId="2" applyNumberFormat="1" applyFont="1" applyFill="1" applyBorder="1">
      <alignment vertical="center"/>
    </xf>
    <xf numFmtId="49" fontId="8" fillId="6" borderId="3" xfId="2" applyNumberFormat="1" applyFont="1" applyFill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8" fillId="2" borderId="34" xfId="4" applyFont="1" applyFill="1" applyBorder="1" applyAlignment="1">
      <alignment horizontal="center"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left" vertical="center"/>
    </xf>
    <xf numFmtId="0" fontId="8" fillId="6" borderId="2" xfId="2" applyFont="1" applyFill="1" applyBorder="1" applyAlignment="1">
      <alignment horizontal="left" vertical="center"/>
    </xf>
    <xf numFmtId="0" fontId="8" fillId="6" borderId="4" xfId="2" applyFont="1" applyFill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opLeftCell="A7" zoomScaleNormal="100" workbookViewId="0">
      <selection activeCell="BE7" sqref="BE7:BI9"/>
    </sheetView>
  </sheetViews>
  <sheetFormatPr defaultColWidth="2.5" defaultRowHeight="15" customHeight="1"/>
  <cols>
    <col min="1" max="16384" width="2.5" style="13"/>
  </cols>
  <sheetData>
    <row r="1" spans="1:68" s="14" customFormat="1" ht="15" customHeight="1" thickBot="1">
      <c r="A1" s="59" t="s">
        <v>0</v>
      </c>
      <c r="B1" s="60"/>
      <c r="C1" s="60"/>
      <c r="D1" s="60"/>
      <c r="E1" s="61"/>
      <c r="F1" s="62" t="s">
        <v>57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5" t="s">
        <v>1</v>
      </c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7"/>
      <c r="AR1" s="65" t="s">
        <v>2</v>
      </c>
      <c r="AS1" s="66"/>
      <c r="AT1" s="66"/>
      <c r="AU1" s="66"/>
      <c r="AV1" s="66"/>
      <c r="AW1" s="66"/>
      <c r="AX1" s="66"/>
      <c r="AY1" s="66"/>
      <c r="AZ1" s="67"/>
      <c r="BA1" s="65" t="s">
        <v>3</v>
      </c>
      <c r="BB1" s="66"/>
      <c r="BC1" s="66"/>
      <c r="BD1" s="66"/>
      <c r="BE1" s="66"/>
      <c r="BF1" s="66"/>
      <c r="BG1" s="66"/>
      <c r="BH1" s="66"/>
      <c r="BI1" s="67"/>
      <c r="BJ1" s="13"/>
      <c r="BK1" s="13"/>
      <c r="BL1" s="13"/>
      <c r="BM1" s="13"/>
      <c r="BN1" s="13"/>
      <c r="BO1" s="13"/>
      <c r="BP1" s="13"/>
    </row>
    <row r="2" spans="1:68" s="14" customFormat="1" ht="15" customHeight="1">
      <c r="A2" s="68" t="s">
        <v>4</v>
      </c>
      <c r="B2" s="69"/>
      <c r="C2" s="69"/>
      <c r="D2" s="69"/>
      <c r="E2" s="70"/>
      <c r="F2" s="74" t="str" cm="1">
        <f t="array" aca="1" ref="F2" ca="1">SUBSTITUTE(MID(CELL("filename"),FIND("[",CELL("filename"))+1,FIND("]",CELL("filename"))-FIND("[",CELL("filename"))-1),".xlsx","")</f>
        <v>【テーブル定義書】SJ_ExpenseActualInquiryTmp_経費実績明細照会Tmp</v>
      </c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80" t="s">
        <v>5</v>
      </c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2"/>
      <c r="AR2" s="86" t="s">
        <v>6</v>
      </c>
      <c r="AS2" s="87"/>
      <c r="AT2" s="88">
        <f>A6</f>
        <v>45533</v>
      </c>
      <c r="AU2" s="89"/>
      <c r="AV2" s="89"/>
      <c r="AW2" s="89"/>
      <c r="AX2" s="89"/>
      <c r="AY2" s="89"/>
      <c r="AZ2" s="90"/>
      <c r="BA2" s="91" t="str">
        <f>AZ6</f>
        <v>JBS井田</v>
      </c>
      <c r="BB2" s="92"/>
      <c r="BC2" s="92"/>
      <c r="BD2" s="92"/>
      <c r="BE2" s="92"/>
      <c r="BF2" s="92"/>
      <c r="BG2" s="92"/>
      <c r="BH2" s="92"/>
      <c r="BI2" s="93"/>
      <c r="BJ2" s="13"/>
      <c r="BK2" s="13"/>
      <c r="BL2" s="13"/>
      <c r="BM2" s="13"/>
      <c r="BN2" s="13"/>
      <c r="BO2" s="13"/>
      <c r="BP2" s="13"/>
    </row>
    <row r="3" spans="1:68" s="14" customFormat="1" ht="15" customHeight="1" thickBot="1">
      <c r="A3" s="71"/>
      <c r="B3" s="72"/>
      <c r="C3" s="72"/>
      <c r="D3" s="72"/>
      <c r="E3" s="73"/>
      <c r="F3" s="77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5"/>
      <c r="AR3" s="94" t="s">
        <v>7</v>
      </c>
      <c r="AS3" s="95"/>
      <c r="AT3" s="96" cm="1">
        <f t="array" aca="1" ref="AT3" ca="1">IF(OR(COUNTA(A:E)=3),"",INDIRECT("A"&amp;COUNTA(A:E)+2))</f>
        <v>45639</v>
      </c>
      <c r="AU3" s="97"/>
      <c r="AV3" s="97"/>
      <c r="AW3" s="97"/>
      <c r="AX3" s="97"/>
      <c r="AY3" s="97"/>
      <c r="AZ3" s="98"/>
      <c r="BA3" s="99" t="str">
        <f ca="1">IF(COUNTA(AZ5:BD100000)=1,"",INDIRECT("変更履歴!AZ"&amp;COUNTA(AZ5:BD100000)+4))</f>
        <v>JBS井田</v>
      </c>
      <c r="BB3" s="100"/>
      <c r="BC3" s="100"/>
      <c r="BD3" s="100"/>
      <c r="BE3" s="100"/>
      <c r="BF3" s="100"/>
      <c r="BG3" s="100"/>
      <c r="BH3" s="100"/>
      <c r="BI3" s="101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53" t="s">
        <v>8</v>
      </c>
      <c r="B5" s="53"/>
      <c r="C5" s="53"/>
      <c r="D5" s="53"/>
      <c r="E5" s="53"/>
      <c r="F5" s="53" t="s">
        <v>9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 t="s">
        <v>10</v>
      </c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 t="s">
        <v>11</v>
      </c>
      <c r="BA5" s="53"/>
      <c r="BB5" s="53"/>
      <c r="BC5" s="53"/>
      <c r="BD5" s="53"/>
      <c r="BE5" s="53" t="s">
        <v>12</v>
      </c>
      <c r="BF5" s="53"/>
      <c r="BG5" s="53"/>
      <c r="BH5" s="53"/>
      <c r="BI5" s="53"/>
    </row>
    <row r="6" spans="1:68" ht="14.4">
      <c r="A6" s="54">
        <v>45533</v>
      </c>
      <c r="B6" s="54"/>
      <c r="C6" s="54"/>
      <c r="D6" s="54"/>
      <c r="E6" s="54"/>
      <c r="F6" s="55" t="s">
        <v>58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6" t="s">
        <v>58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2" t="s">
        <v>124</v>
      </c>
      <c r="BA6" s="52"/>
      <c r="BB6" s="52"/>
      <c r="BC6" s="52"/>
      <c r="BD6" s="52"/>
      <c r="BE6" s="57" t="s">
        <v>59</v>
      </c>
      <c r="BF6" s="58"/>
      <c r="BG6" s="58"/>
      <c r="BH6" s="58"/>
      <c r="BI6" s="58"/>
    </row>
    <row r="7" spans="1:68" ht="184.2" customHeight="1">
      <c r="A7" s="41">
        <v>45631</v>
      </c>
      <c r="B7" s="41"/>
      <c r="C7" s="41"/>
      <c r="D7" s="41"/>
      <c r="E7" s="41"/>
      <c r="F7" s="42" t="s">
        <v>196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51" t="s">
        <v>198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52" t="s">
        <v>124</v>
      </c>
      <c r="BA7" s="52"/>
      <c r="BB7" s="52"/>
      <c r="BC7" s="52"/>
      <c r="BD7" s="52"/>
      <c r="BE7" s="45" t="s">
        <v>197</v>
      </c>
      <c r="BF7" s="45"/>
      <c r="BG7" s="45"/>
      <c r="BH7" s="45"/>
      <c r="BI7" s="45"/>
    </row>
    <row r="8" spans="1:68" ht="205.8" customHeight="1">
      <c r="A8" s="41">
        <v>45635</v>
      </c>
      <c r="B8" s="41"/>
      <c r="C8" s="41"/>
      <c r="D8" s="41"/>
      <c r="E8" s="41"/>
      <c r="F8" s="42" t="s">
        <v>196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51" t="s">
        <v>202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52" t="s">
        <v>124</v>
      </c>
      <c r="BA8" s="52"/>
      <c r="BB8" s="52"/>
      <c r="BC8" s="52"/>
      <c r="BD8" s="52"/>
      <c r="BE8" s="45" t="s">
        <v>204</v>
      </c>
      <c r="BF8" s="45"/>
      <c r="BG8" s="45"/>
      <c r="BH8" s="45"/>
      <c r="BI8" s="45"/>
    </row>
    <row r="9" spans="1:68" ht="155.4" customHeight="1">
      <c r="A9" s="41">
        <v>45639</v>
      </c>
      <c r="B9" s="41"/>
      <c r="C9" s="41"/>
      <c r="D9" s="41"/>
      <c r="E9" s="41"/>
      <c r="F9" s="42" t="s">
        <v>196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51" t="s">
        <v>203</v>
      </c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 t="s">
        <v>124</v>
      </c>
      <c r="BA9" s="52"/>
      <c r="BB9" s="52"/>
      <c r="BC9" s="52"/>
      <c r="BD9" s="52"/>
      <c r="BE9" s="45" t="s">
        <v>205</v>
      </c>
      <c r="BF9" s="45"/>
      <c r="BG9" s="45"/>
      <c r="BH9" s="45"/>
      <c r="BI9" s="45"/>
    </row>
    <row r="10" spans="1:68" ht="15" customHeight="1">
      <c r="A10" s="41"/>
      <c r="B10" s="41"/>
      <c r="C10" s="41"/>
      <c r="D10" s="41"/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4"/>
      <c r="BA10" s="44"/>
      <c r="BB10" s="44"/>
      <c r="BC10" s="44"/>
      <c r="BD10" s="44"/>
      <c r="BE10" s="45"/>
      <c r="BF10" s="45"/>
      <c r="BG10" s="45"/>
      <c r="BH10" s="45"/>
      <c r="BI10" s="45"/>
    </row>
    <row r="11" spans="1:68" ht="15" customHeight="1">
      <c r="A11" s="41"/>
      <c r="B11" s="41"/>
      <c r="C11" s="41"/>
      <c r="D11" s="41"/>
      <c r="E11" s="41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4"/>
      <c r="BA11" s="44"/>
      <c r="BB11" s="44"/>
      <c r="BC11" s="44"/>
      <c r="BD11" s="44"/>
      <c r="BE11" s="45"/>
      <c r="BF11" s="45"/>
      <c r="BG11" s="45"/>
      <c r="BH11" s="45"/>
      <c r="BI11" s="45"/>
    </row>
    <row r="12" spans="1:68" ht="15" customHeight="1">
      <c r="A12" s="41"/>
      <c r="B12" s="41"/>
      <c r="C12" s="41"/>
      <c r="D12" s="41"/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4"/>
      <c r="BA12" s="44"/>
      <c r="BB12" s="44"/>
      <c r="BC12" s="44"/>
      <c r="BD12" s="44"/>
      <c r="BE12" s="45"/>
      <c r="BF12" s="45"/>
      <c r="BG12" s="45"/>
      <c r="BH12" s="45"/>
      <c r="BI12" s="45"/>
    </row>
    <row r="13" spans="1:68" ht="15" customHeight="1">
      <c r="A13" s="41"/>
      <c r="B13" s="41"/>
      <c r="C13" s="41"/>
      <c r="D13" s="41"/>
      <c r="E13" s="41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4"/>
      <c r="BA13" s="44"/>
      <c r="BB13" s="44"/>
      <c r="BC13" s="44"/>
      <c r="BD13" s="44"/>
      <c r="BE13" s="45"/>
      <c r="BF13" s="45"/>
      <c r="BG13" s="45"/>
      <c r="BH13" s="45"/>
      <c r="BI13" s="45"/>
    </row>
    <row r="14" spans="1:68" ht="15" customHeight="1">
      <c r="A14" s="41"/>
      <c r="B14" s="41"/>
      <c r="C14" s="41"/>
      <c r="D14" s="41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4"/>
      <c r="BA14" s="44"/>
      <c r="BB14" s="44"/>
      <c r="BC14" s="44"/>
      <c r="BD14" s="44"/>
      <c r="BE14" s="45"/>
      <c r="BF14" s="45"/>
      <c r="BG14" s="45"/>
      <c r="BH14" s="45"/>
      <c r="BI14" s="45"/>
    </row>
    <row r="15" spans="1:68" ht="15" customHeight="1">
      <c r="A15" s="41"/>
      <c r="B15" s="41"/>
      <c r="C15" s="41"/>
      <c r="D15" s="41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4"/>
      <c r="BA15" s="44"/>
      <c r="BB15" s="44"/>
      <c r="BC15" s="44"/>
      <c r="BD15" s="44"/>
      <c r="BE15" s="45"/>
      <c r="BF15" s="45"/>
      <c r="BG15" s="45"/>
      <c r="BH15" s="45"/>
      <c r="BI15" s="45"/>
    </row>
    <row r="16" spans="1:68" ht="15" customHeight="1">
      <c r="A16" s="41"/>
      <c r="B16" s="41"/>
      <c r="C16" s="41"/>
      <c r="D16" s="41"/>
      <c r="E16" s="41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4"/>
      <c r="BA16" s="44"/>
      <c r="BB16" s="44"/>
      <c r="BC16" s="44"/>
      <c r="BD16" s="44"/>
      <c r="BE16" s="45"/>
      <c r="BF16" s="45"/>
      <c r="BG16" s="45"/>
      <c r="BH16" s="45"/>
      <c r="BI16" s="45"/>
    </row>
    <row r="17" spans="1:61" ht="15" customHeight="1">
      <c r="A17" s="41"/>
      <c r="B17" s="41"/>
      <c r="C17" s="41"/>
      <c r="D17" s="41"/>
      <c r="E17" s="41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4"/>
      <c r="BA17" s="44"/>
      <c r="BB17" s="44"/>
      <c r="BC17" s="44"/>
      <c r="BD17" s="44"/>
      <c r="BE17" s="45"/>
      <c r="BF17" s="45"/>
      <c r="BG17" s="45"/>
      <c r="BH17" s="45"/>
      <c r="BI17" s="45"/>
    </row>
    <row r="18" spans="1:61" ht="15" customHeight="1">
      <c r="A18" s="41"/>
      <c r="B18" s="41"/>
      <c r="C18" s="41"/>
      <c r="D18" s="41"/>
      <c r="E18" s="41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4"/>
      <c r="BA18" s="44"/>
      <c r="BB18" s="44"/>
      <c r="BC18" s="44"/>
      <c r="BD18" s="44"/>
      <c r="BE18" s="45"/>
      <c r="BF18" s="45"/>
      <c r="BG18" s="45"/>
      <c r="BH18" s="45"/>
      <c r="BI18" s="45"/>
    </row>
    <row r="19" spans="1:61" ht="15" customHeight="1">
      <c r="A19" s="41"/>
      <c r="B19" s="41"/>
      <c r="C19" s="41"/>
      <c r="D19" s="41"/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4"/>
      <c r="BA19" s="44"/>
      <c r="BB19" s="44"/>
      <c r="BC19" s="44"/>
      <c r="BD19" s="44"/>
      <c r="BE19" s="45"/>
      <c r="BF19" s="45"/>
      <c r="BG19" s="45"/>
      <c r="BH19" s="45"/>
      <c r="BI19" s="45"/>
    </row>
    <row r="20" spans="1:61" ht="15" customHeight="1">
      <c r="A20" s="41"/>
      <c r="B20" s="41"/>
      <c r="C20" s="41"/>
      <c r="D20" s="41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4"/>
      <c r="BA20" s="44"/>
      <c r="BB20" s="44"/>
      <c r="BC20" s="44"/>
      <c r="BD20" s="44"/>
      <c r="BE20" s="45"/>
      <c r="BF20" s="45"/>
      <c r="BG20" s="45"/>
      <c r="BH20" s="45"/>
      <c r="BI20" s="45"/>
    </row>
    <row r="21" spans="1:61" ht="15" customHeight="1">
      <c r="A21" s="41"/>
      <c r="B21" s="41"/>
      <c r="C21" s="41"/>
      <c r="D21" s="41"/>
      <c r="E21" s="41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4"/>
      <c r="BA21" s="44"/>
      <c r="BB21" s="44"/>
      <c r="BC21" s="44"/>
      <c r="BD21" s="44"/>
      <c r="BE21" s="45"/>
      <c r="BF21" s="45"/>
      <c r="BG21" s="45"/>
      <c r="BH21" s="45"/>
      <c r="BI21" s="45"/>
    </row>
    <row r="22" spans="1:61" ht="15" customHeight="1" thickBot="1">
      <c r="A22" s="46"/>
      <c r="B22" s="46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9"/>
      <c r="BA22" s="49"/>
      <c r="BB22" s="49"/>
      <c r="BC22" s="49"/>
      <c r="BD22" s="49"/>
      <c r="BE22" s="50"/>
      <c r="BF22" s="50"/>
      <c r="BG22" s="50"/>
      <c r="BH22" s="50"/>
      <c r="BI22" s="50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6"/>
  <sheetViews>
    <sheetView showGridLines="0" tabSelected="1" zoomScaleNormal="100" zoomScaleSheetLayoutView="89" workbookViewId="0">
      <selection activeCell="K29" sqref="K29:M29"/>
    </sheetView>
  </sheetViews>
  <sheetFormatPr defaultColWidth="9" defaultRowHeight="12.6"/>
  <cols>
    <col min="1" max="1" width="0.796875" style="17" customWidth="1"/>
    <col min="2" max="2" width="3.69921875" style="17" bestFit="1" customWidth="1"/>
    <col min="3" max="3" width="18.59765625" style="17" customWidth="1"/>
    <col min="4" max="4" width="14.09765625" style="17" bestFit="1" customWidth="1"/>
    <col min="5" max="5" width="28.19921875" style="17" customWidth="1"/>
    <col min="6" max="6" width="9.69921875" style="17" customWidth="1"/>
    <col min="7" max="7" width="22.296875" style="17" customWidth="1"/>
    <col min="8" max="8" width="8.69921875" style="17" customWidth="1"/>
    <col min="9" max="10" width="5.5" style="17" customWidth="1"/>
    <col min="11" max="11" width="2.59765625" style="17" customWidth="1"/>
    <col min="12" max="12" width="17" style="17" customWidth="1"/>
    <col min="13" max="13" width="23.19921875" style="17" customWidth="1"/>
    <col min="14" max="14" width="0.796875" style="17" customWidth="1"/>
    <col min="15" max="16384" width="9" style="17"/>
  </cols>
  <sheetData>
    <row r="1" spans="2:13" ht="5.0999999999999996" customHeight="1"/>
    <row r="2" spans="2:13">
      <c r="B2" s="102" t="s">
        <v>13</v>
      </c>
      <c r="C2" s="102"/>
      <c r="D2" s="102"/>
      <c r="E2" s="102" t="s">
        <v>14</v>
      </c>
      <c r="F2" s="102"/>
      <c r="G2" s="18" t="s">
        <v>15</v>
      </c>
      <c r="H2" s="103">
        <f>変更履歴!AT2</f>
        <v>45533</v>
      </c>
      <c r="I2" s="104"/>
      <c r="J2" s="104"/>
      <c r="K2" s="105"/>
      <c r="L2" s="8" t="s">
        <v>16</v>
      </c>
      <c r="M2" s="4">
        <f ca="1">変更履歴!AT3</f>
        <v>45639</v>
      </c>
    </row>
    <row r="3" spans="2:13">
      <c r="B3" s="106" t="s">
        <v>120</v>
      </c>
      <c r="C3" s="106"/>
      <c r="D3" s="106"/>
      <c r="E3" s="106" t="s">
        <v>65</v>
      </c>
      <c r="F3" s="106"/>
      <c r="G3" s="18" t="s">
        <v>17</v>
      </c>
      <c r="H3" s="107" t="str">
        <f>変更履歴!BA2</f>
        <v>JBS井田</v>
      </c>
      <c r="I3" s="108"/>
      <c r="J3" s="108"/>
      <c r="K3" s="109"/>
      <c r="L3" s="8" t="s">
        <v>18</v>
      </c>
      <c r="M3" s="2" t="str">
        <f ca="1">変更履歴!BA3</f>
        <v>JBS井田</v>
      </c>
    </row>
    <row r="4" spans="2:13">
      <c r="B4" s="102" t="s">
        <v>19</v>
      </c>
      <c r="C4" s="102"/>
      <c r="D4" s="7" t="s">
        <v>20</v>
      </c>
      <c r="E4" s="113" t="s">
        <v>21</v>
      </c>
      <c r="F4" s="114"/>
      <c r="G4" s="18" t="s">
        <v>22</v>
      </c>
      <c r="H4" s="115" t="s">
        <v>23</v>
      </c>
      <c r="I4" s="116"/>
      <c r="J4" s="116"/>
      <c r="K4" s="117"/>
      <c r="L4" s="18" t="s">
        <v>24</v>
      </c>
      <c r="M4" s="9" t="s">
        <v>116</v>
      </c>
    </row>
    <row r="5" spans="2:13">
      <c r="B5" s="106" t="s">
        <v>121</v>
      </c>
      <c r="C5" s="106"/>
      <c r="D5" s="1" t="s">
        <v>201</v>
      </c>
      <c r="E5" s="106" t="s">
        <v>189</v>
      </c>
      <c r="F5" s="106"/>
      <c r="G5" s="19" t="s">
        <v>122</v>
      </c>
      <c r="H5" s="118" t="s">
        <v>94</v>
      </c>
      <c r="I5" s="119"/>
      <c r="J5" s="119"/>
      <c r="K5" s="120"/>
      <c r="L5" s="19" t="s">
        <v>123</v>
      </c>
      <c r="M5" s="39" t="s">
        <v>117</v>
      </c>
    </row>
    <row r="6" spans="2:13" ht="5.0999999999999996" customHeight="1"/>
    <row r="7" spans="2:13">
      <c r="B7" s="6" t="s">
        <v>25</v>
      </c>
      <c r="C7" s="6" t="s">
        <v>26</v>
      </c>
      <c r="D7" s="6" t="s">
        <v>20</v>
      </c>
      <c r="E7" s="6" t="s">
        <v>27</v>
      </c>
      <c r="F7" s="6" t="s">
        <v>28</v>
      </c>
      <c r="G7" s="6" t="s">
        <v>29</v>
      </c>
      <c r="H7" s="6" t="s">
        <v>30</v>
      </c>
      <c r="I7" s="6" t="s">
        <v>31</v>
      </c>
      <c r="J7" s="6" t="s">
        <v>32</v>
      </c>
      <c r="K7" s="121"/>
      <c r="L7" s="121"/>
      <c r="M7" s="122"/>
    </row>
    <row r="8" spans="2:13">
      <c r="B8" s="2">
        <f t="shared" ref="B8:B56" si="0">ROW()-7</f>
        <v>1</v>
      </c>
      <c r="C8" s="1" t="s">
        <v>195</v>
      </c>
      <c r="D8" s="1" t="s">
        <v>178</v>
      </c>
      <c r="E8" s="20" t="s">
        <v>156</v>
      </c>
      <c r="F8" s="21" t="s">
        <v>98</v>
      </c>
      <c r="G8" s="1" t="s">
        <v>174</v>
      </c>
      <c r="H8" s="30" t="s">
        <v>194</v>
      </c>
      <c r="I8" s="2" t="s">
        <v>100</v>
      </c>
      <c r="J8" s="2" t="s">
        <v>100</v>
      </c>
      <c r="K8" s="110"/>
      <c r="L8" s="111"/>
      <c r="M8" s="112"/>
    </row>
    <row r="9" spans="2:13">
      <c r="B9" s="2">
        <f t="shared" si="0"/>
        <v>2</v>
      </c>
      <c r="C9" s="1" t="s">
        <v>125</v>
      </c>
      <c r="D9" s="1" t="s">
        <v>179</v>
      </c>
      <c r="E9" s="20" t="s">
        <v>138</v>
      </c>
      <c r="F9" s="21" t="s">
        <v>139</v>
      </c>
      <c r="G9" s="1" t="s">
        <v>157</v>
      </c>
      <c r="H9" s="30"/>
      <c r="I9" s="2" t="s">
        <v>100</v>
      </c>
      <c r="J9" s="2" t="s">
        <v>100</v>
      </c>
      <c r="K9" s="110"/>
      <c r="L9" s="111"/>
      <c r="M9" s="112"/>
    </row>
    <row r="10" spans="2:13">
      <c r="B10" s="2">
        <f t="shared" si="0"/>
        <v>3</v>
      </c>
      <c r="C10" s="1" t="s">
        <v>126</v>
      </c>
      <c r="D10" s="1" t="s">
        <v>180</v>
      </c>
      <c r="E10" s="20" t="s">
        <v>155</v>
      </c>
      <c r="F10" s="21" t="s">
        <v>139</v>
      </c>
      <c r="G10" s="1" t="s">
        <v>158</v>
      </c>
      <c r="H10" s="30"/>
      <c r="I10" s="2" t="s">
        <v>100</v>
      </c>
      <c r="J10" s="2" t="s">
        <v>100</v>
      </c>
      <c r="K10" s="110"/>
      <c r="L10" s="111"/>
      <c r="M10" s="112"/>
    </row>
    <row r="11" spans="2:13">
      <c r="B11" s="2">
        <f t="shared" si="0"/>
        <v>4</v>
      </c>
      <c r="C11" s="1" t="s">
        <v>154</v>
      </c>
      <c r="D11" s="1" t="s">
        <v>175</v>
      </c>
      <c r="E11" s="20" t="s">
        <v>140</v>
      </c>
      <c r="F11" s="21" t="s">
        <v>98</v>
      </c>
      <c r="G11" s="1" t="s">
        <v>159</v>
      </c>
      <c r="H11" s="40" t="s">
        <v>160</v>
      </c>
      <c r="I11" s="2" t="s">
        <v>100</v>
      </c>
      <c r="J11" s="2" t="s">
        <v>100</v>
      </c>
      <c r="K11" s="36"/>
      <c r="L11" s="37"/>
      <c r="M11" s="38"/>
    </row>
    <row r="12" spans="2:13">
      <c r="B12" s="2">
        <f t="shared" si="0"/>
        <v>5</v>
      </c>
      <c r="C12" s="1" t="s">
        <v>141</v>
      </c>
      <c r="D12" s="1" t="s">
        <v>176</v>
      </c>
      <c r="E12" s="20" t="s">
        <v>153</v>
      </c>
      <c r="F12" s="21" t="s">
        <v>98</v>
      </c>
      <c r="G12" s="1" t="s">
        <v>161</v>
      </c>
      <c r="H12" s="40" t="s">
        <v>194</v>
      </c>
      <c r="I12" s="2" t="s">
        <v>100</v>
      </c>
      <c r="J12" s="2" t="s">
        <v>100</v>
      </c>
      <c r="K12" s="36"/>
      <c r="L12" s="37"/>
      <c r="M12" s="38"/>
    </row>
    <row r="13" spans="2:13">
      <c r="B13" s="2">
        <f t="shared" si="0"/>
        <v>6</v>
      </c>
      <c r="C13" s="1" t="s">
        <v>127</v>
      </c>
      <c r="D13" s="1" t="s">
        <v>182</v>
      </c>
      <c r="E13" s="20" t="s">
        <v>142</v>
      </c>
      <c r="F13" s="21" t="s">
        <v>98</v>
      </c>
      <c r="G13" s="1" t="s">
        <v>162</v>
      </c>
      <c r="H13" s="40" t="s">
        <v>148</v>
      </c>
      <c r="I13" s="2" t="s">
        <v>100</v>
      </c>
      <c r="J13" s="2" t="s">
        <v>100</v>
      </c>
      <c r="K13" s="36"/>
      <c r="L13" s="37"/>
      <c r="M13" s="38"/>
    </row>
    <row r="14" spans="2:13">
      <c r="B14" s="2">
        <f t="shared" si="0"/>
        <v>7</v>
      </c>
      <c r="C14" s="1" t="s">
        <v>128</v>
      </c>
      <c r="D14" s="1" t="s">
        <v>181</v>
      </c>
      <c r="E14" s="20" t="s">
        <v>190</v>
      </c>
      <c r="F14" s="21" t="s">
        <v>98</v>
      </c>
      <c r="G14" s="1" t="s">
        <v>191</v>
      </c>
      <c r="H14" s="40" t="s">
        <v>146</v>
      </c>
      <c r="I14" s="2" t="s">
        <v>100</v>
      </c>
      <c r="J14" s="2" t="s">
        <v>100</v>
      </c>
      <c r="K14" s="36"/>
      <c r="L14" s="37"/>
      <c r="M14" s="38"/>
    </row>
    <row r="15" spans="2:13">
      <c r="B15" s="2">
        <f t="shared" si="0"/>
        <v>8</v>
      </c>
      <c r="C15" s="1" t="s">
        <v>129</v>
      </c>
      <c r="D15" s="1" t="s">
        <v>183</v>
      </c>
      <c r="E15" s="20" t="s">
        <v>143</v>
      </c>
      <c r="F15" s="21" t="s">
        <v>98</v>
      </c>
      <c r="G15" s="1" t="s">
        <v>163</v>
      </c>
      <c r="H15" s="40" t="s">
        <v>147</v>
      </c>
      <c r="I15" s="2" t="s">
        <v>100</v>
      </c>
      <c r="J15" s="2" t="s">
        <v>100</v>
      </c>
      <c r="K15" s="36"/>
      <c r="L15" s="37"/>
      <c r="M15" s="38"/>
    </row>
    <row r="16" spans="2:13">
      <c r="B16" s="2">
        <f t="shared" si="0"/>
        <v>9</v>
      </c>
      <c r="C16" s="1" t="s">
        <v>130</v>
      </c>
      <c r="D16" s="1" t="s">
        <v>184</v>
      </c>
      <c r="E16" s="20" t="s">
        <v>144</v>
      </c>
      <c r="F16" s="21" t="s">
        <v>145</v>
      </c>
      <c r="G16" s="1" t="s">
        <v>164</v>
      </c>
      <c r="H16" s="30"/>
      <c r="I16" s="2" t="s">
        <v>100</v>
      </c>
      <c r="J16" s="2" t="s">
        <v>100</v>
      </c>
      <c r="K16" s="36"/>
      <c r="L16" s="37"/>
      <c r="M16" s="38"/>
    </row>
    <row r="17" spans="2:13">
      <c r="B17" s="2">
        <f t="shared" si="0"/>
        <v>10</v>
      </c>
      <c r="C17" s="1" t="s">
        <v>131</v>
      </c>
      <c r="D17" s="1" t="s">
        <v>185</v>
      </c>
      <c r="E17" s="20" t="s">
        <v>149</v>
      </c>
      <c r="F17" s="21" t="s">
        <v>98</v>
      </c>
      <c r="G17" s="1" t="s">
        <v>165</v>
      </c>
      <c r="H17" s="40" t="s">
        <v>146</v>
      </c>
      <c r="I17" s="2" t="s">
        <v>100</v>
      </c>
      <c r="J17" s="2" t="s">
        <v>100</v>
      </c>
      <c r="K17" s="110"/>
      <c r="L17" s="111"/>
      <c r="M17" s="112"/>
    </row>
    <row r="18" spans="2:13">
      <c r="B18" s="2">
        <f t="shared" si="0"/>
        <v>11</v>
      </c>
      <c r="C18" s="1" t="s">
        <v>132</v>
      </c>
      <c r="D18" s="1" t="s">
        <v>186</v>
      </c>
      <c r="E18" s="20" t="s">
        <v>150</v>
      </c>
      <c r="F18" s="21" t="s">
        <v>98</v>
      </c>
      <c r="G18" s="1" t="s">
        <v>166</v>
      </c>
      <c r="H18" s="40" t="s">
        <v>147</v>
      </c>
      <c r="I18" s="2" t="s">
        <v>100</v>
      </c>
      <c r="J18" s="2" t="s">
        <v>100</v>
      </c>
      <c r="K18" s="110"/>
      <c r="L18" s="111"/>
      <c r="M18" s="112"/>
    </row>
    <row r="19" spans="2:13">
      <c r="B19" s="2">
        <f t="shared" si="0"/>
        <v>12</v>
      </c>
      <c r="C19" s="1" t="s">
        <v>133</v>
      </c>
      <c r="D19" s="1" t="s">
        <v>187</v>
      </c>
      <c r="E19" s="20" t="s">
        <v>167</v>
      </c>
      <c r="F19" s="21" t="s">
        <v>98</v>
      </c>
      <c r="G19" s="1" t="s">
        <v>170</v>
      </c>
      <c r="H19" s="40" t="s">
        <v>109</v>
      </c>
      <c r="I19" s="2" t="s">
        <v>100</v>
      </c>
      <c r="J19" s="2" t="s">
        <v>100</v>
      </c>
      <c r="K19" s="110"/>
      <c r="L19" s="111"/>
      <c r="M19" s="112"/>
    </row>
    <row r="20" spans="2:13">
      <c r="B20" s="2">
        <f t="shared" si="0"/>
        <v>13</v>
      </c>
      <c r="C20" s="1" t="s">
        <v>134</v>
      </c>
      <c r="D20" s="1" t="s">
        <v>188</v>
      </c>
      <c r="E20" s="20" t="s">
        <v>168</v>
      </c>
      <c r="F20" s="21" t="s">
        <v>98</v>
      </c>
      <c r="G20" s="1" t="s">
        <v>171</v>
      </c>
      <c r="H20" s="40" t="s">
        <v>148</v>
      </c>
      <c r="I20" s="2" t="s">
        <v>100</v>
      </c>
      <c r="J20" s="2" t="s">
        <v>100</v>
      </c>
      <c r="K20" s="110"/>
      <c r="L20" s="111"/>
      <c r="M20" s="112"/>
    </row>
    <row r="21" spans="2:13">
      <c r="B21" s="2">
        <f t="shared" si="0"/>
        <v>14</v>
      </c>
      <c r="C21" s="1" t="s">
        <v>135</v>
      </c>
      <c r="D21" s="1" t="s">
        <v>177</v>
      </c>
      <c r="E21" s="20" t="s">
        <v>152</v>
      </c>
      <c r="F21" s="21" t="s">
        <v>98</v>
      </c>
      <c r="G21" s="1" t="s">
        <v>172</v>
      </c>
      <c r="H21" s="40" t="s">
        <v>151</v>
      </c>
      <c r="I21" s="2" t="s">
        <v>100</v>
      </c>
      <c r="J21" s="2" t="s">
        <v>100</v>
      </c>
      <c r="K21" s="110"/>
      <c r="L21" s="111"/>
      <c r="M21" s="112"/>
    </row>
    <row r="22" spans="2:13">
      <c r="B22" s="2">
        <f t="shared" si="0"/>
        <v>15</v>
      </c>
      <c r="C22" s="20" t="s">
        <v>136</v>
      </c>
      <c r="D22" s="1" t="s">
        <v>199</v>
      </c>
      <c r="E22" s="1" t="s">
        <v>169</v>
      </c>
      <c r="F22" s="21" t="s">
        <v>98</v>
      </c>
      <c r="G22" s="1" t="s">
        <v>173</v>
      </c>
      <c r="H22" s="40" t="s">
        <v>147</v>
      </c>
      <c r="I22" s="2" t="s">
        <v>100</v>
      </c>
      <c r="J22" s="2" t="s">
        <v>100</v>
      </c>
      <c r="K22" s="110"/>
      <c r="L22" s="111"/>
      <c r="M22" s="112"/>
    </row>
    <row r="23" spans="2:13">
      <c r="B23" s="2">
        <f t="shared" si="0"/>
        <v>16</v>
      </c>
      <c r="C23" s="20" t="s">
        <v>137</v>
      </c>
      <c r="D23" s="1" t="s">
        <v>200</v>
      </c>
      <c r="E23" s="1" t="s">
        <v>192</v>
      </c>
      <c r="F23" s="21" t="s">
        <v>98</v>
      </c>
      <c r="G23" s="1" t="s">
        <v>193</v>
      </c>
      <c r="H23" s="40" t="s">
        <v>109</v>
      </c>
      <c r="I23" s="2" t="s">
        <v>100</v>
      </c>
      <c r="J23" s="2" t="s">
        <v>100</v>
      </c>
      <c r="K23" s="110"/>
      <c r="L23" s="111"/>
      <c r="M23" s="112"/>
    </row>
    <row r="24" spans="2:13">
      <c r="B24" s="31">
        <f t="shared" si="0"/>
        <v>17</v>
      </c>
      <c r="C24" s="32" t="s">
        <v>95</v>
      </c>
      <c r="D24" s="33" t="s">
        <v>96</v>
      </c>
      <c r="E24" s="33" t="s">
        <v>97</v>
      </c>
      <c r="F24" s="34" t="s">
        <v>98</v>
      </c>
      <c r="G24" s="33" t="s">
        <v>99</v>
      </c>
      <c r="H24" s="35">
        <v>20</v>
      </c>
      <c r="I24" s="31" t="s">
        <v>100</v>
      </c>
      <c r="J24" s="31" t="s">
        <v>100</v>
      </c>
      <c r="K24" s="123" t="s">
        <v>101</v>
      </c>
      <c r="L24" s="124"/>
      <c r="M24" s="125"/>
    </row>
    <row r="25" spans="2:13">
      <c r="B25" s="31">
        <f t="shared" si="0"/>
        <v>18</v>
      </c>
      <c r="C25" s="32" t="s">
        <v>102</v>
      </c>
      <c r="D25" s="33" t="s">
        <v>96</v>
      </c>
      <c r="E25" s="33" t="s">
        <v>103</v>
      </c>
      <c r="F25" s="34" t="s">
        <v>115</v>
      </c>
      <c r="G25" s="33" t="s">
        <v>104</v>
      </c>
      <c r="H25" s="35"/>
      <c r="I25" s="31" t="s">
        <v>100</v>
      </c>
      <c r="J25" s="31" t="s">
        <v>100</v>
      </c>
      <c r="K25" s="123" t="s">
        <v>105</v>
      </c>
      <c r="L25" s="124"/>
      <c r="M25" s="125"/>
    </row>
    <row r="26" spans="2:13">
      <c r="B26" s="31">
        <f t="shared" si="0"/>
        <v>19</v>
      </c>
      <c r="C26" s="32" t="s">
        <v>106</v>
      </c>
      <c r="D26" s="33" t="s">
        <v>96</v>
      </c>
      <c r="E26" s="33" t="s">
        <v>107</v>
      </c>
      <c r="F26" s="34" t="s">
        <v>98</v>
      </c>
      <c r="G26" s="33" t="s">
        <v>108</v>
      </c>
      <c r="H26" s="35" t="s">
        <v>109</v>
      </c>
      <c r="I26" s="31" t="s">
        <v>100</v>
      </c>
      <c r="J26" s="31" t="s">
        <v>100</v>
      </c>
      <c r="K26" s="123" t="s">
        <v>110</v>
      </c>
      <c r="L26" s="124"/>
      <c r="M26" s="125"/>
    </row>
    <row r="27" spans="2:13">
      <c r="B27" s="31">
        <f t="shared" si="0"/>
        <v>20</v>
      </c>
      <c r="C27" s="32" t="s">
        <v>111</v>
      </c>
      <c r="D27" s="33" t="s">
        <v>96</v>
      </c>
      <c r="E27" s="33" t="s">
        <v>112</v>
      </c>
      <c r="F27" s="34" t="s">
        <v>115</v>
      </c>
      <c r="G27" s="33" t="s">
        <v>113</v>
      </c>
      <c r="H27" s="35"/>
      <c r="I27" s="31" t="s">
        <v>100</v>
      </c>
      <c r="J27" s="31" t="s">
        <v>100</v>
      </c>
      <c r="K27" s="123" t="s">
        <v>114</v>
      </c>
      <c r="L27" s="124"/>
      <c r="M27" s="125"/>
    </row>
    <row r="28" spans="2:13">
      <c r="B28" s="2">
        <f t="shared" si="0"/>
        <v>21</v>
      </c>
      <c r="C28" s="20"/>
      <c r="D28" s="1"/>
      <c r="E28" s="1"/>
      <c r="F28" s="21"/>
      <c r="G28" s="1"/>
      <c r="H28" s="30"/>
      <c r="I28" s="2"/>
      <c r="J28" s="2"/>
      <c r="K28" s="110"/>
      <c r="L28" s="111"/>
      <c r="M28" s="112"/>
    </row>
    <row r="29" spans="2:13">
      <c r="B29" s="2">
        <f t="shared" si="0"/>
        <v>22</v>
      </c>
      <c r="C29" s="1"/>
      <c r="D29" s="1"/>
      <c r="E29" s="1"/>
      <c r="F29" s="21"/>
      <c r="G29" s="1"/>
      <c r="H29" s="30"/>
      <c r="I29" s="2"/>
      <c r="J29" s="2"/>
      <c r="K29" s="110"/>
      <c r="L29" s="111"/>
      <c r="M29" s="112"/>
    </row>
    <row r="30" spans="2:13">
      <c r="B30" s="2">
        <f t="shared" si="0"/>
        <v>23</v>
      </c>
      <c r="C30" s="1"/>
      <c r="D30" s="1"/>
      <c r="E30" s="1"/>
      <c r="F30" s="21"/>
      <c r="G30" s="1"/>
      <c r="H30" s="30"/>
      <c r="I30" s="2"/>
      <c r="J30" s="2"/>
      <c r="K30" s="110"/>
      <c r="L30" s="111"/>
      <c r="M30" s="112"/>
    </row>
    <row r="31" spans="2:13">
      <c r="B31" s="2">
        <f t="shared" si="0"/>
        <v>24</v>
      </c>
      <c r="C31" s="1"/>
      <c r="D31" s="1"/>
      <c r="E31" s="1"/>
      <c r="F31" s="21"/>
      <c r="G31" s="1"/>
      <c r="H31" s="30"/>
      <c r="I31" s="2"/>
      <c r="J31" s="2"/>
      <c r="K31" s="110"/>
      <c r="L31" s="111"/>
      <c r="M31" s="112"/>
    </row>
    <row r="32" spans="2:13">
      <c r="B32" s="2">
        <f t="shared" si="0"/>
        <v>25</v>
      </c>
      <c r="C32" s="1"/>
      <c r="D32" s="1"/>
      <c r="E32" s="1"/>
      <c r="F32" s="21"/>
      <c r="G32" s="1"/>
      <c r="H32" s="30"/>
      <c r="I32" s="2"/>
      <c r="J32" s="2"/>
      <c r="K32" s="110"/>
      <c r="L32" s="111"/>
      <c r="M32" s="112"/>
    </row>
    <row r="33" spans="2:13">
      <c r="B33" s="2">
        <f t="shared" si="0"/>
        <v>26</v>
      </c>
      <c r="C33" s="1"/>
      <c r="D33" s="1"/>
      <c r="E33" s="1"/>
      <c r="F33" s="21"/>
      <c r="G33" s="1"/>
      <c r="H33" s="30"/>
      <c r="I33" s="2"/>
      <c r="J33" s="2"/>
      <c r="K33" s="110"/>
      <c r="L33" s="111"/>
      <c r="M33" s="112"/>
    </row>
    <row r="34" spans="2:13">
      <c r="B34" s="2">
        <f t="shared" si="0"/>
        <v>27</v>
      </c>
      <c r="C34" s="1"/>
      <c r="D34" s="1"/>
      <c r="E34" s="1"/>
      <c r="F34" s="21"/>
      <c r="G34" s="1"/>
      <c r="H34" s="30"/>
      <c r="I34" s="2"/>
      <c r="J34" s="2"/>
      <c r="K34" s="110"/>
      <c r="L34" s="111"/>
      <c r="M34" s="112"/>
    </row>
    <row r="35" spans="2:13">
      <c r="B35" s="2">
        <f t="shared" si="0"/>
        <v>28</v>
      </c>
      <c r="C35" s="20"/>
      <c r="D35" s="1"/>
      <c r="E35" s="1"/>
      <c r="F35" s="21"/>
      <c r="G35" s="1"/>
      <c r="H35" s="30"/>
      <c r="I35" s="2"/>
      <c r="J35" s="2"/>
      <c r="K35" s="110"/>
      <c r="L35" s="111"/>
      <c r="M35" s="112"/>
    </row>
    <row r="36" spans="2:13">
      <c r="B36" s="2">
        <f t="shared" si="0"/>
        <v>29</v>
      </c>
      <c r="C36" s="20"/>
      <c r="D36" s="1"/>
      <c r="E36" s="1"/>
      <c r="F36" s="21"/>
      <c r="G36" s="1"/>
      <c r="H36" s="30"/>
      <c r="I36" s="2"/>
      <c r="J36" s="2"/>
      <c r="K36" s="110"/>
      <c r="L36" s="111"/>
      <c r="M36" s="112"/>
    </row>
    <row r="37" spans="2:13">
      <c r="B37" s="2">
        <f t="shared" si="0"/>
        <v>30</v>
      </c>
      <c r="C37" s="20"/>
      <c r="D37" s="1"/>
      <c r="E37" s="1"/>
      <c r="F37" s="21"/>
      <c r="G37" s="1"/>
      <c r="H37" s="30"/>
      <c r="I37" s="2"/>
      <c r="J37" s="2"/>
      <c r="K37" s="110"/>
      <c r="L37" s="111"/>
      <c r="M37" s="112"/>
    </row>
    <row r="38" spans="2:13">
      <c r="B38" s="2">
        <f t="shared" si="0"/>
        <v>31</v>
      </c>
      <c r="C38" s="20"/>
      <c r="D38" s="1"/>
      <c r="E38" s="1"/>
      <c r="F38" s="21"/>
      <c r="G38" s="1"/>
      <c r="H38" s="30"/>
      <c r="I38" s="2"/>
      <c r="J38" s="2"/>
      <c r="K38" s="110"/>
      <c r="L38" s="111"/>
      <c r="M38" s="112"/>
    </row>
    <row r="39" spans="2:13">
      <c r="B39" s="2">
        <f t="shared" si="0"/>
        <v>32</v>
      </c>
      <c r="C39" s="20"/>
      <c r="D39" s="1"/>
      <c r="E39" s="1"/>
      <c r="F39" s="21"/>
      <c r="G39" s="1"/>
      <c r="H39" s="30"/>
      <c r="I39" s="2"/>
      <c r="J39" s="2"/>
      <c r="K39" s="110"/>
      <c r="L39" s="111"/>
      <c r="M39" s="112"/>
    </row>
    <row r="40" spans="2:13">
      <c r="B40" s="2">
        <f t="shared" si="0"/>
        <v>33</v>
      </c>
      <c r="C40" s="20"/>
      <c r="D40" s="1"/>
      <c r="E40" s="1"/>
      <c r="F40" s="21"/>
      <c r="G40" s="1"/>
      <c r="H40" s="30"/>
      <c r="I40" s="2"/>
      <c r="J40" s="2"/>
      <c r="K40" s="110"/>
      <c r="L40" s="111"/>
      <c r="M40" s="112"/>
    </row>
    <row r="41" spans="2:13">
      <c r="B41" s="2">
        <f t="shared" si="0"/>
        <v>34</v>
      </c>
      <c r="C41" s="20"/>
      <c r="D41" s="1"/>
      <c r="E41" s="1"/>
      <c r="F41" s="21"/>
      <c r="G41" s="1"/>
      <c r="H41" s="30"/>
      <c r="I41" s="2"/>
      <c r="J41" s="2"/>
      <c r="K41" s="110"/>
      <c r="L41" s="111"/>
      <c r="M41" s="112"/>
    </row>
    <row r="42" spans="2:13">
      <c r="B42" s="2">
        <f t="shared" si="0"/>
        <v>35</v>
      </c>
      <c r="C42" s="20"/>
      <c r="D42" s="1"/>
      <c r="E42" s="1"/>
      <c r="F42" s="21"/>
      <c r="G42" s="1"/>
      <c r="H42" s="30"/>
      <c r="I42" s="2"/>
      <c r="J42" s="2"/>
      <c r="K42" s="110"/>
      <c r="L42" s="111"/>
      <c r="M42" s="112"/>
    </row>
    <row r="43" spans="2:13">
      <c r="B43" s="2">
        <f t="shared" si="0"/>
        <v>36</v>
      </c>
      <c r="C43" s="20"/>
      <c r="D43" s="1"/>
      <c r="E43" s="1"/>
      <c r="F43" s="21"/>
      <c r="G43" s="1"/>
      <c r="H43" s="30"/>
      <c r="I43" s="2"/>
      <c r="J43" s="2"/>
      <c r="K43" s="110"/>
      <c r="L43" s="111"/>
      <c r="M43" s="112"/>
    </row>
    <row r="44" spans="2:13">
      <c r="B44" s="2">
        <f t="shared" si="0"/>
        <v>37</v>
      </c>
      <c r="C44" s="20"/>
      <c r="D44" s="1"/>
      <c r="E44" s="1"/>
      <c r="F44" s="21"/>
      <c r="G44" s="1"/>
      <c r="H44" s="30"/>
      <c r="I44" s="2"/>
      <c r="J44" s="2"/>
      <c r="K44" s="110"/>
      <c r="L44" s="111"/>
      <c r="M44" s="112"/>
    </row>
    <row r="45" spans="2:13">
      <c r="B45" s="2">
        <f t="shared" si="0"/>
        <v>38</v>
      </c>
      <c r="C45" s="20"/>
      <c r="D45" s="1"/>
      <c r="E45" s="1"/>
      <c r="F45" s="21"/>
      <c r="G45" s="1"/>
      <c r="H45" s="30"/>
      <c r="I45" s="2"/>
      <c r="J45" s="2"/>
      <c r="K45" s="110"/>
      <c r="L45" s="111"/>
      <c r="M45" s="112"/>
    </row>
    <row r="46" spans="2:13">
      <c r="B46" s="2">
        <f t="shared" si="0"/>
        <v>39</v>
      </c>
      <c r="C46" s="20"/>
      <c r="D46" s="1"/>
      <c r="E46" s="1"/>
      <c r="F46" s="21"/>
      <c r="G46" s="1"/>
      <c r="H46" s="30"/>
      <c r="I46" s="2"/>
      <c r="J46" s="2"/>
      <c r="K46" s="110"/>
      <c r="L46" s="111"/>
      <c r="M46" s="112"/>
    </row>
    <row r="47" spans="2:13">
      <c r="B47" s="2">
        <f t="shared" si="0"/>
        <v>40</v>
      </c>
      <c r="C47" s="20"/>
      <c r="D47" s="1"/>
      <c r="E47" s="1"/>
      <c r="F47" s="21"/>
      <c r="G47" s="1"/>
      <c r="H47" s="30"/>
      <c r="I47" s="2"/>
      <c r="J47" s="2"/>
      <c r="K47" s="110"/>
      <c r="L47" s="111"/>
      <c r="M47" s="112"/>
    </row>
    <row r="48" spans="2:13">
      <c r="B48" s="2">
        <f t="shared" si="0"/>
        <v>41</v>
      </c>
      <c r="C48" s="20"/>
      <c r="D48" s="1"/>
      <c r="E48" s="1"/>
      <c r="F48" s="21"/>
      <c r="G48" s="1"/>
      <c r="H48" s="30"/>
      <c r="I48" s="2"/>
      <c r="J48" s="2"/>
      <c r="K48" s="110"/>
      <c r="L48" s="111"/>
      <c r="M48" s="112"/>
    </row>
    <row r="49" spans="2:13">
      <c r="B49" s="2">
        <f t="shared" si="0"/>
        <v>42</v>
      </c>
      <c r="C49" s="20"/>
      <c r="D49" s="1"/>
      <c r="E49" s="1"/>
      <c r="F49" s="21"/>
      <c r="G49" s="1"/>
      <c r="H49" s="30"/>
      <c r="I49" s="2"/>
      <c r="J49" s="2"/>
      <c r="K49" s="110"/>
      <c r="L49" s="111"/>
      <c r="M49" s="112"/>
    </row>
    <row r="50" spans="2:13">
      <c r="B50" s="2">
        <f t="shared" si="0"/>
        <v>43</v>
      </c>
      <c r="C50" s="20"/>
      <c r="D50" s="1"/>
      <c r="E50" s="1"/>
      <c r="F50" s="21"/>
      <c r="G50" s="1"/>
      <c r="H50" s="30"/>
      <c r="I50" s="2"/>
      <c r="J50" s="2"/>
      <c r="K50" s="110"/>
      <c r="L50" s="111"/>
      <c r="M50" s="112"/>
    </row>
    <row r="51" spans="2:13">
      <c r="B51" s="2">
        <f t="shared" si="0"/>
        <v>44</v>
      </c>
      <c r="C51" s="20"/>
      <c r="D51" s="1"/>
      <c r="E51" s="1"/>
      <c r="F51" s="21"/>
      <c r="G51" s="1"/>
      <c r="H51" s="30"/>
      <c r="I51" s="2"/>
      <c r="J51" s="2"/>
      <c r="K51" s="110"/>
      <c r="L51" s="111"/>
      <c r="M51" s="112"/>
    </row>
    <row r="52" spans="2:13">
      <c r="B52" s="2">
        <f t="shared" si="0"/>
        <v>45</v>
      </c>
      <c r="C52" s="20"/>
      <c r="D52" s="1"/>
      <c r="E52" s="1"/>
      <c r="F52" s="21"/>
      <c r="G52" s="1"/>
      <c r="H52" s="30"/>
      <c r="I52" s="2"/>
      <c r="J52" s="2"/>
      <c r="K52" s="110"/>
      <c r="L52" s="111"/>
      <c r="M52" s="112"/>
    </row>
    <row r="53" spans="2:13">
      <c r="B53" s="2">
        <f t="shared" si="0"/>
        <v>46</v>
      </c>
      <c r="C53" s="20"/>
      <c r="D53" s="1"/>
      <c r="E53" s="1"/>
      <c r="F53" s="21"/>
      <c r="G53" s="1"/>
      <c r="H53" s="30"/>
      <c r="I53" s="2"/>
      <c r="J53" s="2"/>
      <c r="K53" s="110"/>
      <c r="L53" s="111"/>
      <c r="M53" s="112"/>
    </row>
    <row r="54" spans="2:13">
      <c r="B54" s="2">
        <f t="shared" si="0"/>
        <v>47</v>
      </c>
      <c r="C54" s="20"/>
      <c r="D54" s="1"/>
      <c r="E54" s="1"/>
      <c r="F54" s="21"/>
      <c r="G54" s="1"/>
      <c r="H54" s="30"/>
      <c r="I54" s="2"/>
      <c r="J54" s="2"/>
      <c r="K54" s="110"/>
      <c r="L54" s="111"/>
      <c r="M54" s="112"/>
    </row>
    <row r="55" spans="2:13">
      <c r="B55" s="2">
        <f t="shared" si="0"/>
        <v>48</v>
      </c>
      <c r="C55" s="20"/>
      <c r="D55" s="1"/>
      <c r="E55" s="1"/>
      <c r="F55" s="21"/>
      <c r="G55" s="1"/>
      <c r="H55" s="30"/>
      <c r="I55" s="2"/>
      <c r="J55" s="2"/>
      <c r="K55" s="110"/>
      <c r="L55" s="111"/>
      <c r="M55" s="112"/>
    </row>
    <row r="56" spans="2:13">
      <c r="B56" s="2">
        <f t="shared" si="0"/>
        <v>49</v>
      </c>
      <c r="C56" s="20"/>
      <c r="D56" s="20"/>
      <c r="E56" s="20"/>
      <c r="F56" s="20"/>
      <c r="G56" s="3"/>
      <c r="H56" s="30"/>
      <c r="I56" s="20"/>
      <c r="J56" s="2"/>
      <c r="K56" s="111"/>
      <c r="L56" s="111"/>
      <c r="M56" s="112"/>
    </row>
  </sheetData>
  <mergeCells count="56">
    <mergeCell ref="K54:M54"/>
    <mergeCell ref="K55:M55"/>
    <mergeCell ref="K56:M56"/>
    <mergeCell ref="K53:M53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41:M41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29:M29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18:M18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7:M17"/>
    <mergeCell ref="B2:D2"/>
    <mergeCell ref="E2:F2"/>
    <mergeCell ref="H2:K2"/>
    <mergeCell ref="B3:D3"/>
    <mergeCell ref="E3:F3"/>
    <mergeCell ref="H3:K3"/>
  </mergeCells>
  <phoneticPr fontId="2"/>
  <conditionalFormatting sqref="H8:H56">
    <cfRule type="expression" dxfId="0" priority="1">
      <formula>$F8&lt;&gt;"String"</formula>
    </cfRule>
  </conditionalFormatting>
  <dataValidations count="1">
    <dataValidation type="list" allowBlank="1" showInputMessage="1" showErrorMessage="1" sqref="I8:J55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F8:F56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  <x14:dataValidation type="list" allowBlank="1" showInputMessage="1" showErrorMessage="1" xr:uid="{E2365905-F2F7-4A4C-81C5-EC64D68A52A1}">
          <x14:formula1>
            <xm:f>マスタ!$F$2:$F$3</xm:f>
          </x14:formula1>
          <xm:sqref>M5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9765625" defaultRowHeight="16.5" customHeight="1"/>
  <cols>
    <col min="1" max="12" width="2.59765625" style="5"/>
    <col min="13" max="17" width="3.296875" style="5" customWidth="1"/>
    <col min="18" max="22" width="2.59765625" style="5"/>
    <col min="23" max="27" width="3.59765625" style="5" customWidth="1"/>
    <col min="28" max="16384" width="2.59765625" style="5"/>
  </cols>
  <sheetData>
    <row r="1" spans="1:59" ht="11.25" customHeight="1">
      <c r="A1" s="126" t="s">
        <v>33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8"/>
    </row>
    <row r="2" spans="1:59" ht="11.25" customHeight="1">
      <c r="A2" s="129" t="s">
        <v>25</v>
      </c>
      <c r="B2" s="130"/>
      <c r="C2" s="129" t="s">
        <v>34</v>
      </c>
      <c r="D2" s="131"/>
      <c r="E2" s="131"/>
      <c r="F2" s="131"/>
      <c r="G2" s="131"/>
      <c r="H2" s="131"/>
      <c r="I2" s="131"/>
      <c r="J2" s="131"/>
      <c r="K2" s="131"/>
      <c r="L2" s="130"/>
      <c r="M2" s="129" t="s">
        <v>35</v>
      </c>
      <c r="N2" s="131"/>
      <c r="O2" s="131"/>
      <c r="P2" s="130"/>
      <c r="Q2" s="129" t="s">
        <v>36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0"/>
      <c r="BB2" s="129" t="s">
        <v>37</v>
      </c>
      <c r="BC2" s="131"/>
      <c r="BD2" s="131"/>
      <c r="BE2" s="131"/>
      <c r="BF2" s="131"/>
      <c r="BG2" s="130"/>
    </row>
    <row r="3" spans="1:59" ht="11.25" customHeight="1">
      <c r="A3" s="132">
        <v>1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6"/>
      <c r="M3" s="137"/>
      <c r="N3" s="138"/>
      <c r="O3" s="138"/>
      <c r="P3" s="139"/>
      <c r="Q3" s="134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6"/>
      <c r="BB3" s="134"/>
      <c r="BC3" s="135"/>
      <c r="BD3" s="135"/>
      <c r="BE3" s="135"/>
      <c r="BF3" s="135"/>
      <c r="BG3" s="136"/>
    </row>
    <row r="4" spans="1:59" ht="11.25" customHeight="1">
      <c r="A4" s="132">
        <v>2</v>
      </c>
      <c r="B4" s="133"/>
      <c r="C4" s="134"/>
      <c r="D4" s="135"/>
      <c r="E4" s="135"/>
      <c r="F4" s="135"/>
      <c r="G4" s="135"/>
      <c r="H4" s="135"/>
      <c r="I4" s="135"/>
      <c r="J4" s="135"/>
      <c r="K4" s="135"/>
      <c r="L4" s="136"/>
      <c r="M4" s="137"/>
      <c r="N4" s="138"/>
      <c r="O4" s="138"/>
      <c r="P4" s="139"/>
      <c r="Q4" s="134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6"/>
      <c r="BB4" s="134"/>
      <c r="BC4" s="135"/>
      <c r="BD4" s="135"/>
      <c r="BE4" s="135"/>
      <c r="BF4" s="135"/>
      <c r="BG4" s="136"/>
    </row>
    <row r="5" spans="1:59" ht="11.25" customHeight="1">
      <c r="A5" s="132">
        <v>3</v>
      </c>
      <c r="B5" s="133"/>
      <c r="C5" s="134"/>
      <c r="D5" s="135"/>
      <c r="E5" s="135"/>
      <c r="F5" s="135"/>
      <c r="G5" s="135"/>
      <c r="H5" s="135"/>
      <c r="I5" s="135"/>
      <c r="J5" s="135"/>
      <c r="K5" s="135"/>
      <c r="L5" s="136"/>
      <c r="M5" s="137"/>
      <c r="N5" s="138"/>
      <c r="O5" s="138"/>
      <c r="P5" s="139"/>
      <c r="Q5" s="134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6"/>
      <c r="BB5" s="134"/>
      <c r="BC5" s="135"/>
      <c r="BD5" s="135"/>
      <c r="BE5" s="135"/>
      <c r="BF5" s="135"/>
      <c r="BG5" s="136"/>
    </row>
    <row r="6" spans="1:59" ht="11.25" customHeight="1">
      <c r="A6" s="132">
        <v>4</v>
      </c>
      <c r="B6" s="133"/>
      <c r="C6" s="134"/>
      <c r="D6" s="135"/>
      <c r="E6" s="135"/>
      <c r="F6" s="135"/>
      <c r="G6" s="135"/>
      <c r="H6" s="135"/>
      <c r="I6" s="135"/>
      <c r="J6" s="135"/>
      <c r="K6" s="135"/>
      <c r="L6" s="136"/>
      <c r="M6" s="137"/>
      <c r="N6" s="138"/>
      <c r="O6" s="138"/>
      <c r="P6" s="139"/>
      <c r="Q6" s="134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6"/>
      <c r="BB6" s="134"/>
      <c r="BC6" s="135"/>
      <c r="BD6" s="135"/>
      <c r="BE6" s="135"/>
      <c r="BF6" s="135"/>
      <c r="BG6" s="136"/>
    </row>
    <row r="7" spans="1:59" ht="11.25" customHeight="1">
      <c r="A7" s="132">
        <v>5</v>
      </c>
      <c r="B7" s="133"/>
      <c r="C7" s="134"/>
      <c r="D7" s="135"/>
      <c r="E7" s="135"/>
      <c r="F7" s="135"/>
      <c r="G7" s="135"/>
      <c r="H7" s="135"/>
      <c r="I7" s="135"/>
      <c r="J7" s="135"/>
      <c r="K7" s="135"/>
      <c r="L7" s="136"/>
      <c r="M7" s="137"/>
      <c r="N7" s="138"/>
      <c r="O7" s="138"/>
      <c r="P7" s="139"/>
      <c r="Q7" s="134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6"/>
      <c r="BB7" s="134"/>
      <c r="BC7" s="135"/>
      <c r="BD7" s="135"/>
      <c r="BE7" s="135"/>
      <c r="BF7" s="135"/>
      <c r="BG7" s="136"/>
    </row>
    <row r="8" spans="1:59" ht="11.25" customHeight="1">
      <c r="A8" s="126" t="s">
        <v>38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</row>
    <row r="9" spans="1:59" ht="11.25" customHeight="1">
      <c r="A9" s="129" t="s">
        <v>25</v>
      </c>
      <c r="B9" s="130"/>
      <c r="C9" s="129" t="s">
        <v>39</v>
      </c>
      <c r="D9" s="131"/>
      <c r="E9" s="131"/>
      <c r="F9" s="131"/>
      <c r="G9" s="131"/>
      <c r="H9" s="131"/>
      <c r="I9" s="131"/>
      <c r="J9" s="131"/>
      <c r="K9" s="131"/>
      <c r="L9" s="130"/>
      <c r="M9" s="129" t="s">
        <v>40</v>
      </c>
      <c r="N9" s="131"/>
      <c r="O9" s="130"/>
      <c r="P9" s="129" t="s">
        <v>36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0"/>
      <c r="AQ9" s="129" t="s">
        <v>37</v>
      </c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0"/>
    </row>
    <row r="10" spans="1:59" ht="11.25" customHeight="1">
      <c r="A10" s="132">
        <v>1</v>
      </c>
      <c r="B10" s="133"/>
      <c r="C10" s="134"/>
      <c r="D10" s="135"/>
      <c r="E10" s="135"/>
      <c r="F10" s="135"/>
      <c r="G10" s="135"/>
      <c r="H10" s="135"/>
      <c r="I10" s="135"/>
      <c r="J10" s="135"/>
      <c r="K10" s="135"/>
      <c r="L10" s="136"/>
      <c r="M10" s="140"/>
      <c r="N10" s="140"/>
      <c r="O10" s="140"/>
      <c r="P10" s="134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6"/>
      <c r="AQ10" s="134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6"/>
    </row>
    <row r="11" spans="1:59" ht="11.25" customHeight="1">
      <c r="A11" s="132">
        <v>2</v>
      </c>
      <c r="B11" s="133"/>
      <c r="C11" s="134"/>
      <c r="D11" s="135"/>
      <c r="E11" s="135"/>
      <c r="F11" s="135"/>
      <c r="G11" s="135"/>
      <c r="H11" s="135"/>
      <c r="I11" s="135"/>
      <c r="J11" s="135"/>
      <c r="K11" s="135"/>
      <c r="L11" s="136"/>
      <c r="M11" s="140"/>
      <c r="N11" s="140"/>
      <c r="O11" s="140"/>
      <c r="P11" s="134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6"/>
      <c r="AQ11" s="134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6"/>
    </row>
    <row r="12" spans="1:59" ht="11.25" customHeight="1">
      <c r="A12" s="132">
        <v>3</v>
      </c>
      <c r="B12" s="133"/>
      <c r="C12" s="134"/>
      <c r="D12" s="135"/>
      <c r="E12" s="135"/>
      <c r="F12" s="135"/>
      <c r="G12" s="135"/>
      <c r="H12" s="135"/>
      <c r="I12" s="135"/>
      <c r="J12" s="135"/>
      <c r="K12" s="135"/>
      <c r="L12" s="136"/>
      <c r="M12" s="140"/>
      <c r="N12" s="140"/>
      <c r="O12" s="140"/>
      <c r="P12" s="134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6"/>
      <c r="AQ12" s="134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6"/>
    </row>
    <row r="13" spans="1:59" ht="11.25" customHeight="1">
      <c r="A13" s="132">
        <v>4</v>
      </c>
      <c r="B13" s="133"/>
      <c r="C13" s="134"/>
      <c r="D13" s="135"/>
      <c r="E13" s="135"/>
      <c r="F13" s="135"/>
      <c r="G13" s="135"/>
      <c r="H13" s="135"/>
      <c r="I13" s="135"/>
      <c r="J13" s="135"/>
      <c r="K13" s="135"/>
      <c r="L13" s="136"/>
      <c r="M13" s="140"/>
      <c r="N13" s="140"/>
      <c r="O13" s="140"/>
      <c r="P13" s="134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6"/>
      <c r="AQ13" s="134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6"/>
    </row>
    <row r="14" spans="1:59" ht="11.25" customHeight="1">
      <c r="A14" s="132">
        <v>5</v>
      </c>
      <c r="B14" s="133"/>
      <c r="C14" s="134"/>
      <c r="D14" s="135"/>
      <c r="E14" s="135"/>
      <c r="F14" s="135"/>
      <c r="G14" s="135"/>
      <c r="H14" s="135"/>
      <c r="I14" s="135"/>
      <c r="J14" s="135"/>
      <c r="K14" s="135"/>
      <c r="L14" s="136"/>
      <c r="M14" s="140"/>
      <c r="N14" s="140"/>
      <c r="O14" s="140"/>
      <c r="P14" s="134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6"/>
      <c r="AQ14" s="134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6"/>
    </row>
    <row r="15" spans="1:59" ht="11.25" customHeight="1">
      <c r="A15" s="126" t="s">
        <v>41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</row>
    <row r="16" spans="1:59" ht="11.25" customHeight="1">
      <c r="A16" s="129" t="s">
        <v>25</v>
      </c>
      <c r="B16" s="130"/>
      <c r="C16" s="129" t="s">
        <v>42</v>
      </c>
      <c r="D16" s="131"/>
      <c r="E16" s="131"/>
      <c r="F16" s="131"/>
      <c r="G16" s="131"/>
      <c r="H16" s="131"/>
      <c r="I16" s="131"/>
      <c r="J16" s="131"/>
      <c r="K16" s="131"/>
      <c r="L16" s="130"/>
      <c r="M16" s="129" t="s">
        <v>43</v>
      </c>
      <c r="N16" s="131"/>
      <c r="O16" s="131"/>
      <c r="P16" s="131"/>
      <c r="Q16" s="130"/>
      <c r="R16" s="129" t="s">
        <v>44</v>
      </c>
      <c r="S16" s="131"/>
      <c r="T16" s="131"/>
      <c r="U16" s="131"/>
      <c r="V16" s="130"/>
      <c r="W16" s="129" t="s">
        <v>45</v>
      </c>
      <c r="X16" s="131"/>
      <c r="Y16" s="131"/>
      <c r="Z16" s="131"/>
      <c r="AA16" s="130"/>
      <c r="AB16" s="129" t="s">
        <v>46</v>
      </c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0"/>
    </row>
    <row r="17" spans="1:59" ht="11.25" customHeight="1">
      <c r="A17" s="132">
        <v>1</v>
      </c>
      <c r="B17" s="133"/>
      <c r="C17" s="134"/>
      <c r="D17" s="135"/>
      <c r="E17" s="135"/>
      <c r="F17" s="135"/>
      <c r="G17" s="135"/>
      <c r="H17" s="135"/>
      <c r="I17" s="135"/>
      <c r="J17" s="135"/>
      <c r="K17" s="135"/>
      <c r="L17" s="136"/>
      <c r="M17" s="132"/>
      <c r="N17" s="141"/>
      <c r="O17" s="141"/>
      <c r="P17" s="141"/>
      <c r="Q17" s="133"/>
      <c r="R17" s="132"/>
      <c r="S17" s="141"/>
      <c r="T17" s="141"/>
      <c r="U17" s="141"/>
      <c r="V17" s="133"/>
      <c r="W17" s="132"/>
      <c r="X17" s="141"/>
      <c r="Y17" s="141"/>
      <c r="Z17" s="141"/>
      <c r="AA17" s="133"/>
      <c r="AB17" s="134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6"/>
    </row>
    <row r="18" spans="1:59" ht="11.25" customHeight="1">
      <c r="A18" s="132">
        <v>2</v>
      </c>
      <c r="B18" s="133"/>
      <c r="C18" s="134"/>
      <c r="D18" s="135"/>
      <c r="E18" s="135"/>
      <c r="F18" s="135"/>
      <c r="G18" s="135"/>
      <c r="H18" s="135"/>
      <c r="I18" s="135"/>
      <c r="J18" s="135"/>
      <c r="K18" s="135"/>
      <c r="L18" s="136"/>
      <c r="M18" s="132"/>
      <c r="N18" s="141"/>
      <c r="O18" s="141"/>
      <c r="P18" s="141"/>
      <c r="Q18" s="133"/>
      <c r="R18" s="132"/>
      <c r="S18" s="141"/>
      <c r="T18" s="141"/>
      <c r="U18" s="141"/>
      <c r="V18" s="133"/>
      <c r="W18" s="132"/>
      <c r="X18" s="141"/>
      <c r="Y18" s="141"/>
      <c r="Z18" s="141"/>
      <c r="AA18" s="133"/>
      <c r="AB18" s="134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6"/>
    </row>
    <row r="19" spans="1:59" ht="11.25" customHeight="1">
      <c r="A19" s="132">
        <v>3</v>
      </c>
      <c r="B19" s="133"/>
      <c r="C19" s="134"/>
      <c r="D19" s="135"/>
      <c r="E19" s="135"/>
      <c r="F19" s="135"/>
      <c r="G19" s="135"/>
      <c r="H19" s="135"/>
      <c r="I19" s="135"/>
      <c r="J19" s="135"/>
      <c r="K19" s="135"/>
      <c r="L19" s="136"/>
      <c r="M19" s="132"/>
      <c r="N19" s="141"/>
      <c r="O19" s="141"/>
      <c r="P19" s="141"/>
      <c r="Q19" s="133"/>
      <c r="R19" s="132"/>
      <c r="S19" s="141"/>
      <c r="T19" s="141"/>
      <c r="U19" s="141"/>
      <c r="V19" s="133"/>
      <c r="W19" s="132"/>
      <c r="X19" s="141"/>
      <c r="Y19" s="141"/>
      <c r="Z19" s="141"/>
      <c r="AA19" s="133"/>
      <c r="AB19" s="142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6"/>
    </row>
    <row r="20" spans="1:59" ht="11.25" customHeight="1">
      <c r="A20" s="126" t="s">
        <v>47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</row>
    <row r="21" spans="1:59" ht="11.25" customHeight="1">
      <c r="A21" s="129" t="s">
        <v>25</v>
      </c>
      <c r="B21" s="130"/>
      <c r="C21" s="129" t="s">
        <v>48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0"/>
      <c r="R21" s="129" t="s">
        <v>49</v>
      </c>
      <c r="S21" s="131"/>
      <c r="T21" s="131"/>
      <c r="U21" s="131"/>
      <c r="V21" s="131"/>
      <c r="W21" s="131"/>
      <c r="X21" s="131"/>
      <c r="Y21" s="131"/>
      <c r="Z21" s="131"/>
      <c r="AA21" s="130"/>
      <c r="AB21" s="129" t="s">
        <v>50</v>
      </c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0"/>
      <c r="BB21" s="129" t="s">
        <v>37</v>
      </c>
      <c r="BC21" s="131"/>
      <c r="BD21" s="131"/>
      <c r="BE21" s="131"/>
      <c r="BF21" s="131"/>
      <c r="BG21" s="130"/>
    </row>
    <row r="22" spans="1:59" ht="11.25" customHeight="1">
      <c r="A22" s="132">
        <v>1</v>
      </c>
      <c r="B22" s="133"/>
      <c r="C22" s="134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6"/>
      <c r="R22" s="132"/>
      <c r="S22" s="141"/>
      <c r="T22" s="141"/>
      <c r="U22" s="141"/>
      <c r="V22" s="141"/>
      <c r="W22" s="141"/>
      <c r="X22" s="141"/>
      <c r="Y22" s="141"/>
      <c r="Z22" s="141"/>
      <c r="AA22" s="133"/>
      <c r="AB22" s="134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6"/>
      <c r="BB22" s="134"/>
      <c r="BC22" s="135"/>
      <c r="BD22" s="135"/>
      <c r="BE22" s="135"/>
      <c r="BF22" s="135"/>
      <c r="BG22" s="136"/>
    </row>
    <row r="23" spans="1:59" ht="11.25" customHeight="1">
      <c r="A23" s="132">
        <v>2</v>
      </c>
      <c r="B23" s="133"/>
      <c r="C23" s="134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2"/>
      <c r="S23" s="141"/>
      <c r="T23" s="141"/>
      <c r="U23" s="141"/>
      <c r="V23" s="141"/>
      <c r="W23" s="141"/>
      <c r="X23" s="141"/>
      <c r="Y23" s="141"/>
      <c r="Z23" s="141"/>
      <c r="AA23" s="133"/>
      <c r="AB23" s="134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6"/>
      <c r="BB23" s="134"/>
      <c r="BC23" s="135"/>
      <c r="BD23" s="135"/>
      <c r="BE23" s="135"/>
      <c r="BF23" s="135"/>
      <c r="BG23" s="136"/>
    </row>
    <row r="24" spans="1:59" ht="11.25" customHeight="1">
      <c r="A24" s="132">
        <v>3</v>
      </c>
      <c r="B24" s="133"/>
      <c r="C24" s="134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  <c r="R24" s="132"/>
      <c r="S24" s="141"/>
      <c r="T24" s="141"/>
      <c r="U24" s="141"/>
      <c r="V24" s="141"/>
      <c r="W24" s="141"/>
      <c r="X24" s="141"/>
      <c r="Y24" s="141"/>
      <c r="Z24" s="141"/>
      <c r="AA24" s="133"/>
      <c r="AB24" s="134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6"/>
      <c r="BB24" s="134"/>
      <c r="BC24" s="135"/>
      <c r="BD24" s="135"/>
      <c r="BE24" s="135"/>
      <c r="BF24" s="135"/>
      <c r="BG24" s="136"/>
    </row>
    <row r="25" spans="1:59" ht="11.25" customHeight="1">
      <c r="A25" s="150" t="s">
        <v>51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2"/>
    </row>
    <row r="26" spans="1:59" ht="11.25" customHeight="1">
      <c r="A26" s="143" t="s">
        <v>52</v>
      </c>
      <c r="B26" s="153"/>
      <c r="C26" s="143" t="s">
        <v>53</v>
      </c>
      <c r="D26" s="144"/>
      <c r="E26" s="144"/>
      <c r="F26" s="144"/>
      <c r="G26" s="144"/>
      <c r="H26" s="144"/>
      <c r="I26" s="144"/>
      <c r="J26" s="144"/>
      <c r="K26" s="144"/>
      <c r="L26" s="153"/>
      <c r="M26" s="143" t="s">
        <v>54</v>
      </c>
      <c r="N26" s="144"/>
      <c r="O26" s="144"/>
      <c r="P26" s="144"/>
      <c r="Q26" s="144"/>
      <c r="R26" s="144"/>
      <c r="S26" s="144"/>
      <c r="T26" s="153"/>
      <c r="U26" s="143" t="s">
        <v>55</v>
      </c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53"/>
      <c r="AK26" s="143" t="s">
        <v>56</v>
      </c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</row>
    <row r="27" spans="1:59" ht="11.25" customHeight="1">
      <c r="A27" s="145">
        <v>1</v>
      </c>
      <c r="B27" s="146"/>
      <c r="C27" s="147"/>
      <c r="D27" s="148"/>
      <c r="E27" s="148"/>
      <c r="F27" s="148"/>
      <c r="G27" s="148"/>
      <c r="H27" s="148"/>
      <c r="I27" s="148"/>
      <c r="J27" s="148"/>
      <c r="K27" s="148"/>
      <c r="L27" s="149"/>
      <c r="M27" s="147"/>
      <c r="N27" s="148"/>
      <c r="O27" s="148"/>
      <c r="P27" s="148"/>
      <c r="Q27" s="148"/>
      <c r="R27" s="148"/>
      <c r="S27" s="148"/>
      <c r="T27" s="149"/>
      <c r="U27" s="147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9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45">
        <v>2</v>
      </c>
      <c r="B28" s="146"/>
      <c r="C28" s="147"/>
      <c r="D28" s="148"/>
      <c r="E28" s="148"/>
      <c r="F28" s="148"/>
      <c r="G28" s="148"/>
      <c r="H28" s="148"/>
      <c r="I28" s="148"/>
      <c r="J28" s="148"/>
      <c r="K28" s="148"/>
      <c r="L28" s="149"/>
      <c r="M28" s="147"/>
      <c r="N28" s="148"/>
      <c r="O28" s="148"/>
      <c r="P28" s="148"/>
      <c r="Q28" s="148"/>
      <c r="R28" s="148"/>
      <c r="S28" s="148"/>
      <c r="T28" s="149"/>
      <c r="U28" s="147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9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45">
        <v>3</v>
      </c>
      <c r="B29" s="146"/>
      <c r="C29" s="147"/>
      <c r="D29" s="148"/>
      <c r="E29" s="148"/>
      <c r="F29" s="148"/>
      <c r="G29" s="148"/>
      <c r="H29" s="148"/>
      <c r="I29" s="148"/>
      <c r="J29" s="148"/>
      <c r="K29" s="148"/>
      <c r="L29" s="149"/>
      <c r="M29" s="147"/>
      <c r="N29" s="148"/>
      <c r="O29" s="148"/>
      <c r="P29" s="148"/>
      <c r="Q29" s="148"/>
      <c r="R29" s="148"/>
      <c r="S29" s="148"/>
      <c r="T29" s="149"/>
      <c r="U29" s="147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9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F13"/>
  <sheetViews>
    <sheetView workbookViewId="0">
      <selection activeCell="F4" sqref="F4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  <col min="6" max="6" width="23.8984375" bestFit="1" customWidth="1"/>
  </cols>
  <sheetData>
    <row r="1" spans="1:6" ht="18.600000000000001" thickBot="1">
      <c r="A1" s="22" t="s">
        <v>60</v>
      </c>
      <c r="B1" s="22" t="s">
        <v>61</v>
      </c>
      <c r="C1" s="23" t="s">
        <v>62</v>
      </c>
      <c r="D1" s="24" t="s">
        <v>63</v>
      </c>
      <c r="E1" s="25" t="s">
        <v>64</v>
      </c>
      <c r="F1" s="24" t="s">
        <v>116</v>
      </c>
    </row>
    <row r="2" spans="1:6">
      <c r="A2" s="26" t="s">
        <v>65</v>
      </c>
      <c r="B2" s="26" t="s">
        <v>66</v>
      </c>
      <c r="C2" s="27" t="s">
        <v>67</v>
      </c>
      <c r="D2" s="27" t="s">
        <v>68</v>
      </c>
      <c r="E2" s="26" t="s">
        <v>69</v>
      </c>
      <c r="F2" s="27" t="s">
        <v>118</v>
      </c>
    </row>
    <row r="3" spans="1:6" ht="18.600000000000001" thickBot="1">
      <c r="A3" s="28" t="s">
        <v>70</v>
      </c>
      <c r="B3" s="26" t="s">
        <v>71</v>
      </c>
      <c r="C3" s="27" t="s">
        <v>72</v>
      </c>
      <c r="D3" s="29" t="s">
        <v>73</v>
      </c>
      <c r="E3" s="26" t="s">
        <v>74</v>
      </c>
      <c r="F3" s="29" t="s">
        <v>119</v>
      </c>
    </row>
    <row r="4" spans="1:6" ht="18.600000000000001" thickBot="1">
      <c r="B4" s="28" t="s">
        <v>75</v>
      </c>
      <c r="C4" s="27" t="s">
        <v>76</v>
      </c>
      <c r="E4" s="26" t="s">
        <v>77</v>
      </c>
    </row>
    <row r="5" spans="1:6">
      <c r="C5" s="26" t="s">
        <v>78</v>
      </c>
      <c r="E5" s="26" t="s">
        <v>79</v>
      </c>
    </row>
    <row r="6" spans="1:6">
      <c r="C6" s="26" t="s">
        <v>80</v>
      </c>
      <c r="E6" s="26" t="s">
        <v>81</v>
      </c>
    </row>
    <row r="7" spans="1:6">
      <c r="C7" s="26" t="s">
        <v>82</v>
      </c>
      <c r="E7" s="26" t="s">
        <v>83</v>
      </c>
    </row>
    <row r="8" spans="1:6">
      <c r="C8" s="26" t="s">
        <v>84</v>
      </c>
      <c r="E8" s="26" t="s">
        <v>85</v>
      </c>
    </row>
    <row r="9" spans="1:6">
      <c r="C9" s="26" t="s">
        <v>86</v>
      </c>
      <c r="E9" s="26" t="s">
        <v>87</v>
      </c>
    </row>
    <row r="10" spans="1:6">
      <c r="C10" s="26" t="s">
        <v>88</v>
      </c>
      <c r="E10" s="26" t="s">
        <v>89</v>
      </c>
    </row>
    <row r="11" spans="1:6" ht="18.600000000000001" thickBot="1">
      <c r="C11" s="26" t="s">
        <v>90</v>
      </c>
      <c r="E11" s="28" t="s">
        <v>91</v>
      </c>
    </row>
    <row r="12" spans="1:6">
      <c r="C12" s="26" t="s">
        <v>92</v>
      </c>
    </row>
    <row r="13" spans="1:6" ht="18.600000000000001" thickBot="1">
      <c r="C13" s="28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8F4686-341C-42F3-B222-F5411278E230}"/>
</file>

<file path=customXml/itemProps2.xml><?xml version="1.0" encoding="utf-8"?>
<ds:datastoreItem xmlns:ds="http://schemas.openxmlformats.org/officeDocument/2006/customXml" ds:itemID="{0CD90A09-F9C1-4822-8BFB-245A099C4C80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11a06735-eb40-4925-8cde-3ab8c03b2281"/>
    <ds:schemaRef ds:uri="337c9669-7545-402d-a50a-1c173d0fc4c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cp:lastPrinted>2022-03-28T03:24:05Z</cp:lastPrinted>
  <dcterms:created xsi:type="dcterms:W3CDTF">2015-06-05T18:19:34Z</dcterms:created>
  <dcterms:modified xsi:type="dcterms:W3CDTF">2024-12-13T00:34:13Z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