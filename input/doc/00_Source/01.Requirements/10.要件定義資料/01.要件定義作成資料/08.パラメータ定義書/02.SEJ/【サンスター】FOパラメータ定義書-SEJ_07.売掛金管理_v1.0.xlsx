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771" documentId="14_{D0C99C42-05A6-42DE-A143-BCD5CA963755}" xr6:coauthVersionLast="47" xr6:coauthVersionMax="47" xr10:uidLastSave="{550BABB9-14CC-4795-AD65-67E0F8176AB9}"/>
  <bookViews>
    <workbookView xWindow="28680" yWindow="-120" windowWidth="29040" windowHeight="15720" tabRatio="931" firstSheet="19" activeTab="27" xr2:uid="{00000000-000D-0000-FFFF-FFFF00000000}"/>
  </bookViews>
  <sheets>
    <sheet name="表紙" sheetId="394" r:id="rId1"/>
    <sheet name="パラメータ設定一覧" sheetId="4" r:id="rId2"/>
    <sheet name="売掛金勘定パラメーター" sheetId="376" r:id="rId3"/>
    <sheet name="集計更新パラメータ―-見積書" sheetId="377" r:id="rId4"/>
    <sheet name="集計更新パラメータ―-確認書" sheetId="378" r:id="rId5"/>
    <sheet name="集計更新パラメータ―-ピッキングリスト" sheetId="379" r:id="rId6"/>
    <sheet name="集計更新パラメータ―-梱包明細" sheetId="380" r:id="rId7"/>
    <sheet name="集計更新パラメータ―-請求書" sheetId="381" r:id="rId8"/>
    <sheet name="売掛金勘定パラメーター-在庫分析コード設定値" sheetId="382" r:id="rId9"/>
    <sheet name="売掛金勘定パラメーター- 番号順序" sheetId="383" r:id="rId10"/>
    <sheet name="支払条件" sheetId="389" r:id="rId11"/>
    <sheet name="支払条件-設定値" sheetId="390" r:id="rId12"/>
    <sheet name="支払期日" sheetId="43" r:id="rId13"/>
    <sheet name="支払期日-設定値" sheetId="46" r:id="rId14"/>
    <sheet name="顧客グループ" sheetId="40" r:id="rId15"/>
    <sheet name="顧客グループ-設定値" sheetId="41" r:id="rId16"/>
    <sheet name="顧客転記プロファイル" sheetId="38" r:id="rId17"/>
    <sheet name="顧客転記プロファイル-設定値" sheetId="39" r:id="rId18"/>
    <sheet name="顧客転記プロファイル_設定-設定値" sheetId="347" r:id="rId19"/>
    <sheet name="支払カレンダー" sheetId="304" r:id="rId20"/>
    <sheet name="支払カレンダー-設定値" sheetId="305" r:id="rId21"/>
    <sheet name="支払方法" sheetId="391" r:id="rId22"/>
    <sheet name="支払方法-設定値" sheetId="343" r:id="rId23"/>
    <sheet name="支払方法_ファイル形式-設定値" sheetId="396" r:id="rId24"/>
    <sheet name="支払方法_支払管理-設定値" sheetId="397" r:id="rId25"/>
    <sheet name="支払方法_支払属性-設定値" sheetId="398" r:id="rId26"/>
    <sheet name="売掛金勘定ワークフロー" sheetId="384" r:id="rId27"/>
    <sheet name="売掛金勘定ワークフロー-設定値" sheetId="385" r:id="rId28"/>
    <sheet name="支払カレンダーのコンフィグレーション" sheetId="392" r:id="rId29"/>
    <sheet name="支払カレンダーのコンフィギュレーション-設定値" sheetId="393" r:id="rId30"/>
  </sheets>
  <externalReferences>
    <externalReference r:id="rId31"/>
    <externalReference r:id="rId32"/>
  </externalReferences>
  <definedNames>
    <definedName name="_Fill" localSheetId="21" hidden="1">[1]テーブル仕様!#REF!</definedName>
    <definedName name="_Fill" hidden="1">[2]テーブル仕様!#REF!</definedName>
    <definedName name="_xlnm._FilterDatabase" localSheetId="11" hidden="1">'支払条件-設定値'!$A$6:$R$6</definedName>
    <definedName name="_xlnm._FilterDatabase" localSheetId="9" hidden="1">'売掛金勘定パラメーター- 番号順序'!#REF!</definedName>
    <definedName name="_Order1" hidden="1">255</definedName>
    <definedName name="_Order2" hidden="1">255</definedName>
    <definedName name="_Regression_X" localSheetId="21" hidden="1">#REF!</definedName>
    <definedName name="_Regression_X" hidden="1">#REF!</definedName>
    <definedName name="A" hidden="1">#REF!</definedName>
    <definedName name="adf" hidden="1">#REF!</definedName>
    <definedName name="AS2DocOpenMode" hidden="1">"AS2DocumentEdit"</definedName>
    <definedName name="AX" localSheetId="21" hidden="1">#REF!</definedName>
    <definedName name="AX" hidden="1">#REF!</definedName>
    <definedName name="AZ" localSheetId="21" hidden="1">#REF!</definedName>
    <definedName name="AZ" hidden="1">#REF!</definedName>
    <definedName name="bbb" localSheetId="21" hidden="1">[2]テーブル仕様!#REF!</definedName>
    <definedName name="bbb" hidden="1">[2]テーブル仕様!#REF!</definedName>
    <definedName name="ＧＷメッセージ一覧" localSheetId="21" hidden="1">#REF!</definedName>
    <definedName name="ＧＷメッセージ一覧" hidden="1">#REF!</definedName>
    <definedName name="H" localSheetId="21" hidden="1">{"'Sheet1'!$B$5:$H$34"}</definedName>
    <definedName name="H" hidden="1">{"'Sheet1'!$B$5:$H$34"}</definedName>
    <definedName name="HTML_CodePage" hidden="1">932</definedName>
    <definedName name="HTML_Control" localSheetId="21" hidden="1">{"'Sheet1'!$B$5:$H$34"}</definedName>
    <definedName name="HTML_Control" localSheetId="0" hidden="1">{"'分担ﾙｰﾙ'!$A$1:$M$72","'分担ﾙｰﾙ'!$A$19:$M$71"}</definedName>
    <definedName name="HTML_Control" hidden="1">{"'分担ﾙｰﾙ'!$A$1:$M$72","'分担ﾙｰﾙ'!$A$19:$M$71"}</definedName>
    <definedName name="HTML_Control_copy" localSheetId="21" hidden="1">{"'Sheet1'!$B$5:$H$34"}</definedName>
    <definedName name="HTML_Control_copy" hidden="1">{"'Sheet1'!$B$5:$H$34"}</definedName>
    <definedName name="HTML_Control_Copy2" localSheetId="21" hidden="1">{"'Sheet1'!$B$5:$H$34"}</definedName>
    <definedName name="HTML_Control_Copy2" hidden="1">{"'Sheet1'!$B$5:$H$34"}</definedName>
    <definedName name="HTML_Control1" localSheetId="21"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1" hidden="1">{"'Sheet1'!$B$5:$H$34"}</definedName>
    <definedName name="HTML_Control2" hidden="1">{"'Sheet1'!$B$5:$H$34"}</definedName>
    <definedName name="HTML_Description" hidden="1">""</definedName>
    <definedName name="HTML_Email" hidden="1">""</definedName>
    <definedName name="HTML_Header" localSheetId="21" hidden="1">"Sheet1"</definedName>
    <definedName name="HTML_Header" hidden="1">"開閉栓作業分担ﾙｰﾙ"</definedName>
    <definedName name="HTML_LastUpdate" localSheetId="21" hidden="1">"99/12/06"</definedName>
    <definedName name="HTML_LastUpdate" hidden="1">"00/01/05"</definedName>
    <definedName name="HTML_LineAfter" localSheetId="21" hidden="1">FALSE</definedName>
    <definedName name="HTML_LineAfter" hidden="1">TRUE</definedName>
    <definedName name="HTML_LineBefore" localSheetId="21" hidden="1">FALSE</definedName>
    <definedName name="HTML_LineBefore" hidden="1">TRUE</definedName>
    <definedName name="HTML_Name" localSheetId="21" hidden="1">"システム開発部"</definedName>
    <definedName name="HTML_Name" hidden="1">"東京ガス株式会社"</definedName>
    <definedName name="HTML_OBDlg2" hidden="1">TRUE</definedName>
    <definedName name="HTML_OBDlg4" hidden="1">TRUE</definedName>
    <definedName name="HTML_OS" hidden="1">0</definedName>
    <definedName name="HTML_PathFile" localSheetId="21" hidden="1">"C:\表.htm"</definedName>
    <definedName name="HTML_PathFile" hidden="1">"H:\F305\ｲﾝﾄﾗ\okyakusa\Content\thanksqanda\manual\khrule.htm"</definedName>
    <definedName name="HTML_Title" localSheetId="21" hidden="1">"回収実績"</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1" hidden="1">#REF!</definedName>
    <definedName name="ｋ" hidden="1">#REF!</definedName>
    <definedName name="ｐ" localSheetId="21" hidden="1">#REF!</definedName>
    <definedName name="ｐ" hidden="1">#REF!</definedName>
    <definedName name="_xlnm.Print_Area" localSheetId="1">パラメータ設定一覧!$A$1:$J$12</definedName>
    <definedName name="_xlnm.Print_Area" localSheetId="29">'支払カレンダーのコンフィギュレーション-設定値'!$A$1:$V$17</definedName>
    <definedName name="s" localSheetId="21" hidden="1">{"'Sheet1'!$B$5:$H$34"}</definedName>
    <definedName name="s" hidden="1">{"'Sheet1'!$B$5:$H$34"}</definedName>
    <definedName name="t" localSheetId="21" hidden="1">{"'Sheet1'!$B$5:$H$34"}</definedName>
    <definedName name="t" hidden="1">{"'Sheet1'!$B$5:$H$34"}</definedName>
    <definedName name="TEST" localSheetId="21" hidden="1">{"'Sheet1'!$B$5:$H$34"}</definedName>
    <definedName name="TEST" hidden="1">{"'Sheet1'!$B$5:$H$34"}</definedName>
    <definedName name="VV" localSheetId="21" hidden="1">#REF!</definedName>
    <definedName name="VV" hidden="1">#REF!</definedName>
    <definedName name="ｗ" localSheetId="21" hidden="1">{"'Sheet1'!$B$5:$H$34"}</definedName>
    <definedName name="ｗ" hidden="1">{"'Sheet1'!$B$5:$H$34"}</definedName>
    <definedName name="work" localSheetId="21" hidden="1">#REF!</definedName>
    <definedName name="work" hidden="1">#REF!</definedName>
    <definedName name="Z_5FB70CD0_6C58_413B_B7A8_B2222A9FFAB3_.wvu.FilterData" localSheetId="21" hidden="1">#REF!</definedName>
    <definedName name="Z_5FB70CD0_6C58_413B_B7A8_B2222A9FFAB3_.wvu.FilterData" hidden="1">#REF!</definedName>
    <definedName name="Z_85CF1BE9_3199_4F5A_9707_53025D8196D4_.wvu.FilterData" localSheetId="21" hidden="1">#REF!</definedName>
    <definedName name="Z_85CF1BE9_3199_4F5A_9707_53025D8196D4_.wvu.FilterData" hidden="1">#REF!</definedName>
    <definedName name="Z_A42E5BFB_D110_4A4D_A35F_734243F40A17_.wvu.FilterData" localSheetId="21" hidden="1">#REF!</definedName>
    <definedName name="Z_A42E5BFB_D110_4A4D_A35F_734243F40A17_.wvu.FilterData" hidden="1">#REF!</definedName>
    <definedName name="Z_CF1E67FB_0D25_4F96_A0AC_373637B05BD1_.wvu.FilterData" localSheetId="21" hidden="1">#REF!</definedName>
    <definedName name="Z_CF1E67FB_0D25_4F96_A0AC_373637B05BD1_.wvu.FilterData" hidden="1">#REF!</definedName>
    <definedName name="Z_CF1E67FB_0D25_4F96_A0AC_373637B05BD1_.wvu.PrintArea" localSheetId="21" hidden="1">#REF!</definedName>
    <definedName name="Z_CF1E67FB_0D25_4F96_A0AC_373637B05BD1_.wvu.PrintArea" hidden="1">#REF!</definedName>
    <definedName name="あ" localSheetId="21" hidden="1">#REF!</definedName>
    <definedName name="あ" hidden="1">#REF!</definedName>
    <definedName name="あああ" localSheetId="21" hidden="1">#REF!</definedName>
    <definedName name="あああ" localSheetId="0" hidden="1">[2]テーブル仕様!#REF!</definedName>
    <definedName name="あああ" hidden="1">[2]テーブル仕様!#REF!</definedName>
    <definedName name="い" localSheetId="21" hidden="1">#REF!</definedName>
    <definedName name="い" hidden="1">#REF!</definedName>
    <definedName name="う" localSheetId="21" hidden="1">#REF!</definedName>
    <definedName name="う" hidden="1">#REF!</definedName>
    <definedName name="ええ" localSheetId="21" hidden="1">{"'Sheet1'!$B$5:$H$34"}</definedName>
    <definedName name="ええ" hidden="1">{"'Sheet1'!$B$5:$H$34"}</definedName>
    <definedName name="えええ" localSheetId="21" hidden="1">{"'9.項目'!$B$5:$AW$60"}</definedName>
    <definedName name="えええ" localSheetId="0" hidden="1">{"'9.項目'!$B$5:$AW$60"}</definedName>
    <definedName name="えええ" hidden="1">{"'9.項目'!$B$5:$AW$60"}</definedName>
    <definedName name="お" localSheetId="21" hidden="1">{"'Sheet1'!$B$5:$H$34"}</definedName>
    <definedName name="お" hidden="1">{"'Sheet1'!$B$5:$H$34"}</definedName>
    <definedName name="サンプル" localSheetId="21" hidden="1">#REF!</definedName>
    <definedName name="サンプル" hidden="1">#REF!</definedName>
    <definedName name="タスクドキュメント１" localSheetId="21" hidden="1">#REF!</definedName>
    <definedName name="タスクドキュメント１" hidden="1">#REF!</definedName>
    <definedName name="安藤" localSheetId="21" hidden="1">#REF!</definedName>
    <definedName name="安藤" hidden="1">#REF!</definedName>
    <definedName name="関連" localSheetId="21" hidden="1">#REF!</definedName>
    <definedName name="関連" hidden="1">#REF!</definedName>
    <definedName name="関連表" localSheetId="21" hidden="1">#REF!</definedName>
    <definedName name="関連表" hidden="1">#REF!</definedName>
    <definedName name="仕様書" localSheetId="21" hidden="1">#REF!</definedName>
    <definedName name="仕様書" hidden="1">#REF!</definedName>
    <definedName name="束原" localSheetId="21" hidden="1">#REF!</definedName>
    <definedName name="束原" hidden="1">#REF!</definedName>
    <definedName name="導入時期う" localSheetId="21"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39" l="1"/>
  <c r="B33" i="383"/>
  <c r="B32" i="383"/>
  <c r="B31" i="383"/>
  <c r="B30" i="383"/>
  <c r="B29" i="383"/>
  <c r="B28" i="383"/>
  <c r="B27" i="383"/>
  <c r="B26" i="383"/>
  <c r="B25" i="383"/>
  <c r="B24" i="383"/>
  <c r="B23" i="383"/>
  <c r="B22" i="383"/>
  <c r="B71" i="376"/>
  <c r="B70" i="376"/>
  <c r="B36" i="376"/>
  <c r="B35" i="376"/>
  <c r="B12" i="376"/>
  <c r="B9" i="39"/>
  <c r="B8" i="39"/>
  <c r="B35" i="46"/>
  <c r="B36" i="46"/>
  <c r="B37" i="46"/>
  <c r="B12" i="46"/>
  <c r="B13" i="46"/>
  <c r="B14" i="46"/>
  <c r="B15" i="46"/>
  <c r="B16" i="46"/>
  <c r="B17" i="46"/>
  <c r="B18" i="46"/>
  <c r="B19" i="46"/>
  <c r="B20" i="46"/>
  <c r="B21" i="46"/>
  <c r="B22" i="46"/>
  <c r="B23" i="46"/>
  <c r="B24" i="46"/>
  <c r="B25" i="46"/>
  <c r="B26" i="46"/>
  <c r="B27" i="46"/>
  <c r="B28" i="46"/>
  <c r="B29" i="46"/>
  <c r="B30" i="46"/>
  <c r="B31" i="46"/>
  <c r="B32" i="46"/>
  <c r="B33" i="46"/>
  <c r="B34" i="46"/>
  <c r="B270" i="376" l="1"/>
  <c r="B268" i="376"/>
  <c r="B267" i="376"/>
  <c r="B222" i="376"/>
  <c r="B108" i="376"/>
  <c r="B109" i="376"/>
  <c r="B41" i="376"/>
  <c r="B15" i="376"/>
  <c r="B10" i="393"/>
  <c r="B9" i="393"/>
  <c r="B16" i="393"/>
  <c r="B15" i="393"/>
  <c r="B14" i="393"/>
  <c r="B13" i="393"/>
  <c r="B12" i="393"/>
  <c r="B11" i="393"/>
  <c r="B8" i="393"/>
  <c r="B7" i="393"/>
  <c r="B15" i="385"/>
  <c r="B14" i="385"/>
  <c r="B13" i="385"/>
  <c r="B12" i="385"/>
  <c r="B11" i="385"/>
  <c r="B10" i="385"/>
  <c r="B9" i="385"/>
  <c r="B8" i="385"/>
  <c r="B7" i="385"/>
  <c r="B7" i="396"/>
  <c r="B17" i="396" s="1"/>
  <c r="B27" i="396" s="1"/>
  <c r="B37" i="396" s="1"/>
  <c r="B47" i="396" s="1"/>
  <c r="B57" i="396" s="1"/>
  <c r="B67" i="396" s="1"/>
  <c r="B77" i="396" s="1"/>
  <c r="B11" i="305"/>
  <c r="B10" i="305"/>
  <c r="B9" i="305"/>
  <c r="B8" i="305"/>
  <c r="B7" i="305"/>
  <c r="B7" i="39"/>
  <c r="B8" i="41"/>
  <c r="B7" i="41"/>
  <c r="B8" i="46"/>
  <c r="B9" i="46"/>
  <c r="B10" i="46"/>
  <c r="B11" i="46"/>
  <c r="B7" i="46"/>
  <c r="B56" i="390"/>
  <c r="B55" i="390"/>
  <c r="B54" i="390"/>
  <c r="B53" i="390"/>
  <c r="B52" i="390"/>
  <c r="B51" i="390"/>
  <c r="B50" i="390"/>
  <c r="B49" i="390"/>
  <c r="B48" i="390"/>
  <c r="B47" i="390"/>
  <c r="B46" i="390"/>
  <c r="B45" i="390"/>
  <c r="B44" i="390"/>
  <c r="B43" i="390"/>
  <c r="B42" i="390"/>
  <c r="B41" i="390"/>
  <c r="B40" i="390"/>
  <c r="B39" i="390"/>
  <c r="B38" i="390"/>
  <c r="B37" i="390"/>
  <c r="B36" i="390"/>
  <c r="B35" i="390"/>
  <c r="B34" i="390"/>
  <c r="B33" i="390"/>
  <c r="B32" i="390"/>
  <c r="B31" i="390"/>
  <c r="B30" i="390"/>
  <c r="B29" i="390"/>
  <c r="B28" i="390"/>
  <c r="B27" i="390"/>
  <c r="B26" i="390"/>
  <c r="B25" i="390"/>
  <c r="B24" i="390"/>
  <c r="B23" i="390"/>
  <c r="B22" i="390"/>
  <c r="B21" i="390"/>
  <c r="B20" i="390"/>
  <c r="B19" i="390"/>
  <c r="B18" i="390"/>
  <c r="B17" i="390"/>
  <c r="B16" i="390"/>
  <c r="B15" i="390"/>
  <c r="B14" i="390"/>
  <c r="B13" i="390"/>
  <c r="B12" i="390"/>
  <c r="B11" i="390"/>
  <c r="B10" i="390"/>
  <c r="B9" i="390"/>
  <c r="B8" i="390"/>
  <c r="B7" i="390"/>
  <c r="B20" i="382"/>
  <c r="B19" i="382"/>
  <c r="B18" i="382"/>
  <c r="B17" i="382"/>
  <c r="B16" i="382"/>
  <c r="B15" i="382"/>
  <c r="B14" i="382"/>
  <c r="B13" i="382"/>
  <c r="B12" i="382"/>
  <c r="B11" i="382"/>
  <c r="B10" i="382"/>
  <c r="B9" i="382"/>
  <c r="B8" i="382"/>
  <c r="B7" i="382"/>
  <c r="B39" i="381"/>
  <c r="B38" i="381"/>
  <c r="B37" i="381"/>
  <c r="B36" i="381"/>
  <c r="B35" i="381"/>
  <c r="B34" i="381"/>
  <c r="B33" i="381"/>
  <c r="B32" i="381"/>
  <c r="B31" i="381"/>
  <c r="B30" i="381"/>
  <c r="B29" i="381"/>
  <c r="B28" i="381"/>
  <c r="B27" i="381"/>
  <c r="B26" i="381"/>
  <c r="B25" i="381"/>
  <c r="B24" i="381"/>
  <c r="B23" i="381"/>
  <c r="B22" i="381"/>
  <c r="B21" i="381"/>
  <c r="B20" i="381"/>
  <c r="B19" i="381"/>
  <c r="B18" i="381"/>
  <c r="B17" i="381"/>
  <c r="B16" i="381"/>
  <c r="B15" i="381"/>
  <c r="B14" i="381"/>
  <c r="B13" i="381"/>
  <c r="B12" i="381"/>
  <c r="B11" i="381"/>
  <c r="B10" i="381"/>
  <c r="B9" i="381"/>
  <c r="B8" i="381"/>
  <c r="B7" i="381"/>
  <c r="B39" i="380"/>
  <c r="B38" i="380"/>
  <c r="B37" i="380"/>
  <c r="B36" i="380"/>
  <c r="B35" i="380"/>
  <c r="B34" i="380"/>
  <c r="B33" i="380"/>
  <c r="B32" i="380"/>
  <c r="B31" i="380"/>
  <c r="B30" i="380"/>
  <c r="B29" i="380"/>
  <c r="B28" i="380"/>
  <c r="B27" i="380"/>
  <c r="B26" i="380"/>
  <c r="B25" i="380"/>
  <c r="B24" i="380"/>
  <c r="B23" i="380"/>
  <c r="B22" i="380"/>
  <c r="B21" i="380"/>
  <c r="B20" i="380"/>
  <c r="B19" i="380"/>
  <c r="B18" i="380"/>
  <c r="B17" i="380"/>
  <c r="B16" i="380"/>
  <c r="B15" i="380"/>
  <c r="B14" i="380"/>
  <c r="B13" i="380"/>
  <c r="B12" i="380"/>
  <c r="B11" i="380"/>
  <c r="B10" i="380"/>
  <c r="B9" i="380"/>
  <c r="B8" i="380"/>
  <c r="B7" i="380"/>
  <c r="B39" i="379"/>
  <c r="B38" i="379"/>
  <c r="B37" i="379"/>
  <c r="B36" i="379"/>
  <c r="B35" i="379"/>
  <c r="B34" i="379"/>
  <c r="B33" i="379"/>
  <c r="B32" i="379"/>
  <c r="B31" i="379"/>
  <c r="B30" i="379"/>
  <c r="B29" i="379"/>
  <c r="B28" i="379"/>
  <c r="B27" i="379"/>
  <c r="B26" i="379"/>
  <c r="B25" i="379"/>
  <c r="B24" i="379"/>
  <c r="B23" i="379"/>
  <c r="B22" i="379"/>
  <c r="B21" i="379"/>
  <c r="B20" i="379"/>
  <c r="B19" i="379"/>
  <c r="B18" i="379"/>
  <c r="B17" i="379"/>
  <c r="B16" i="379"/>
  <c r="B15" i="379"/>
  <c r="B14" i="379"/>
  <c r="B13" i="379"/>
  <c r="B12" i="379"/>
  <c r="B11" i="379"/>
  <c r="B10" i="379"/>
  <c r="B9" i="379"/>
  <c r="B8" i="379"/>
  <c r="B7" i="379"/>
  <c r="B39" i="378"/>
  <c r="B38" i="378"/>
  <c r="B37" i="378"/>
  <c r="B36" i="378"/>
  <c r="B35" i="378"/>
  <c r="B34" i="378"/>
  <c r="B33" i="378"/>
  <c r="B32" i="378"/>
  <c r="B31" i="378"/>
  <c r="B30" i="378"/>
  <c r="B29" i="378"/>
  <c r="B28" i="378"/>
  <c r="B27" i="378"/>
  <c r="B26" i="378"/>
  <c r="B25" i="378"/>
  <c r="B24" i="378"/>
  <c r="B23" i="378"/>
  <c r="B22" i="378"/>
  <c r="B21" i="378"/>
  <c r="B20" i="378"/>
  <c r="B19" i="378"/>
  <c r="B18" i="378"/>
  <c r="B17" i="378"/>
  <c r="B16" i="378"/>
  <c r="B15" i="378"/>
  <c r="B14" i="378"/>
  <c r="B13" i="378"/>
  <c r="B12" i="378"/>
  <c r="B11" i="378"/>
  <c r="B10" i="378"/>
  <c r="B9" i="378"/>
  <c r="B8" i="378"/>
  <c r="B7" i="378"/>
  <c r="B39" i="377"/>
  <c r="B38" i="377"/>
  <c r="B37" i="377"/>
  <c r="B36" i="377"/>
  <c r="B35" i="377"/>
  <c r="B34" i="377"/>
  <c r="B33" i="377"/>
  <c r="B32" i="377"/>
  <c r="B31" i="377"/>
  <c r="B30" i="377"/>
  <c r="B29" i="377"/>
  <c r="B28" i="377"/>
  <c r="B27" i="377"/>
  <c r="B26" i="377"/>
  <c r="B25" i="377"/>
  <c r="B24" i="377"/>
  <c r="B23" i="377"/>
  <c r="B22" i="377"/>
  <c r="B21" i="377"/>
  <c r="B20" i="377"/>
  <c r="B19" i="377"/>
  <c r="B18" i="377"/>
  <c r="B17" i="377"/>
  <c r="B16" i="377"/>
  <c r="B15" i="377"/>
  <c r="B14" i="377"/>
  <c r="B13" i="377"/>
  <c r="B12" i="377"/>
  <c r="B11" i="377"/>
  <c r="B10" i="377"/>
  <c r="B9" i="377"/>
  <c r="B8" i="377"/>
  <c r="B7" i="377"/>
  <c r="B25" i="397"/>
  <c r="B26" i="397" s="1"/>
  <c r="B27" i="397" s="1"/>
  <c r="B9" i="398"/>
  <c r="B10" i="398"/>
  <c r="B11" i="398"/>
  <c r="B12" i="398"/>
  <c r="B13" i="398"/>
  <c r="B14" i="398"/>
  <c r="B15" i="398"/>
  <c r="B16" i="398"/>
  <c r="B17" i="398"/>
  <c r="B18" i="398"/>
  <c r="B19" i="398"/>
  <c r="B20" i="398"/>
  <c r="B21" i="398"/>
  <c r="B22" i="398"/>
  <c r="B23" i="398"/>
  <c r="B24" i="398"/>
  <c r="B25" i="398"/>
  <c r="B26" i="398"/>
  <c r="B27" i="398"/>
  <c r="B10" i="397"/>
  <c r="B11" i="397" s="1"/>
  <c r="B12" i="397" s="1"/>
  <c r="B13" i="397" s="1"/>
  <c r="B14" i="397" s="1"/>
  <c r="B15" i="397" s="1"/>
  <c r="B16" i="397" s="1"/>
  <c r="B17" i="397" s="1"/>
  <c r="B18" i="397" s="1"/>
  <c r="B19" i="397" s="1"/>
  <c r="B20" i="397" s="1"/>
  <c r="B21" i="397" s="1"/>
  <c r="B22" i="397" s="1"/>
  <c r="B23" i="397" s="1"/>
  <c r="B24" i="397" s="1"/>
  <c r="B8" i="398" l="1"/>
  <c r="B8" i="397"/>
  <c r="B9" i="397" s="1"/>
  <c r="B87" i="396"/>
  <c r="B97" i="396" s="1"/>
  <c r="B107" i="396" s="1"/>
  <c r="B117" i="396" s="1"/>
  <c r="B127" i="396" s="1"/>
  <c r="B137" i="396" s="1"/>
  <c r="B147" i="396" s="1"/>
  <c r="B157" i="396" s="1"/>
  <c r="B167" i="396" s="1"/>
  <c r="B177" i="396" s="1"/>
  <c r="B187" i="396" s="1"/>
  <c r="B197" i="396" s="1"/>
  <c r="B207" i="396" s="1"/>
  <c r="B217" i="396" s="1"/>
  <c r="B227" i="396" s="1"/>
  <c r="B237" i="396" s="1"/>
  <c r="B247" i="396" s="1"/>
  <c r="B257" i="396" s="1"/>
  <c r="B267" i="396" s="1"/>
  <c r="B15" i="392" l="1"/>
  <c r="B13" i="4" l="1"/>
  <c r="B24" i="392"/>
  <c r="B23" i="392"/>
  <c r="B22" i="392"/>
  <c r="B21" i="392"/>
  <c r="B20" i="392"/>
  <c r="B19" i="392"/>
  <c r="B18" i="392"/>
  <c r="B17" i="392"/>
  <c r="B16" i="392"/>
  <c r="B14" i="392"/>
  <c r="B13" i="392"/>
  <c r="B12" i="392"/>
  <c r="B11" i="392"/>
  <c r="B10" i="392"/>
  <c r="B9" i="392"/>
  <c r="B8" i="392"/>
  <c r="B7" i="392"/>
  <c r="B6" i="392"/>
  <c r="B20" i="38" l="1"/>
  <c r="B19" i="38"/>
  <c r="B18" i="38"/>
  <c r="B17" i="38"/>
  <c r="B16" i="38"/>
  <c r="B15" i="38"/>
  <c r="B14" i="38"/>
  <c r="B13" i="38"/>
  <c r="B12" i="38"/>
  <c r="B11" i="38"/>
  <c r="B10" i="38"/>
  <c r="B9" i="38"/>
  <c r="B8" i="38"/>
  <c r="B7" i="38"/>
  <c r="B6" i="38"/>
  <c r="B13" i="40"/>
  <c r="B12" i="40"/>
  <c r="B11" i="40"/>
  <c r="B10" i="40"/>
  <c r="B9" i="40"/>
  <c r="B8" i="40"/>
  <c r="B7" i="40"/>
  <c r="B6" i="40"/>
  <c r="B50" i="391"/>
  <c r="B49" i="391"/>
  <c r="B48" i="391"/>
  <c r="B47" i="391"/>
  <c r="B46" i="391"/>
  <c r="B45" i="391"/>
  <c r="B44" i="391"/>
  <c r="B43" i="391"/>
  <c r="B42" i="391"/>
  <c r="B41" i="391"/>
  <c r="B40" i="391"/>
  <c r="B39" i="391"/>
  <c r="B38" i="391"/>
  <c r="B37" i="391"/>
  <c r="B35" i="391"/>
  <c r="B34" i="391"/>
  <c r="B33" i="391"/>
  <c r="B32" i="391"/>
  <c r="B31" i="391"/>
  <c r="B30" i="391"/>
  <c r="B29" i="391"/>
  <c r="B28" i="391"/>
  <c r="B27" i="391"/>
  <c r="B26" i="391"/>
  <c r="B25" i="391"/>
  <c r="B24" i="391"/>
  <c r="B23" i="391"/>
  <c r="B22" i="391"/>
  <c r="B21" i="391"/>
  <c r="B20" i="391"/>
  <c r="B19" i="391"/>
  <c r="B18" i="391"/>
  <c r="B17" i="391"/>
  <c r="B16" i="391"/>
  <c r="B15" i="391"/>
  <c r="B14" i="391"/>
  <c r="B13" i="391"/>
  <c r="B12" i="391"/>
  <c r="B11" i="391"/>
  <c r="B10" i="391"/>
  <c r="B9" i="391"/>
  <c r="B8" i="391"/>
  <c r="B7" i="391"/>
  <c r="B6" i="391"/>
  <c r="B40" i="376" l="1"/>
  <c r="B21" i="389"/>
  <c r="B20" i="389"/>
  <c r="B19" i="389"/>
  <c r="B18" i="389"/>
  <c r="B17" i="389"/>
  <c r="B16" i="389"/>
  <c r="B15" i="389"/>
  <c r="B14" i="389"/>
  <c r="B13" i="389"/>
  <c r="B12" i="389"/>
  <c r="B11" i="389"/>
  <c r="B10" i="389"/>
  <c r="B9" i="389"/>
  <c r="B8" i="389"/>
  <c r="B7" i="389"/>
  <c r="B6" i="389"/>
  <c r="B13" i="384"/>
  <c r="B12" i="384"/>
  <c r="B11" i="384"/>
  <c r="B10" i="384"/>
  <c r="B9" i="384"/>
  <c r="B8" i="384"/>
  <c r="B7" i="384"/>
  <c r="B6" i="384"/>
  <c r="B12" i="4"/>
  <c r="B45" i="383" l="1"/>
  <c r="B44" i="383"/>
  <c r="B43" i="383"/>
  <c r="B42" i="383"/>
  <c r="B41" i="383"/>
  <c r="B40" i="383"/>
  <c r="B39" i="383"/>
  <c r="B38" i="383"/>
  <c r="B37" i="383"/>
  <c r="B36" i="383"/>
  <c r="B35" i="383"/>
  <c r="B34" i="383"/>
  <c r="B21" i="383"/>
  <c r="B20" i="383"/>
  <c r="B19" i="383"/>
  <c r="B18" i="383"/>
  <c r="B17" i="383"/>
  <c r="B16" i="383"/>
  <c r="B15" i="383"/>
  <c r="B14" i="383"/>
  <c r="B13" i="383"/>
  <c r="B12" i="383"/>
  <c r="B11" i="383"/>
  <c r="B10" i="383"/>
  <c r="B9" i="383"/>
  <c r="B8" i="383"/>
  <c r="B7" i="383"/>
  <c r="B6" i="383"/>
  <c r="B323" i="376"/>
  <c r="B322" i="376"/>
  <c r="B321" i="376"/>
  <c r="B320" i="376"/>
  <c r="B319" i="376"/>
  <c r="B318" i="376"/>
  <c r="B317" i="376"/>
  <c r="B316" i="376"/>
  <c r="B315" i="376"/>
  <c r="B314" i="376"/>
  <c r="B313" i="376"/>
  <c r="B312" i="376"/>
  <c r="B311" i="376"/>
  <c r="B310" i="376"/>
  <c r="B309" i="376"/>
  <c r="B308" i="376"/>
  <c r="B307" i="376"/>
  <c r="B306" i="376"/>
  <c r="B305" i="376"/>
  <c r="B304" i="376"/>
  <c r="B303" i="376"/>
  <c r="B302" i="376"/>
  <c r="B301" i="376"/>
  <c r="B300" i="376"/>
  <c r="B299" i="376"/>
  <c r="B298" i="376"/>
  <c r="B297" i="376"/>
  <c r="B296" i="376"/>
  <c r="B295" i="376"/>
  <c r="B294" i="376"/>
  <c r="B293" i="376"/>
  <c r="B292" i="376"/>
  <c r="B291" i="376"/>
  <c r="B290" i="376"/>
  <c r="B289" i="376"/>
  <c r="B288" i="376"/>
  <c r="B287" i="376"/>
  <c r="B286" i="376"/>
  <c r="B285" i="376"/>
  <c r="B284" i="376"/>
  <c r="B283" i="376"/>
  <c r="B282" i="376"/>
  <c r="B281" i="376"/>
  <c r="B280" i="376"/>
  <c r="B279" i="376"/>
  <c r="B278" i="376"/>
  <c r="B277" i="376"/>
  <c r="B276" i="376"/>
  <c r="B275" i="376"/>
  <c r="B274" i="376"/>
  <c r="B273" i="376"/>
  <c r="B272" i="376"/>
  <c r="B271" i="376"/>
  <c r="B269" i="376"/>
  <c r="B266" i="376"/>
  <c r="B265" i="376"/>
  <c r="B264" i="376"/>
  <c r="B263" i="376"/>
  <c r="B262" i="376"/>
  <c r="B261" i="376"/>
  <c r="B260" i="376"/>
  <c r="B259" i="376"/>
  <c r="B258" i="376"/>
  <c r="B257" i="376"/>
  <c r="B256" i="376"/>
  <c r="B255" i="376"/>
  <c r="B254" i="376"/>
  <c r="B253" i="376"/>
  <c r="B252" i="376"/>
  <c r="B251" i="376"/>
  <c r="B250" i="376"/>
  <c r="B249" i="376"/>
  <c r="B248" i="376"/>
  <c r="B247" i="376"/>
  <c r="B246" i="376"/>
  <c r="B245" i="376"/>
  <c r="B244" i="376"/>
  <c r="B243" i="376"/>
  <c r="B242" i="376"/>
  <c r="B241" i="376"/>
  <c r="B240" i="376"/>
  <c r="B239" i="376"/>
  <c r="B238" i="376"/>
  <c r="B237" i="376"/>
  <c r="B236" i="376"/>
  <c r="B235" i="376"/>
  <c r="B234" i="376"/>
  <c r="B233" i="376"/>
  <c r="B232" i="376"/>
  <c r="B231" i="376"/>
  <c r="B230" i="376"/>
  <c r="B229" i="376"/>
  <c r="B228" i="376"/>
  <c r="B227" i="376"/>
  <c r="B226" i="376"/>
  <c r="B225" i="376"/>
  <c r="B224" i="376"/>
  <c r="B223" i="376"/>
  <c r="B221" i="376"/>
  <c r="B220" i="376"/>
  <c r="B219" i="376"/>
  <c r="B218" i="376"/>
  <c r="B217" i="376"/>
  <c r="B216" i="376"/>
  <c r="B215" i="376"/>
  <c r="B214" i="376"/>
  <c r="B213" i="376"/>
  <c r="B212" i="376"/>
  <c r="B211" i="376"/>
  <c r="B210" i="376"/>
  <c r="B209" i="376"/>
  <c r="B208" i="376"/>
  <c r="B207" i="376"/>
  <c r="B206" i="376"/>
  <c r="B205" i="376"/>
  <c r="B204" i="376"/>
  <c r="B203" i="376"/>
  <c r="B202" i="376"/>
  <c r="B201" i="376"/>
  <c r="B200" i="376"/>
  <c r="B199" i="376"/>
  <c r="B198" i="376"/>
  <c r="B197" i="376"/>
  <c r="B196" i="376"/>
  <c r="B195" i="376"/>
  <c r="B194" i="376"/>
  <c r="B193" i="376"/>
  <c r="B192" i="376"/>
  <c r="B191" i="376"/>
  <c r="B190" i="376"/>
  <c r="B189" i="376"/>
  <c r="B188" i="376"/>
  <c r="B187" i="376"/>
  <c r="B186" i="376"/>
  <c r="B185" i="376"/>
  <c r="B184" i="376"/>
  <c r="B183" i="376"/>
  <c r="B182" i="376"/>
  <c r="B181" i="376"/>
  <c r="B180" i="376"/>
  <c r="B179" i="376"/>
  <c r="B178" i="376"/>
  <c r="B177" i="376"/>
  <c r="B176" i="376"/>
  <c r="B175" i="376"/>
  <c r="B174" i="376"/>
  <c r="B173" i="376"/>
  <c r="B172" i="376"/>
  <c r="B171" i="376"/>
  <c r="B170" i="376"/>
  <c r="B169" i="376"/>
  <c r="B168" i="376"/>
  <c r="B167" i="376"/>
  <c r="B166" i="376"/>
  <c r="B165" i="376"/>
  <c r="B164" i="376"/>
  <c r="B163" i="376"/>
  <c r="B162" i="376"/>
  <c r="B161" i="376"/>
  <c r="B160" i="376"/>
  <c r="B159" i="376"/>
  <c r="B158" i="376"/>
  <c r="B157" i="376"/>
  <c r="B156" i="376"/>
  <c r="B155" i="376"/>
  <c r="B154" i="376"/>
  <c r="B153" i="376"/>
  <c r="B152" i="376"/>
  <c r="B151" i="376"/>
  <c r="B150" i="376"/>
  <c r="B149" i="376"/>
  <c r="B148" i="376"/>
  <c r="B147" i="376"/>
  <c r="B146" i="376"/>
  <c r="B145" i="376"/>
  <c r="B144" i="376"/>
  <c r="B143" i="376"/>
  <c r="B142" i="376"/>
  <c r="B141" i="376"/>
  <c r="B140" i="376"/>
  <c r="B139" i="376"/>
  <c r="B138" i="376"/>
  <c r="B137" i="376"/>
  <c r="B136" i="376"/>
  <c r="B135" i="376"/>
  <c r="B134" i="376"/>
  <c r="B133" i="376"/>
  <c r="B132" i="376"/>
  <c r="B131" i="376"/>
  <c r="B130" i="376"/>
  <c r="B129" i="376"/>
  <c r="B128" i="376"/>
  <c r="B127" i="376"/>
  <c r="B126" i="376"/>
  <c r="B125" i="376"/>
  <c r="B124" i="376"/>
  <c r="B123" i="376"/>
  <c r="B122" i="376"/>
  <c r="B121" i="376"/>
  <c r="B120" i="376"/>
  <c r="B119" i="376"/>
  <c r="B118" i="376"/>
  <c r="B117" i="376"/>
  <c r="B116" i="376"/>
  <c r="B115" i="376"/>
  <c r="B114" i="376"/>
  <c r="B113" i="376"/>
  <c r="B112" i="376"/>
  <c r="B111" i="376"/>
  <c r="B110" i="376"/>
  <c r="B107" i="376"/>
  <c r="B106" i="376"/>
  <c r="B105" i="376"/>
  <c r="B104" i="376"/>
  <c r="B103" i="376"/>
  <c r="B102" i="376"/>
  <c r="B101" i="376"/>
  <c r="B100" i="376"/>
  <c r="B99" i="376"/>
  <c r="B98" i="376"/>
  <c r="B97" i="376"/>
  <c r="B96" i="376"/>
  <c r="B95" i="376"/>
  <c r="B94" i="376"/>
  <c r="B93" i="376"/>
  <c r="B92" i="376"/>
  <c r="B91" i="376"/>
  <c r="B90" i="376"/>
  <c r="B89" i="376"/>
  <c r="B88" i="376"/>
  <c r="B87" i="376"/>
  <c r="B86" i="376"/>
  <c r="B85" i="376"/>
  <c r="B84" i="376"/>
  <c r="B83" i="376"/>
  <c r="B82" i="376"/>
  <c r="B81" i="376"/>
  <c r="B80" i="376"/>
  <c r="B79" i="376"/>
  <c r="B78" i="376"/>
  <c r="B77" i="376"/>
  <c r="B76" i="376"/>
  <c r="B75" i="376"/>
  <c r="B74" i="376"/>
  <c r="B73" i="376"/>
  <c r="B72" i="376"/>
  <c r="B69" i="376"/>
  <c r="B68" i="376"/>
  <c r="B67" i="376"/>
  <c r="B66" i="376"/>
  <c r="B65" i="376"/>
  <c r="B64" i="376"/>
  <c r="B63" i="376"/>
  <c r="B62" i="376"/>
  <c r="B61" i="376"/>
  <c r="B60" i="376"/>
  <c r="B59" i="376"/>
  <c r="B58" i="376"/>
  <c r="B57" i="376"/>
  <c r="B56" i="376"/>
  <c r="B55" i="376"/>
  <c r="B54" i="376"/>
  <c r="B53" i="376"/>
  <c r="B52" i="376"/>
  <c r="B51" i="376"/>
  <c r="B50" i="376"/>
  <c r="B49" i="376"/>
  <c r="B48" i="376"/>
  <c r="B47" i="376"/>
  <c r="B46" i="376"/>
  <c r="B45" i="376"/>
  <c r="B44" i="376"/>
  <c r="B43" i="376"/>
  <c r="B42" i="376"/>
  <c r="B39" i="376"/>
  <c r="B38" i="376"/>
  <c r="B37" i="376"/>
  <c r="B34" i="376"/>
  <c r="B33" i="376"/>
  <c r="B32" i="376"/>
  <c r="B31" i="376"/>
  <c r="B30" i="376"/>
  <c r="B29" i="376"/>
  <c r="B28" i="376"/>
  <c r="B27" i="376"/>
  <c r="B26" i="376"/>
  <c r="B25" i="376"/>
  <c r="B24" i="376"/>
  <c r="B23" i="376"/>
  <c r="B22" i="376"/>
  <c r="B21" i="376"/>
  <c r="B20" i="376"/>
  <c r="B19" i="376"/>
  <c r="B18" i="376"/>
  <c r="B17" i="376"/>
  <c r="B16" i="376"/>
  <c r="B14" i="376"/>
  <c r="B13" i="376"/>
  <c r="B11" i="376"/>
  <c r="B10" i="376"/>
  <c r="B9" i="376"/>
  <c r="B8" i="376"/>
  <c r="B7" i="376"/>
  <c r="B6" i="376"/>
  <c r="B14" i="343" l="1"/>
  <c r="B13" i="343"/>
  <c r="B9" i="343"/>
  <c r="B17" i="343" l="1"/>
  <c r="B11" i="4" l="1"/>
  <c r="B16" i="343"/>
  <c r="B11" i="343"/>
  <c r="B12" i="343"/>
  <c r="B15" i="343"/>
  <c r="B10" i="343" l="1"/>
  <c r="B8" i="343"/>
  <c r="B10" i="4" l="1"/>
  <c r="B21" i="304" l="1"/>
  <c r="B20" i="304"/>
  <c r="B19" i="304"/>
  <c r="B18" i="304"/>
  <c r="B17" i="304"/>
  <c r="B16" i="304"/>
  <c r="B15" i="304"/>
  <c r="B14" i="304"/>
  <c r="B13" i="304"/>
  <c r="B12" i="304"/>
  <c r="B11" i="304"/>
  <c r="B10" i="304"/>
  <c r="B9" i="304"/>
  <c r="B8" i="304"/>
  <c r="B7" i="304"/>
  <c r="B6" i="304"/>
  <c r="B7" i="43" l="1"/>
  <c r="B8" i="43"/>
  <c r="B9" i="43"/>
  <c r="B10" i="43"/>
  <c r="B6" i="43"/>
  <c r="B9" i="4" l="1"/>
  <c r="B6" i="4" l="1"/>
  <c r="B5" i="4"/>
  <c r="B7" i="4"/>
  <c r="B8" i="4"/>
  <c r="B4" i="4"/>
</calcChain>
</file>

<file path=xl/sharedStrings.xml><?xml version="1.0" encoding="utf-8"?>
<sst xmlns="http://schemas.openxmlformats.org/spreadsheetml/2006/main" count="4105" uniqueCount="1336">
  <si>
    <t>日本ビジネスシステムズ株式会社</t>
    <rPh sb="0" eb="2">
      <t>ニホン</t>
    </rPh>
    <rPh sb="11" eb="15">
      <t>カブシキガイシャ</t>
    </rPh>
    <phoneticPr fontId="29"/>
  </si>
  <si>
    <t>No</t>
  </si>
  <si>
    <t>該当モジュール</t>
  </si>
  <si>
    <t>設定項目</t>
  </si>
  <si>
    <t>説明</t>
  </si>
  <si>
    <t>パス</t>
    <phoneticPr fontId="13"/>
  </si>
  <si>
    <t>売掛金管理</t>
    <phoneticPr fontId="13"/>
  </si>
  <si>
    <t>売掛金勘定モジュール用パラメータ定義となる。
売掛金管理機能は使用しないが、販売機能を使用する際に自動的に売掛金管理と連動するため、デフォルト設定値の確認および必要に応じてパラメータ値を更新する。</t>
    <phoneticPr fontId="13"/>
  </si>
  <si>
    <t>売掛金管理</t>
  </si>
  <si>
    <t>支払期日</t>
    <phoneticPr fontId="13"/>
  </si>
  <si>
    <t>売掛金管理＞支払の設定＞支払期日
Accounts receivable &gt; Payments setup &gt; Payment days</t>
    <phoneticPr fontId="13"/>
  </si>
  <si>
    <t>支払条件</t>
    <phoneticPr fontId="13"/>
  </si>
  <si>
    <t>-</t>
    <phoneticPr fontId="13"/>
  </si>
  <si>
    <t>売掛金管理＞支払の設定＞支払条件
Accounts receivable &gt; Payments setup &gt; Terms of payment</t>
    <phoneticPr fontId="13"/>
  </si>
  <si>
    <t>顧客グループ</t>
  </si>
  <si>
    <t>顧客マスタのグループ定義となる。
顧客マスタにおける必須属性となるため、要件において顧客をグループ化する必要がなければ、ダミーグループを設定する。</t>
    <phoneticPr fontId="13"/>
  </si>
  <si>
    <t>売掛金管理＞設定＞顧客グループ
Accounts receivable &gt; Setup &gt; Customer groups</t>
    <phoneticPr fontId="13"/>
  </si>
  <si>
    <t>顧客転記プロファイル</t>
    <phoneticPr fontId="13"/>
  </si>
  <si>
    <t>売掛金管理＞設定＞顧客転記プロファイル
Accounts receivable &gt; Setup &gt; Customer posting profiles</t>
    <phoneticPr fontId="13"/>
  </si>
  <si>
    <t>顧客</t>
    <rPh sb="0" eb="2">
      <t>コキャク</t>
    </rPh>
    <phoneticPr fontId="13"/>
  </si>
  <si>
    <t>支払カレンダー</t>
    <rPh sb="0" eb="2">
      <t>シハライ</t>
    </rPh>
    <phoneticPr fontId="13"/>
  </si>
  <si>
    <t>売掛金管理＞支払の設定＞支払カレンダー
Accounts receivable &gt; Payment setup &gt; Payment calendar</t>
    <phoneticPr fontId="13"/>
  </si>
  <si>
    <t>支払方法</t>
    <phoneticPr fontId="13"/>
  </si>
  <si>
    <t>売掛金管理＞支払の設定＞支払方法
Accounts receivable &gt; Payment setup &gt; Payment methods</t>
    <rPh sb="0" eb="2">
      <t>ウリカケ</t>
    </rPh>
    <rPh sb="2" eb="3">
      <t>キン</t>
    </rPh>
    <rPh sb="3" eb="5">
      <t>カンリ</t>
    </rPh>
    <rPh sb="6" eb="8">
      <t>シハライ</t>
    </rPh>
    <rPh sb="9" eb="11">
      <t>セッテイ</t>
    </rPh>
    <rPh sb="12" eb="14">
      <t>シハライ</t>
    </rPh>
    <rPh sb="14" eb="16">
      <t>ホウホウ</t>
    </rPh>
    <phoneticPr fontId="13"/>
  </si>
  <si>
    <t>#</t>
  </si>
  <si>
    <t>参照</t>
  </si>
  <si>
    <t>番号順序コード</t>
    <rPh sb="2" eb="4">
      <t>ジュンジョ</t>
    </rPh>
    <phoneticPr fontId="22"/>
  </si>
  <si>
    <t>番号を再利用</t>
  </si>
  <si>
    <t>同じ番号の利用元</t>
  </si>
  <si>
    <t>説明</t>
    <rPh sb="0" eb="2">
      <t>セツメイ</t>
    </rPh>
    <phoneticPr fontId="22"/>
  </si>
  <si>
    <t>（システム自動入力）</t>
  </si>
  <si>
    <t>タブ</t>
  </si>
  <si>
    <t>タブ説明</t>
    <rPh sb="2" eb="4">
      <t>セツメイ</t>
    </rPh>
    <phoneticPr fontId="22"/>
  </si>
  <si>
    <t>項目分類</t>
    <rPh sb="0" eb="2">
      <t>コウモク</t>
    </rPh>
    <rPh sb="2" eb="4">
      <t>ブンルイ</t>
    </rPh>
    <phoneticPr fontId="17"/>
  </si>
  <si>
    <t>項目</t>
  </si>
  <si>
    <t>Description（標準）</t>
    <phoneticPr fontId="17"/>
  </si>
  <si>
    <t>設定可能値</t>
  </si>
  <si>
    <t>デフォルト値</t>
    <rPh sb="5" eb="6">
      <t>チ</t>
    </rPh>
    <phoneticPr fontId="22"/>
  </si>
  <si>
    <t>備考</t>
  </si>
  <si>
    <t>設定値</t>
  </si>
  <si>
    <t>設定基準</t>
  </si>
  <si>
    <t>一般</t>
    <phoneticPr fontId="22"/>
  </si>
  <si>
    <t>販売注文の承認および顧客情報に関する要件の設定</t>
    <phoneticPr fontId="22"/>
  </si>
  <si>
    <t>一般</t>
    <rPh sb="0" eb="2">
      <t>イッパン</t>
    </rPh>
    <phoneticPr fontId="22"/>
  </si>
  <si>
    <t>借方/貸方欄への金額の表示</t>
    <phoneticPr fontId="22"/>
  </si>
  <si>
    <t>はい/いいえ</t>
    <phoneticPr fontId="22"/>
  </si>
  <si>
    <t>いいえ</t>
    <phoneticPr fontId="22"/>
  </si>
  <si>
    <t>いいえ</t>
    <phoneticPr fontId="13"/>
  </si>
  <si>
    <t>顧客</t>
    <rPh sb="0" eb="2">
      <t>コキャク</t>
    </rPh>
    <phoneticPr fontId="22"/>
  </si>
  <si>
    <t>一時顧客ID</t>
    <rPh sb="2" eb="4">
      <t>コキャク</t>
    </rPh>
    <phoneticPr fontId="13"/>
  </si>
  <si>
    <t>一時顧客の既定のテンプレートとして顧客 ID を選択します。これは、今後注文を行わないと予想される顧客の販売注文に情報を入力するためのテンプレートとなる顧客 ID です。</t>
  </si>
  <si>
    <t>ー</t>
  </si>
  <si>
    <t>ー</t>
    <phoneticPr fontId="13"/>
  </si>
  <si>
    <t>最低払い戻し金額</t>
    <phoneticPr fontId="13"/>
  </si>
  <si>
    <t>標準通貨金額 (国の通貨)</t>
    <phoneticPr fontId="13"/>
  </si>
  <si>
    <t>数値</t>
    <phoneticPr fontId="22"/>
  </si>
  <si>
    <t>0.00</t>
    <phoneticPr fontId="13"/>
  </si>
  <si>
    <t>なし
国内 + EU各国
EU各国</t>
  </si>
  <si>
    <t>なし</t>
    <phoneticPr fontId="22"/>
  </si>
  <si>
    <t>なし</t>
    <phoneticPr fontId="13"/>
  </si>
  <si>
    <t>必須税グループ</t>
  </si>
  <si>
    <t>新規または変更された顧客 ID ごとに税グループを定義する必要がある場合は、このオプションを選択します。</t>
  </si>
  <si>
    <t>顧客の月次締め請求書</t>
    <phoneticPr fontId="13"/>
  </si>
  <si>
    <t>はい</t>
    <phoneticPr fontId="13"/>
  </si>
  <si>
    <t>顧客トランザクションの既定のフィルター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</si>
  <si>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22"/>
  </si>
  <si>
    <t>すべて</t>
    <phoneticPr fontId="22"/>
  </si>
  <si>
    <t>すべて</t>
    <phoneticPr fontId="13"/>
  </si>
  <si>
    <t>支払セクションの減価償却を表示しない</t>
    <phoneticPr fontId="13"/>
  </si>
  <si>
    <t>このパラメーターを有効にすると、支払セクションの減価償却が自由書式の請求書に印刷されなくなります。</t>
    <phoneticPr fontId="13"/>
  </si>
  <si>
    <t>販売の既定値</t>
    <rPh sb="0" eb="2">
      <t>ハンバイ</t>
    </rPh>
    <rPh sb="3" eb="6">
      <t>キテイチ</t>
    </rPh>
    <phoneticPr fontId="22"/>
  </si>
  <si>
    <t>注文タイプ</t>
    <phoneticPr fontId="13"/>
  </si>
  <si>
    <t>仕訳帳</t>
    <phoneticPr fontId="22"/>
  </si>
  <si>
    <t>有効期間</t>
    <rPh sb="0" eb="2">
      <t>ユウコウ</t>
    </rPh>
    <rPh sb="2" eb="4">
      <t>キカン</t>
    </rPh>
    <phoneticPr fontId="13"/>
  </si>
  <si>
    <t>0</t>
    <phoneticPr fontId="13"/>
  </si>
  <si>
    <t>販売注文管理グループ</t>
  </si>
  <si>
    <t>[販売注文] ページで注文を作成するときに、自動的に注文に追加される既定の販売注文管理グループを選択します 既定の販売注文管理グループを使用しない場合は、特定の顧客または販売注文ごとに販売注文管理グループを変更できます。</t>
  </si>
  <si>
    <t>引当</t>
    <phoneticPr fontId="13"/>
  </si>
  <si>
    <t>手動
自動
展開</t>
  </si>
  <si>
    <t>手動</t>
    <phoneticPr fontId="13"/>
  </si>
  <si>
    <t>販売元</t>
    <phoneticPr fontId="13"/>
  </si>
  <si>
    <t>自動バッチ引当</t>
    <phoneticPr fontId="13"/>
  </si>
  <si>
    <t>販売ドキュメントのタイム ゾーンの基本設定</t>
  </si>
  <si>
    <t>ユーザー
法人</t>
    <rPh sb="5" eb="7">
      <t>ホウジン</t>
    </rPh>
    <phoneticPr fontId="13"/>
  </si>
  <si>
    <t>ユーザー</t>
  </si>
  <si>
    <t>請求書のタイム ゾーンの基本設定</t>
  </si>
  <si>
    <t>梱包明細のタイム ゾーンの基本設定</t>
  </si>
  <si>
    <t>自由書式の請求書のタイム ゾーンの基本設定</t>
  </si>
  <si>
    <t>直納グループの作成の延期</t>
  </si>
  <si>
    <t>直納で処理する発注書の作成を遅らせる場合に、このオプションを使用します。このオプションを [はい] に設定する場合、販売注文明細行の [直納] フィールドは、製品の [直納] のフィールドの値を継承します。このオプションを [いいえ] に設定する場合、販売注文明細行の [配送タイプ] フィールドは、製品の [直納] フィールドの値を継承します。販売注文明細行の [直納] フィールドを使用することにより、販売注文明細行の作成時点以降に発注書の作成を延期することができます。</t>
  </si>
  <si>
    <t>販売の設定</t>
    <rPh sb="3" eb="5">
      <t>セッテイ</t>
    </rPh>
    <phoneticPr fontId="13"/>
  </si>
  <si>
    <t>顧客情報の確認</t>
    <rPh sb="0" eb="2">
      <t>コキャク</t>
    </rPh>
    <rPh sb="2" eb="4">
      <t>ジョウホウ</t>
    </rPh>
    <rPh sb="5" eb="7">
      <t>カクニン</t>
    </rPh>
    <phoneticPr fontId="13"/>
  </si>
  <si>
    <t>このオプションを選択すると、[販売注文の作成] ページで販売注文を作成または変更するときに警告が表示されます。警告では、支払条件といった顧客の条件情報が、[顧客] ページから販売注文にコピーされることが説明されます。このオプションをオフにすると、顧客の条件情報を販売注文にコピーしても警告されません。</t>
  </si>
  <si>
    <t>注文を無効としてマーク</t>
    <rPh sb="0" eb="2">
      <t>チュウモン</t>
    </rPh>
    <rPh sb="3" eb="5">
      <t>ムコウ</t>
    </rPh>
    <phoneticPr fontId="13"/>
  </si>
  <si>
    <t>販売注文が削除された際に販売注文を無効にする場合は、このオプションを選択します。無効にされた注文は、[販売注文] ページから使用できなくなります。</t>
  </si>
  <si>
    <t>請求分類を使用</t>
    <rPh sb="0" eb="2">
      <t>セイキュウ</t>
    </rPh>
    <rPh sb="2" eb="4">
      <t>ブンルイ</t>
    </rPh>
    <rPh sb="5" eb="7">
      <t>シヨウ</t>
    </rPh>
    <phoneticPr fontId="13"/>
  </si>
  <si>
    <t>自由書式の請求書を分類する際に請求分類を使用する場合は、このオプションを選択します。このコントロールは、[公的機関] コンフィギュレーション キーが選択されている場合にのみ使用できます。</t>
  </si>
  <si>
    <t>ドキュメントを転記する際に数量フィールドの値を確認</t>
  </si>
  <si>
    <t>"保留中" 販売注文状態</t>
    <phoneticPr fontId="13"/>
  </si>
  <si>
    <t>色を設定</t>
    <rPh sb="0" eb="1">
      <t>イロ</t>
    </rPh>
    <rPh sb="2" eb="4">
      <t>セッテイ</t>
    </rPh>
    <phoneticPr fontId="13"/>
  </si>
  <si>
    <t>0(黒)</t>
    <rPh sb="1" eb="2">
      <t>クロ</t>
    </rPh>
    <phoneticPr fontId="13"/>
  </si>
  <si>
    <t>返品注文 (RMA) の有効期間</t>
    <phoneticPr fontId="13"/>
  </si>
  <si>
    <t>販売注文への転送時にメモをコピー</t>
    <rPh sb="0" eb="2">
      <t>ハンバイ</t>
    </rPh>
    <rPh sb="2" eb="4">
      <t>チュウモン</t>
    </rPh>
    <rPh sb="6" eb="8">
      <t>テンソウ</t>
    </rPh>
    <rPh sb="8" eb="9">
      <t>ジ</t>
    </rPh>
    <phoneticPr fontId="13"/>
  </si>
  <si>
    <t>品目リストの確認</t>
    <rPh sb="0" eb="2">
      <t>ヒンモク</t>
    </rPh>
    <rPh sb="6" eb="8">
      <t>カクニン</t>
    </rPh>
    <phoneticPr fontId="13"/>
  </si>
  <si>
    <t>販売見積</t>
    <rPh sb="0" eb="2">
      <t>ハンバイ</t>
    </rPh>
    <rPh sb="2" eb="4">
      <t>ミツ</t>
    </rPh>
    <phoneticPr fontId="13"/>
  </si>
  <si>
    <t>見積書の提出が必要な顧客</t>
    <phoneticPr fontId="13"/>
  </si>
  <si>
    <t>キャンペーンの有効期限が切れるまでの日数</t>
  </si>
  <si>
    <t>数値</t>
    <rPh sb="0" eb="2">
      <t>スウチ</t>
    </rPh>
    <phoneticPr fontId="13"/>
  </si>
  <si>
    <t>30</t>
    <phoneticPr fontId="13"/>
  </si>
  <si>
    <t>フォローアップまでの日数</t>
  </si>
  <si>
    <t>2</t>
    <phoneticPr fontId="13"/>
  </si>
  <si>
    <t>理由コード要求</t>
    <rPh sb="0" eb="2">
      <t>リユウ</t>
    </rPh>
    <rPh sb="5" eb="7">
      <t>ヨウキュウ</t>
    </rPh>
    <phoneticPr fontId="13"/>
  </si>
  <si>
    <t>支払キャンセルの理由を要求</t>
    <phoneticPr fontId="13"/>
  </si>
  <si>
    <t>返品注文の理由を要求</t>
    <phoneticPr fontId="13"/>
  </si>
  <si>
    <t>トランザクションの取消の理由を要求</t>
    <phoneticPr fontId="13"/>
  </si>
  <si>
    <t>顧客承認</t>
    <rPh sb="0" eb="2">
      <t>コキャク</t>
    </rPh>
    <rPh sb="2" eb="4">
      <t>ショウニン</t>
    </rPh>
    <phoneticPr fontId="13"/>
  </si>
  <si>
    <t>顧客承認を有効化する</t>
    <phoneticPr fontId="13"/>
  </si>
  <si>
    <t>顧客承認を有効化するには、このオプションを選択します。</t>
    <phoneticPr fontId="13"/>
  </si>
  <si>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</si>
  <si>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3"/>
  </si>
  <si>
    <t>承認なしの変更を許可する</t>
    <phoneticPr fontId="13"/>
  </si>
  <si>
    <t>フィールド</t>
  </si>
  <si>
    <t>（システム自動入力）</t>
    <phoneticPr fontId="17"/>
  </si>
  <si>
    <t>有効化</t>
    <rPh sb="0" eb="3">
      <t>ユウコウカ</t>
    </rPh>
    <phoneticPr fontId="17"/>
  </si>
  <si>
    <t>フィールドに対する変更内容を制御するには、このオプションを選択します</t>
  </si>
  <si>
    <t>チェック有/チェック無</t>
  </si>
  <si>
    <t>有効化&gt;名前</t>
    <rPh sb="0" eb="3">
      <t>ユウコウカ</t>
    </rPh>
    <rPh sb="4" eb="6">
      <t>ナマエ</t>
    </rPh>
    <phoneticPr fontId="17"/>
  </si>
  <si>
    <t>有効化&gt;与信限度額</t>
    <rPh sb="4" eb="6">
      <t>ヨシン</t>
    </rPh>
    <rPh sb="6" eb="8">
      <t>ゲンド</t>
    </rPh>
    <rPh sb="8" eb="9">
      <t>ガク</t>
    </rPh>
    <phoneticPr fontId="17"/>
  </si>
  <si>
    <t>有効化&gt;消費税グループ</t>
    <rPh sb="4" eb="7">
      <t>ショウヒゼイ</t>
    </rPh>
    <phoneticPr fontId="17"/>
  </si>
  <si>
    <t>有効化&gt;支払方法</t>
    <rPh sb="4" eb="6">
      <t>シハライ</t>
    </rPh>
    <rPh sb="6" eb="8">
      <t>ホウホウ</t>
    </rPh>
    <phoneticPr fontId="17"/>
  </si>
  <si>
    <t>有効化&gt;支払詳細</t>
    <rPh sb="4" eb="6">
      <t>シハライ</t>
    </rPh>
    <rPh sb="6" eb="8">
      <t>ショウサイ</t>
    </rPh>
    <phoneticPr fontId="17"/>
  </si>
  <si>
    <t>有効化&gt;顧客グループ</t>
    <rPh sb="4" eb="6">
      <t>コキャク</t>
    </rPh>
    <phoneticPr fontId="17"/>
  </si>
  <si>
    <t>有効化&gt;課税控除番号</t>
    <rPh sb="4" eb="6">
      <t>カゼイ</t>
    </rPh>
    <rPh sb="6" eb="8">
      <t>コウジョ</t>
    </rPh>
    <rPh sb="8" eb="10">
      <t>バンゴウ</t>
    </rPh>
    <phoneticPr fontId="17"/>
  </si>
  <si>
    <t>有効化&gt;銀行口座</t>
    <rPh sb="4" eb="8">
      <t>ギンコウコウザ</t>
    </rPh>
    <phoneticPr fontId="17"/>
  </si>
  <si>
    <t>有効化&gt;現金割引</t>
    <rPh sb="4" eb="6">
      <t>ゲンキン</t>
    </rPh>
    <rPh sb="6" eb="8">
      <t>ワリビキ</t>
    </rPh>
    <phoneticPr fontId="17"/>
  </si>
  <si>
    <t>有効化&gt;信用格付け</t>
    <rPh sb="4" eb="8">
      <t>シンヨウカクヅ</t>
    </rPh>
    <phoneticPr fontId="17"/>
  </si>
  <si>
    <t>有効化&gt;支払条件</t>
    <rPh sb="4" eb="6">
      <t>シハライ</t>
    </rPh>
    <rPh sb="6" eb="8">
      <t>ジョウケン</t>
    </rPh>
    <phoneticPr fontId="17"/>
  </si>
  <si>
    <t>有効化&gt;与信限度確認必須</t>
    <rPh sb="4" eb="6">
      <t>ヨシン</t>
    </rPh>
    <rPh sb="6" eb="8">
      <t>ゲンド</t>
    </rPh>
    <rPh sb="8" eb="10">
      <t>カクニン</t>
    </rPh>
    <rPh sb="10" eb="12">
      <t>ヒッス</t>
    </rPh>
    <phoneticPr fontId="17"/>
  </si>
  <si>
    <t>有効化&gt;支払期間基準日数</t>
    <rPh sb="4" eb="6">
      <t>シハライ</t>
    </rPh>
    <rPh sb="6" eb="8">
      <t>キカン</t>
    </rPh>
    <rPh sb="8" eb="10">
      <t>キジュン</t>
    </rPh>
    <rPh sb="10" eb="12">
      <t>ニッスウ</t>
    </rPh>
    <phoneticPr fontId="17"/>
  </si>
  <si>
    <t>有効化&gt;利息を除外します</t>
    <rPh sb="4" eb="6">
      <t>リソク</t>
    </rPh>
    <rPh sb="7" eb="9">
      <t>ジョガイ</t>
    </rPh>
    <phoneticPr fontId="17"/>
  </si>
  <si>
    <t>有効化&gt;回収手数料を除外</t>
    <rPh sb="4" eb="6">
      <t>カイシュウ</t>
    </rPh>
    <rPh sb="6" eb="9">
      <t>テスウリョウ</t>
    </rPh>
    <rPh sb="10" eb="12">
      <t>ジョガイ</t>
    </rPh>
    <phoneticPr fontId="17"/>
  </si>
  <si>
    <t>有効化&gt;請求先/元ID</t>
    <rPh sb="4" eb="6">
      <t>セイキュウ</t>
    </rPh>
    <rPh sb="6" eb="7">
      <t>サキ</t>
    </rPh>
    <rPh sb="8" eb="9">
      <t>モト</t>
    </rPh>
    <phoneticPr fontId="17"/>
  </si>
  <si>
    <t>更新</t>
    <rPh sb="0" eb="2">
      <t>コウシン</t>
    </rPh>
    <phoneticPr fontId="13"/>
  </si>
  <si>
    <t>配送、ピッキング リスト、梱包明細、および請求書に関する要件を設定します</t>
    <phoneticPr fontId="13"/>
  </si>
  <si>
    <t>注文明細行
＞注文明細行の更新</t>
    <rPh sb="0" eb="4">
      <t>チュウモンメイサイ</t>
    </rPh>
    <rPh sb="4" eb="5">
      <t>ギョウ</t>
    </rPh>
    <rPh sb="7" eb="9">
      <t>チュウモン</t>
    </rPh>
    <rPh sb="9" eb="11">
      <t>メイサイ</t>
    </rPh>
    <rPh sb="11" eb="12">
      <t>ギョウ</t>
    </rPh>
    <rPh sb="13" eb="15">
      <t>コウシン</t>
    </rPh>
    <phoneticPr fontId="13"/>
  </si>
  <si>
    <t>顧客ID
諸費用コード および 外部品目番号 を更新しています</t>
    <rPh sb="0" eb="2">
      <t>コキャク</t>
    </rPh>
    <phoneticPr fontId="13"/>
  </si>
  <si>
    <t>注文ヘッダーで 顧客 ID が変更されたときに、注文明細行で 諸費用コード および 外部品目番号 を更新します。</t>
  </si>
  <si>
    <t>なし
常時
確認</t>
    <rPh sb="3" eb="5">
      <t>ジョウジ</t>
    </rPh>
    <rPh sb="6" eb="8">
      <t>カクニン</t>
    </rPh>
    <phoneticPr fontId="13"/>
  </si>
  <si>
    <t>確認</t>
    <rPh sb="0" eb="1">
      <t>カクニン</t>
    </rPh>
    <phoneticPr fontId="13"/>
  </si>
  <si>
    <t>売上グループ
売上グループ を更新しています</t>
  </si>
  <si>
    <t>注文ヘッダーで 売上グループ が変更されたときに、注文明細行で 売上グループ を更新します。</t>
  </si>
  <si>
    <t>消費税グループ
消費税グループ を更新しています</t>
  </si>
  <si>
    <t>注文ヘッダーで 消費税グループ が変更されたときに、注文明細行で 消費税グループ を更新します。</t>
  </si>
  <si>
    <t>分析コード
分析コード を更新しています</t>
  </si>
  <si>
    <t>注文ヘッダーで 分析コード が変更されたときに、注文明細行で 分析コード を更新します。</t>
  </si>
  <si>
    <t>保管分析コード
サイトと倉庫 を更新しています</t>
    <rPh sb="0" eb="2">
      <t>ホカン</t>
    </rPh>
    <rPh sb="2" eb="4">
      <t>ブンセキ</t>
    </rPh>
    <phoneticPr fontId="13"/>
  </si>
  <si>
    <t>注文ヘッダーで 保管分析コード が変更されたときに、注文明細行で サイトと倉庫 を更新します。</t>
  </si>
  <si>
    <t>引当
引当 を更新しています</t>
    <phoneticPr fontId="13"/>
  </si>
  <si>
    <t>注文ヘッダーで 引当 が変更されたときに、注文明細行で 引当 を更新します。</t>
  </si>
  <si>
    <t>価格グループ
単価 を更新しています</t>
    <rPh sb="0" eb="2">
      <t>カカク</t>
    </rPh>
    <phoneticPr fontId="13"/>
  </si>
  <si>
    <t>注文ヘッダーで 価格グループ が変更されたときに、注文明細行で 単価 を更新します。</t>
  </si>
  <si>
    <t>行割引グループ
割引 および 割引率 を更新しています</t>
    <rPh sb="0" eb="1">
      <t>ギョウ</t>
    </rPh>
    <rPh sb="1" eb="3">
      <t>ワリビキ</t>
    </rPh>
    <phoneticPr fontId="13"/>
  </si>
  <si>
    <t>注文ヘッダーで 行割引グループ が変更されたときに、注文明細行で 割引 および 割引率 を更新します。</t>
  </si>
  <si>
    <t>諸掛グループ
諸費用コード を更新しています</t>
    <rPh sb="0" eb="2">
      <t>ショガカリ</t>
    </rPh>
    <phoneticPr fontId="13"/>
  </si>
  <si>
    <t>注文ヘッダーで 諸掛グループ が変更されたときに、注文明細行で 諸費用コード を更新します。</t>
  </si>
  <si>
    <t>出荷日および入荷日付
出荷日および入荷日付 を更新しています</t>
    <phoneticPr fontId="13"/>
  </si>
  <si>
    <t>注文ヘッダーで 出荷日および入荷日付 が変更されたときに、注文明細行で 出荷日および入荷日付 を更新します。</t>
  </si>
  <si>
    <t>言語
テキスト を更新しています</t>
    <rPh sb="0" eb="2">
      <t>ゲンゴ</t>
    </rPh>
    <phoneticPr fontId="13"/>
  </si>
  <si>
    <t>注文ヘッダーで 言語 が変更されたときに、注文明細行で テキスト を更新します。</t>
  </si>
  <si>
    <t>荷渡方法
荷渡方法 を更新しています</t>
    <phoneticPr fontId="13"/>
  </si>
  <si>
    <t>注文ヘッダーで 荷渡方法 が変更されたときに、注文明細行で 荷渡方法 を更新します。</t>
  </si>
  <si>
    <t>配送条件 を更新しています</t>
    <phoneticPr fontId="13"/>
  </si>
  <si>
    <t>注文ヘッダーで が変更されたときに、注文明細行で 配送条件 を更新します。</t>
  </si>
  <si>
    <t>注文明細行
＞見積明細行の更新</t>
    <phoneticPr fontId="13"/>
  </si>
  <si>
    <t>見積ヘッダーの 顧客 ID が変更されたときに、見積明細行の 諸費用コード および 外部品目番号 を更新します。</t>
  </si>
  <si>
    <t>見積ヘッダーの 売上グループ が変更されたときに、見積明細行の 売上グループ を更新します。</t>
  </si>
  <si>
    <t>見積ヘッダーの 消費税グループ が変更されたときに、見積明細行の 消費税グループ を更新します。</t>
  </si>
  <si>
    <t>見積ヘッダーの 分析コード が変更されたときに、見積明細行の 分析コード を更新します。</t>
  </si>
  <si>
    <t>見積ヘッダーの 保管分析コード が変更されたときに、見積明細行の サイトと倉庫 を更新します。</t>
  </si>
  <si>
    <t>トランザクション コード
トランザクション コード を更新しています</t>
  </si>
  <si>
    <t>見積ヘッダーの トランザクション コード が変更されたときに、見積明細行の トランザクション コード を更新します。</t>
  </si>
  <si>
    <t>港
港 を更新しています</t>
    <rPh sb="0" eb="1">
      <t>ミナト</t>
    </rPh>
    <phoneticPr fontId="13"/>
  </si>
  <si>
    <t>見積ヘッダーの 港 が変更されたときに、見積明細行の 港 を更新します。</t>
  </si>
  <si>
    <t>集計手順
集計手順 を更新しています</t>
    <rPh sb="0" eb="2">
      <t>シュウケイ</t>
    </rPh>
    <rPh sb="2" eb="4">
      <t>テジュン</t>
    </rPh>
    <phoneticPr fontId="13"/>
  </si>
  <si>
    <t>見積ヘッダーの 集計手順 が変更されたときに、見積明細行の 集計手順 を更新します。</t>
  </si>
  <si>
    <t>見積ヘッダーの 価格グループ が変更されたときに、見積明細行の 単価 を更新します。</t>
  </si>
  <si>
    <t>見積ヘッダーの 行割引グループ が変更されたときに、見積明細行の 割引 および 割引率 を更新します。</t>
  </si>
  <si>
    <t>見積ヘッダーの 諸掛グループ が変更されたときに、見積明細行の 諸費用コード を更新します。</t>
  </si>
  <si>
    <t>入荷希望日
入荷希望日 を更新しています</t>
    <phoneticPr fontId="13"/>
  </si>
  <si>
    <t>見積ヘッダーの 入荷希望日 が変更されたときに、見積明細行の 入荷希望日 を更新します。</t>
  </si>
  <si>
    <t>出荷予定日
出荷予定日 を更新しています</t>
    <rPh sb="0" eb="2">
      <t>シュッカ</t>
    </rPh>
    <rPh sb="2" eb="4">
      <t>ヨテイ</t>
    </rPh>
    <rPh sb="4" eb="5">
      <t>ヒ</t>
    </rPh>
    <phoneticPr fontId="13"/>
  </si>
  <si>
    <t>見積ヘッダーの 出荷予定日 が変更されたときに、見積明細行の 出荷予定日 を更新します。</t>
  </si>
  <si>
    <t>見積ヘッダーの 言語 が変更されたときに、見積明細行の テキスト を更新します。</t>
  </si>
  <si>
    <t>輸送
輸送 を更新しています</t>
    <rPh sb="0" eb="2">
      <t>ユソウ</t>
    </rPh>
    <phoneticPr fontId="13"/>
  </si>
  <si>
    <t>見積ヘッダーの 輸送 が変更されたときに、見積明細行の 輸送 を更新します。</t>
  </si>
  <si>
    <t>荷渡方法
荷渡方法 を更新しています</t>
    <rPh sb="0" eb="2">
      <t>ニワタ</t>
    </rPh>
    <rPh sb="2" eb="4">
      <t>ホウホウ</t>
    </rPh>
    <phoneticPr fontId="13"/>
  </si>
  <si>
    <t>見積ヘッダーの 荷渡方法 が変更されたときに、見積明細行の 荷渡方法 を更新します。</t>
  </si>
  <si>
    <t>見積ヘッダーの が変更されたときに、見積明細行の 配送条件 を更新します。</t>
  </si>
  <si>
    <t>確認</t>
    <rPh sb="0" eb="2">
      <t>カクニン</t>
    </rPh>
    <phoneticPr fontId="22"/>
  </si>
  <si>
    <t>注文明細行</t>
    <phoneticPr fontId="13"/>
  </si>
  <si>
    <t>明細行の配送日の既定値を更新します</t>
    <phoneticPr fontId="13"/>
  </si>
  <si>
    <t>現在の配送日を使用し、配送日の管理は無効にする
配送日を再計算する</t>
    <rPh sb="24" eb="26">
      <t>ハイソウ</t>
    </rPh>
    <rPh sb="26" eb="27">
      <t>ヒ</t>
    </rPh>
    <rPh sb="28" eb="31">
      <t>サイケイサン</t>
    </rPh>
    <phoneticPr fontId="13"/>
  </si>
  <si>
    <t>現在の配送日を使用し、配送日の管理は無効にする</t>
    <phoneticPr fontId="13"/>
  </si>
  <si>
    <t>超過配送の許可</t>
    <phoneticPr fontId="13"/>
  </si>
  <si>
    <t>不足配送の許可</t>
    <phoneticPr fontId="13"/>
  </si>
  <si>
    <t>請求済注文の安全レベル</t>
    <phoneticPr fontId="13"/>
  </si>
  <si>
    <t>なし
警告
ロック済</t>
    <rPh sb="3" eb="5">
      <t>ケイコク</t>
    </rPh>
    <rPh sb="9" eb="10">
      <t>ズ</t>
    </rPh>
    <phoneticPr fontId="13"/>
  </si>
  <si>
    <t>ピッキングリスト</t>
    <phoneticPr fontId="13"/>
  </si>
  <si>
    <t>自動下方修正、ピッキング リスト</t>
    <phoneticPr fontId="13"/>
  </si>
  <si>
    <t>既定の言語を使用</t>
    <phoneticPr fontId="13"/>
  </si>
  <si>
    <t>ピッキング ルートのステータス</t>
  </si>
  <si>
    <t>有効化
完了</t>
    <rPh sb="0" eb="3">
      <t>ユウコウカ</t>
    </rPh>
    <rPh sb="4" eb="6">
      <t>カンリョウ</t>
    </rPh>
    <phoneticPr fontId="13"/>
  </si>
  <si>
    <t>有効化</t>
    <rPh sb="0" eb="3">
      <t>ユウコウカ</t>
    </rPh>
    <phoneticPr fontId="13"/>
  </si>
  <si>
    <t>複数の倉庫を確認</t>
    <rPh sb="0" eb="2">
      <t>フクスウ</t>
    </rPh>
    <rPh sb="3" eb="5">
      <t>ソウコ</t>
    </rPh>
    <rPh sb="6" eb="8">
      <t>カクニン</t>
    </rPh>
    <phoneticPr fontId="13"/>
  </si>
  <si>
    <t>梱包明細</t>
    <rPh sb="0" eb="2">
      <t>コンポウ</t>
    </rPh>
    <rPh sb="2" eb="4">
      <t>メイサイ</t>
    </rPh>
    <phoneticPr fontId="13"/>
  </si>
  <si>
    <t>自動下方修正、梱包明細</t>
    <phoneticPr fontId="13"/>
  </si>
  <si>
    <t>梱包明細を元帳に転記</t>
    <phoneticPr fontId="13"/>
  </si>
  <si>
    <t>梱包明細を更新する際に現物在庫トランザクションの在庫金額を元帳に転記する場合は、このオプションを選択します。転記のページの [販売注文] タブで梱包明細勘定科目と梱包明細の相手勘定を指定します。どちらの勘定も、現物在庫トランザクションの請求書を作成する際にリセットされる一時勘定です。このオプションを選択すると、現物在庫価値勘定の残高と資産在庫価値勘定の残高の合計が、在庫品目の合計在庫金額と等しくなります。勘定科目に梱包明細を転記する場合、品目モデル グループのページの [設定] クイック タブにある [現物在庫の転記] オプションも選択する必要があります。</t>
  </si>
  <si>
    <t>請求書</t>
    <rPh sb="0" eb="3">
      <t>セイキュウショ</t>
    </rPh>
    <phoneticPr fontId="13"/>
  </si>
  <si>
    <t>訂正票の規定の決済タイプ</t>
    <rPh sb="0" eb="2">
      <t>テイセイ</t>
    </rPh>
    <rPh sb="2" eb="3">
      <t>ヒョウ</t>
    </rPh>
    <rPh sb="4" eb="6">
      <t>キテイ</t>
    </rPh>
    <rPh sb="7" eb="9">
      <t>ケッサイ</t>
    </rPh>
    <phoneticPr fontId="13"/>
  </si>
  <si>
    <t>なし
未処理トランザクション
指定トランザクション</t>
    <rPh sb="3" eb="6">
      <t>ミショリ</t>
    </rPh>
    <rPh sb="15" eb="17">
      <t>シテイ</t>
    </rPh>
    <phoneticPr fontId="13"/>
  </si>
  <si>
    <t>課税控除番号要件</t>
    <rPh sb="6" eb="8">
      <t>ヨウケン</t>
    </rPh>
    <phoneticPr fontId="13"/>
  </si>
  <si>
    <t>合計から請求済注文明細行を削除</t>
    <rPh sb="0" eb="2">
      <t>ゴウケイ</t>
    </rPh>
    <rPh sb="4" eb="6">
      <t>セイキュウ</t>
    </rPh>
    <rPh sb="6" eb="7">
      <t>スミ</t>
    </rPh>
    <rPh sb="7" eb="9">
      <t>チュウモン</t>
    </rPh>
    <rPh sb="9" eb="11">
      <t>メイサイ</t>
    </rPh>
    <rPh sb="11" eb="12">
      <t>ギョウ</t>
    </rPh>
    <rPh sb="13" eb="15">
      <t>サクジョ</t>
    </rPh>
    <phoneticPr fontId="13"/>
  </si>
  <si>
    <t>このオプションを選択すると、全額請求済の販売注文明細行が削除されます。一般の部分で [注文を無効としてマーク] オプションを選択してこのオプションを選択した場合、全額請求済の販売明細行は削除されない代わりに無効としてマークされます。</t>
  </si>
  <si>
    <t>請求後の注文の削除</t>
    <rPh sb="0" eb="2">
      <t>セイキュウ</t>
    </rPh>
    <rPh sb="2" eb="3">
      <t>ゴ</t>
    </rPh>
    <rPh sb="4" eb="6">
      <t>チュウモン</t>
    </rPh>
    <rPh sb="7" eb="9">
      <t>サクジョ</t>
    </rPh>
    <phoneticPr fontId="13"/>
  </si>
  <si>
    <t>このオプションを選択した場合、すべての販売注文明細行が削除されると販売注文ヘッダーが削除されます。この削除を実行するには、[合計から請求済注文明細行を削除] オプションも選択する必要があります。一般の部分で [注文を無効としてマーク] オプションを選択した場合、販売注文ヘッダーが削除されない代わりに無効としてマークされます。ヘッダーが無効としてマークされるようにするには、[合計から請求済注文明細行を削除] オプションも選択する必要があります。</t>
  </si>
  <si>
    <t>自動下方修正請求書</t>
    <phoneticPr fontId="13"/>
  </si>
  <si>
    <t>元伝票の為替レートを使用</t>
  </si>
  <si>
    <t>販売注文を転記するときに、指定したトランザクションの為替レートを使用する場合は、このオプションを選択します。指定トランザクションのすべての為替レートが同一でなければなりません。</t>
  </si>
  <si>
    <t>修正用訂正票</t>
    <rPh sb="0" eb="2">
      <t>シュウセイ</t>
    </rPh>
    <rPh sb="2" eb="3">
      <t>ヨウ</t>
    </rPh>
    <rPh sb="3" eb="5">
      <t>テイセイ</t>
    </rPh>
    <rPh sb="5" eb="6">
      <t>ヒョウ</t>
    </rPh>
    <phoneticPr fontId="13"/>
  </si>
  <si>
    <t>適切な勘定科目に修正用の貸方票を転記するには、このオプションを選択します。このオプションを選択した場合、貸方票の元帳トランザクションは請求書と同じ側に転記されますが、マイナス記号が付けられます (取消エントリ)。このオプションは、貸方票が転記されたとき既定の方法を示します。この方法は、特定の貸方票を転記するときに変更できます。</t>
    <phoneticPr fontId="13"/>
  </si>
  <si>
    <t>梱包材重量の印刷</t>
    <phoneticPr fontId="13"/>
  </si>
  <si>
    <t>売上請求書の既定の言語</t>
    <rPh sb="0" eb="2">
      <t>ウリアゲ</t>
    </rPh>
    <rPh sb="2" eb="5">
      <t>セイキュウショ</t>
    </rPh>
    <rPh sb="6" eb="8">
      <t>キテイ</t>
    </rPh>
    <rPh sb="9" eb="11">
      <t>ゲンゴ</t>
    </rPh>
    <phoneticPr fontId="13"/>
  </si>
  <si>
    <t>注文顧客
顧客先/元ID</t>
    <rPh sb="0" eb="2">
      <t>チュウモン</t>
    </rPh>
    <rPh sb="2" eb="4">
      <t>コキャク</t>
    </rPh>
    <rPh sb="5" eb="7">
      <t>コキャク</t>
    </rPh>
    <rPh sb="7" eb="8">
      <t>サキ</t>
    </rPh>
    <rPh sb="9" eb="10">
      <t>モト</t>
    </rPh>
    <phoneticPr fontId="13"/>
  </si>
  <si>
    <t>注文顧客</t>
    <rPh sb="0" eb="2">
      <t>チュウモン</t>
    </rPh>
    <rPh sb="2" eb="4">
      <t>コキャク</t>
    </rPh>
    <phoneticPr fontId="13"/>
  </si>
  <si>
    <t>プロジェクト</t>
    <phoneticPr fontId="13"/>
  </si>
  <si>
    <t>プロジェクトの情報を設定します</t>
    <phoneticPr fontId="13"/>
  </si>
  <si>
    <t>自由書式の請求書のプロジェクト関連フィールドを表示</t>
  </si>
  <si>
    <t>勘定科目番号の編集を許可</t>
    <phoneticPr fontId="13"/>
  </si>
  <si>
    <t>集計の更新</t>
    <rPh sb="0" eb="2">
      <t>シュウケイ</t>
    </rPh>
    <rPh sb="3" eb="5">
      <t>コウシン</t>
    </rPh>
    <phoneticPr fontId="13"/>
  </si>
  <si>
    <t>集計更新の情報を設定し、出荷ドキュメントを分割します</t>
    <phoneticPr fontId="13"/>
  </si>
  <si>
    <t>集計の更新
＞集計更新パラメーター</t>
    <rPh sb="0" eb="2">
      <t>シュウケイ</t>
    </rPh>
    <rPh sb="3" eb="5">
      <t>コウシン</t>
    </rPh>
    <phoneticPr fontId="13"/>
  </si>
  <si>
    <t>請求書</t>
    <phoneticPr fontId="13"/>
  </si>
  <si>
    <t>請求書の集計更新オプションを設定します</t>
    <phoneticPr fontId="13"/>
  </si>
  <si>
    <t>利用可（請求先/元ID、通貨、UPSゾーン等）から選択</t>
  </si>
  <si>
    <t>請求先/元ID
通貨</t>
  </si>
  <si>
    <t>集計更新の規定値</t>
    <rPh sb="0" eb="2">
      <t>シュウケイ</t>
    </rPh>
    <rPh sb="2" eb="4">
      <t>コウシン</t>
    </rPh>
    <rPh sb="5" eb="8">
      <t>キテイチ</t>
    </rPh>
    <phoneticPr fontId="13"/>
  </si>
  <si>
    <t>複数の販売注文を同時に転記しなければならない場合のドキュメントを結合する方法の既定値を選択します。なし - 集計更新が実行されていません。各注文に対して、一つの請求書があります。請求先 / 元 ID - 選択したすべての注文は、集計更新パラメーター ページで設定された条件に従って連結済みです。注文 - 選択した範囲の注文を 1 つの注文 (1 つの請求など) に連結します。集計更新パラメーター ページで設定された条件に従って、注文が集計更新されます。このオプションを選択した場合、"注文エラーの許容誤差" フィールドのオプションを選択する必要があります。[自動集計] - 選択されているすべての注文が集計更新パラメーター ページで設定されている条件に従って集計更新されますが、集計更新ページで集計更新が指定された場合に限られます。指定されていなければ、注文は別ーに転記されます。販売注文の既定値を上書きするには、転記ページの集計更新のフィールドを使用します。集計更新の作成に最低限必要なパラメータは、請求元仕入先と通貨です。この 2 つは変更できません。</t>
  </si>
  <si>
    <t>なし
請求先/元ID
注文
自動集計</t>
    <rPh sb="3" eb="5">
      <t>セイキュウ</t>
    </rPh>
    <rPh sb="5" eb="6">
      <t>サキ</t>
    </rPh>
    <rPh sb="7" eb="8">
      <t>モト</t>
    </rPh>
    <rPh sb="11" eb="13">
      <t>チュウモン</t>
    </rPh>
    <rPh sb="14" eb="16">
      <t>ジドウ</t>
    </rPh>
    <rPh sb="16" eb="18">
      <t>シュウケイ</t>
    </rPh>
    <phoneticPr fontId="13"/>
  </si>
  <si>
    <t>注文エラーの許容誤差</t>
    <rPh sb="0" eb="2">
      <t>チュウモン</t>
    </rPh>
    <rPh sb="6" eb="8">
      <t>キョヨウ</t>
    </rPh>
    <rPh sb="8" eb="10">
      <t>ゴサ</t>
    </rPh>
    <phoneticPr fontId="13"/>
  </si>
  <si>
    <t>適用
警告
エラー</t>
    <rPh sb="0" eb="2">
      <t>テキヨウ</t>
    </rPh>
    <rPh sb="3" eb="5">
      <t>ケイコク</t>
    </rPh>
    <phoneticPr fontId="13"/>
  </si>
  <si>
    <t>適用</t>
    <rPh sb="0" eb="2">
      <t>テキヨウ</t>
    </rPh>
    <phoneticPr fontId="13"/>
  </si>
  <si>
    <t>分割基準</t>
    <rPh sb="0" eb="2">
      <t>ブンカツ</t>
    </rPh>
    <rPh sb="2" eb="4">
      <t>キジュン</t>
    </rPh>
    <phoneticPr fontId="13"/>
  </si>
  <si>
    <t>サイト/確認書</t>
    <phoneticPr fontId="13"/>
  </si>
  <si>
    <t>サイト/ピッキングリスト</t>
    <phoneticPr fontId="13"/>
  </si>
  <si>
    <t>サイト/梱包明細</t>
    <rPh sb="4" eb="6">
      <t>コンポウ</t>
    </rPh>
    <rPh sb="6" eb="8">
      <t>メイサイ</t>
    </rPh>
    <phoneticPr fontId="13"/>
  </si>
  <si>
    <t>サイト/請求書</t>
    <rPh sb="4" eb="7">
      <t>セイキュウショ</t>
    </rPh>
    <phoneticPr fontId="13"/>
  </si>
  <si>
    <t>配送情報/確認書</t>
    <rPh sb="0" eb="2">
      <t>ハイソウ</t>
    </rPh>
    <rPh sb="2" eb="4">
      <t>ジョウホウ</t>
    </rPh>
    <phoneticPr fontId="13"/>
  </si>
  <si>
    <t>配送情報/ピッキングリスト</t>
    <phoneticPr fontId="13"/>
  </si>
  <si>
    <t>配送情報/梱包明細</t>
    <rPh sb="5" eb="7">
      <t>コンポウ</t>
    </rPh>
    <rPh sb="7" eb="9">
      <t>メイサイ</t>
    </rPh>
    <phoneticPr fontId="13"/>
  </si>
  <si>
    <t>配送情報/請求書</t>
    <rPh sb="5" eb="8">
      <t>セイキュウショ</t>
    </rPh>
    <phoneticPr fontId="13"/>
  </si>
  <si>
    <t>出荷</t>
    <rPh sb="0" eb="2">
      <t>シュッカ</t>
    </rPh>
    <phoneticPr fontId="13"/>
  </si>
  <si>
    <t>出荷配送情報を設定します</t>
    <phoneticPr fontId="13"/>
  </si>
  <si>
    <t>出荷の更新</t>
    <rPh sb="0" eb="2">
      <t>シュッカ</t>
    </rPh>
    <rPh sb="3" eb="5">
      <t>コウシン</t>
    </rPh>
    <phoneticPr fontId="13"/>
  </si>
  <si>
    <t>出荷明細</t>
    <rPh sb="0" eb="2">
      <t>シュッカ</t>
    </rPh>
    <rPh sb="2" eb="4">
      <t>メイサイ</t>
    </rPh>
    <phoneticPr fontId="13"/>
  </si>
  <si>
    <t>なし
梱包明細更新
請求書の転記
両方</t>
    <rPh sb="3" eb="5">
      <t>コンポウ</t>
    </rPh>
    <rPh sb="5" eb="7">
      <t>メイサイ</t>
    </rPh>
    <rPh sb="7" eb="9">
      <t>コウシン</t>
    </rPh>
    <rPh sb="10" eb="13">
      <t>セイキュウショ</t>
    </rPh>
    <rPh sb="14" eb="16">
      <t>テンキ</t>
    </rPh>
    <rPh sb="17" eb="19">
      <t>リョウホウ</t>
    </rPh>
    <phoneticPr fontId="13"/>
  </si>
  <si>
    <t>配送管理</t>
    <rPh sb="0" eb="2">
      <t>ハイソウ</t>
    </rPh>
    <rPh sb="2" eb="4">
      <t>カンリ</t>
    </rPh>
    <phoneticPr fontId="13"/>
  </si>
  <si>
    <t>配送日の管理</t>
    <rPh sb="0" eb="2">
      <t>ハイソウ</t>
    </rPh>
    <rPh sb="2" eb="3">
      <t>ヒ</t>
    </rPh>
    <rPh sb="4" eb="6">
      <t>カンリ</t>
    </rPh>
    <phoneticPr fontId="13"/>
  </si>
  <si>
    <t>なし
販売リードタイム
ATP
ATP + 発行余力
CTP</t>
    <rPh sb="3" eb="5">
      <t>ハンバイ</t>
    </rPh>
    <rPh sb="22" eb="24">
      <t>ハッコウ</t>
    </rPh>
    <rPh sb="24" eb="26">
      <t>ヨリョク</t>
    </rPh>
    <phoneticPr fontId="13"/>
  </si>
  <si>
    <t>販売リードタイム</t>
    <rPh sb="0" eb="2">
      <t>ハンバイ</t>
    </rPh>
    <phoneticPr fontId="13"/>
  </si>
  <si>
    <t>作業日</t>
    <rPh sb="0" eb="2">
      <t>サギョウ</t>
    </rPh>
    <rPh sb="2" eb="3">
      <t>ビ</t>
    </rPh>
    <phoneticPr fontId="13"/>
  </si>
  <si>
    <t>ATP タイム フェンス</t>
    <phoneticPr fontId="13"/>
  </si>
  <si>
    <t>ATP 後方需要タイム フェンス</t>
    <phoneticPr fontId="13"/>
  </si>
  <si>
    <t>期限経過した需要は棚卸資産の使用可能日を計算して考慮されるため、今日から逆算した日数を入力します。期限経過した需要は、在庫払出とも呼ばれ、在庫の最も早い出荷可能日に影響します。たとえば、0 を入力すると、需要の期限経過は考慮されません。1 を入力すると、前日の需要が考慮されます。</t>
    <phoneticPr fontId="13"/>
  </si>
  <si>
    <t>ATP 後方供給タイム フェンス</t>
    <phoneticPr fontId="13"/>
  </si>
  <si>
    <t>期限経過した供給は棚卸資産の使用可能日を計算して考慮されるため、今日から逆算した日数を入力します。期限経過した供給は、在庫入庫とも呼ばれ、在庫の最も早い出荷可能日に影響します。たとえば、0 を入力すると、供給の期限経過は考慮されません。1 を入力すると、前日の供給が考慮されます。</t>
    <phoneticPr fontId="13"/>
  </si>
  <si>
    <t>ATP 遅延需要相殺時間</t>
    <phoneticPr fontId="13"/>
  </si>
  <si>
    <t>期限経過した需要 (在庫払出) に対する出荷日と見なされる今日以降の日数を入力します。たとえば、0 を入力すると、出荷予定日を過ぎた品目は、今日出荷されたものと見なされます。1 を入力すると、出荷予定日を過ぎた品目は、明日出荷されるものと見なされます。</t>
    <phoneticPr fontId="13"/>
  </si>
  <si>
    <t>ATP 遅延供給相殺時間</t>
    <phoneticPr fontId="13"/>
  </si>
  <si>
    <t>期限経過して在庫入庫した品目の受領日と見なされる今日以降の日数を入力します。たとえば、0 を入力すると、品目は今日受領されたと見なされます。たとえば、1 を入力すると、品目は明日受領されると見なされます。</t>
    <phoneticPr fontId="13"/>
  </si>
  <si>
    <t>ATP に計画オーダーを含める</t>
  </si>
  <si>
    <t>出荷レイアウト</t>
    <rPh sb="0" eb="2">
      <t>シュッカ</t>
    </rPh>
    <phoneticPr fontId="13"/>
  </si>
  <si>
    <t>出荷レポート レイアウト</t>
    <rPh sb="0" eb="2">
      <t>シュッカ</t>
    </rPh>
    <phoneticPr fontId="13"/>
  </si>
  <si>
    <t>出荷リスト
出荷ラベル</t>
    <rPh sb="0" eb="2">
      <t>シュッカ</t>
    </rPh>
    <rPh sb="6" eb="8">
      <t>シュッカ</t>
    </rPh>
    <phoneticPr fontId="13"/>
  </si>
  <si>
    <t>出荷リスト</t>
    <rPh sb="0" eb="2">
      <t>シュッカ</t>
    </rPh>
    <phoneticPr fontId="13"/>
  </si>
  <si>
    <t>船荷証券</t>
    <rPh sb="0" eb="2">
      <t>フナニ</t>
    </rPh>
    <rPh sb="2" eb="4">
      <t>ショウケン</t>
    </rPh>
    <phoneticPr fontId="13"/>
  </si>
  <si>
    <t>言語</t>
    <rPh sb="0" eb="2">
      <t>ゲンゴ</t>
    </rPh>
    <phoneticPr fontId="13"/>
  </si>
  <si>
    <t>タイプ（言語）</t>
    <rPh sb="4" eb="6">
      <t>ゲンゴ</t>
    </rPh>
    <phoneticPr fontId="22"/>
  </si>
  <si>
    <t>配送業者名</t>
    <rPh sb="0" eb="2">
      <t>ハイソウ</t>
    </rPh>
    <rPh sb="2" eb="4">
      <t>ギョウシャ</t>
    </rPh>
    <rPh sb="4" eb="5">
      <t>メイ</t>
    </rPh>
    <phoneticPr fontId="13"/>
  </si>
  <si>
    <t>タイプ（配送業者名）</t>
    <rPh sb="4" eb="6">
      <t>ハイソウ</t>
    </rPh>
    <rPh sb="6" eb="8">
      <t>ギョウシャ</t>
    </rPh>
    <rPh sb="8" eb="9">
      <t>メイ</t>
    </rPh>
    <phoneticPr fontId="22"/>
  </si>
  <si>
    <t>配送業者</t>
    <rPh sb="0" eb="2">
      <t>ハイソウ</t>
    </rPh>
    <rPh sb="2" eb="4">
      <t>ギョウシャ</t>
    </rPh>
    <phoneticPr fontId="13"/>
  </si>
  <si>
    <t>配送業者
荷主
受取人</t>
    <rPh sb="0" eb="2">
      <t>ハイソウ</t>
    </rPh>
    <rPh sb="2" eb="4">
      <t>ギョウシャ</t>
    </rPh>
    <rPh sb="5" eb="7">
      <t>ニヌシ</t>
    </rPh>
    <rPh sb="8" eb="10">
      <t>ウケトリ</t>
    </rPh>
    <rPh sb="10" eb="11">
      <t>ニン</t>
    </rPh>
    <phoneticPr fontId="13"/>
  </si>
  <si>
    <t>配送料条件</t>
    <rPh sb="0" eb="2">
      <t>ハイソウ</t>
    </rPh>
    <rPh sb="2" eb="3">
      <t>リョウ</t>
    </rPh>
    <rPh sb="3" eb="5">
      <t>ジョウケン</t>
    </rPh>
    <phoneticPr fontId="13"/>
  </si>
  <si>
    <t>前払
回収
サードパーティ</t>
    <rPh sb="0" eb="2">
      <t>マエバライ</t>
    </rPh>
    <rPh sb="3" eb="5">
      <t>カイシュウ</t>
    </rPh>
    <phoneticPr fontId="13"/>
  </si>
  <si>
    <t>前払</t>
    <rPh sb="0" eb="2">
      <t>マエバライ</t>
    </rPh>
    <phoneticPr fontId="13"/>
  </si>
  <si>
    <t>トレーラー積載者</t>
    <rPh sb="5" eb="7">
      <t>セキサイ</t>
    </rPh>
    <rPh sb="7" eb="8">
      <t>シャ</t>
    </rPh>
    <phoneticPr fontId="13"/>
  </si>
  <si>
    <t>荷主
配送担当者</t>
    <rPh sb="0" eb="2">
      <t>ニヌシ</t>
    </rPh>
    <rPh sb="3" eb="5">
      <t>ハイソウ</t>
    </rPh>
    <rPh sb="5" eb="8">
      <t>タントウシャ</t>
    </rPh>
    <phoneticPr fontId="13"/>
  </si>
  <si>
    <t>荷主</t>
    <rPh sb="0" eb="2">
      <t>ニヌシ</t>
    </rPh>
    <phoneticPr fontId="13"/>
  </si>
  <si>
    <t>積荷数確認者</t>
    <rPh sb="0" eb="2">
      <t>ツミニ</t>
    </rPh>
    <rPh sb="2" eb="3">
      <t>スウ</t>
    </rPh>
    <rPh sb="3" eb="5">
      <t>カクニン</t>
    </rPh>
    <rPh sb="5" eb="6">
      <t>シャ</t>
    </rPh>
    <phoneticPr fontId="13"/>
  </si>
  <si>
    <t>荷主
配送担当者/パレットごと
配送担当者/個数ごと</t>
    <rPh sb="0" eb="2">
      <t>ニヌシ</t>
    </rPh>
    <rPh sb="3" eb="5">
      <t>ハイソウ</t>
    </rPh>
    <rPh sb="5" eb="8">
      <t>タントウシャ</t>
    </rPh>
    <rPh sb="22" eb="24">
      <t>コスウ</t>
    </rPh>
    <phoneticPr fontId="13"/>
  </si>
  <si>
    <t>元帳と消費税</t>
    <rPh sb="0" eb="2">
      <t>モトチョウ</t>
    </rPh>
    <rPh sb="3" eb="6">
      <t>ショウヒゼイ</t>
    </rPh>
    <phoneticPr fontId="13"/>
  </si>
  <si>
    <t>転記の税オプションを設定します</t>
    <phoneticPr fontId="13"/>
  </si>
  <si>
    <t>一般</t>
    <rPh sb="0" eb="2">
      <t>イッパン</t>
    </rPh>
    <phoneticPr fontId="13"/>
  </si>
  <si>
    <t>転記プロファイル</t>
    <phoneticPr fontId="13"/>
  </si>
  <si>
    <t>基本売上転記</t>
    <phoneticPr fontId="13"/>
  </si>
  <si>
    <t>品目
顧客</t>
    <rPh sb="0" eb="2">
      <t>ヒンモク</t>
    </rPh>
    <rPh sb="3" eb="5">
      <t>コキャク</t>
    </rPh>
    <phoneticPr fontId="13"/>
  </si>
  <si>
    <t>品目</t>
    <rPh sb="0" eb="2">
      <t>ヒンモク</t>
    </rPh>
    <phoneticPr fontId="13"/>
  </si>
  <si>
    <t>基本消費トランザクション</t>
    <phoneticPr fontId="13"/>
  </si>
  <si>
    <t>基本割引転記</t>
    <phoneticPr fontId="13"/>
  </si>
  <si>
    <t>既定の分析コード階層</t>
  </si>
  <si>
    <t>品目、顧客、カタログ
品目、カタログ、顧客
顧客、品目、カタログ
顧客、カタログ、品目
カタログ、品目、顧客
カタログ、顧客、品目</t>
    <rPh sb="0" eb="2">
      <t>ヒンモク</t>
    </rPh>
    <rPh sb="3" eb="5">
      <t>コキャク</t>
    </rPh>
    <rPh sb="11" eb="13">
      <t>ヒンモク</t>
    </rPh>
    <rPh sb="19" eb="21">
      <t>コキャク</t>
    </rPh>
    <rPh sb="22" eb="24">
      <t>コキャク</t>
    </rPh>
    <rPh sb="25" eb="27">
      <t>ヒンモク</t>
    </rPh>
    <rPh sb="33" eb="35">
      <t>コキャク</t>
    </rPh>
    <rPh sb="41" eb="43">
      <t>ヒンモク</t>
    </rPh>
    <rPh sb="49" eb="51">
      <t>ヒンモク</t>
    </rPh>
    <rPh sb="52" eb="54">
      <t>コキャク</t>
    </rPh>
    <rPh sb="60" eb="62">
      <t>コキャク</t>
    </rPh>
    <rPh sb="63" eb="65">
      <t>ヒンモク</t>
    </rPh>
    <phoneticPr fontId="13"/>
  </si>
  <si>
    <t>品目、顧客、カタログ</t>
    <rPh sb="0" eb="2">
      <t>ヒンモク</t>
    </rPh>
    <rPh sb="3" eb="5">
      <t>コキャク</t>
    </rPh>
    <phoneticPr fontId="13"/>
  </si>
  <si>
    <t>詳細モードでの税額調整の有効化</t>
  </si>
  <si>
    <t>ドキュメントの明細行ごとの税額調整を有効にします。</t>
    <phoneticPr fontId="13"/>
  </si>
  <si>
    <t>自由書式の請求書
必須品目別税グループ</t>
    <rPh sb="0" eb="2">
      <t>ジユウ</t>
    </rPh>
    <rPh sb="2" eb="4">
      <t>ショシキ</t>
    </rPh>
    <rPh sb="5" eb="8">
      <t>セイキュウショ</t>
    </rPh>
    <phoneticPr fontId="13"/>
  </si>
  <si>
    <t>支払</t>
    <rPh sb="0" eb="2">
      <t>シハライ</t>
    </rPh>
    <phoneticPr fontId="13"/>
  </si>
  <si>
    <t>振替勘定番号に予約されている支払 ID の長さを表示します。このパラメータは、振替銀行のファイルを読み取る際に使用されます。このコードは、顧客 ID と伝票番号から構成されます。このフィールドの後に、使用可能な 15 桁で表された顧客 ID と伝票番号が示されます。</t>
  </si>
  <si>
    <t>前払仕訳伝票の消費税</t>
    <phoneticPr fontId="13"/>
  </si>
  <si>
    <t>前払仕訳伝票を含む転記プロファイル</t>
    <phoneticPr fontId="13"/>
  </si>
  <si>
    <t>前払仕訳伝票を転記するために使用する転記プロファイルを選択します。転記プロファイルにより、前払仕訳伝票および前払仕訳伝票の消費税が転記される場所が決定されます。前払仕訳伝票の消費税は、前払仕訳伝票のオプションで消費税が選択されている場合のみ計算されます。このオプションが選択されていない場合、顧客 ID から既定の転記プロファイルが使用されます。</t>
    <phoneticPr fontId="13"/>
  </si>
  <si>
    <t>支払提案に複数の支払方法が使用されている場合に警告します</t>
    <phoneticPr fontId="13"/>
  </si>
  <si>
    <t>受取手形</t>
    <rPh sb="0" eb="2">
      <t>ウケトリ</t>
    </rPh>
    <rPh sb="2" eb="4">
      <t>テガタ</t>
    </rPh>
    <phoneticPr fontId="13"/>
  </si>
  <si>
    <t>受取手形</t>
    <phoneticPr fontId="13"/>
  </si>
  <si>
    <t>受取手形の受取拒否</t>
    <phoneticPr fontId="13"/>
  </si>
  <si>
    <t>裏書受取手形</t>
    <phoneticPr fontId="13"/>
  </si>
  <si>
    <t>取立依頼</t>
    <phoneticPr fontId="13"/>
  </si>
  <si>
    <t>割引依頼</t>
    <phoneticPr fontId="13"/>
  </si>
  <si>
    <t>キャッシュフロー予測</t>
    <rPh sb="8" eb="10">
      <t>ヨソク</t>
    </rPh>
    <phoneticPr fontId="13"/>
  </si>
  <si>
    <t>出荷日から請求日までの時間</t>
    <phoneticPr fontId="13"/>
  </si>
  <si>
    <t>販売注文の確認済出荷日もしくは要求出荷日から請求日までの標準期間を説明する支払条件を選択します。</t>
    <phoneticPr fontId="13"/>
  </si>
  <si>
    <t>請求日から期日までの期間を説明する、顧客に適用される標準の支払条件を選択します。</t>
    <phoneticPr fontId="13"/>
  </si>
  <si>
    <t>請求書の期日から支払日までの時間</t>
    <phoneticPr fontId="13"/>
  </si>
  <si>
    <t>請求書の期限から支払期日までの標準期間を説明する支払条件を選択します。</t>
    <phoneticPr fontId="13"/>
  </si>
  <si>
    <t>支払の流動資産勘定</t>
    <phoneticPr fontId="13"/>
  </si>
  <si>
    <t>キャッシュ フロー予測で使用されるトランザクション金額の割合を説明する割り当てキーを選択します。</t>
  </si>
  <si>
    <t>決済</t>
    <rPh sb="0" eb="2">
      <t>ケッサイ</t>
    </rPh>
    <phoneticPr fontId="13"/>
  </si>
  <si>
    <t>支払決済のオプションを設定します</t>
    <phoneticPr fontId="13"/>
  </si>
  <si>
    <t>オプション</t>
    <phoneticPr fontId="13"/>
  </si>
  <si>
    <t>自動決済</t>
    <rPh sb="0" eb="2">
      <t>ジドウ</t>
    </rPh>
    <rPh sb="2" eb="4">
      <t>ケッサイ</t>
    </rPh>
    <phoneticPr fontId="13"/>
  </si>
  <si>
    <t>現金割引管理</t>
    <rPh sb="0" eb="2">
      <t>ゲンキン</t>
    </rPh>
    <rPh sb="2" eb="4">
      <t>ワリビキ</t>
    </rPh>
    <rPh sb="4" eb="6">
      <t>カンリ</t>
    </rPh>
    <phoneticPr fontId="13"/>
  </si>
  <si>
    <t>請求書が決済されたときに、取得可能な現金割引差額を現金割引差額と見なすか、勘定に対する支払と見なすかを指定します。この設定は、現金割引を含む決済済支払金額が請求書の決済金額と一致しない場合に使用します。非限定 - 現金割引差額は次のように処理されます : 適用可能な現金割引が過剰支払として同じ法人に転記された場合、現金割引額は超過支払金額で調整されます。適用可能な現金割引を過剰支払として別の法人に転記する場合、自動トランザクションの勘定のページで指定されている顧客現金割引勘定が使用されます。適用可能な現金割引が過少支払の場合、自動トランザクションの勘定フォームで指定されている顧客現金割引勘定が使用されます。複数の現金割引がある場合、たとえば、過剰支払が複数の請求書で決済される場合、最近決済された請求書から最初の割引金額まで調整が行われます。最初の割引は階層化された割引があるときに使用されます。たとえば、請求書が 5 日以内に支払われた場合は 10% の割引を許可し、請求書が 15 日以内に支払われた場合は 6% の割引を許可します。過剰支払は 10% である割引の最初の層に対して調整されます。限定 - 自動トランザクションの勘定ページで指定されている顧客現金割引勘定を使います。例 請求合計 : 105.0、C1000 取得可能な現金割引 : 10.50、現金割引を含む支払額 : 94.50、顧客の実際の支払額 : 95.0。非限定を選択した場合、請求書が決済され、差額 0.50 ドルは現金割引差額用に指定されている勘定科目に自動的に転記されます。限定を選択すると、請求書が決済され、差額の 0.50 は支払として売上勘定科目に自動的に転記されます。</t>
  </si>
  <si>
    <t>非限定
特定</t>
    <rPh sb="0" eb="1">
      <t>ヒ</t>
    </rPh>
    <rPh sb="1" eb="3">
      <t>ゲンテイ</t>
    </rPh>
    <rPh sb="4" eb="6">
      <t>トクテイ</t>
    </rPh>
    <phoneticPr fontId="13"/>
  </si>
  <si>
    <t>非限定</t>
    <rPh sb="0" eb="1">
      <t>ヒ</t>
    </rPh>
    <rPh sb="1" eb="3">
      <t>ゲンテイ</t>
    </rPh>
    <phoneticPr fontId="13"/>
  </si>
  <si>
    <t>少額差分の最大値</t>
    <rPh sb="0" eb="2">
      <t>ショウガク</t>
    </rPh>
    <rPh sb="2" eb="4">
      <t>サブン</t>
    </rPh>
    <rPh sb="5" eb="8">
      <t>サイダイチ</t>
    </rPh>
    <phoneticPr fontId="13"/>
  </si>
  <si>
    <t>最大の過剰支払/過少支払</t>
    <phoneticPr fontId="13"/>
  </si>
  <si>
    <t>過剰/過少支払の確認</t>
    <phoneticPr fontId="13"/>
  </si>
  <si>
    <t>一部支払の現金割引を計算</t>
    <phoneticPr fontId="13"/>
  </si>
  <si>
    <t>訂正票に対する現金割引を計算</t>
    <phoneticPr fontId="13"/>
  </si>
  <si>
    <t>期日を表示して編集を許可する</t>
    <phoneticPr fontId="13"/>
  </si>
  <si>
    <t>顧客トランザクション ページに期日列を表示し、期日および割引日の編集を許可する</t>
  </si>
  <si>
    <t>行をマーク</t>
    <rPh sb="0" eb="1">
      <t>ギョウ</t>
    </rPh>
    <phoneticPr fontId="13"/>
  </si>
  <si>
    <t>自由書式の請求書および利子計算書の行をマークします</t>
  </si>
  <si>
    <t>優先順位
優先順位の管理</t>
    <rPh sb="0" eb="2">
      <t>ユウセン</t>
    </rPh>
    <rPh sb="2" eb="4">
      <t>ジュンイ</t>
    </rPh>
    <rPh sb="5" eb="9">
      <t>ユウセンジュンイ</t>
    </rPh>
    <rPh sb="10" eb="12">
      <t>カンリ</t>
    </rPh>
    <phoneticPr fontId="13"/>
  </si>
  <si>
    <t>決済の優先順位付け</t>
    <phoneticPr fontId="13"/>
  </si>
  <si>
    <t>ユーザーがあらかじめ設定された決済注文をトランザクションに割り当てることができるように、[顧客支払の入力] と未処理トランザクションの決済のページの優先順位のボタンでマークを有効にするために、このオプションを選択します。既定の決済注文がトランザクションに優先順位のボタンでマークを使用して適用された後、注文と支払の配賦が転記前に変更できます。自動決済と自動決済の優先順位の使用オプションが選択されている場合、顧客の貸方が転記されていて決済注文が割り当てられていない場合は、借方トランザクションが決済の優先順位のページで指定された順序で自動的に決済されます。</t>
  </si>
  <si>
    <t>自動決済の優先順位の使用</t>
    <phoneticPr fontId="13"/>
  </si>
  <si>
    <t>残余決済</t>
    <rPh sb="0" eb="2">
      <t>ザンヨ</t>
    </rPh>
    <rPh sb="2" eb="4">
      <t>ケッサイ</t>
    </rPh>
    <phoneticPr fontId="13"/>
  </si>
  <si>
    <t>残余決済の有効化</t>
    <phoneticPr fontId="13"/>
  </si>
  <si>
    <t>残余決済の既定の理由コード</t>
  </si>
  <si>
    <t>「残余決済の有効化」を「はい」にした場合に設定可能</t>
    <rPh sb="23" eb="25">
      <t>カノウ</t>
    </rPh>
    <phoneticPr fontId="17"/>
  </si>
  <si>
    <t>既定の残余決済勘定</t>
    <phoneticPr fontId="13"/>
  </si>
  <si>
    <t>既定の仕訳帳名</t>
    <phoneticPr fontId="13"/>
  </si>
  <si>
    <t>「残余決済の有効化」を「はい」にした場合に必須</t>
    <rPh sb="21" eb="23">
      <t>ヒッス</t>
    </rPh>
    <phoneticPr fontId="17"/>
  </si>
  <si>
    <t>口座引落</t>
    <phoneticPr fontId="13"/>
  </si>
  <si>
    <t>口座引落の既定値の設定</t>
    <phoneticPr fontId="13"/>
  </si>
  <si>
    <t>事前通知</t>
    <rPh sb="0" eb="2">
      <t>ジゼン</t>
    </rPh>
    <rPh sb="2" eb="4">
      <t>ツウチ</t>
    </rPh>
    <phoneticPr fontId="13"/>
  </si>
  <si>
    <t>最初の事前通知に必要な日数</t>
    <phoneticPr fontId="13"/>
  </si>
  <si>
    <t>14</t>
    <phoneticPr fontId="13"/>
  </si>
  <si>
    <t>定期的な事前通知に必要な日数</t>
    <phoneticPr fontId="13"/>
  </si>
  <si>
    <t>銀行への送信</t>
    <rPh sb="0" eb="2">
      <t>ギンコウ</t>
    </rPh>
    <rPh sb="4" eb="6">
      <t>ソウシン</t>
    </rPh>
    <phoneticPr fontId="13"/>
  </si>
  <si>
    <t>Core スキームの銀行への最初の送信に必要な日数</t>
  </si>
  <si>
    <t>Core スキームの銀行への定期的な送信に必要な日数</t>
  </si>
  <si>
    <t>B2B の銀行への最初の送信に必要な日数</t>
    <phoneticPr fontId="13"/>
  </si>
  <si>
    <t>B2B の銀行への定期的な送信に必要な日数</t>
    <phoneticPr fontId="13"/>
  </si>
  <si>
    <t>COR1 の銀行への最初の送信に必要な日数</t>
    <phoneticPr fontId="13"/>
  </si>
  <si>
    <t>COR1 の銀行への定期的な送信に必要な日数</t>
    <phoneticPr fontId="13"/>
  </si>
  <si>
    <t>終了</t>
    <rPh sb="0" eb="2">
      <t>シュウリョウ</t>
    </rPh>
    <phoneticPr fontId="13"/>
  </si>
  <si>
    <t>使用日から有効期限が切れるまでの月数</t>
    <phoneticPr fontId="13"/>
  </si>
  <si>
    <t>クレジットカード</t>
  </si>
  <si>
    <t>設定</t>
    <rPh sb="0" eb="2">
      <t>セッテイ</t>
    </rPh>
    <phoneticPr fontId="13"/>
  </si>
  <si>
    <t>クレジット カード認証</t>
  </si>
  <si>
    <t>クレジット カードに関する注記</t>
  </si>
  <si>
    <t>文字列</t>
    <rPh sb="0" eb="3">
      <t>モジレツ</t>
    </rPh>
    <phoneticPr fontId="13"/>
  </si>
  <si>
    <t>期限が切れるまでの日数</t>
    <phoneticPr fontId="13"/>
  </si>
  <si>
    <t>配送料見積</t>
    <rPh sb="0" eb="2">
      <t>ハイソウ</t>
    </rPh>
    <rPh sb="2" eb="3">
      <t>リョウ</t>
    </rPh>
    <rPh sb="3" eb="5">
      <t>ミツ</t>
    </rPh>
    <phoneticPr fontId="13"/>
  </si>
  <si>
    <t>値</t>
    <rPh sb="0" eb="1">
      <t>アタイ</t>
    </rPh>
    <phoneticPr fontId="13"/>
  </si>
  <si>
    <t>顧客が支払にクレジット カードを使用し、かつそのカードの認証が必要である場合に、配送料の見積に使用する数値を入力します。この値は、[タイプ] フィールドでの指定に応じて、金額または注文金額に対する割合で指定します。注文が履行されて出荷されると、顧客のクレジット カードに対して見積額に代わって実際の配送料が請求されます。</t>
  </si>
  <si>
    <t>タイプ</t>
    <phoneticPr fontId="13"/>
  </si>
  <si>
    <t>注文の配送費用を見積もる際に、固定額と割合のどちらを使用するかを選択します。見積配送料は注文金額に加算され、クレジット カードが認証されるときに顧客の使用可能なクレジットからその金額が差し引かれます。</t>
  </si>
  <si>
    <t>開始日固定
パーセンテージ</t>
    <rPh sb="0" eb="2">
      <t>カイシ</t>
    </rPh>
    <rPh sb="2" eb="3">
      <t>ヒ</t>
    </rPh>
    <rPh sb="3" eb="5">
      <t>コテイ</t>
    </rPh>
    <phoneticPr fontId="13"/>
  </si>
  <si>
    <t>開始日固定</t>
    <rPh sb="0" eb="2">
      <t>カイシ</t>
    </rPh>
    <rPh sb="2" eb="3">
      <t>ヒ</t>
    </rPh>
    <rPh sb="3" eb="5">
      <t>コテイ</t>
    </rPh>
    <phoneticPr fontId="13"/>
  </si>
  <si>
    <t>最大金額</t>
    <rPh sb="0" eb="2">
      <t>サイダイ</t>
    </rPh>
    <rPh sb="2" eb="4">
      <t>キンガク</t>
    </rPh>
    <phoneticPr fontId="13"/>
  </si>
  <si>
    <t>「タイプ」を「パーセンテージ」にした場合に設定</t>
    <rPh sb="21" eb="23">
      <t>セッテイ</t>
    </rPh>
    <phoneticPr fontId="17"/>
  </si>
  <si>
    <t>クレジット カード支払の転記</t>
  </si>
  <si>
    <t>勘定タイプ</t>
    <phoneticPr fontId="13"/>
  </si>
  <si>
    <t>元帳
顧客
仕入先
プロジェクト
固定資産
銀行</t>
    <rPh sb="0" eb="2">
      <t>モトチョウ</t>
    </rPh>
    <rPh sb="3" eb="5">
      <t>コキャク</t>
    </rPh>
    <rPh sb="6" eb="8">
      <t>シイレ</t>
    </rPh>
    <rPh sb="8" eb="9">
      <t>サキ</t>
    </rPh>
    <rPh sb="17" eb="19">
      <t>コテイ</t>
    </rPh>
    <rPh sb="19" eb="21">
      <t>シサン</t>
    </rPh>
    <rPh sb="22" eb="24">
      <t>ギンコウ</t>
    </rPh>
    <phoneticPr fontId="13"/>
  </si>
  <si>
    <t>元帳</t>
    <rPh sb="0" eb="2">
      <t>モトチョウ</t>
    </rPh>
    <phoneticPr fontId="13"/>
  </si>
  <si>
    <t>勘定</t>
    <rPh sb="0" eb="2">
      <t>カンジョウ</t>
    </rPh>
    <phoneticPr fontId="13"/>
  </si>
  <si>
    <t>銀行トランザクション タイプ</t>
    <phoneticPr fontId="13"/>
  </si>
  <si>
    <t>コスト センター分析コード</t>
  </si>
  <si>
    <t>データベースのレコードの固有 ID</t>
  </si>
  <si>
    <t>取立</t>
    <rPh sb="0" eb="1">
      <t>ト</t>
    </rPh>
    <rPh sb="1" eb="2">
      <t>タ</t>
    </rPh>
    <phoneticPr fontId="13"/>
  </si>
  <si>
    <t>取立および督促状のオプションを設定します</t>
    <phoneticPr fontId="13"/>
  </si>
  <si>
    <t>督促状</t>
    <phoneticPr fontId="13"/>
  </si>
  <si>
    <t>督促状コードの更新</t>
  </si>
  <si>
    <t>転記
印刷</t>
    <rPh sb="0" eb="2">
      <t>テンキ</t>
    </rPh>
    <rPh sb="3" eb="5">
      <t>インサツ</t>
    </rPh>
    <phoneticPr fontId="13"/>
  </si>
  <si>
    <t>転記</t>
    <rPh sb="0" eb="2">
      <t>テンキ</t>
    </rPh>
    <phoneticPr fontId="13"/>
  </si>
  <si>
    <t>争議対象のトランザクションを手数料計算から除外</t>
    <phoneticPr fontId="13"/>
  </si>
  <si>
    <t>督促状コードの計算のため、支払いおよびクレジットのメモを無視します</t>
  </si>
  <si>
    <t>次の単位別に督促状を作成:</t>
    <phoneticPr fontId="13"/>
  </si>
  <si>
    <t>トランザクション
顧客</t>
    <rPh sb="9" eb="11">
      <t>コキャク</t>
    </rPh>
    <phoneticPr fontId="13"/>
  </si>
  <si>
    <t>トランザクション</t>
    <phoneticPr fontId="13"/>
  </si>
  <si>
    <t>利息と手数料
＞利息および手数料の顧客限度の免除を管理</t>
    <rPh sb="0" eb="2">
      <t>リソク</t>
    </rPh>
    <rPh sb="3" eb="5">
      <t>テスウ</t>
    </rPh>
    <rPh sb="5" eb="6">
      <t>リョウ</t>
    </rPh>
    <phoneticPr fontId="13"/>
  </si>
  <si>
    <t>通貨</t>
    <rPh sb="0" eb="2">
      <t>ツウカ</t>
    </rPh>
    <phoneticPr fontId="13"/>
  </si>
  <si>
    <t>金額</t>
    <rPh sb="0" eb="2">
      <t>キンガク</t>
    </rPh>
    <phoneticPr fontId="13"/>
  </si>
  <si>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</si>
  <si>
    <t>利息と手数料</t>
    <phoneticPr fontId="13"/>
  </si>
  <si>
    <t>利息計算</t>
    <phoneticPr fontId="13"/>
  </si>
  <si>
    <t>未処理および決算済</t>
    <rPh sb="0" eb="3">
      <t>ミショリ</t>
    </rPh>
    <rPh sb="6" eb="8">
      <t>ケッサン</t>
    </rPh>
    <rPh sb="8" eb="9">
      <t>スミ</t>
    </rPh>
    <phoneticPr fontId="13"/>
  </si>
  <si>
    <t>調整請求書の日付値</t>
    <phoneticPr fontId="13"/>
  </si>
  <si>
    <t>利子計算書日付
現在のシステム日付</t>
    <rPh sb="8" eb="10">
      <t>ゲンザイ</t>
    </rPh>
    <rPh sb="15" eb="17">
      <t>ヒヅケ</t>
    </rPh>
    <phoneticPr fontId="13"/>
  </si>
  <si>
    <t>利子計算書日付</t>
    <phoneticPr fontId="13"/>
  </si>
  <si>
    <t>免除される利息および手数料を許可する最少日数</t>
    <phoneticPr fontId="13"/>
  </si>
  <si>
    <t>免除される利息および手数料を許可する最大日数</t>
    <phoneticPr fontId="13"/>
  </si>
  <si>
    <t>損金処理</t>
    <rPh sb="0" eb="2">
      <t>ソンキン</t>
    </rPh>
    <rPh sb="2" eb="4">
      <t>ショリ</t>
    </rPh>
    <phoneticPr fontId="13"/>
  </si>
  <si>
    <t>損金処理仕訳帳</t>
    <phoneticPr fontId="13"/>
  </si>
  <si>
    <t>消費税を分離する</t>
    <phoneticPr fontId="13"/>
  </si>
  <si>
    <t>既定の損金処理の理由</t>
    <phoneticPr fontId="13"/>
  </si>
  <si>
    <t>回収の既定値</t>
    <rPh sb="0" eb="2">
      <t>カイシュウ</t>
    </rPh>
    <rPh sb="3" eb="6">
      <t>キテイチ</t>
    </rPh>
    <phoneticPr fontId="13"/>
  </si>
  <si>
    <t>エイジング期間の定義</t>
    <phoneticPr fontId="13"/>
  </si>
  <si>
    <t>チーム</t>
  </si>
  <si>
    <t>電子メールテンプレート</t>
    <rPh sb="0" eb="2">
      <t>デンシ</t>
    </rPh>
    <phoneticPr fontId="13"/>
  </si>
  <si>
    <t>連絡先に対するトランザクション</t>
    <phoneticPr fontId="13"/>
  </si>
  <si>
    <t>連絡先に対する明細書</t>
    <phoneticPr fontId="13"/>
  </si>
  <si>
    <t>販売担当者に対するトランザクション</t>
    <phoneticPr fontId="13"/>
  </si>
  <si>
    <t>価格</t>
    <phoneticPr fontId="13"/>
  </si>
  <si>
    <t>価格および割引のオプションを設定します</t>
    <phoneticPr fontId="13"/>
  </si>
  <si>
    <t>価格</t>
    <rPh sb="0" eb="2">
      <t>カカク</t>
    </rPh>
    <phoneticPr fontId="13"/>
  </si>
  <si>
    <t>明細行の自動諸掛を検索</t>
    <phoneticPr fontId="13"/>
  </si>
  <si>
    <t>割引</t>
    <phoneticPr fontId="13"/>
  </si>
  <si>
    <t>ライン
複数行
最大(行、複数行)
MINI(行、複数行)
行 + 複数行
行 * 複数行</t>
    <rPh sb="4" eb="7">
      <t>フクスウギョウ</t>
    </rPh>
    <rPh sb="8" eb="10">
      <t>サイダイ</t>
    </rPh>
    <rPh sb="11" eb="12">
      <t>ギョウ</t>
    </rPh>
    <rPh sb="13" eb="15">
      <t>フクスウ</t>
    </rPh>
    <rPh sb="15" eb="16">
      <t>ギョウ</t>
    </rPh>
    <rPh sb="23" eb="24">
      <t>ギョウ</t>
    </rPh>
    <rPh sb="25" eb="27">
      <t>フクスウ</t>
    </rPh>
    <rPh sb="27" eb="28">
      <t>ギョウ</t>
    </rPh>
    <rPh sb="30" eb="31">
      <t>ギョウ</t>
    </rPh>
    <rPh sb="34" eb="36">
      <t>フクスウ</t>
    </rPh>
    <rPh sb="36" eb="37">
      <t>ギョウ</t>
    </rPh>
    <phoneticPr fontId="13"/>
  </si>
  <si>
    <t>ライン</t>
    <phoneticPr fontId="13"/>
  </si>
  <si>
    <t>日付タイプ</t>
    <phoneticPr fontId="13"/>
  </si>
  <si>
    <t>今日
出荷予定日
入荷希望日</t>
    <rPh sb="0" eb="2">
      <t>キョウ</t>
    </rPh>
    <rPh sb="3" eb="5">
      <t>シュッカ</t>
    </rPh>
    <rPh sb="5" eb="7">
      <t>ヨテイ</t>
    </rPh>
    <rPh sb="7" eb="8">
      <t>ヒ</t>
    </rPh>
    <rPh sb="9" eb="11">
      <t>ニュウカ</t>
    </rPh>
    <rPh sb="11" eb="13">
      <t>キボウ</t>
    </rPh>
    <rPh sb="13" eb="14">
      <t>ヒ</t>
    </rPh>
    <phoneticPr fontId="13"/>
  </si>
  <si>
    <t>今日</t>
    <rPh sb="0" eb="2">
      <t>キョウ</t>
    </rPh>
    <phoneticPr fontId="13"/>
  </si>
  <si>
    <t>価格の詳細</t>
    <phoneticPr fontId="13"/>
  </si>
  <si>
    <t>価格の詳細の有効化</t>
    <phoneticPr fontId="13"/>
  </si>
  <si>
    <t>販売注文明細行の価格の詳細のユーザー ビューを許可する場合は、このオプションを選択します。価格の詳細ページにアクセスするには、[販売注文明細行] クイックタブの販売注文のページで、販売注文明細行をクリックしてから価格の詳細をクリックします。価格の詳細のページには、選択した製品に関連した価格、契約、および売買契約の情報が表示され、注文明細行の割引、リベート、利幅、ロイヤリティも計算されます。</t>
  </si>
  <si>
    <t>一般通貨とスマート丸め</t>
    <rPh sb="0" eb="2">
      <t>イッパン</t>
    </rPh>
    <rPh sb="2" eb="4">
      <t>ツウカ</t>
    </rPh>
    <rPh sb="9" eb="10">
      <t>マル</t>
    </rPh>
    <phoneticPr fontId="13"/>
  </si>
  <si>
    <t>一般通貨</t>
    <phoneticPr fontId="13"/>
  </si>
  <si>
    <t>為替レート タイプ</t>
  </si>
  <si>
    <t>通貨換算後にスマート丸めを適用します</t>
  </si>
  <si>
    <t>割引合計</t>
    <rPh sb="0" eb="2">
      <t>ワリビキ</t>
    </rPh>
    <rPh sb="2" eb="4">
      <t>ゴウケイ</t>
    </rPh>
    <phoneticPr fontId="13"/>
  </si>
  <si>
    <t>転記時に割引合計を計算</t>
    <phoneticPr fontId="13"/>
  </si>
  <si>
    <t>売買契約評価</t>
    <rPh sb="0" eb="2">
      <t>バイバイ</t>
    </rPh>
    <rPh sb="2" eb="4">
      <t>ケイヤク</t>
    </rPh>
    <rPh sb="4" eb="6">
      <t>ヒョウカ</t>
    </rPh>
    <phoneticPr fontId="13"/>
  </si>
  <si>
    <t>カタログを有効にするソースの管理</t>
  </si>
  <si>
    <t>売買契約評価
価格と割引条件を変更すると、価格と割引が再計算され上書きされる場合があります。ダイアログをトリガーできる場合もあります。価格または割引が外部ソースから継承されている場合、ダイアログは現在の価格または割引を維持するかどうかの指定に役立ちます。このダイアログをトリガーする外部ソースのタイプを追加します。</t>
  </si>
  <si>
    <t>販売契約書
販売注文からコピー
販売見積からコピー
プロジェクト
プロジェクト見積
販売見積
手動入力
製品コンフィギュレーションから転送されたフィールド
Retail POS</t>
  </si>
  <si>
    <t>販売契約書
販売注文からコピー
販売見積からコピー
プロジェクト
プロジェクト見積
販売見積
手動入力
製品コンフィギュレーションから転送されたフィールド
Retail POS</t>
    <phoneticPr fontId="13"/>
  </si>
  <si>
    <t>売買契約検証</t>
    <rPh sb="0" eb="2">
      <t>バイバイ</t>
    </rPh>
    <rPh sb="2" eb="4">
      <t>ケイヤク</t>
    </rPh>
    <rPh sb="4" eb="6">
      <t>ケンショウ</t>
    </rPh>
    <phoneticPr fontId="13"/>
  </si>
  <si>
    <t>重複とギャップの確認</t>
    <rPh sb="0" eb="2">
      <t>チョウフク</t>
    </rPh>
    <rPh sb="8" eb="10">
      <t>カクニン</t>
    </rPh>
    <phoneticPr fontId="13"/>
  </si>
  <si>
    <t>このパラメーターを有効にすると、売買契約で、数量範囲内にギャップや重複が生じることがなくなります。</t>
    <phoneticPr fontId="13"/>
  </si>
  <si>
    <t>電子ドキュメント</t>
    <phoneticPr fontId="13"/>
  </si>
  <si>
    <t>電子ドキュメントのオプションを設定します</t>
    <phoneticPr fontId="13"/>
  </si>
  <si>
    <t>電子申告</t>
    <rPh sb="0" eb="2">
      <t>デンシ</t>
    </rPh>
    <rPh sb="2" eb="4">
      <t>シンコク</t>
    </rPh>
    <phoneticPr fontId="13"/>
  </si>
  <si>
    <t>売上および自由書式の請求書</t>
    <phoneticPr fontId="13"/>
  </si>
  <si>
    <t>売上および自由書式の貸方票</t>
    <phoneticPr fontId="13"/>
  </si>
  <si>
    <t>プロジェクト請求書</t>
    <phoneticPr fontId="13"/>
  </si>
  <si>
    <t>プロジェクト訂正票</t>
    <phoneticPr fontId="13"/>
  </si>
  <si>
    <t>リベート プログラム</t>
  </si>
  <si>
    <t>リベート プログラム用のオプションを設定します</t>
  </si>
  <si>
    <t>請求</t>
    <rPh sb="0" eb="2">
      <t>セイキュウ</t>
    </rPh>
    <phoneticPr fontId="13"/>
  </si>
  <si>
    <t>請求時リベート</t>
  </si>
  <si>
    <t>開始曜日</t>
    <rPh sb="0" eb="2">
      <t>カイシ</t>
    </rPh>
    <rPh sb="2" eb="4">
      <t>ヨウビ</t>
    </rPh>
    <phoneticPr fontId="13"/>
  </si>
  <si>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3"/>
  </si>
  <si>
    <t>月曜</t>
    <rPh sb="0" eb="2">
      <t>ゲツヨウ</t>
    </rPh>
    <phoneticPr fontId="13"/>
  </si>
  <si>
    <t>仕訳帳</t>
    <rPh sb="0" eb="3">
      <t>シワケチョウ</t>
    </rPh>
    <phoneticPr fontId="13"/>
  </si>
  <si>
    <t>AR 消費仕訳帳</t>
    <phoneticPr fontId="13"/>
  </si>
  <si>
    <t>AP 請求仕訳帳</t>
    <phoneticPr fontId="13"/>
  </si>
  <si>
    <t>請求書の支払条件</t>
    <phoneticPr fontId="13"/>
  </si>
  <si>
    <t>リベート見越計上仕訳帳</t>
  </si>
  <si>
    <t>取引支出仕訳帳</t>
    <phoneticPr fontId="13"/>
  </si>
  <si>
    <t>運賃仕訳帳</t>
    <phoneticPr fontId="13"/>
  </si>
  <si>
    <t>利益幅の警告</t>
    <rPh sb="0" eb="2">
      <t>リエキ</t>
    </rPh>
    <rPh sb="2" eb="3">
      <t>ハバ</t>
    </rPh>
    <rPh sb="4" eb="6">
      <t>ケイコク</t>
    </rPh>
    <phoneticPr fontId="13"/>
  </si>
  <si>
    <t>価格の利益幅のオプションを設定します。</t>
    <phoneticPr fontId="13"/>
  </si>
  <si>
    <t>利益幅警告の有効化</t>
    <phoneticPr fontId="13"/>
  </si>
  <si>
    <t>許容される利益率</t>
    <phoneticPr fontId="13"/>
  </si>
  <si>
    <t>「利益幅警告の有効化」を「はい」にした場合に設定</t>
    <rPh sb="22" eb="24">
      <t>セッテイ</t>
    </rPh>
    <phoneticPr fontId="17"/>
  </si>
  <si>
    <t>疑わしい利益率</t>
    <phoneticPr fontId="13"/>
  </si>
  <si>
    <t>「利益幅警告の有効化」を「はい」にした場合に設定
「許容される利益率」に設定した数値の範囲内のみ設定可能</t>
    <rPh sb="22" eb="24">
      <t>セッテイ</t>
    </rPh>
    <rPh sb="36" eb="38">
      <t>セッテイ</t>
    </rPh>
    <rPh sb="40" eb="42">
      <t>スウチ</t>
    </rPh>
    <rPh sb="43" eb="46">
      <t>ハンイナイ</t>
    </rPh>
    <rPh sb="48" eb="50">
      <t>セッテイ</t>
    </rPh>
    <rPh sb="50" eb="52">
      <t>カノウ</t>
    </rPh>
    <phoneticPr fontId="17"/>
  </si>
  <si>
    <t>許容できない利益率</t>
    <phoneticPr fontId="13"/>
  </si>
  <si>
    <t>「疑わしい利益率」の値更新で自動更新される</t>
    <phoneticPr fontId="13"/>
  </si>
  <si>
    <t>&lt; 0.00</t>
    <phoneticPr fontId="13"/>
  </si>
  <si>
    <t>番号順序</t>
    <rPh sb="0" eb="2">
      <t>バンゴウ</t>
    </rPh>
    <rPh sb="2" eb="4">
      <t>ジュンジョ</t>
    </rPh>
    <phoneticPr fontId="13"/>
  </si>
  <si>
    <t>売掛金ドキュメント用の番号順序を設定します</t>
    <phoneticPr fontId="13"/>
  </si>
  <si>
    <t>グループ</t>
  </si>
  <si>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</si>
  <si>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</si>
  <si>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</si>
  <si>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22"/>
  </si>
  <si>
    <t>番号を再利用オプションがオンになっている場合は、このフィールドに、番号順序のコピー元である参照キーが含まれます。</t>
  </si>
  <si>
    <t>倉庫管理</t>
    <rPh sb="0" eb="2">
      <t>ソウコ</t>
    </rPh>
    <rPh sb="2" eb="4">
      <t>カンリ</t>
    </rPh>
    <phoneticPr fontId="13"/>
  </si>
  <si>
    <t>倉庫管理のパラメーターを設定します</t>
  </si>
  <si>
    <t>与信限度額の確認</t>
    <phoneticPr fontId="13"/>
  </si>
  <si>
    <t>倉庫リリース時に与信限度額の確認ダイアログを表示します</t>
  </si>
  <si>
    <t>販売注文フルフィルメント ポリシー</t>
  </si>
  <si>
    <t>プレビュー機能</t>
  </si>
  <si>
    <t>プレビュー機能の有効化または無効化</t>
  </si>
  <si>
    <t>顧客の与信および回収ワークスペースのパフォーマンス向上をオンにする</t>
  </si>
  <si>
    <t>顧客の与信および回収ワークスペースのパフォーマンス向上をオンにします。
プレビュー機能の設定により、以下の機能や、将来追加される機能を有効化または無効化することができます。任意のプレビュー機能を有効化してから無効化すると、ユーザーはその機能にアクセスできなくなります。</t>
  </si>
  <si>
    <t>請求書</t>
    <rPh sb="0" eb="3">
      <t>セイキュウショ</t>
    </rPh>
    <phoneticPr fontId="22"/>
  </si>
  <si>
    <t>利用可</t>
    <rPh sb="0" eb="3">
      <t>リヨウカ</t>
    </rPh>
    <phoneticPr fontId="13"/>
  </si>
  <si>
    <t>選択済</t>
    <rPh sb="0" eb="2">
      <t>センタク</t>
    </rPh>
    <rPh sb="2" eb="3">
      <t>ズミ</t>
    </rPh>
    <phoneticPr fontId="13"/>
  </si>
  <si>
    <t>為替レート</t>
    <rPh sb="0" eb="2">
      <t>カワセ</t>
    </rPh>
    <phoneticPr fontId="13"/>
  </si>
  <si>
    <t>請求先/元ID</t>
    <rPh sb="0" eb="2">
      <t>セイキュウ</t>
    </rPh>
    <rPh sb="2" eb="3">
      <t>サキ</t>
    </rPh>
    <rPh sb="4" eb="5">
      <t>モト</t>
    </rPh>
    <phoneticPr fontId="13"/>
  </si>
  <si>
    <t>直納</t>
    <rPh sb="0" eb="2">
      <t>チョクノウ</t>
    </rPh>
    <phoneticPr fontId="13"/>
  </si>
  <si>
    <t>元の顧客</t>
    <rPh sb="0" eb="1">
      <t>モト</t>
    </rPh>
    <rPh sb="2" eb="4">
      <t>コキャク</t>
    </rPh>
    <phoneticPr fontId="13"/>
  </si>
  <si>
    <t>会社</t>
    <rPh sb="0" eb="2">
      <t>カイシャ</t>
    </rPh>
    <phoneticPr fontId="13"/>
  </si>
  <si>
    <t>期日</t>
    <rPh sb="0" eb="2">
      <t>キジツ</t>
    </rPh>
    <phoneticPr fontId="13"/>
  </si>
  <si>
    <t>支払詳細</t>
    <rPh sb="0" eb="2">
      <t>シハライ</t>
    </rPh>
    <rPh sb="2" eb="4">
      <t>ショウサイ</t>
    </rPh>
    <phoneticPr fontId="13"/>
  </si>
  <si>
    <t>支払方法</t>
    <rPh sb="0" eb="2">
      <t>シハライ</t>
    </rPh>
    <rPh sb="2" eb="4">
      <t>ホウホウ</t>
    </rPh>
    <phoneticPr fontId="13"/>
  </si>
  <si>
    <t>倉庫</t>
    <rPh sb="0" eb="2">
      <t>ソウコ</t>
    </rPh>
    <phoneticPr fontId="13"/>
  </si>
  <si>
    <t>支払スケジュール</t>
    <rPh sb="0" eb="2">
      <t>シハライ</t>
    </rPh>
    <phoneticPr fontId="13"/>
  </si>
  <si>
    <t>現金割引</t>
    <rPh sb="0" eb="2">
      <t>ゲンキン</t>
    </rPh>
    <rPh sb="2" eb="4">
      <t>ワリビキ</t>
    </rPh>
    <phoneticPr fontId="13"/>
  </si>
  <si>
    <t>行割引グループ</t>
    <rPh sb="0" eb="1">
      <t>ギョウ</t>
    </rPh>
    <rPh sb="1" eb="3">
      <t>ワリビキ</t>
    </rPh>
    <phoneticPr fontId="13"/>
  </si>
  <si>
    <t>合計割引率</t>
    <rPh sb="0" eb="2">
      <t>ゴウケイ</t>
    </rPh>
    <rPh sb="2" eb="4">
      <t>ワリビキ</t>
    </rPh>
    <rPh sb="4" eb="5">
      <t>リツ</t>
    </rPh>
    <phoneticPr fontId="13"/>
  </si>
  <si>
    <t>割引合計グループ</t>
    <rPh sb="0" eb="2">
      <t>ワリビキ</t>
    </rPh>
    <rPh sb="2" eb="4">
      <t>ゴウケイ</t>
    </rPh>
    <phoneticPr fontId="13"/>
  </si>
  <si>
    <t>複数行割引グループ</t>
    <rPh sb="0" eb="3">
      <t>フクスウギョウ</t>
    </rPh>
    <rPh sb="3" eb="5">
      <t>ワリビキ</t>
    </rPh>
    <phoneticPr fontId="13"/>
  </si>
  <si>
    <t>価格グループ</t>
    <rPh sb="0" eb="2">
      <t>カカク</t>
    </rPh>
    <phoneticPr fontId="13"/>
  </si>
  <si>
    <t>コールタグタイプ</t>
    <phoneticPr fontId="13"/>
  </si>
  <si>
    <t>UPSゾーン</t>
    <phoneticPr fontId="13"/>
  </si>
  <si>
    <t>配送条件</t>
    <rPh sb="0" eb="2">
      <t>ハイソウ</t>
    </rPh>
    <rPh sb="2" eb="4">
      <t>ジョウケン</t>
    </rPh>
    <phoneticPr fontId="13"/>
  </si>
  <si>
    <t>荷渡方法</t>
    <rPh sb="0" eb="2">
      <t>ニワタ</t>
    </rPh>
    <rPh sb="2" eb="4">
      <t>ホウホウ</t>
    </rPh>
    <phoneticPr fontId="13"/>
  </si>
  <si>
    <t>コミッショングループ</t>
    <phoneticPr fontId="13"/>
  </si>
  <si>
    <t>売上グループ</t>
    <rPh sb="0" eb="2">
      <t>ウリアゲ</t>
    </rPh>
    <phoneticPr fontId="13"/>
  </si>
  <si>
    <t>税込価格</t>
    <rPh sb="0" eb="2">
      <t>ゼイコミ</t>
    </rPh>
    <rPh sb="2" eb="4">
      <t>カカク</t>
    </rPh>
    <phoneticPr fontId="13"/>
  </si>
  <si>
    <t>課税控除番号</t>
    <rPh sb="0" eb="2">
      <t>カゼイ</t>
    </rPh>
    <rPh sb="2" eb="4">
      <t>コウジョ</t>
    </rPh>
    <rPh sb="4" eb="6">
      <t>バンゴウ</t>
    </rPh>
    <phoneticPr fontId="13"/>
  </si>
  <si>
    <t>番号順序グループ</t>
    <rPh sb="0" eb="2">
      <t>バンゴウ</t>
    </rPh>
    <rPh sb="2" eb="4">
      <t>ジュンジョ</t>
    </rPh>
    <phoneticPr fontId="13"/>
  </si>
  <si>
    <t>転記プロファイル</t>
    <rPh sb="0" eb="2">
      <t>テンキ</t>
    </rPh>
    <phoneticPr fontId="13"/>
  </si>
  <si>
    <t>管理グループ</t>
    <rPh sb="0" eb="2">
      <t>カンリ</t>
    </rPh>
    <phoneticPr fontId="13"/>
  </si>
  <si>
    <t>分析コード</t>
    <rPh sb="0" eb="2">
      <t>ブンセキ</t>
    </rPh>
    <phoneticPr fontId="13"/>
  </si>
  <si>
    <t>連絡先</t>
    <rPh sb="0" eb="3">
      <t>レンラクサキ</t>
    </rPh>
    <phoneticPr fontId="13"/>
  </si>
  <si>
    <t>固定為替レート</t>
    <rPh sb="0" eb="2">
      <t>コテイ</t>
    </rPh>
    <rPh sb="2" eb="4">
      <t>カワセ</t>
    </rPh>
    <phoneticPr fontId="13"/>
  </si>
  <si>
    <t>注文タイプ</t>
    <rPh sb="0" eb="2">
      <t>チュウモン</t>
    </rPh>
    <phoneticPr fontId="13"/>
  </si>
  <si>
    <t>顧客ID</t>
    <rPh sb="0" eb="2">
      <t>コキャク</t>
    </rPh>
    <phoneticPr fontId="13"/>
  </si>
  <si>
    <t>顧客 ID</t>
  </si>
  <si>
    <t>チェック無</t>
    <rPh sb="4" eb="5">
      <t>ナシ</t>
    </rPh>
    <phoneticPr fontId="13"/>
  </si>
  <si>
    <t>顧客 ID の固有キーです。新しい顧客を作成する際に使用されます。</t>
  </si>
  <si>
    <t>一時顧客</t>
  </si>
  <si>
    <t>一時顧客の固有キーです。新しい一時顧客を作成する際に使用されます。</t>
  </si>
  <si>
    <t>自由書式の請求書</t>
  </si>
  <si>
    <t>自由書式の請求書の固有キーです。自由書式の請求書の固有 ID として使用されます。</t>
  </si>
  <si>
    <t>自由書式の訂正票</t>
  </si>
  <si>
    <t>自由書式の訂正票の固有キーです。自由書式の訂正票の固有 ID として使用されます。</t>
  </si>
  <si>
    <t>支払 ID</t>
  </si>
  <si>
    <t>銀行支払の固有キーです。銀行支払処理時に自動的に割り当てられます。</t>
  </si>
  <si>
    <t>払い戻し</t>
  </si>
  <si>
    <t>払い戻しの固有キーです。払い戻し処理時に自動的に割り当てられます。</t>
  </si>
  <si>
    <t>手形 ID</t>
  </si>
  <si>
    <t>受取手形識別のための固有キー。このキーは新しい受取手形を作成するときに使用されます。</t>
  </si>
  <si>
    <t>自由書式の請求伝票</t>
  </si>
  <si>
    <t>伝票の固有キーです。一般会計へ転記する際に使用されます。自由書式の請求書の更新時に自動的に割り当てられます。請求書のキーもここに使用されることがあります。</t>
  </si>
  <si>
    <t>自由書式の貸方伝票</t>
  </si>
  <si>
    <t>伝票の固有キーです。一般会計へ転記する際に使用されます。自由書式の訂正票の更新時に自動的に割り当てられます。訂正票のキーもここに使用されることがあります。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</si>
  <si>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</si>
  <si>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</si>
  <si>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</si>
  <si>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</si>
  <si>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</si>
  <si>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</si>
  <si>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送金番号</t>
  </si>
  <si>
    <t>元帳モジュールに転記する際に使用する、伝票の固有のキー。キーは、請求書の決済を終了するときに自動的に割り当てられます。</t>
  </si>
  <si>
    <t>反復 ID</t>
  </si>
  <si>
    <t>定期請求書 ID の固有のキーです。このキーは新しい定期請求書が作成されるときに使用します。</t>
  </si>
  <si>
    <t>締め ID</t>
  </si>
  <si>
    <t>仕入先の月次締め請求書の固有キーは、請求書の締め処理時に自動的に割り当てられます。</t>
  </si>
  <si>
    <t>裏書済受取手形伝票</t>
  </si>
  <si>
    <t>一般会計に転記する際に使用する、伝票の固有のキー。 受取手形の裏書処理中に、自動的にキーが割り当てられます。</t>
  </si>
  <si>
    <t>口座引落の委任状 ID</t>
  </si>
  <si>
    <t>口座引落の委任状に関連付ける番号順序を選択してください。</t>
  </si>
  <si>
    <t>登録証明書</t>
  </si>
  <si>
    <t>登録証明書に使用する番号順序を選択してください</t>
  </si>
  <si>
    <t>Gift card invoice</t>
  </si>
  <si>
    <t>これはギフト カードへの追加金額を追加した結果として作成された自由書式の請求書で使用される固有の順序番号の設定です。</t>
  </si>
  <si>
    <t>Gift card voucher</t>
  </si>
  <si>
    <t>ある金額をギフト カードへ追加した結果として作成された自由書式の請求書に割り当てられた伝票番号。</t>
  </si>
  <si>
    <t>品目リスト</t>
  </si>
  <si>
    <t>品目リストを作成するための固有キーです。</t>
  </si>
  <si>
    <t>販売注文</t>
  </si>
  <si>
    <t>販売注文 ID の固有キーです。新しい販売注文を作成する際に使用されます。</t>
  </si>
  <si>
    <t>RMA 番号</t>
  </si>
  <si>
    <t>返品 ID の固有キーです。返品品目の新しい販売注文を作成する際に使用されます。</t>
  </si>
  <si>
    <t>見積書</t>
  </si>
  <si>
    <t>見積 ID を表す固有キーです。見積を作成するときに使用します。</t>
  </si>
  <si>
    <t>見積仕訳帳</t>
  </si>
  <si>
    <t>見積の固有キー。このキーは見積書の送付時に使用します。</t>
  </si>
  <si>
    <t>見積の確認書</t>
  </si>
  <si>
    <t>見積の固有キー。このキーは見積書の確認時に使用します。</t>
  </si>
  <si>
    <t>確認書</t>
  </si>
  <si>
    <t>確認書の固有キーです。確認書の固有 ID として使用されます。</t>
  </si>
  <si>
    <t>梱包明細</t>
  </si>
  <si>
    <t>梱包明細の固有キーです。梱包明細の固有 ID として使用されます。</t>
  </si>
  <si>
    <t>顧客請求書</t>
  </si>
  <si>
    <t>請求書の固有キーです。請求書を更新する際に割り当てられます。</t>
  </si>
  <si>
    <t>売上訂正票</t>
  </si>
  <si>
    <t>訂正票の固有キーです。訂正票を作成する際に割り当てられます。</t>
  </si>
  <si>
    <t>梱包明細伝票</t>
  </si>
  <si>
    <t>伝票の固有キーです。一般会計へ転記する際に使用されます。梱包明細の更新時に自動的に割り当てられます。梱包明細のキーもここに使用されることがあります。</t>
  </si>
  <si>
    <t>顧客請求書伝票</t>
  </si>
  <si>
    <t>伝票の固有キーです。一般会計へ転記する際に使用されます。請求書の更新時に自動的に割り当てられます。請求書のキーもここに使用されることがあります。</t>
  </si>
  <si>
    <t>売上貸方伝票</t>
  </si>
  <si>
    <t>伝票の固有キーです。一般会計へ転記する際に使用されます。訂正票の更新時に自動的に割り当てられます。訂正票のキーもここに使用されることがあります。</t>
  </si>
  <si>
    <t>価格/割引仕訳帳番号</t>
  </si>
  <si>
    <t>売買契約仕訳帳に固有のキーです。このキーは、新規の売買契約仕訳帳が作成されるときに使用されます。</t>
  </si>
  <si>
    <t>船荷証券</t>
  </si>
  <si>
    <t>船荷証券テーブルの固有キーです。船荷証券 ID を自動的に割り当てる際に使用されます。</t>
  </si>
  <si>
    <t>販売契約書 ID</t>
  </si>
  <si>
    <t>販売契約書 ID の固有のキーです。このキーは新しい販売契約書が作成されるときに使用されます。</t>
  </si>
  <si>
    <t>梱包明細の修正伝票</t>
  </si>
  <si>
    <t>伝票の固有キー。一般会計へ転記する際に使用され、梱包明細の訂正時に自動的に割り当てられます。</t>
  </si>
  <si>
    <t>リベート ID</t>
  </si>
  <si>
    <t>生産のブロック</t>
  </si>
  <si>
    <t>リベート契約 ID</t>
  </si>
  <si>
    <t>リベート契約に関連付ける番号順序を選択してください。</t>
  </si>
  <si>
    <t>支払期日</t>
  </si>
  <si>
    <t>売掛金管理＞支払の設定＞支払期日</t>
    <rPh sb="6" eb="8">
      <t>シハライ</t>
    </rPh>
    <phoneticPr fontId="17"/>
  </si>
  <si>
    <t>Accounts receivable &gt; Payments setup &gt; Payment days</t>
    <phoneticPr fontId="13"/>
  </si>
  <si>
    <t>支払期日</t>
    <rPh sb="0" eb="2">
      <t>シハライ</t>
    </rPh>
    <rPh sb="2" eb="4">
      <t>キジツ</t>
    </rPh>
    <phoneticPr fontId="22"/>
  </si>
  <si>
    <t>支払期日</t>
    <rPh sb="0" eb="2">
      <t>シハライ</t>
    </rPh>
    <rPh sb="2" eb="4">
      <t>キジツ</t>
    </rPh>
    <phoneticPr fontId="13"/>
  </si>
  <si>
    <t>「支払期日」を参照</t>
    <rPh sb="1" eb="3">
      <t>シハライ</t>
    </rPh>
    <rPh sb="3" eb="5">
      <t>キジツ</t>
    </rPh>
    <rPh sb="7" eb="9">
      <t>サンショウ</t>
    </rPh>
    <phoneticPr fontId="13"/>
  </si>
  <si>
    <t>説明</t>
    <rPh sb="0" eb="2">
      <t>セツメイ</t>
    </rPh>
    <phoneticPr fontId="13"/>
  </si>
  <si>
    <t>支払期日明細行</t>
    <rPh sb="0" eb="2">
      <t>シハライ</t>
    </rPh>
    <rPh sb="2" eb="4">
      <t>キジツ</t>
    </rPh>
    <rPh sb="4" eb="6">
      <t>メイサイ</t>
    </rPh>
    <rPh sb="6" eb="7">
      <t>ギョウ</t>
    </rPh>
    <phoneticPr fontId="13"/>
  </si>
  <si>
    <t>週/月</t>
    <rPh sb="0" eb="1">
      <t>シュウ</t>
    </rPh>
    <rPh sb="2" eb="3">
      <t>ツキ</t>
    </rPh>
    <phoneticPr fontId="13"/>
  </si>
  <si>
    <t>[追加] をクリックして支払明細行を作成し、支払期日を毎週にするか毎月にするかを選択します。</t>
    <phoneticPr fontId="13"/>
  </si>
  <si>
    <t>週
月</t>
    <rPh sb="0" eb="1">
      <t>シュウ</t>
    </rPh>
    <rPh sb="2" eb="3">
      <t>ツキ</t>
    </rPh>
    <phoneticPr fontId="13"/>
  </si>
  <si>
    <t>週</t>
    <rPh sb="0" eb="1">
      <t>シュウ</t>
    </rPh>
    <phoneticPr fontId="13"/>
  </si>
  <si>
    <t>曜日</t>
    <rPh sb="0" eb="2">
      <t>ヨウビ</t>
    </rPh>
    <phoneticPr fontId="13"/>
  </si>
  <si>
    <t>支払明細行に対して [週] を選択した場合、曜日を選択します。</t>
    <phoneticPr fontId="13"/>
  </si>
  <si>
    <t>月の日付</t>
    <rPh sb="0" eb="1">
      <t>ツキ</t>
    </rPh>
    <rPh sb="2" eb="4">
      <t>ヒヅケ</t>
    </rPh>
    <phoneticPr fontId="13"/>
  </si>
  <si>
    <t>支払明細行に対して [月] を選択した場合、1 ～ 31 の範囲の数値を入力します。</t>
    <phoneticPr fontId="13"/>
  </si>
  <si>
    <t>支払期日-設定値</t>
  </si>
  <si>
    <t>支払期日</t>
    <rPh sb="0" eb="4">
      <t>シハライキジツ</t>
    </rPh>
    <phoneticPr fontId="22"/>
  </si>
  <si>
    <t>売掛金管理＞設定＞顧客グループ</t>
  </si>
  <si>
    <t>Accounts receivable &gt; Setup &gt; Customer groups</t>
    <phoneticPr fontId="13"/>
  </si>
  <si>
    <t>概要</t>
    <rPh sb="0" eb="2">
      <t>ガイヨウ</t>
    </rPh>
    <phoneticPr fontId="22"/>
  </si>
  <si>
    <t>顧客グループ</t>
    <rPh sb="0" eb="2">
      <t>コキャク</t>
    </rPh>
    <phoneticPr fontId="13"/>
  </si>
  <si>
    <t>「顧客グループ-設定値」を参照</t>
    <rPh sb="1" eb="3">
      <t>コキャク</t>
    </rPh>
    <rPh sb="8" eb="11">
      <t>セッテイチ</t>
    </rPh>
    <rPh sb="13" eb="15">
      <t>サンショウ</t>
    </rPh>
    <phoneticPr fontId="13"/>
  </si>
  <si>
    <t>支払条件</t>
    <rPh sb="0" eb="2">
      <t>シハラ</t>
    </rPh>
    <rPh sb="2" eb="4">
      <t>ジョウケン</t>
    </rPh>
    <phoneticPr fontId="13"/>
  </si>
  <si>
    <t>支払条件（ユーザー定義）</t>
    <rPh sb="0" eb="2">
      <t>シハライ</t>
    </rPh>
    <rPh sb="2" eb="4">
      <t>ジョウケン</t>
    </rPh>
    <rPh sb="9" eb="11">
      <t>テイギ</t>
    </rPh>
    <phoneticPr fontId="13"/>
  </si>
  <si>
    <t>請求書の期日から支払日までの時間</t>
    <rPh sb="0" eb="3">
      <t>セイキュウショ</t>
    </rPh>
    <rPh sb="4" eb="6">
      <t>キジツ</t>
    </rPh>
    <rPh sb="8" eb="11">
      <t>シハライビ</t>
    </rPh>
    <rPh sb="14" eb="16">
      <t>ジカン</t>
    </rPh>
    <phoneticPr fontId="13"/>
  </si>
  <si>
    <t>請求書の期限から支払日までの標準期間を説明する支払条件を選択します。</t>
    <phoneticPr fontId="13"/>
  </si>
  <si>
    <t>請求書の期日から支払日までの時間（ユーザー定義）</t>
    <rPh sb="0" eb="3">
      <t>セイキュウショ</t>
    </rPh>
    <rPh sb="4" eb="6">
      <t>キジツ</t>
    </rPh>
    <rPh sb="8" eb="11">
      <t>シハライビ</t>
    </rPh>
    <rPh sb="14" eb="16">
      <t>ジカン</t>
    </rPh>
    <rPh sb="21" eb="23">
      <t>テイギ</t>
    </rPh>
    <phoneticPr fontId="13"/>
  </si>
  <si>
    <t>既定の税グループ</t>
    <rPh sb="0" eb="2">
      <t>キテイ</t>
    </rPh>
    <rPh sb="3" eb="4">
      <t>ゼイ</t>
    </rPh>
    <phoneticPr fontId="13"/>
  </si>
  <si>
    <t>既定の税グループ（ユーザー定義）</t>
    <rPh sb="0" eb="2">
      <t>キテイ</t>
    </rPh>
    <rPh sb="3" eb="4">
      <t>ゼイ</t>
    </rPh>
    <rPh sb="13" eb="15">
      <t>テイギ</t>
    </rPh>
    <phoneticPr fontId="13"/>
  </si>
  <si>
    <t>チェック有/チェック無</t>
    <rPh sb="4" eb="5">
      <t>アリ</t>
    </rPh>
    <rPh sb="10" eb="11">
      <t>ナシ</t>
    </rPh>
    <phoneticPr fontId="13"/>
  </si>
  <si>
    <t>既定の損金処理の理由</t>
    <rPh sb="0" eb="2">
      <t>キテイ</t>
    </rPh>
    <rPh sb="3" eb="5">
      <t>ソンキン</t>
    </rPh>
    <rPh sb="5" eb="7">
      <t>ショリ</t>
    </rPh>
    <rPh sb="8" eb="10">
      <t>リユウ</t>
    </rPh>
    <phoneticPr fontId="13"/>
  </si>
  <si>
    <t>既定の損金処理の理由（ユーザー定義）</t>
    <rPh sb="0" eb="2">
      <t>キテイ</t>
    </rPh>
    <rPh sb="3" eb="5">
      <t>ソンキン</t>
    </rPh>
    <rPh sb="5" eb="7">
      <t>ショリ</t>
    </rPh>
    <rPh sb="8" eb="10">
      <t>リユウ</t>
    </rPh>
    <rPh sb="15" eb="17">
      <t>テイギ</t>
    </rPh>
    <phoneticPr fontId="13"/>
  </si>
  <si>
    <t>顧客グループ-設定値</t>
    <rPh sb="7" eb="10">
      <t>セッテイチ</t>
    </rPh>
    <phoneticPr fontId="13"/>
  </si>
  <si>
    <t>顧客転記プロファイル</t>
  </si>
  <si>
    <t>売掛金管理＞設定＞顧客転記プロファイル</t>
    <phoneticPr fontId="17"/>
  </si>
  <si>
    <t>Accounts receivable &gt; Setup &gt; Customer posting profiles</t>
    <phoneticPr fontId="13"/>
  </si>
  <si>
    <t>「顧客転記プロファイル-設定値」を参照</t>
    <rPh sb="1" eb="3">
      <t>コキャク</t>
    </rPh>
    <rPh sb="3" eb="5">
      <t>テンキ</t>
    </rPh>
    <rPh sb="12" eb="15">
      <t>セッテイチ</t>
    </rPh>
    <rPh sb="17" eb="19">
      <t>サンショウ</t>
    </rPh>
    <phoneticPr fontId="13"/>
  </si>
  <si>
    <t>アカウントコード</t>
  </si>
  <si>
    <t>テーブル
グループ
すべて</t>
  </si>
  <si>
    <t>テーブル</t>
  </si>
  <si>
    <t>「顧客転記プロファイル_設定-設定値」を参照</t>
    <rPh sb="1" eb="3">
      <t>コキャク</t>
    </rPh>
    <rPh sb="3" eb="5">
      <t>テンキ</t>
    </rPh>
    <rPh sb="12" eb="14">
      <t>セッテイ</t>
    </rPh>
    <rPh sb="15" eb="18">
      <t>セッテイチ</t>
    </rPh>
    <rPh sb="20" eb="22">
      <t>サンショウ</t>
    </rPh>
    <phoneticPr fontId="13"/>
  </si>
  <si>
    <t>アカウント/グループ番号</t>
    <rPh sb="10" eb="12">
      <t>バンゴウ</t>
    </rPh>
    <phoneticPr fontId="13"/>
  </si>
  <si>
    <t>アカウント/グループ番号（ユーザー定義）</t>
    <rPh sb="10" eb="12">
      <t>バンゴウ</t>
    </rPh>
    <rPh sb="17" eb="19">
      <t>テイギ</t>
    </rPh>
    <phoneticPr fontId="13"/>
  </si>
  <si>
    <t>集計勘定</t>
    <rPh sb="0" eb="2">
      <t>シュウケイ</t>
    </rPh>
    <rPh sb="2" eb="4">
      <t>カンジョウ</t>
    </rPh>
    <phoneticPr fontId="13"/>
  </si>
  <si>
    <t>裏書勘定</t>
    <rPh sb="0" eb="2">
      <t>ウラガキ</t>
    </rPh>
    <rPh sb="2" eb="4">
      <t>カンジョウ</t>
    </rPh>
    <phoneticPr fontId="13"/>
  </si>
  <si>
    <t>割引勘定負債</t>
    <rPh sb="0" eb="2">
      <t>ワリビキ</t>
    </rPh>
    <rPh sb="2" eb="4">
      <t>カンジョウ</t>
    </rPh>
    <rPh sb="4" eb="6">
      <t>フサイ</t>
    </rPh>
    <phoneticPr fontId="13"/>
  </si>
  <si>
    <t>利息コード</t>
    <rPh sb="0" eb="2">
      <t>リソク</t>
    </rPh>
    <phoneticPr fontId="13"/>
  </si>
  <si>
    <t>利息コード（ユーザー定義）</t>
    <rPh sb="0" eb="2">
      <t>リソク</t>
    </rPh>
    <rPh sb="10" eb="12">
      <t>テイギ</t>
    </rPh>
    <phoneticPr fontId="13"/>
  </si>
  <si>
    <t>支払の流動資産勘定</t>
    <rPh sb="0" eb="2">
      <t>シハラ</t>
    </rPh>
    <rPh sb="3" eb="5">
      <t>リュウドウ</t>
    </rPh>
    <rPh sb="5" eb="7">
      <t>シサン</t>
    </rPh>
    <rPh sb="7" eb="9">
      <t>カンジョウ</t>
    </rPh>
    <phoneticPr fontId="13"/>
  </si>
  <si>
    <t>督促状順序</t>
    <rPh sb="0" eb="3">
      <t>トクソクジョウ</t>
    </rPh>
    <rPh sb="3" eb="5">
      <t>ジュンジョ</t>
    </rPh>
    <phoneticPr fontId="13"/>
  </si>
  <si>
    <t>督促状順序（ユーザー定義）</t>
    <rPh sb="0" eb="3">
      <t>トクソクジョウ</t>
    </rPh>
    <rPh sb="3" eb="5">
      <t>ジュンジョ</t>
    </rPh>
    <rPh sb="10" eb="12">
      <t>テイギ</t>
    </rPh>
    <phoneticPr fontId="13"/>
  </si>
  <si>
    <t>テーブルの制限</t>
    <rPh sb="5" eb="7">
      <t>セイゲン</t>
    </rPh>
    <phoneticPr fontId="13"/>
  </si>
  <si>
    <t>自動決済を許可する</t>
    <rPh sb="0" eb="2">
      <t>ジドウ</t>
    </rPh>
    <rPh sb="2" eb="4">
      <t>ケッサイ</t>
    </rPh>
    <rPh sb="5" eb="7">
      <t>キョカ</t>
    </rPh>
    <phoneticPr fontId="13"/>
  </si>
  <si>
    <t>はい/いいえ</t>
    <phoneticPr fontId="13"/>
  </si>
  <si>
    <t>利息</t>
    <rPh sb="0" eb="2">
      <t>リソク</t>
    </rPh>
    <phoneticPr fontId="13"/>
  </si>
  <si>
    <t>督促状</t>
    <rPh sb="0" eb="3">
      <t>トクソクジョウ</t>
    </rPh>
    <phoneticPr fontId="13"/>
  </si>
  <si>
    <t>終了（転記プロファイル選択）</t>
    <rPh sb="0" eb="2">
      <t>シュウリョウ</t>
    </rPh>
    <rPh sb="3" eb="5">
      <t>テンキ</t>
    </rPh>
    <rPh sb="11" eb="13">
      <t>センタク</t>
    </rPh>
    <phoneticPr fontId="13"/>
  </si>
  <si>
    <t>顧客転記プロファイル-設定値</t>
    <rPh sb="11" eb="14">
      <t>セッテイチ</t>
    </rPh>
    <phoneticPr fontId="13"/>
  </si>
  <si>
    <t>テーブルの制限</t>
    <rPh sb="5" eb="7">
      <t>セイゲン</t>
    </rPh>
    <phoneticPr fontId="22"/>
  </si>
  <si>
    <t>閉じる</t>
    <rPh sb="0" eb="1">
      <t>ト</t>
    </rPh>
    <phoneticPr fontId="13"/>
  </si>
  <si>
    <t>顧客転記プロファイル_設定-設定値</t>
    <rPh sb="11" eb="13">
      <t>セッテイ</t>
    </rPh>
    <rPh sb="14" eb="17">
      <t>セッテイチ</t>
    </rPh>
    <phoneticPr fontId="13"/>
  </si>
  <si>
    <t>設定</t>
    <rPh sb="0" eb="2">
      <t>セッテイ</t>
    </rPh>
    <phoneticPr fontId="22"/>
  </si>
  <si>
    <t>消費税の前払</t>
    <rPh sb="0" eb="3">
      <t>ショウヒゼイ</t>
    </rPh>
    <rPh sb="4" eb="6">
      <t>マエバラ</t>
    </rPh>
    <phoneticPr fontId="13"/>
  </si>
  <si>
    <t>支払カレンダー</t>
  </si>
  <si>
    <t>売掛金管理＞支払の設定＞支払カレンダー</t>
    <rPh sb="3" eb="5">
      <t>カンリ</t>
    </rPh>
    <rPh sb="6" eb="8">
      <t>シハライ</t>
    </rPh>
    <rPh sb="9" eb="11">
      <t>セッテイ</t>
    </rPh>
    <rPh sb="12" eb="14">
      <t>シハライ</t>
    </rPh>
    <phoneticPr fontId="13"/>
  </si>
  <si>
    <t>Accounts receivable &gt; Payment setup &gt; Payment calendar</t>
    <phoneticPr fontId="13"/>
  </si>
  <si>
    <t>「支払カレンダー-設定値」を参照</t>
  </si>
  <si>
    <t>場所カレンダー</t>
    <rPh sb="0" eb="2">
      <t>バショ</t>
    </rPh>
    <phoneticPr fontId="13"/>
  </si>
  <si>
    <t>このオプションを選択した場合、支払カレンダーは特定の国/地域で使用されます。</t>
  </si>
  <si>
    <t>国/地域</t>
    <rPh sb="0" eb="1">
      <t>クニ</t>
    </rPh>
    <rPh sb="2" eb="4">
      <t>チイキ</t>
    </rPh>
    <phoneticPr fontId="13"/>
  </si>
  <si>
    <t>場所カレンダー オプションを選択した場合、支払カレンダーが有効である国/地域。</t>
  </si>
  <si>
    <t>FOに登録されている国/地域</t>
    <rPh sb="3" eb="5">
      <t>トウロク</t>
    </rPh>
    <rPh sb="10" eb="11">
      <t>クニ</t>
    </rPh>
    <rPh sb="12" eb="14">
      <t>チイキ</t>
    </rPh>
    <phoneticPr fontId="13"/>
  </si>
  <si>
    <t>「場所カレンダー」が[いいえ]になっていると選択不可</t>
    <rPh sb="1" eb="3">
      <t>バショ</t>
    </rPh>
    <rPh sb="22" eb="24">
      <t>センタク</t>
    </rPh>
    <rPh sb="24" eb="26">
      <t>フカ</t>
    </rPh>
    <phoneticPr fontId="13"/>
  </si>
  <si>
    <t>通常の営業日の週</t>
    <rPh sb="0" eb="2">
      <t>ツウジョウ</t>
    </rPh>
    <rPh sb="3" eb="6">
      <t>エイギョウビ</t>
    </rPh>
    <rPh sb="7" eb="8">
      <t>シュウ</t>
    </rPh>
    <phoneticPr fontId="13"/>
  </si>
  <si>
    <t>チェック有/チェック無</t>
    <phoneticPr fontId="13"/>
  </si>
  <si>
    <t>火曜</t>
    <rPh sb="0" eb="2">
      <t>カヨウ</t>
    </rPh>
    <phoneticPr fontId="13"/>
  </si>
  <si>
    <t>水曜</t>
    <rPh sb="0" eb="2">
      <t>スイヨウ</t>
    </rPh>
    <phoneticPr fontId="13"/>
  </si>
  <si>
    <t>木曜</t>
    <rPh sb="0" eb="2">
      <t>モクヨウ</t>
    </rPh>
    <phoneticPr fontId="13"/>
  </si>
  <si>
    <t>金曜</t>
    <rPh sb="0" eb="2">
      <t>キンヨウ</t>
    </rPh>
    <phoneticPr fontId="13"/>
  </si>
  <si>
    <t>土曜</t>
    <rPh sb="0" eb="2">
      <t>ドヨウ</t>
    </rPh>
    <phoneticPr fontId="13"/>
  </si>
  <si>
    <t>日曜</t>
    <rPh sb="0" eb="2">
      <t>ニチヨウ</t>
    </rPh>
    <phoneticPr fontId="13"/>
  </si>
  <si>
    <t>例外日</t>
    <rPh sb="0" eb="2">
      <t>レイガイ</t>
    </rPh>
    <rPh sb="2" eb="3">
      <t>ビ</t>
    </rPh>
    <phoneticPr fontId="13"/>
  </si>
  <si>
    <t>日付</t>
    <rPh sb="0" eb="2">
      <t>ヒヅケ</t>
    </rPh>
    <phoneticPr fontId="13"/>
  </si>
  <si>
    <t>通常の営業日の週の、例外の日付。日付を選択すると、日付および月のフィールドが自動的に入力されます。</t>
    <phoneticPr fontId="13"/>
  </si>
  <si>
    <t xml:space="preserve">年度/月ごとに銀行日営業日を登録するため実設定値参照
</t>
    <rPh sb="20" eb="21">
      <t>ジツ</t>
    </rPh>
    <rPh sb="24" eb="26">
      <t>サンショウ</t>
    </rPh>
    <phoneticPr fontId="13"/>
  </si>
  <si>
    <t>日</t>
    <rPh sb="0" eb="1">
      <t>ヒ</t>
    </rPh>
    <phoneticPr fontId="13"/>
  </si>
  <si>
    <t>月</t>
    <rPh sb="0" eb="1">
      <t>ツキ</t>
    </rPh>
    <phoneticPr fontId="13"/>
  </si>
  <si>
    <t>1月</t>
    <rPh sb="1" eb="2">
      <t>ガツ</t>
    </rPh>
    <phoneticPr fontId="13"/>
  </si>
  <si>
    <t>「日付」を選択すると、自動入力される</t>
    <rPh sb="1" eb="3">
      <t>ヒヅケ</t>
    </rPh>
    <rPh sb="5" eb="7">
      <t>センタク</t>
    </rPh>
    <rPh sb="11" eb="15">
      <t>ジドウニュウリョク</t>
    </rPh>
    <phoneticPr fontId="13"/>
  </si>
  <si>
    <t>日付に関連付けられている例外のタイプ。休日または営業日を選択できます。営業日オプションは通常、一連の連続した非営業日の作成に使用されます。たとえば、ある年に標準の休日が火曜日に当ります。所轄官庁は、前日の月曜日も休日とすることに決定します。</t>
  </si>
  <si>
    <t>・休日
・営業日</t>
    <rPh sb="1" eb="3">
      <t>キュウジツ</t>
    </rPh>
    <rPh sb="5" eb="8">
      <t>エイギョウビ</t>
    </rPh>
    <phoneticPr fontId="13"/>
  </si>
  <si>
    <t>休日</t>
    <rPh sb="0" eb="2">
      <t>キュウジツ</t>
    </rPh>
    <phoneticPr fontId="13"/>
  </si>
  <si>
    <t>支払カレンダー-設定値</t>
  </si>
  <si>
    <t>売掛金管理＞支払の設定＞支払方法</t>
    <rPh sb="3" eb="5">
      <t>カンリ</t>
    </rPh>
    <rPh sb="6" eb="8">
      <t>シハライ</t>
    </rPh>
    <rPh sb="9" eb="11">
      <t>セッテイ</t>
    </rPh>
    <rPh sb="12" eb="14">
      <t>シハライ</t>
    </rPh>
    <rPh sb="14" eb="16">
      <t>ホウホウ</t>
    </rPh>
    <phoneticPr fontId="13"/>
  </si>
  <si>
    <t>Accounts receivable &gt; Payment setup &gt; Payment methods</t>
    <phoneticPr fontId="13"/>
  </si>
  <si>
    <t>「支払方法-設定値」を参照</t>
    <rPh sb="1" eb="3">
      <t>シハライ</t>
    </rPh>
    <rPh sb="3" eb="5">
      <t>ホウホウ</t>
    </rPh>
    <rPh sb="6" eb="9">
      <t>セッテイチ</t>
    </rPh>
    <rPh sb="11" eb="13">
      <t>サンショウ</t>
    </rPh>
    <phoneticPr fontId="13"/>
  </si>
  <si>
    <t>期間</t>
    <rPh sb="0" eb="2">
      <t>キカン</t>
    </rPh>
    <phoneticPr fontId="13"/>
  </si>
  <si>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</si>
  <si>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・請求書
・日付
・週
・合計</t>
    <rPh sb="1" eb="4">
      <t>セイキュウショ</t>
    </rPh>
    <rPh sb="6" eb="8">
      <t>ヒヅケ</t>
    </rPh>
    <rPh sb="10" eb="11">
      <t>シュウ</t>
    </rPh>
    <rPh sb="13" eb="15">
      <t>ゴウケイ</t>
    </rPh>
    <phoneticPr fontId="13"/>
  </si>
  <si>
    <t>支払猶予期間</t>
    <rPh sb="0" eb="2">
      <t>シハライ</t>
    </rPh>
    <rPh sb="2" eb="4">
      <t>ユウヨ</t>
    </rPh>
    <rPh sb="4" eb="6">
      <t>キカン</t>
    </rPh>
    <phoneticPr fontId="13"/>
  </si>
  <si>
    <t>現金割引日または期日に追加する日数を入力して、現金割引が適用される最長期間を定義します。</t>
  </si>
  <si>
    <t>支払ステータス</t>
    <rPh sb="0" eb="2">
      <t>シハライ</t>
    </rPh>
    <phoneticPr fontId="13"/>
  </si>
  <si>
    <t>この支払方法で支払を転記するために必要な支払ステータスを選択します。</t>
  </si>
  <si>
    <t>・なし
・送信済
・受取済
・承認済
・否認済</t>
    <rPh sb="5" eb="7">
      <t>ソウシン</t>
    </rPh>
    <rPh sb="7" eb="8">
      <t>スミ</t>
    </rPh>
    <rPh sb="10" eb="12">
      <t>ウケトリ</t>
    </rPh>
    <rPh sb="12" eb="13">
      <t>ズミ</t>
    </rPh>
    <rPh sb="15" eb="17">
      <t>ショウニン</t>
    </rPh>
    <rPh sb="17" eb="18">
      <t>ズ</t>
    </rPh>
    <rPh sb="20" eb="22">
      <t>ヒニン</t>
    </rPh>
    <rPh sb="22" eb="23">
      <t>ズミ</t>
    </rPh>
    <phoneticPr fontId="13"/>
  </si>
  <si>
    <t>支払タイプ</t>
    <rPh sb="0" eb="2">
      <t>シハライ</t>
    </rPh>
    <phoneticPr fontId="13"/>
  </si>
  <si>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</si>
  <si>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
・電子支払
・小切手
・受取手形
・Credit card</t>
    <rPh sb="3" eb="4">
      <t>タ</t>
    </rPh>
    <rPh sb="6" eb="8">
      <t>デンシ</t>
    </rPh>
    <rPh sb="8" eb="10">
      <t>シハライ</t>
    </rPh>
    <rPh sb="12" eb="15">
      <t>コギッテ</t>
    </rPh>
    <rPh sb="17" eb="19">
      <t>ウケトリ</t>
    </rPh>
    <rPh sb="19" eb="21">
      <t>テガタ</t>
    </rPh>
    <phoneticPr fontId="13"/>
  </si>
  <si>
    <t>その他</t>
    <rPh sb="2" eb="3">
      <t>タ</t>
    </rPh>
    <phoneticPr fontId="13"/>
  </si>
  <si>
    <t>ファイル</t>
    <phoneticPr fontId="13"/>
  </si>
  <si>
    <t>最後のファイル番号</t>
    <rPh sb="0" eb="2">
      <t>サイゴ</t>
    </rPh>
    <rPh sb="7" eb="9">
      <t>バンゴウ</t>
    </rPh>
    <phoneticPr fontId="13"/>
  </si>
  <si>
    <t>ファイル番号の最後のカウント日。</t>
  </si>
  <si>
    <t>勘定タイプ</t>
    <rPh sb="0" eb="2">
      <t>カンジョウ</t>
    </rPh>
    <phoneticPr fontId="13"/>
  </si>
  <si>
    <t>選択した支払方法を持つトランザクションに適用する勘定のタイプを選択します。これは通常、銀行口座のタイプです。</t>
  </si>
  <si>
    <t>・元帳
・顧客
・仕入先
・プロジェクト
・固定資産
・銀行</t>
    <rPh sb="1" eb="2">
      <t>モト</t>
    </rPh>
    <rPh sb="2" eb="3">
      <t>チョウ</t>
    </rPh>
    <rPh sb="5" eb="7">
      <t>コキャク</t>
    </rPh>
    <rPh sb="9" eb="12">
      <t>シイレサキ</t>
    </rPh>
    <rPh sb="22" eb="24">
      <t>コテイ</t>
    </rPh>
    <rPh sb="24" eb="26">
      <t>シサン</t>
    </rPh>
    <rPh sb="28" eb="30">
      <t>ギンコウ</t>
    </rPh>
    <phoneticPr fontId="13"/>
  </si>
  <si>
    <t>元帳</t>
    <rPh sb="0" eb="1">
      <t>モト</t>
    </rPh>
    <rPh sb="1" eb="2">
      <t>チョウ</t>
    </rPh>
    <phoneticPr fontId="13"/>
  </si>
  <si>
    <t>支払勘定</t>
    <rPh sb="0" eb="2">
      <t>シハライ</t>
    </rPh>
    <rPh sb="2" eb="4">
      <t>カンジョウ</t>
    </rPh>
    <phoneticPr fontId="13"/>
  </si>
  <si>
    <t>銀行トランザクションタイプ</t>
    <rPh sb="0" eb="2">
      <t>ギンコウ</t>
    </rPh>
    <phoneticPr fontId="13"/>
  </si>
  <si>
    <t>銀行口座のトランザクション タイプを入力します。このフィールドは、銀行口座の種類が選択されている場合にのみ使用できます。</t>
  </si>
  <si>
    <t>つなぎ転記</t>
    <rPh sb="3" eb="5">
      <t>テンキ</t>
    </rPh>
    <phoneticPr fontId="13"/>
  </si>
  <si>
    <t>選択した支払方法による支払をまず一時勘定科目に転記し、後で別の勘定科目に転記する場合は、このオプションを選択します。</t>
  </si>
  <si>
    <t>つなぎ勘定</t>
    <rPh sb="3" eb="5">
      <t>カンジョウ</t>
    </rPh>
    <phoneticPr fontId="13"/>
  </si>
  <si>
    <t>SEPA</t>
    <phoneticPr fontId="13"/>
  </si>
  <si>
    <t>委任状の要求</t>
    <rPh sb="0" eb="3">
      <t>イニンジョウ</t>
    </rPh>
    <rPh sb="4" eb="6">
      <t>ヨウキュウ</t>
    </rPh>
    <phoneticPr fontId="13"/>
  </si>
  <si>
    <t>受取手形</t>
    <rPh sb="0" eb="4">
      <t>ウケトリテガタ</t>
    </rPh>
    <phoneticPr fontId="13"/>
  </si>
  <si>
    <t>手形のタイプ</t>
    <rPh sb="0" eb="2">
      <t>テガタ</t>
    </rPh>
    <phoneticPr fontId="13"/>
  </si>
  <si>
    <t>受取手形の手形タイプを選択します : ドラフトなし (ドラフトが作成されていない)、引受なしの請求書 (受取手形が銀行送金為替に直接含まれます; 受取手形は印刷されず、顧客が引受手順なしで支払うことに合意する場合)、引受手形 (受取手形は、最初に顧客に承認される必要があり、その後受取手形が送金に含まれます ; 受取手形を印刷し、請求書または取引明細書と共に顧客に送付します ; 顧客から引受済の手形を受け取ったら、承認日を入力します)、支払手形 (顧客が発行する支払約定書です ; 支払手形を受け取ったら、受取拒否受取手形仕訳帳で受取手形を作成し、ドキュメント フィールドに支払手形番号を入力します ; 受取手形は印刷されず、顧客は引受手順なしで支払うことに合意します)、または銀行引受受取手形 (受取手形が銀行送金為替に直接含まれます ; 受取手形は印刷されず、銀行が顧客から支払を回収する必要があります)。基本住所がイタリアにある法人の場合は、手形タイプは、イントラスタットの ASCII ファイルの一つの文字として表されます : 受取手形の A、支払手形の B、およびそのほかの支払方法の X。</t>
    <phoneticPr fontId="13"/>
  </si>
  <si>
    <t>・手形なし
・引受なしの手形
・引受手形
・支払手形
・銀行引受受取手形</t>
    <rPh sb="1" eb="3">
      <t>テガタ</t>
    </rPh>
    <rPh sb="7" eb="9">
      <t>ヒキウケ</t>
    </rPh>
    <rPh sb="12" eb="14">
      <t>テガタ</t>
    </rPh>
    <rPh sb="16" eb="18">
      <t>ヒキウケ</t>
    </rPh>
    <rPh sb="18" eb="20">
      <t>テガタ</t>
    </rPh>
    <rPh sb="22" eb="24">
      <t>シハライ</t>
    </rPh>
    <rPh sb="24" eb="26">
      <t>テガタ</t>
    </rPh>
    <rPh sb="28" eb="30">
      <t>ギンコウ</t>
    </rPh>
    <rPh sb="30" eb="32">
      <t>ヒキウケ</t>
    </rPh>
    <rPh sb="32" eb="34">
      <t>ウケトリ</t>
    </rPh>
    <rPh sb="34" eb="36">
      <t>テガタ</t>
    </rPh>
    <phoneticPr fontId="13"/>
  </si>
  <si>
    <t>手形なし</t>
    <rPh sb="0" eb="2">
      <t>テガタ</t>
    </rPh>
    <phoneticPr fontId="13"/>
  </si>
  <si>
    <t>電子支払処理</t>
    <rPh sb="0" eb="2">
      <t>デンシ</t>
    </rPh>
    <rPh sb="2" eb="4">
      <t>シハライ</t>
    </rPh>
    <rPh sb="4" eb="6">
      <t>ショリ</t>
    </rPh>
    <phoneticPr fontId="13"/>
  </si>
  <si>
    <t>口座引落</t>
    <rPh sb="0" eb="2">
      <t>コウザ</t>
    </rPh>
    <rPh sb="2" eb="4">
      <t>ヒキオトシ</t>
    </rPh>
    <phoneticPr fontId="13"/>
  </si>
  <si>
    <t>支払方法を銀行口座からの引落しにする場合は、このチェック ボックスをオンにします。</t>
  </si>
  <si>
    <t>請求書更新</t>
    <rPh sb="0" eb="3">
      <t>セイキュウショ</t>
    </rPh>
    <rPh sb="3" eb="5">
      <t>コウシン</t>
    </rPh>
    <phoneticPr fontId="13"/>
  </si>
  <si>
    <t>請求転記時に引出仕訳帳を自動的に作成および転記</t>
  </si>
  <si>
    <t>エクスポートスクリプトの実行</t>
    <rPh sb="12" eb="14">
      <t>ジッコウ</t>
    </rPh>
    <phoneticPr fontId="13"/>
  </si>
  <si>
    <t>請求転記時に引出仕訳帳を自動的に作成および転記オプションを選択した場合、このオプションを選択すると請求時にエクスポート スクリプトを実行します。</t>
  </si>
  <si>
    <t>名前</t>
    <rPh sb="0" eb="2">
      <t>ナマエ</t>
    </rPh>
    <phoneticPr fontId="13"/>
  </si>
  <si>
    <t>この支払方法による支払明細行の自動転記に使用する仕訳帳名を選択します。</t>
    <phoneticPr fontId="13"/>
  </si>
  <si>
    <t>（ユーザー定義）</t>
    <rPh sb="5" eb="7">
      <t>テイギ</t>
    </rPh>
    <phoneticPr fontId="13"/>
  </si>
  <si>
    <t>ファイル形式</t>
    <rPh sb="4" eb="6">
      <t>ケイシキ</t>
    </rPh>
    <phoneticPr fontId="13"/>
  </si>
  <si>
    <t>一般的なエクスポート形式</t>
    <rPh sb="0" eb="3">
      <t>イッパンテキ</t>
    </rPh>
    <rPh sb="10" eb="12">
      <t>ケイシキ</t>
    </rPh>
    <phoneticPr fontId="13"/>
  </si>
  <si>
    <t>一般的なインポート形式</t>
    <rPh sb="0" eb="3">
      <t>イッパンテキ</t>
    </rPh>
    <rPh sb="9" eb="11">
      <t>ケイシキ</t>
    </rPh>
    <phoneticPr fontId="13"/>
  </si>
  <si>
    <t>書式設定のコンフィギュレーションのエクスポート</t>
  </si>
  <si>
    <t>書式設定のコンフィギュレーションのインポート</t>
  </si>
  <si>
    <t>エクスポート形式</t>
    <rPh sb="6" eb="8">
      <t>ケイシキ</t>
    </rPh>
    <phoneticPr fontId="13"/>
  </si>
  <si>
    <t>インポート形式</t>
    <rPh sb="5" eb="7">
      <t>ケイシキ</t>
    </rPh>
    <phoneticPr fontId="13"/>
  </si>
  <si>
    <t>返金形式</t>
    <rPh sb="0" eb="2">
      <t>ヘンキン</t>
    </rPh>
    <rPh sb="2" eb="4">
      <t>ケイシキ</t>
    </rPh>
    <phoneticPr fontId="13"/>
  </si>
  <si>
    <t>銀行がエクスポート ファイルへの電子返信に対応している場合のエクスポート ファイルへの返信用ファイル形式。</t>
  </si>
  <si>
    <t>送金形式</t>
    <rPh sb="0" eb="2">
      <t>ソウキン</t>
    </rPh>
    <rPh sb="2" eb="4">
      <t>ケイシキ</t>
    </rPh>
    <phoneticPr fontId="13"/>
  </si>
  <si>
    <t>支払方法-設定値</t>
  </si>
  <si>
    <t>口座引落</t>
    <rPh sb="0" eb="4">
      <t>コウザヒキオトシ</t>
    </rPh>
    <phoneticPr fontId="13"/>
  </si>
  <si>
    <t>請求転記時に引出仕訳帳を自動的に作成および転記</t>
    <phoneticPr fontId="13"/>
  </si>
  <si>
    <t>エクスポート形式スクリプトの実行</t>
  </si>
  <si>
    <t>期日の更新</t>
    <rPh sb="0" eb="2">
      <t>キジツ</t>
    </rPh>
    <rPh sb="3" eb="5">
      <t>コウシン</t>
    </rPh>
    <phoneticPr fontId="13"/>
  </si>
  <si>
    <t>標準</t>
    <rPh sb="0" eb="2">
      <t>ヒョウジュン</t>
    </rPh>
    <phoneticPr fontId="13"/>
  </si>
  <si>
    <t>既定</t>
    <rPh sb="0" eb="2">
      <t>キテイ</t>
    </rPh>
    <phoneticPr fontId="13"/>
  </si>
  <si>
    <t>いいえ</t>
  </si>
  <si>
    <t>法人共通/個別</t>
    <rPh sb="0" eb="4">
      <t>ホウジンキョウツウ</t>
    </rPh>
    <rPh sb="5" eb="7">
      <t>コベツ</t>
    </rPh>
    <phoneticPr fontId="13"/>
  </si>
  <si>
    <t>第1.0版</t>
  </si>
  <si>
    <t>作成者</t>
    <rPh sb="0" eb="3">
      <t>サクセイシャ</t>
    </rPh>
    <phoneticPr fontId="29"/>
  </si>
  <si>
    <t>JBS承認者</t>
    <rPh sb="3" eb="6">
      <t>ショウニンシャ</t>
    </rPh>
    <phoneticPr fontId="29"/>
  </si>
  <si>
    <t>氏名</t>
    <rPh sb="0" eb="2">
      <t>シメイ</t>
    </rPh>
    <phoneticPr fontId="29"/>
  </si>
  <si>
    <t>顧客情報からの元帳転記定義となる。</t>
  </si>
  <si>
    <t>売掛金勘定パラメーター</t>
    <phoneticPr fontId="13"/>
  </si>
  <si>
    <t>項目説明</t>
    <rPh sb="0" eb="2">
      <t>コウモク</t>
    </rPh>
    <rPh sb="2" eb="4">
      <t>セツメイ</t>
    </rPh>
    <phoneticPr fontId="17"/>
  </si>
  <si>
    <t>課税控除番号要件</t>
    <phoneticPr fontId="13"/>
  </si>
  <si>
    <t>選択した国/地域に関連付けられている定期取引相手に対して、課税控除番号を指定する必要があります。</t>
    <phoneticPr fontId="13"/>
  </si>
  <si>
    <t>はい/いいえ</t>
  </si>
  <si>
    <t>他の法人から担当従業員を割り当てる</t>
    <phoneticPr fontId="13"/>
  </si>
  <si>
    <t>別の法人の顧客に担当従業員を割り当てるには、このオプションを [はい] に設定します。</t>
    <phoneticPr fontId="13"/>
  </si>
  <si>
    <t>仕訳帳
サブスクリプション
販売注文
返品済注文
在庫品目要求</t>
    <phoneticPr fontId="13"/>
  </si>
  <si>
    <t>エンタープライズポータルからの販売元</t>
    <phoneticPr fontId="13"/>
  </si>
  <si>
    <t>転記する販売注文の最大数</t>
    <rPh sb="0" eb="2">
      <t>テンキ</t>
    </rPh>
    <rPh sb="4" eb="8">
      <t>ハンバイチュウモン</t>
    </rPh>
    <rPh sb="9" eb="12">
      <t>サイダイスウ</t>
    </rPh>
    <phoneticPr fontId="13"/>
  </si>
  <si>
    <t>販売注文リスト ページから確認書、ピッキング リスト、梱包明細、請求書を転記する際に選択できる販売注文の最大件数を設定します。 この設定は定期処理タスクで処理できる販売注文の数には影響しません。 ゼロの値を指定すると制限を無効化します。 1 から 100 までの値を使用することを推奨します。</t>
    <phoneticPr fontId="13"/>
  </si>
  <si>
    <t>保留コード コメントの入力時に既定とするメモのタイプを入力します。</t>
    <phoneticPr fontId="13"/>
  </si>
  <si>
    <t>URL
ファイル
注記
画像</t>
    <rPh sb="9" eb="11">
      <t>チュウキ</t>
    </rPh>
    <rPh sb="12" eb="14">
      <t>ガゾウ</t>
    </rPh>
    <phoneticPr fontId="13"/>
  </si>
  <si>
    <t>"RMAの明細行を分割できない場合の配送更新ポリシー" では、売上単位や CW 単位の小数点以下の精度で RMA の明細行を分割できない場合の RMA 明細行登録の動作を制御します。 部分登録の場合は分割が必要ですが、売上や CW 単位の分割数量が 0 (ゼロ) となる場合は、小数点精度の設定により分割ができません。 パラメータ値 [RMA明細行を分割できない場合に残余を削除] を選択すると、小数点精度の設定により RMA 明細行を分割できない場合に、部分的な数量登録を可能にしました。 [RMAの明細行を分割できない場合に残余を削除する] を選択し、部分的な登録を行った場合は、小数点以下の精度が原因でRMA明細行を分割できないケースでは、後続の登録を行う必要はありません。 それ以外の場合は、残りの数量は自動的に削除されます。 パラメータ値 "RMAの明細行を分割できない場合に数量の完全な登録を検証する" というパラメータ値を選択します。このパラメータ値は、小数点の精度設定によりRMAの明細行を分割できないシナリオでRMA行の全数量を登録する必要があります。 数量全体を登録する必要があります。</t>
    <phoneticPr fontId="13"/>
  </si>
  <si>
    <t>RMA明細行を分割できない場合に残余を削除する
RMA明細行を分割できない場合に全数量登録の検証を実施する</t>
    <rPh sb="3" eb="6">
      <t>メイサイギョウ</t>
    </rPh>
    <rPh sb="7" eb="9">
      <t>ブンカツ</t>
    </rPh>
    <rPh sb="13" eb="15">
      <t>バアイ</t>
    </rPh>
    <rPh sb="16" eb="18">
      <t>ザンヨ</t>
    </rPh>
    <rPh sb="19" eb="21">
      <t>サクジョ</t>
    </rPh>
    <rPh sb="27" eb="30">
      <t>メイサイギョウ</t>
    </rPh>
    <rPh sb="31" eb="33">
      <t>ブンカツ</t>
    </rPh>
    <rPh sb="37" eb="39">
      <t>バアイ</t>
    </rPh>
    <rPh sb="40" eb="43">
      <t>ゼンスウリョウ</t>
    </rPh>
    <rPh sb="43" eb="45">
      <t>トウロク</t>
    </rPh>
    <rPh sb="46" eb="48">
      <t>ケンショウ</t>
    </rPh>
    <rPh sb="49" eb="51">
      <t>ジッシ</t>
    </rPh>
    <phoneticPr fontId="13"/>
  </si>
  <si>
    <t>RMA明細行を分割できない場合に残余を削除する</t>
    <phoneticPr fontId="13"/>
  </si>
  <si>
    <t>RMA 明細行を分割できない場合の配送残余ポリシー</t>
    <phoneticPr fontId="13"/>
  </si>
  <si>
    <t>「仕入先承認を有効化する」を「はい」にした場合に設定可能</t>
    <rPh sb="26" eb="28">
      <t>カノウ</t>
    </rPh>
    <phoneticPr fontId="17"/>
  </si>
  <si>
    <t>データ エンティティ エクスポートの設定</t>
    <rPh sb="18" eb="20">
      <t>セッテイ</t>
    </rPh>
    <phoneticPr fontId="13"/>
  </si>
  <si>
    <t>変更追跡中に販売注文参照データをスキップする</t>
    <phoneticPr fontId="13"/>
  </si>
  <si>
    <t>この機能を有効にすると、参照データを変更しても、関連する販売注文 (または明細行) が次の増分エクスポートに含まれることはありません。 増分エクスポートの実行時間が早くなるという利点があります。</t>
    <phoneticPr fontId="13"/>
  </si>
  <si>
    <t>変更追跡中に販売見積参照データをスキップする</t>
    <phoneticPr fontId="13"/>
  </si>
  <si>
    <t>この機能を有効にすると、参照データを変更しても、関連する見積書 (または明細行) が次の増分エクスポートに含まれることはありません。 これにより、差分エクスポートの実行時間を速くすることができます。</t>
    <phoneticPr fontId="13"/>
  </si>
  <si>
    <t>小数点以下の精度の数量の確認</t>
    <phoneticPr fontId="13"/>
  </si>
  <si>
    <t>このオプションを選択すると、単位に対して規定されている小数点以下の精度ルールとは異なる数量の受入を防げます。</t>
    <phoneticPr fontId="13"/>
  </si>
  <si>
    <t>はい</t>
    <phoneticPr fontId="22"/>
  </si>
  <si>
    <t>販売注文明細行の削除ポリシー</t>
    <rPh sb="0" eb="4">
      <t>ハンバイチュウモン</t>
    </rPh>
    <rPh sb="4" eb="7">
      <t>メイサイギョウ</t>
    </rPh>
    <rPh sb="8" eb="10">
      <t>サクジョ</t>
    </rPh>
    <phoneticPr fontId="13"/>
  </si>
  <si>
    <t>ユーザーが手動で販売注文明細行を削除したときに、その販売注文明細行に参照される発注書明細行を処理する方法を選択します。この設定は、直納のシナリオには影響しません。削除された販売注文明細行に参照される発注書明細行全体を削除するには、[参照される発注書明細書を完全に削除する] を選択します。参照先の発注書明細行を保持し、参照を削除するには、[参照を削除するが、関連する発注書明細書は保持する] を選択します。</t>
    <phoneticPr fontId="13"/>
  </si>
  <si>
    <t>参照を削除するが、関連する発注書は保持する
参照される発注書明細書を完全に削除する</t>
    <rPh sb="0" eb="2">
      <t>サンショウ</t>
    </rPh>
    <rPh sb="3" eb="5">
      <t>サクジョ</t>
    </rPh>
    <rPh sb="9" eb="11">
      <t>カンレン</t>
    </rPh>
    <rPh sb="13" eb="16">
      <t>ハッチュウショ</t>
    </rPh>
    <rPh sb="17" eb="19">
      <t>ホジ</t>
    </rPh>
    <rPh sb="22" eb="24">
      <t>サンショウ</t>
    </rPh>
    <rPh sb="27" eb="30">
      <t>ハッチュウショ</t>
    </rPh>
    <rPh sb="30" eb="33">
      <t>メイサイショ</t>
    </rPh>
    <rPh sb="34" eb="36">
      <t>カンゼン</t>
    </rPh>
    <rPh sb="37" eb="39">
      <t>サクジョ</t>
    </rPh>
    <phoneticPr fontId="13"/>
  </si>
  <si>
    <t>参照を削除するが、関連する発注書は保持する</t>
    <phoneticPr fontId="13"/>
  </si>
  <si>
    <t>不完全または不適切な勘定配布のワークフローに請求書を送信できます</t>
    <phoneticPr fontId="13"/>
  </si>
  <si>
    <t>不完全または間違った勘定配布を使用した請求書ワークフロー送信を有効にするには、このオプションを選択します</t>
    <phoneticPr fontId="13"/>
  </si>
  <si>
    <t>請求の貸方記入レイアウトを売上およびプロジェクト請求レポートに適用</t>
    <phoneticPr fontId="13"/>
  </si>
  <si>
    <t>顧客請求書、およびプロジェクト請求書の貸方票の請求書情報を印刷する場合には、このオプションを選択します。請求書情報には、元の請求書番号、元の請求金額、元の消費税金額、および修正理由が含まれます。</t>
    <phoneticPr fontId="13"/>
  </si>
  <si>
    <t>請求書の日付の管理</t>
    <rPh sb="0" eb="3">
      <t>セイキュウショ</t>
    </rPh>
    <rPh sb="4" eb="6">
      <t>ヒヅケ</t>
    </rPh>
    <rPh sb="7" eb="9">
      <t>カンリ</t>
    </rPh>
    <phoneticPr fontId="13"/>
  </si>
  <si>
    <t>請求書の日付の管理
請求書の日付の管理</t>
    <rPh sb="0" eb="3">
      <t>セイキュウショ</t>
    </rPh>
    <rPh sb="4" eb="6">
      <t>ヒヅケ</t>
    </rPh>
    <rPh sb="7" eb="9">
      <t>カンリ</t>
    </rPh>
    <phoneticPr fontId="13"/>
  </si>
  <si>
    <t>なし
警告
エラー</t>
    <rPh sb="3" eb="5">
      <t>ケイコク</t>
    </rPh>
    <phoneticPr fontId="13"/>
  </si>
  <si>
    <t>ドキュメントの日付の管理</t>
    <rPh sb="7" eb="9">
      <t>ヒヅケ</t>
    </rPh>
    <rPh sb="10" eb="12">
      <t>カンリ</t>
    </rPh>
    <phoneticPr fontId="13"/>
  </si>
  <si>
    <t>訂正票の日付の管理
請求書の日付の管理</t>
    <rPh sb="0" eb="3">
      <t>テイセイヒョウ</t>
    </rPh>
    <rPh sb="4" eb="6">
      <t>ヒヅケ</t>
    </rPh>
    <rPh sb="7" eb="9">
      <t>カンリ</t>
    </rPh>
    <phoneticPr fontId="13"/>
  </si>
  <si>
    <t>バッチおよび転記処理の最適化</t>
    <rPh sb="6" eb="10">
      <t>テンキショリ</t>
    </rPh>
    <rPh sb="11" eb="14">
      <t>サイテキカ</t>
    </rPh>
    <phoneticPr fontId="13"/>
  </si>
  <si>
    <t>タスクあたりのドキュメント数</t>
    <rPh sb="13" eb="14">
      <t>スウ</t>
    </rPh>
    <phoneticPr fontId="13"/>
  </si>
  <si>
    <t>確認、ピッキング リスト、梱包明細、請求書を転記する際に、各バッチ タスクで処理する販売ドキュメントの最大数を入力します。</t>
    <phoneticPr fontId="13"/>
  </si>
  <si>
    <t>タスクあたりの明細行数</t>
    <rPh sb="7" eb="10">
      <t>メイサイギョウ</t>
    </rPh>
    <rPh sb="10" eb="11">
      <t>スウ</t>
    </rPh>
    <phoneticPr fontId="13"/>
  </si>
  <si>
    <t>確認、ピッキング リスト、梱包明細、請求書を転記する際に、各バッチ タスクで処理する販売注文明細行の最大数を入力します。 この制限を無効化する場合はゼロに設定し、代わりに "タスクごとのドキュメント" 設定を使用します。 このフィールドをゼロ以外の値に設定した場合、"タスクごとのドキュメント" 設定を無視します。</t>
    <phoneticPr fontId="13"/>
  </si>
  <si>
    <t>バッチ タスクにおける督促状の割合です。</t>
    <phoneticPr fontId="13"/>
  </si>
  <si>
    <t>最初のエラー発生時に自由書式の請求書の転記を停止する</t>
    <phoneticPr fontId="13"/>
  </si>
  <si>
    <t>エラーが発生する場合、このオプションを選択すると、自由書式の請求書の転記が停止されます。バッチ処理で転記した場合、エラーが発生すると転記処理は停止し、バッチ状態が "エラー" に設定されます。このオプションを選択しない場合、転記プロセスでは転記エラーのある請求書をスキップし、引き続きその他の請求書を転記します。バッチ処理で転記した場合、転記エラーが発生しても他の請求書の転記は停止されません。バッチ状態は "終了済" になります。バッチ ジョブの履歴は、詳細な転記プロセス レポートで確認できます。</t>
    <phoneticPr fontId="13"/>
  </si>
  <si>
    <t>顧客請求書明細行の転記時に連番を割り当てる</t>
    <phoneticPr fontId="13"/>
  </si>
  <si>
    <t>顧客請求書明細行の転記時に明細行作成連番を割り当てるには、このオプションを選択します。番号は転記プロセス中に割り当てられます。このオプションが選択されていない場合、明細行作成番号は非連番となります。非連番を許可すると、顧客請求書の転記のパフォーマンスを向上させることができます。明細行作成の順序番号は、連番が必要なサードパーティ統合によって使用される場合があります。明細行作成連番と統合される可能性のある拡張機能については、IT 部門に相談してください。</t>
    <phoneticPr fontId="13"/>
  </si>
  <si>
    <t>見積書</t>
    <phoneticPr fontId="13"/>
  </si>
  <si>
    <t>見積書用の集計更新オプションを設定します</t>
    <phoneticPr fontId="13"/>
  </si>
  <si>
    <t>確認書</t>
    <phoneticPr fontId="13"/>
  </si>
  <si>
    <t>確認書の集計更新オプションを設定します</t>
    <phoneticPr fontId="13"/>
  </si>
  <si>
    <t>ピッキング リスト</t>
    <phoneticPr fontId="13"/>
  </si>
  <si>
    <t>ピッキング リストの集計更新オプションを設定します</t>
    <phoneticPr fontId="13"/>
  </si>
  <si>
    <t>梱包明細</t>
    <phoneticPr fontId="13"/>
  </si>
  <si>
    <t>梱包明細の集計更新オプションの設定</t>
    <phoneticPr fontId="13"/>
  </si>
  <si>
    <t>VAT 登録日の変更を有効にします</t>
    <phoneticPr fontId="13"/>
  </si>
  <si>
    <t>このパラメーターを有効にすると、外貨でのプロジェクト請求書の VAT 登録日を編集できます。このパラメーターは、VAT 登録の機能日が機能管理で有効になっていない場合に、チェコ共和国で基本住所の法人のみに影響します。</t>
    <phoneticPr fontId="13"/>
  </si>
  <si>
    <t>ゼロ価格とゼロ原価の販売注文請求書明細行に対して収益勘定に転記</t>
    <phoneticPr fontId="13"/>
  </si>
  <si>
    <t>このオプションを選択して、価格と原価を含まない販売注文請求書明細行の収益勘定を更新します。このオプションを選択すると、伝票には顧客残高と収益転記タイプの 0.00 エントリが含まれます。収益勘定は、[在庫転記パラメーター] ページの [販売注文勘定の定義] タブで定義される必要があります。このオプションが選択されていない場合、価格または原価情報を含まない明細行は収益勘定に転記されません。代わりに、伝票には顧客残高転記タイプの 0.00 エントリが含まれます</t>
    <phoneticPr fontId="13"/>
  </si>
  <si>
    <t>データベースのレコードの固有 ID</t>
    <phoneticPr fontId="13"/>
  </si>
  <si>
    <t>キャッシュ フロー予測に配賦できる金額の割合</t>
    <phoneticPr fontId="13"/>
  </si>
  <si>
    <t>現金割引日のセット ベースの更新をオフにする</t>
    <phoneticPr fontId="13"/>
  </si>
  <si>
    <t>現金割引日の顧客決済が個別に更新されます。通常、現金割引日を個別に処理することはお勧めしません。この方法はかなりの時間がかかるためです。ただし、現金割引日の更新時にデッドロック例外が頻繁に発生する場合は、現金割引日を個別に更新すると役立つ場合があります。</t>
    <phoneticPr fontId="13"/>
  </si>
  <si>
    <t>消費税の基準額</t>
    <rPh sb="0" eb="3">
      <t>ショウヒゼイ</t>
    </rPh>
    <rPh sb="4" eb="7">
      <t>キジュンガク</t>
    </rPh>
    <phoneticPr fontId="13"/>
  </si>
  <si>
    <t>消費税金額に対して作成された仕訳帳明細行の消費税トランザクションにゼロ以外の元金額が含まれます。</t>
    <phoneticPr fontId="13"/>
  </si>
  <si>
    <t>回収プロセスの自動化</t>
    <rPh sb="0" eb="2">
      <t>カイシュウ</t>
    </rPh>
    <rPh sb="7" eb="10">
      <t>ジドウカ</t>
    </rPh>
    <phoneticPr fontId="13"/>
  </si>
  <si>
    <t>回収プロセス自動化パラメーターの設定</t>
    <rPh sb="0" eb="2">
      <t>カイシュウ</t>
    </rPh>
    <rPh sb="6" eb="9">
      <t>ジドウカ</t>
    </rPh>
    <rPh sb="16" eb="18">
      <t>セッテイ</t>
    </rPh>
    <phoneticPr fontId="13"/>
  </si>
  <si>
    <t>全般
回収自動化プロセスの一般的なパラメーターを設定します。</t>
    <rPh sb="0" eb="2">
      <t>ゼンパン</t>
    </rPh>
    <phoneticPr fontId="13"/>
  </si>
  <si>
    <t>バッチ タスクあたりの顧客数の割合</t>
    <phoneticPr fontId="13"/>
  </si>
  <si>
    <t>10.00</t>
    <phoneticPr fontId="13"/>
  </si>
  <si>
    <t>督促状を自動的に転記</t>
    <rPh sb="0" eb="3">
      <t>トクソクジョウ</t>
    </rPh>
    <rPh sb="4" eb="7">
      <t>ジドウテキ</t>
    </rPh>
    <rPh sb="8" eb="10">
      <t>テンキ</t>
    </rPh>
    <phoneticPr fontId="13"/>
  </si>
  <si>
    <t>自動化の活動を作成</t>
    <rPh sb="0" eb="3">
      <t>ジドウカ</t>
    </rPh>
    <rPh sb="4" eb="6">
      <t>カツドウ</t>
    </rPh>
    <rPh sb="7" eb="9">
      <t>サクセイ</t>
    </rPh>
    <phoneticPr fontId="13"/>
  </si>
  <si>
    <t>回収プロセス自動化の履歴を維持する日数</t>
    <phoneticPr fontId="13"/>
  </si>
  <si>
    <t>前回のプロセス ステップの有効化後の請求書を除外する</t>
    <phoneticPr fontId="13"/>
  </si>
  <si>
    <t>回収プロセスの最後のステップに達する請求書は、将来のプロセス自動化アクション タイプの作成に使用されなくなります。次に古い請求書で次のプロセス自動化ステップを決定して、回収プロセス自動化アクションが停止しないようにします。</t>
    <phoneticPr fontId="13"/>
  </si>
  <si>
    <t>支払予測
請求書の支払い時の顧客支払予測プロジェクト。遅延支払が予想される場合は、その情報を使用して、回収プロセス自動化で回収活動を自動的に開始できます。</t>
    <rPh sb="0" eb="4">
      <t>シハライヨソク</t>
    </rPh>
    <phoneticPr fontId="13"/>
  </si>
  <si>
    <t>支払予測の有効化</t>
    <rPh sb="0" eb="4">
      <t>シハライヨソク</t>
    </rPh>
    <rPh sb="5" eb="8">
      <t>ユウコウカ</t>
    </rPh>
    <phoneticPr fontId="13"/>
  </si>
  <si>
    <t>ヘッダーの自動諸掛を検索</t>
    <phoneticPr fontId="13"/>
  </si>
  <si>
    <t>統合による明細行正味金額の計算</t>
    <rPh sb="0" eb="2">
      <t>トウゴウ</t>
    </rPh>
    <rPh sb="5" eb="8">
      <t>メイサイギョウ</t>
    </rPh>
    <rPh sb="8" eb="12">
      <t>ショウミキンガク</t>
    </rPh>
    <rPh sb="13" eb="15">
      <t>ケイサン</t>
    </rPh>
    <phoneticPr fontId="13"/>
  </si>
  <si>
    <t>明細行の正味金額の計算</t>
    <rPh sb="0" eb="3">
      <t>メイサイギョウ</t>
    </rPh>
    <rPh sb="4" eb="8">
      <t>ショウミキンガク</t>
    </rPh>
    <rPh sb="9" eb="11">
      <t>ケイサン</t>
    </rPh>
    <phoneticPr fontId="13"/>
  </si>
  <si>
    <t>このパラメーターを使用すると、OData またはデュアル書き込みを使用して「販売注文明細行」、「販売見積明細行」、または「返品注文明細行」エンティティを介してデータをインポートする際に、システムが明細行合計を再計算するかどうかを制御できます。 これは、売買契約評価ポリシーが設定されていて、販売注文明細行、販売見積明細行、返品注文明細行の [正味金額] フィールドへの変更が制限されている場合にのみ効果があります。 この設定が [はい] に設定されている場合、システムは必要に応じて常に明細行金額を再計算します (したがって、明細行正味金額の売買契約評価ポリシーは無視されます)。 設定が [いいえ] に設定されている場合、明細行の価格、数量、割引の変更のために明細行の正味金額の再計算を行う必要がある場合でも、システムは明細行の正味金額を自動的に計算しません。</t>
    <phoneticPr fontId="13"/>
  </si>
  <si>
    <t>在庫分析コード</t>
    <rPh sb="0" eb="2">
      <t>ザイコ</t>
    </rPh>
    <rPh sb="2" eb="4">
      <t>ブンセキ</t>
    </rPh>
    <phoneticPr fontId="13"/>
  </si>
  <si>
    <t>注文明細行および見積明細行の在庫分析コードを選択します</t>
  </si>
  <si>
    <t>注文明細行</t>
    <rPh sb="0" eb="4">
      <t>チュウモンメイサイ</t>
    </rPh>
    <rPh sb="4" eb="5">
      <t>ギョウ</t>
    </rPh>
    <phoneticPr fontId="13"/>
  </si>
  <si>
    <t>GTD number</t>
    <phoneticPr fontId="13"/>
  </si>
  <si>
    <t>在庫プロファイル</t>
    <phoneticPr fontId="13"/>
  </si>
  <si>
    <t>所有者</t>
    <rPh sb="0" eb="3">
      <t>ショユウシャ</t>
    </rPh>
    <phoneticPr fontId="13"/>
  </si>
  <si>
    <t>シリアル番号</t>
    <rPh sb="4" eb="6">
      <t>バンゴウ</t>
    </rPh>
    <phoneticPr fontId="13"/>
  </si>
  <si>
    <t>バッチ番号</t>
    <rPh sb="3" eb="5">
      <t>バンゴウ</t>
    </rPh>
    <phoneticPr fontId="13"/>
  </si>
  <si>
    <t>ライセンスプレート</t>
  </si>
  <si>
    <t>在庫状態</t>
    <rPh sb="2" eb="4">
      <t>ジョウタイ</t>
    </rPh>
    <phoneticPr fontId="13"/>
  </si>
  <si>
    <t>保管場所</t>
    <rPh sb="0" eb="2">
      <t>ホカン</t>
    </rPh>
    <rPh sb="2" eb="4">
      <t>バショ</t>
    </rPh>
    <phoneticPr fontId="13"/>
  </si>
  <si>
    <t>サイト</t>
    <phoneticPr fontId="13"/>
  </si>
  <si>
    <t>スタイル</t>
    <phoneticPr fontId="13"/>
  </si>
  <si>
    <t>色</t>
    <rPh sb="0" eb="1">
      <t>イロ</t>
    </rPh>
    <phoneticPr fontId="13"/>
  </si>
  <si>
    <t>サイズ</t>
    <phoneticPr fontId="13"/>
  </si>
  <si>
    <t>コンフィギュレーション</t>
  </si>
  <si>
    <t>見積明細行</t>
    <rPh sb="0" eb="2">
      <t>ミツモリ</t>
    </rPh>
    <rPh sb="2" eb="4">
      <t>メイサイ</t>
    </rPh>
    <rPh sb="4" eb="5">
      <t>ギョウ</t>
    </rPh>
    <phoneticPr fontId="13"/>
  </si>
  <si>
    <t>集計更新パラメータ―-見積書</t>
    <phoneticPr fontId="13"/>
  </si>
  <si>
    <t>見積書</t>
    <rPh sb="0" eb="3">
      <t>ミツモリショ</t>
    </rPh>
    <phoneticPr fontId="22"/>
  </si>
  <si>
    <t>集計更新パラメータ―-確認書</t>
    <rPh sb="11" eb="14">
      <t>カクニンショ</t>
    </rPh>
    <phoneticPr fontId="13"/>
  </si>
  <si>
    <t>確認書</t>
    <rPh sb="0" eb="3">
      <t>カクニンショ</t>
    </rPh>
    <phoneticPr fontId="22"/>
  </si>
  <si>
    <t>集計更新パラメータ―-ピッキングリスト</t>
    <phoneticPr fontId="13"/>
  </si>
  <si>
    <t>ピッキングリスト</t>
    <phoneticPr fontId="22"/>
  </si>
  <si>
    <t>集計更新パラメータ―-梱包明細</t>
    <rPh sb="11" eb="15">
      <t>コンポウメイサイ</t>
    </rPh>
    <phoneticPr fontId="13"/>
  </si>
  <si>
    <t>梱包明細</t>
    <rPh sb="0" eb="4">
      <t>コンポウメイサイ</t>
    </rPh>
    <phoneticPr fontId="22"/>
  </si>
  <si>
    <t>集計更新パラメータ―-請求書</t>
    <phoneticPr fontId="13"/>
  </si>
  <si>
    <t>在庫分析コード</t>
    <rPh sb="0" eb="2">
      <t>ザイコ</t>
    </rPh>
    <rPh sb="2" eb="4">
      <t>ブンセキ</t>
    </rPh>
    <phoneticPr fontId="22"/>
  </si>
  <si>
    <t>購買注文明細行</t>
    <rPh sb="0" eb="2">
      <t>コウバイ</t>
    </rPh>
    <rPh sb="2" eb="4">
      <t>チュウモン</t>
    </rPh>
    <rPh sb="4" eb="6">
      <t>メイサイ</t>
    </rPh>
    <rPh sb="6" eb="7">
      <t>ギョウ</t>
    </rPh>
    <phoneticPr fontId="13"/>
  </si>
  <si>
    <t>委託販売補充注文明細行</t>
    <rPh sb="0" eb="2">
      <t>イタク</t>
    </rPh>
    <rPh sb="2" eb="4">
      <t>ハンバイ</t>
    </rPh>
    <rPh sb="4" eb="6">
      <t>ホジュウ</t>
    </rPh>
    <rPh sb="6" eb="8">
      <t>チュウモン</t>
    </rPh>
    <rPh sb="8" eb="10">
      <t>メイサイ</t>
    </rPh>
    <rPh sb="10" eb="11">
      <t>ギョウ</t>
    </rPh>
    <phoneticPr fontId="13"/>
  </si>
  <si>
    <t>（システム自動入力）</t>
    <rPh sb="5" eb="9">
      <t>ジドウニュウリョク</t>
    </rPh>
    <phoneticPr fontId="13"/>
  </si>
  <si>
    <t>GTD number</t>
  </si>
  <si>
    <t>在庫プロファイル</t>
    <rPh sb="0" eb="2">
      <t>ザイコ</t>
    </rPh>
    <phoneticPr fontId="13"/>
  </si>
  <si>
    <t>在庫状態</t>
    <rPh sb="0" eb="2">
      <t>ザイコ</t>
    </rPh>
    <rPh sb="2" eb="4">
      <t>ジョウタイ</t>
    </rPh>
    <phoneticPr fontId="13"/>
  </si>
  <si>
    <t>サイト</t>
  </si>
  <si>
    <t>スタイル</t>
  </si>
  <si>
    <t>サイズ</t>
  </si>
  <si>
    <t>ピッキング リスト</t>
  </si>
  <si>
    <t>ピッキング リストの固有キーです。ピッキング リストの固有 ID として使用されます。</t>
  </si>
  <si>
    <t>売掛金管理＞設定＞売掛金勘定パラメーター
Accounts receivable &gt; Setup &gt; Accounts receivable parameters</t>
    <phoneticPr fontId="13"/>
  </si>
  <si>
    <t>売掛金管理＞設定＞売掛金勘定パラメーター</t>
  </si>
  <si>
    <t>Accounts receivable &gt; Setup &gt; Accounts receivable parameters</t>
  </si>
  <si>
    <t>個別</t>
    <rPh sb="0" eb="2">
      <t>コベツ</t>
    </rPh>
    <phoneticPr fontId="13"/>
  </si>
  <si>
    <t>売掛金勘定ワークフロー</t>
    <phoneticPr fontId="13"/>
  </si>
  <si>
    <t>顧客の支払期日の定義となる。
支払条件を使用する際に参照するため、期日を設定する。
買掛金管理の「支払期日」と設定を共有</t>
    <rPh sb="42" eb="45">
      <t>カイカケキン</t>
    </rPh>
    <rPh sb="45" eb="47">
      <t>カンリ</t>
    </rPh>
    <phoneticPr fontId="13"/>
  </si>
  <si>
    <t>顧客の支払条件の定義となる。
取引先マスタが保持する支払条件（期日等）を設定する。
買掛金管理の「支払条件」と設計を共有</t>
    <rPh sb="42" eb="47">
      <t>カイカケキンカンリ</t>
    </rPh>
    <phoneticPr fontId="13"/>
  </si>
  <si>
    <t>共通</t>
    <rPh sb="0" eb="2">
      <t>キョウツウ</t>
    </rPh>
    <phoneticPr fontId="15"/>
  </si>
  <si>
    <t>「集計更新パラメータ―-見積書」を参照</t>
    <rPh sb="17" eb="19">
      <t>サンショウ</t>
    </rPh>
    <phoneticPr fontId="13"/>
  </si>
  <si>
    <t>「集計更新パラメータ―-確認書」を参照</t>
    <rPh sb="12" eb="15">
      <t>カクニンショ</t>
    </rPh>
    <phoneticPr fontId="13"/>
  </si>
  <si>
    <t>「集計更新パラメータ―-ピッキングリスト」を参照</t>
    <phoneticPr fontId="13"/>
  </si>
  <si>
    <t>「集計更新パラメータ―-梱包明細」を参照</t>
    <rPh sb="12" eb="14">
      <t>コンポウ</t>
    </rPh>
    <rPh sb="14" eb="16">
      <t>メイサイ</t>
    </rPh>
    <phoneticPr fontId="13"/>
  </si>
  <si>
    <t>「集計更新パラメータ―-請求書」を参照</t>
    <rPh sb="12" eb="15">
      <t>セイキュウショ</t>
    </rPh>
    <phoneticPr fontId="13"/>
  </si>
  <si>
    <t>売掛金勘定ワークフロー</t>
    <rPh sb="0" eb="3">
      <t>ウリカケキン</t>
    </rPh>
    <rPh sb="3" eb="5">
      <t>カンジョウ</t>
    </rPh>
    <phoneticPr fontId="13"/>
  </si>
  <si>
    <t>売掛金管理＞設定＞売掛金勘定ワークフロー</t>
  </si>
  <si>
    <t>売掛金勘定ワークフロー</t>
    <rPh sb="0" eb="3">
      <t>ウリカケキン</t>
    </rPh>
    <phoneticPr fontId="13"/>
  </si>
  <si>
    <t>状態</t>
    <rPh sb="0" eb="2">
      <t>ジョウタイ</t>
    </rPh>
    <phoneticPr fontId="13"/>
  </si>
  <si>
    <t>ID</t>
    <phoneticPr fontId="13"/>
  </si>
  <si>
    <t>関連</t>
    <rPh sb="0" eb="2">
      <t>カンレン</t>
    </rPh>
    <phoneticPr fontId="13"/>
  </si>
  <si>
    <t>AOT のワークフロー タイプの名前です。</t>
    <phoneticPr fontId="13"/>
  </si>
  <si>
    <t>インスタンス</t>
    <phoneticPr fontId="13"/>
  </si>
  <si>
    <t>有効なバージョン</t>
    <rPh sb="0" eb="2">
      <t>ユウコウ</t>
    </rPh>
    <phoneticPr fontId="13"/>
  </si>
  <si>
    <t>売掛金勘定ワークフロー-設定値</t>
    <rPh sb="0" eb="3">
      <t>ウリカケキン</t>
    </rPh>
    <rPh sb="3" eb="5">
      <t>カンジョウ</t>
    </rPh>
    <phoneticPr fontId="13"/>
  </si>
  <si>
    <t>※ワークフローの詳細設定は実機を確認</t>
    <rPh sb="8" eb="10">
      <t>ショウサイ</t>
    </rPh>
    <rPh sb="10" eb="12">
      <t>セッテイ</t>
    </rPh>
    <rPh sb="13" eb="15">
      <t>ジッキ</t>
    </rPh>
    <rPh sb="16" eb="18">
      <t>カクニン</t>
    </rPh>
    <phoneticPr fontId="13"/>
  </si>
  <si>
    <t>「売掛金勘定ワークフロー-設定値」を参照</t>
    <rPh sb="1" eb="4">
      <t>ウリカケキン</t>
    </rPh>
    <rPh sb="4" eb="6">
      <t>カンジョウ</t>
    </rPh>
    <phoneticPr fontId="13"/>
  </si>
  <si>
    <t>売掛金管理＞設定＞売掛金勘定ワークフロー
Accounts receivable &gt; Setup &gt; Accounts receivable workflows</t>
    <phoneticPr fontId="13"/>
  </si>
  <si>
    <t>支払条件</t>
    <rPh sb="0" eb="2">
      <t>シハライ</t>
    </rPh>
    <rPh sb="2" eb="4">
      <t>ジョウケン</t>
    </rPh>
    <phoneticPr fontId="13"/>
  </si>
  <si>
    <t>支払条件</t>
    <rPh sb="0" eb="4">
      <t>シハライジョウケン</t>
    </rPh>
    <phoneticPr fontId="13"/>
  </si>
  <si>
    <t>送金</t>
    <rPh sb="0" eb="2">
      <t>ソウキン</t>
    </rPh>
    <phoneticPr fontId="13"/>
  </si>
  <si>
    <t>有効</t>
    <rPh sb="0" eb="2">
      <t>ユウコウ</t>
    </rPh>
    <phoneticPr fontId="13"/>
  </si>
  <si>
    <t>日数</t>
    <rPh sb="0" eb="2">
      <t>ニッスウ</t>
    </rPh>
    <phoneticPr fontId="13"/>
  </si>
  <si>
    <t>「支払条件-設定値」を参照</t>
    <rPh sb="1" eb="3">
      <t>シハライ</t>
    </rPh>
    <rPh sb="3" eb="5">
      <t>ジョウケン</t>
    </rPh>
    <rPh sb="6" eb="9">
      <t>セッテイチ</t>
    </rPh>
    <rPh sb="11" eb="13">
      <t>サンショウ</t>
    </rPh>
    <phoneticPr fontId="13"/>
  </si>
  <si>
    <t>正味
当月
当四半期
今年度
今週
代金引換払い
締日</t>
    <rPh sb="0" eb="2">
      <t>ショウミ</t>
    </rPh>
    <rPh sb="3" eb="5">
      <t>トウゲツ</t>
    </rPh>
    <rPh sb="6" eb="7">
      <t>トウ</t>
    </rPh>
    <rPh sb="7" eb="10">
      <t>シハンキ</t>
    </rPh>
    <rPh sb="11" eb="14">
      <t>コンネンド</t>
    </rPh>
    <rPh sb="15" eb="17">
      <t>コンシュウ</t>
    </rPh>
    <rPh sb="18" eb="20">
      <t>ダイキン</t>
    </rPh>
    <rPh sb="20" eb="22">
      <t>ヒキカエ</t>
    </rPh>
    <rPh sb="22" eb="23">
      <t>バラ</t>
    </rPh>
    <rPh sb="25" eb="27">
      <t>シメビ</t>
    </rPh>
    <phoneticPr fontId="13"/>
  </si>
  <si>
    <t>正味</t>
    <rPh sb="0" eb="2">
      <t>ショウミ</t>
    </rPh>
    <phoneticPr fontId="13"/>
  </si>
  <si>
    <t>現金払い</t>
    <rPh sb="0" eb="2">
      <t>ゲンキン</t>
    </rPh>
    <rPh sb="2" eb="3">
      <t>バラ</t>
    </rPh>
    <phoneticPr fontId="13"/>
  </si>
  <si>
    <t>月数</t>
    <rPh sb="0" eb="1">
      <t>ツキ</t>
    </rPh>
    <rPh sb="1" eb="2">
      <t>スウ</t>
    </rPh>
    <phoneticPr fontId="13"/>
  </si>
  <si>
    <t>支払期日（ユーザー定義）</t>
    <rPh sb="0" eb="2">
      <t>シハライ</t>
    </rPh>
    <rPh sb="2" eb="4">
      <t>キジツ</t>
    </rPh>
    <rPh sb="9" eb="11">
      <t>テイギ</t>
    </rPh>
    <phoneticPr fontId="13"/>
  </si>
  <si>
    <t>締日</t>
    <rPh sb="0" eb="2">
      <t>シメビ</t>
    </rPh>
    <phoneticPr fontId="13"/>
  </si>
  <si>
    <t>追加月数</t>
    <rPh sb="0" eb="2">
      <t>ツイカ</t>
    </rPh>
    <rPh sb="2" eb="4">
      <t>ツキスウ</t>
    </rPh>
    <phoneticPr fontId="13"/>
  </si>
  <si>
    <t>既定の支払条件</t>
    <rPh sb="0" eb="2">
      <t>キテイ</t>
    </rPh>
    <rPh sb="3" eb="5">
      <t>シハライ</t>
    </rPh>
    <rPh sb="5" eb="7">
      <t>ジョウケン</t>
    </rPh>
    <phoneticPr fontId="13"/>
  </si>
  <si>
    <t>更新なし</t>
    <rPh sb="0" eb="2">
      <t>コウシン</t>
    </rPh>
    <phoneticPr fontId="13"/>
  </si>
  <si>
    <t>現金</t>
    <rPh sb="0" eb="2">
      <t>ゲンキン</t>
    </rPh>
    <phoneticPr fontId="13"/>
  </si>
  <si>
    <t>証明済の会社の小切手</t>
    <rPh sb="0" eb="2">
      <t>ショウメイ</t>
    </rPh>
    <rPh sb="2" eb="3">
      <t>ズミ</t>
    </rPh>
    <rPh sb="4" eb="6">
      <t>カイシャ</t>
    </rPh>
    <rPh sb="7" eb="10">
      <t>コギッテ</t>
    </rPh>
    <phoneticPr fontId="13"/>
  </si>
  <si>
    <t>貸方の確認</t>
    <rPh sb="0" eb="2">
      <t>カシカタ</t>
    </rPh>
    <rPh sb="3" eb="5">
      <t>カクニン</t>
    </rPh>
    <phoneticPr fontId="13"/>
  </si>
  <si>
    <t>支払条件-設定値</t>
    <phoneticPr fontId="13"/>
  </si>
  <si>
    <t>その他</t>
    <rPh sb="2" eb="3">
      <t>タ</t>
    </rPh>
    <phoneticPr fontId="22"/>
  </si>
  <si>
    <t>月数</t>
    <rPh sb="0" eb="2">
      <t>ツキスウ</t>
    </rPh>
    <phoneticPr fontId="13"/>
  </si>
  <si>
    <t>証明済の会社の小切手</t>
  </si>
  <si>
    <t>(変更不可)</t>
    <rPh sb="1" eb="3">
      <t>ヘンコウ</t>
    </rPh>
    <rPh sb="3" eb="5">
      <t>フカ</t>
    </rPh>
    <phoneticPr fontId="13"/>
  </si>
  <si>
    <t>売掛金管理＞支払の設定＞支払条件</t>
  </si>
  <si>
    <t>Accounts receivable &gt; Payments setup &gt; Terms of payment</t>
  </si>
  <si>
    <t>更新時に既存の並べ替えを維持する</t>
    <rPh sb="0" eb="2">
      <t>コウシン</t>
    </rPh>
    <rPh sb="2" eb="3">
      <t>ジ</t>
    </rPh>
    <rPh sb="4" eb="6">
      <t>キソン</t>
    </rPh>
    <rPh sb="7" eb="8">
      <t>ナラ</t>
    </rPh>
    <rPh sb="9" eb="10">
      <t>カ</t>
    </rPh>
    <rPh sb="12" eb="14">
      <t>イジ</t>
    </rPh>
    <phoneticPr fontId="13"/>
  </si>
  <si>
    <t>このオプションが無効に設定されている場合、販売明細行の更新時に並べ替えが行われます。更新時に会社間販売注文書の販売明細行グリッドの明細行を並べ替えない場合は、このオプションを有効に設定します。</t>
    <phoneticPr fontId="13"/>
  </si>
  <si>
    <t>このフィールドに入力することで、売上請求書で既定の言語として使用される言語が決まります。請求先顧客または注文顧客のいずれかに関連付けられている言語となります。</t>
    <phoneticPr fontId="13"/>
  </si>
  <si>
    <t>未処理および決算済
未処理
クローズ済
支払猶予期間を含めて終了済
支払猶予期間を含めて未処理および決算済</t>
    <rPh sb="10" eb="13">
      <t>ミショリ</t>
    </rPh>
    <rPh sb="18" eb="19">
      <t>スミ</t>
    </rPh>
    <phoneticPr fontId="13"/>
  </si>
  <si>
    <t>支払コード</t>
    <rPh sb="0" eb="2">
      <t>シハライ</t>
    </rPh>
    <phoneticPr fontId="13"/>
  </si>
  <si>
    <t>カテゴリ目的</t>
  </si>
  <si>
    <t>カテゴリ目的を選択します。</t>
  </si>
  <si>
    <t>手数料負担者</t>
  </si>
  <si>
    <t>手数料負担者を選択します。</t>
  </si>
  <si>
    <t>ローカル支払方法</t>
  </si>
  <si>
    <t>ローカル支払方法を選択します。</t>
  </si>
  <si>
    <t>サービスレベル</t>
  </si>
  <si>
    <t>サービスレベルを選択します。</t>
  </si>
  <si>
    <t>設定&gt;エクスポート</t>
    <rPh sb="0" eb="2">
      <t>セッテイ</t>
    </rPh>
    <phoneticPr fontId="13"/>
  </si>
  <si>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3"/>
  </si>
  <si>
    <t>「支払方法_ファイル形式-設定値」を参照</t>
    <rPh sb="1" eb="3">
      <t>シハライ</t>
    </rPh>
    <rPh sb="3" eb="5">
      <t>ホウホウ</t>
    </rPh>
    <rPh sb="10" eb="12">
      <t>ケイシキ</t>
    </rPh>
    <rPh sb="13" eb="16">
      <t>セッテイチ</t>
    </rPh>
    <rPh sb="18" eb="20">
      <t>サンショウ</t>
    </rPh>
    <phoneticPr fontId="13"/>
  </si>
  <si>
    <t>設定&gt;インポート</t>
    <rPh sb="0" eb="2">
      <t>セッテイ</t>
    </rPh>
    <phoneticPr fontId="13"/>
  </si>
  <si>
    <t>設定&gt;返金</t>
    <rPh sb="0" eb="2">
      <t>セッテイ</t>
    </rPh>
    <rPh sb="3" eb="5">
      <t>ヘンキン</t>
    </rPh>
    <phoneticPr fontId="13"/>
  </si>
  <si>
    <t>設定&gt;送金</t>
    <rPh sb="0" eb="2">
      <t>セッテイ</t>
    </rPh>
    <rPh sb="3" eb="5">
      <t>ソウキン</t>
    </rPh>
    <phoneticPr fontId="13"/>
  </si>
  <si>
    <t>支払管理</t>
    <rPh sb="0" eb="2">
      <t>シハライ</t>
    </rPh>
    <rPh sb="2" eb="4">
      <t>カンリ</t>
    </rPh>
    <phoneticPr fontId="13"/>
  </si>
  <si>
    <t>「支払方法_支払管理-設定値」を参照</t>
    <rPh sb="1" eb="3">
      <t>シハライ</t>
    </rPh>
    <rPh sb="3" eb="5">
      <t>ホウホウ</t>
    </rPh>
    <rPh sb="6" eb="8">
      <t>シハライ</t>
    </rPh>
    <rPh sb="8" eb="10">
      <t>カンリ</t>
    </rPh>
    <rPh sb="11" eb="14">
      <t>セッテイチ</t>
    </rPh>
    <rPh sb="16" eb="18">
      <t>サンショウ</t>
    </rPh>
    <phoneticPr fontId="13"/>
  </si>
  <si>
    <t>支払IDタイプ</t>
    <rPh sb="0" eb="2">
      <t>シハライ</t>
    </rPh>
    <phoneticPr fontId="13"/>
  </si>
  <si>
    <t>支払属性</t>
    <rPh sb="0" eb="2">
      <t>シハライ</t>
    </rPh>
    <rPh sb="2" eb="4">
      <t>ゾクセイ</t>
    </rPh>
    <phoneticPr fontId="13"/>
  </si>
  <si>
    <t>「支払方法_支払属性-設定値」を参照</t>
    <rPh sb="1" eb="3">
      <t>シハライ</t>
    </rPh>
    <rPh sb="3" eb="5">
      <t>ホウホウ</t>
    </rPh>
    <rPh sb="6" eb="8">
      <t>シハライ</t>
    </rPh>
    <rPh sb="8" eb="10">
      <t>ゾクセイ</t>
    </rPh>
    <rPh sb="11" eb="14">
      <t>セッテイチ</t>
    </rPh>
    <rPh sb="16" eb="18">
      <t>サンショウ</t>
    </rPh>
    <phoneticPr fontId="13"/>
  </si>
  <si>
    <t>「顧客グループ-設定値」を参照</t>
  </si>
  <si>
    <t>支払 ID タイプ</t>
    <phoneticPr fontId="13"/>
  </si>
  <si>
    <t>支払 ID （ユーザー定義）</t>
    <rPh sb="0" eb="2">
      <t>シハライ</t>
    </rPh>
    <rPh sb="11" eb="13">
      <t>テイギ</t>
    </rPh>
    <phoneticPr fontId="13"/>
  </si>
  <si>
    <t>「顧客転記プロファイル-設定値」を参照</t>
  </si>
  <si>
    <t>裏書勘定</t>
    <phoneticPr fontId="13"/>
  </si>
  <si>
    <t>消費税の前払</t>
    <phoneticPr fontId="13"/>
  </si>
  <si>
    <t>割引勘定負債</t>
    <phoneticPr fontId="13"/>
  </si>
  <si>
    <t>督促状順序</t>
    <phoneticPr fontId="13"/>
  </si>
  <si>
    <t>利息コード</t>
    <phoneticPr fontId="13"/>
  </si>
  <si>
    <t>主勘定（ユーザー定義）</t>
    <rPh sb="0" eb="1">
      <t>シュ</t>
    </rPh>
    <rPh sb="1" eb="3">
      <t>カンジョウ</t>
    </rPh>
    <rPh sb="8" eb="10">
      <t>テイギ</t>
    </rPh>
    <phoneticPr fontId="13"/>
  </si>
  <si>
    <t>更新なし
翌営業日
前の営業日</t>
    <rPh sb="0" eb="2">
      <t>コウシン</t>
    </rPh>
    <rPh sb="5" eb="9">
      <t>ヨクエイギョウビ</t>
    </rPh>
    <rPh sb="10" eb="11">
      <t>マエ</t>
    </rPh>
    <rPh sb="12" eb="15">
      <t>エイギョウビ</t>
    </rPh>
    <phoneticPr fontId="13"/>
  </si>
  <si>
    <t>「現金払い」が「はい」の場合に入力可能となる</t>
    <rPh sb="12" eb="14">
      <t>バアイ</t>
    </rPh>
    <rPh sb="15" eb="17">
      <t>ニュウリョク</t>
    </rPh>
    <rPh sb="17" eb="19">
      <t>カノウ</t>
    </rPh>
    <phoneticPr fontId="13"/>
  </si>
  <si>
    <t>主勘定（ユーザー定義）</t>
    <rPh sb="0" eb="3">
      <t>シュカンジョウ</t>
    </rPh>
    <rPh sb="8" eb="10">
      <t>テイギ</t>
    </rPh>
    <phoneticPr fontId="13"/>
  </si>
  <si>
    <t>売掛金勘定ワークフロー</t>
    <rPh sb="0" eb="2">
      <t>ウリカケ</t>
    </rPh>
    <rPh sb="2" eb="3">
      <t>キン</t>
    </rPh>
    <rPh sb="3" eb="5">
      <t>カンジョウ</t>
    </rPh>
    <phoneticPr fontId="13"/>
  </si>
  <si>
    <t>顧客ID（ユーザー定義）</t>
    <rPh sb="0" eb="2">
      <t>コキャク</t>
    </rPh>
    <phoneticPr fontId="13"/>
  </si>
  <si>
    <t>注文管理グループ（ユーザー定義）</t>
  </si>
  <si>
    <t>販売元（ユーザー定義）</t>
  </si>
  <si>
    <t>タイプ（ユーザー定義）</t>
  </si>
  <si>
    <t>転記プロファイル（ユーザー定義）</t>
  </si>
  <si>
    <t>支払 ID（ユーザー定義）</t>
    <phoneticPr fontId="13"/>
  </si>
  <si>
    <t>支払条件（ユーザー定義）</t>
    <rPh sb="0" eb="2">
      <t>シハライ</t>
    </rPh>
    <rPh sb="2" eb="4">
      <t>ジョウケン</t>
    </rPh>
    <phoneticPr fontId="22"/>
  </si>
  <si>
    <t>勘定科目（ユーザー定義）</t>
    <rPh sb="0" eb="2">
      <t>カンジョウ</t>
    </rPh>
    <rPh sb="2" eb="4">
      <t>カモク</t>
    </rPh>
    <phoneticPr fontId="22"/>
  </si>
  <si>
    <t>期間キー（ユーザー定義）</t>
    <rPh sb="0" eb="2">
      <t>キカン</t>
    </rPh>
    <phoneticPr fontId="22"/>
  </si>
  <si>
    <t>理由コード（ユーザー定義）</t>
    <rPh sb="0" eb="2">
      <t>リユウ</t>
    </rPh>
    <phoneticPr fontId="22"/>
  </si>
  <si>
    <t>残余決済勘定（ユーザー定義）</t>
    <rPh sb="0" eb="2">
      <t>ザンヨ</t>
    </rPh>
    <rPh sb="2" eb="4">
      <t>ケッサイ</t>
    </rPh>
    <rPh sb="4" eb="6">
      <t>カンジョウ</t>
    </rPh>
    <phoneticPr fontId="22"/>
  </si>
  <si>
    <t>仕訳帳名（ユーザー定義）</t>
  </si>
  <si>
    <t>銀行トランザクション タイプ（ユーザー定義）</t>
    <rPh sb="0" eb="2">
      <t>ギンコウ</t>
    </rPh>
    <phoneticPr fontId="22"/>
  </si>
  <si>
    <t>分析コード（ユーザー定義）</t>
    <rPh sb="0" eb="2">
      <t>ブンセキ</t>
    </rPh>
    <phoneticPr fontId="22"/>
  </si>
  <si>
    <t>通貨（ユーザー定義）</t>
    <rPh sb="0" eb="2">
      <t>ツウカ</t>
    </rPh>
    <phoneticPr fontId="22"/>
  </si>
  <si>
    <t>仕訳帳（ユーザー定義）</t>
    <rPh sb="0" eb="3">
      <t>シワケチョウ</t>
    </rPh>
    <phoneticPr fontId="22"/>
  </si>
  <si>
    <t>エイジング期間の定義（ユーザー定義）</t>
    <rPh sb="5" eb="7">
      <t>キカン</t>
    </rPh>
    <rPh sb="8" eb="10">
      <t>テイギ</t>
    </rPh>
    <phoneticPr fontId="22"/>
  </si>
  <si>
    <t>チーム（ユーザー定義）</t>
  </si>
  <si>
    <t>電子メールID（ユーザー定義）</t>
    <rPh sb="0" eb="2">
      <t>デンシ</t>
    </rPh>
    <phoneticPr fontId="22"/>
  </si>
  <si>
    <t>為替レート タイプ（ユーザー定義）</t>
    <rPh sb="0" eb="2">
      <t>カワセ</t>
    </rPh>
    <phoneticPr fontId="22"/>
  </si>
  <si>
    <t>電子申告（ユーザー定義）</t>
    <rPh sb="0" eb="2">
      <t>デンシ</t>
    </rPh>
    <rPh sb="2" eb="4">
      <t>シンコク</t>
    </rPh>
    <phoneticPr fontId="22"/>
  </si>
  <si>
    <t>番号順序（ユーザー定義）</t>
  </si>
  <si>
    <t>販売注文フルフィルメント ポリシー（ユーザー定義）</t>
  </si>
  <si>
    <t>銀行トランザクションタイプ（ユーザー定義）</t>
    <rPh sb="0" eb="2">
      <t>ギンコウ</t>
    </rPh>
    <phoneticPr fontId="13"/>
  </si>
  <si>
    <t>（ユーザー定義）</t>
  </si>
  <si>
    <t>ルールの定義</t>
    <rPh sb="4" eb="6">
      <t>テイギ</t>
    </rPh>
    <phoneticPr fontId="13"/>
  </si>
  <si>
    <t>支払カレンダー ルールの定義</t>
    <rPh sb="0" eb="2">
      <t>シハライ</t>
    </rPh>
    <rPh sb="12" eb="14">
      <t>テイギ</t>
    </rPh>
    <phoneticPr fontId="13"/>
  </si>
  <si>
    <t>ルール名</t>
    <rPh sb="3" eb="4">
      <t>メイ</t>
    </rPh>
    <phoneticPr fontId="13"/>
  </si>
  <si>
    <t>ルールタイプ</t>
    <phoneticPr fontId="13"/>
  </si>
  <si>
    <t>既定
顧客/仕入先所在地
会社の所有地</t>
    <rPh sb="0" eb="2">
      <t>キテイ</t>
    </rPh>
    <rPh sb="3" eb="5">
      <t>コキャク</t>
    </rPh>
    <rPh sb="6" eb="9">
      <t>シイレサキ</t>
    </rPh>
    <rPh sb="9" eb="12">
      <t>ショザイチ</t>
    </rPh>
    <rPh sb="13" eb="15">
      <t>カイシャ</t>
    </rPh>
    <rPh sb="16" eb="19">
      <t>ショユウチ</t>
    </rPh>
    <phoneticPr fontId="13"/>
  </si>
  <si>
    <t>支払カレンダー（ユーザー定義）</t>
    <rPh sb="0" eb="2">
      <t>シハライ</t>
    </rPh>
    <rPh sb="12" eb="14">
      <t>テイギ</t>
    </rPh>
    <phoneticPr fontId="13"/>
  </si>
  <si>
    <t>支払方法</t>
    <rPh sb="0" eb="4">
      <t>シハライホウホウ</t>
    </rPh>
    <phoneticPr fontId="13"/>
  </si>
  <si>
    <t>すべて
コード</t>
    <phoneticPr fontId="13"/>
  </si>
  <si>
    <t>[ルールタイプ]で[既定]を選択したときに設定</t>
    <rPh sb="10" eb="12">
      <t>キテイ</t>
    </rPh>
    <rPh sb="14" eb="16">
      <t>センタク</t>
    </rPh>
    <rPh sb="21" eb="23">
      <t>セッテイ</t>
    </rPh>
    <phoneticPr fontId="13"/>
  </si>
  <si>
    <t>支払方法（ユーザー定義）</t>
    <rPh sb="0" eb="4">
      <t>シハライホウホウ</t>
    </rPh>
    <rPh sb="9" eb="11">
      <t>テイギ</t>
    </rPh>
    <phoneticPr fontId="13"/>
  </si>
  <si>
    <t>[支払方法]で[コード]を選択したときに設定</t>
    <rPh sb="1" eb="3">
      <t>シハライ</t>
    </rPh>
    <rPh sb="3" eb="5">
      <t>ホウホウ</t>
    </rPh>
    <rPh sb="13" eb="15">
      <t>センタク</t>
    </rPh>
    <rPh sb="20" eb="22">
      <t>セッテイ</t>
    </rPh>
    <phoneticPr fontId="13"/>
  </si>
  <si>
    <t>支払条件（ユーザー定義）</t>
    <rPh sb="0" eb="4">
      <t>シハライジョウケン</t>
    </rPh>
    <rPh sb="9" eb="11">
      <t>テイギ</t>
    </rPh>
    <phoneticPr fontId="13"/>
  </si>
  <si>
    <t>[支払条件]で[コード]を選択したときに設定</t>
    <rPh sb="1" eb="3">
      <t>シハライ</t>
    </rPh>
    <rPh sb="3" eb="5">
      <t>ジョウケン</t>
    </rPh>
    <rPh sb="13" eb="15">
      <t>センタク</t>
    </rPh>
    <rPh sb="20" eb="22">
      <t>セッテイ</t>
    </rPh>
    <phoneticPr fontId="13"/>
  </si>
  <si>
    <t>ルールの優先順位付け</t>
    <rPh sb="4" eb="8">
      <t>ユウセンジュンイ</t>
    </rPh>
    <rPh sb="8" eb="9">
      <t>ヅ</t>
    </rPh>
    <phoneticPr fontId="13"/>
  </si>
  <si>
    <t>支払カレンダー ルールの優先順位を定義します</t>
    <rPh sb="0" eb="2">
      <t>シハライ</t>
    </rPh>
    <rPh sb="12" eb="14">
      <t>ユウセン</t>
    </rPh>
    <rPh sb="14" eb="16">
      <t>ジュンイ</t>
    </rPh>
    <rPh sb="17" eb="19">
      <t>テイギ</t>
    </rPh>
    <phoneticPr fontId="13"/>
  </si>
  <si>
    <t>（システム定義）</t>
    <rPh sb="5" eb="7">
      <t>テイギ</t>
    </rPh>
    <phoneticPr fontId="13"/>
  </si>
  <si>
    <t>カレンダーの選択</t>
    <rPh sb="6" eb="8">
      <t>センタク</t>
    </rPh>
    <phoneticPr fontId="13"/>
  </si>
  <si>
    <t>国/地域カレンダーの選択</t>
    <phoneticPr fontId="13"/>
  </si>
  <si>
    <t>選択</t>
    <rPh sb="0" eb="2">
      <t>センタク</t>
    </rPh>
    <phoneticPr fontId="13"/>
  </si>
  <si>
    <t>都道府県の休日も含める</t>
    <rPh sb="0" eb="4">
      <t>トドウフケン</t>
    </rPh>
    <rPh sb="5" eb="7">
      <t>キュウジツ</t>
    </rPh>
    <rPh sb="8" eb="9">
      <t>フク</t>
    </rPh>
    <phoneticPr fontId="13"/>
  </si>
  <si>
    <t>すべて
コード</t>
  </si>
  <si>
    <t>支払カレンダーの有効化、用途を設定する。</t>
    <rPh sb="0" eb="2">
      <t>シハライ</t>
    </rPh>
    <rPh sb="8" eb="11">
      <t>ユウコウカ</t>
    </rPh>
    <rPh sb="12" eb="14">
      <t>ヨウト</t>
    </rPh>
    <rPh sb="15" eb="17">
      <t>セッテイ</t>
    </rPh>
    <phoneticPr fontId="13"/>
  </si>
  <si>
    <t>Accounts receivable &gt; Setup &gt; Accounts receivable workflows</t>
    <phoneticPr fontId="13"/>
  </si>
  <si>
    <t>Accounts receivable &gt; Payments setup &gt; Payment calendar configuration</t>
    <phoneticPr fontId="13"/>
  </si>
  <si>
    <t>支払カレンダーのコンフィギュレーション</t>
    <rPh sb="0" eb="2">
      <t>シハライ</t>
    </rPh>
    <phoneticPr fontId="13"/>
  </si>
  <si>
    <t>売掛金管理＞支払の設定＞支払カレンダーのコンフィギュレーション</t>
    <rPh sb="0" eb="3">
      <t>ウリカケキン</t>
    </rPh>
    <rPh sb="3" eb="5">
      <t>カンリ</t>
    </rPh>
    <rPh sb="6" eb="8">
      <t>シハライ</t>
    </rPh>
    <rPh sb="12" eb="14">
      <t>シハライ</t>
    </rPh>
    <phoneticPr fontId="13"/>
  </si>
  <si>
    <t>「支払カレンダーのコンフィギュレーション-設定値」を参照</t>
    <rPh sb="1" eb="3">
      <t>シハライ</t>
    </rPh>
    <phoneticPr fontId="14"/>
  </si>
  <si>
    <t>支払カレンダーのコンフィギュレーション-設定値</t>
    <rPh sb="0" eb="2">
      <t>シハライ</t>
    </rPh>
    <phoneticPr fontId="13"/>
  </si>
  <si>
    <t>支払カレンダーのコンフィギュレーション</t>
    <phoneticPr fontId="13"/>
  </si>
  <si>
    <t>売掛金管理＞支払の設定＞支払カレンダーのコンフィギュレーション
Accounts receivable &gt; Payments setup &gt; Payment calendar configuration</t>
    <phoneticPr fontId="13"/>
  </si>
  <si>
    <t>売掛金勘定パラメーター-庫分析コード設定値</t>
    <phoneticPr fontId="13"/>
  </si>
  <si>
    <t>「売掛金勘定パラメーター-庫分析コード設定値」を参照</t>
    <rPh sb="24" eb="26">
      <t>サンショウ</t>
    </rPh>
    <phoneticPr fontId="13"/>
  </si>
  <si>
    <t>「売掛金勘定パラメーター- 番号順序」を参照</t>
  </si>
  <si>
    <t>「売掛金勘定パラメーター- 番号順序」を参照</t>
    <phoneticPr fontId="13"/>
  </si>
  <si>
    <t>売掛金勘定パラメーター-番号順序</t>
    <phoneticPr fontId="13"/>
  </si>
  <si>
    <t>＜YYYY/MM/DD＞</t>
    <phoneticPr fontId="29"/>
  </si>
  <si>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3"/>
  </si>
  <si>
    <t>顧客 - 所在地</t>
    <rPh sb="0" eb="2">
      <t>コキャク</t>
    </rPh>
    <rPh sb="5" eb="8">
      <t>ショザイチ</t>
    </rPh>
    <phoneticPr fontId="13"/>
  </si>
  <si>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3"/>
  </si>
  <si>
    <t>支払コード</t>
    <phoneticPr fontId="13"/>
  </si>
  <si>
    <t>支払フォーマットコードセット（ユーザー定義）
※Type：カテゴリ目的</t>
    <rPh sb="0" eb="2">
      <t>シハラ</t>
    </rPh>
    <rPh sb="19" eb="21">
      <t>テイギ</t>
    </rPh>
    <rPh sb="33" eb="35">
      <t>モクテキ</t>
    </rPh>
    <phoneticPr fontId="13"/>
  </si>
  <si>
    <t>支払フォーマットコードセット（ユーザー定義）
※Type：手数料負担者</t>
    <rPh sb="0" eb="2">
      <t>シハラ</t>
    </rPh>
    <rPh sb="19" eb="21">
      <t>テイギ</t>
    </rPh>
    <rPh sb="29" eb="32">
      <t>テスウリョウ</t>
    </rPh>
    <rPh sb="32" eb="35">
      <t>フタンシャ</t>
    </rPh>
    <phoneticPr fontId="13"/>
  </si>
  <si>
    <t>ローカル支払方法</t>
    <phoneticPr fontId="13"/>
  </si>
  <si>
    <t>支払フォーマットコードセット（ユーザー定義）
※Type：ローカル支払方法</t>
    <rPh sb="0" eb="2">
      <t>シハラ</t>
    </rPh>
    <rPh sb="19" eb="21">
      <t>テイギ</t>
    </rPh>
    <phoneticPr fontId="13"/>
  </si>
  <si>
    <t>サービスレベル</t>
    <phoneticPr fontId="13"/>
  </si>
  <si>
    <t>支払フォーマットコードセット（ユーザー定義）
※Type：サービスレベル</t>
    <rPh sb="0" eb="2">
      <t>シハラ</t>
    </rPh>
    <rPh sb="19" eb="21">
      <t>テイギ</t>
    </rPh>
    <phoneticPr fontId="13"/>
  </si>
  <si>
    <t>支払方法_ファイル形式-設定値</t>
    <phoneticPr fontId="13"/>
  </si>
  <si>
    <t>エクスポート</t>
    <phoneticPr fontId="13"/>
  </si>
  <si>
    <t>インポート</t>
    <phoneticPr fontId="13"/>
  </si>
  <si>
    <t>返金</t>
    <rPh sb="0" eb="2">
      <t>ヘンキン</t>
    </rPh>
    <phoneticPr fontId="13"/>
  </si>
  <si>
    <t>※項目選択</t>
    <rPh sb="1" eb="3">
      <t>コウモク</t>
    </rPh>
    <rPh sb="3" eb="5">
      <t>センタク</t>
    </rPh>
    <phoneticPr fontId="13"/>
  </si>
  <si>
    <t>HSBC Distribution Format (CA)</t>
  </si>
  <si>
    <t>全銀協 (JP) - フォーマット B</t>
    <phoneticPr fontId="13"/>
  </si>
  <si>
    <t>全銀協 (JP) - フォーマット A</t>
  </si>
  <si>
    <t>Bankgirot Autogiro (SE)</t>
  </si>
  <si>
    <t>NACHA (US)</t>
  </si>
  <si>
    <t>Bankgirot Max (SE)</t>
  </si>
  <si>
    <t>Betalingsservice Basis-returformat (DK)</t>
  </si>
  <si>
    <t>Payment order in RUB</t>
  </si>
  <si>
    <t>Bankgirot OCR (SE)</t>
  </si>
  <si>
    <t>Configurable layout file</t>
  </si>
  <si>
    <t>Payment order in currency</t>
  </si>
  <si>
    <t>フランス受取手形</t>
  </si>
  <si>
    <t>小切手</t>
  </si>
  <si>
    <t>NACHA IAT (US)</t>
  </si>
  <si>
    <t>RBC Pre-Authorized Debits [PADS] Service (CA)</t>
  </si>
  <si>
    <t>スペインの受取手形</t>
  </si>
  <si>
    <t>全銀協 (JP) - フォーマット B</t>
  </si>
  <si>
    <t>支払方法_支払管理-設定値</t>
    <phoneticPr fontId="13"/>
  </si>
  <si>
    <t>支払ID</t>
    <rPh sb="0" eb="2">
      <t>シハライ</t>
    </rPh>
    <phoneticPr fontId="13"/>
  </si>
  <si>
    <t>支払方法_支払属性-設定値</t>
    <phoneticPr fontId="13"/>
  </si>
  <si>
    <t>有効（銀行トランザクション タイプは必須です）</t>
    <rPh sb="0" eb="2">
      <t>ユウコウ</t>
    </rPh>
    <phoneticPr fontId="13"/>
  </si>
  <si>
    <t>有効（相手勘定に銀行タイプが含まれています）</t>
    <phoneticPr fontId="13"/>
  </si>
  <si>
    <t>有効（預金伝票は必須です）</t>
    <phoneticPr fontId="13"/>
  </si>
  <si>
    <t>有効（支払参照は必須です）</t>
    <phoneticPr fontId="13"/>
  </si>
  <si>
    <t>有効（小切手番号は必須です）</t>
    <phoneticPr fontId="13"/>
  </si>
  <si>
    <t>支払 ID（ユーザー定義）</t>
    <rPh sb="10" eb="12">
      <t>テイギ</t>
    </rPh>
    <phoneticPr fontId="13"/>
  </si>
  <si>
    <t>有効（支払勘定）</t>
    <rPh sb="0" eb="2">
      <t>ユウコウ</t>
    </rPh>
    <phoneticPr fontId="13"/>
  </si>
  <si>
    <t>有効（サードパーティ銀行）</t>
    <phoneticPr fontId="13"/>
  </si>
  <si>
    <t>有効（支払 ID）</t>
    <phoneticPr fontId="13"/>
  </si>
  <si>
    <t>有効（ベルギーの構造化された支払 ID）</t>
    <phoneticPr fontId="13"/>
  </si>
  <si>
    <t>パラメータ設定一覧</t>
  </si>
  <si>
    <t>パラメータ設定一覧へ</t>
  </si>
  <si>
    <t>GC設定担当者</t>
    <rPh sb="2" eb="4">
      <t>セッテイ</t>
    </rPh>
    <rPh sb="4" eb="7">
      <t>タントウシャ</t>
    </rPh>
    <phoneticPr fontId="13"/>
  </si>
  <si>
    <t>GC設定完了日</t>
    <rPh sb="2" eb="4">
      <t>セッテイ</t>
    </rPh>
    <rPh sb="4" eb="7">
      <t>カンリョウビ</t>
    </rPh>
    <phoneticPr fontId="13"/>
  </si>
  <si>
    <t>「FOパラメータ定義書-法人_99.マスタ」側に記載</t>
    <phoneticPr fontId="13"/>
  </si>
  <si>
    <t>サンスター株式会社　御中</t>
  </si>
  <si>
    <t>会計システム刷新プロジェクト（LIBRA）</t>
    <phoneticPr fontId="29"/>
  </si>
  <si>
    <t>JAPAN</t>
    <phoneticPr fontId="13"/>
  </si>
  <si>
    <t>支払カレンダー</t>
    <rPh sb="0" eb="2">
      <t>シハライ</t>
    </rPh>
    <phoneticPr fontId="13"/>
  </si>
  <si>
    <t>JPN</t>
    <phoneticPr fontId="13"/>
  </si>
  <si>
    <t>チェック有</t>
    <phoneticPr fontId="13"/>
  </si>
  <si>
    <t>チェック無</t>
    <rPh sb="4" eb="5">
      <t>ナ</t>
    </rPh>
    <phoneticPr fontId="13"/>
  </si>
  <si>
    <t>JBS石岡</t>
    <rPh sb="3" eb="5">
      <t>イシオカ</t>
    </rPh>
    <phoneticPr fontId="29"/>
  </si>
  <si>
    <t>JBS石岡</t>
    <rPh sb="3" eb="5">
      <t>イシオカ</t>
    </rPh>
    <phoneticPr fontId="13"/>
  </si>
  <si>
    <t>0.00</t>
  </si>
  <si>
    <t>なし</t>
  </si>
  <si>
    <t>0</t>
  </si>
  <si>
    <t>〇</t>
    <phoneticPr fontId="13"/>
  </si>
  <si>
    <t>税登録番号が既定の課税控除番号としてコピーされるのを防止</t>
    <phoneticPr fontId="13"/>
  </si>
  <si>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rPh sb="9" eb="11">
      <t>キテイ</t>
    </rPh>
    <rPh sb="12" eb="16">
      <t>カゼイコウジョ</t>
    </rPh>
    <rPh sb="16" eb="18">
      <t>バンゴウ</t>
    </rPh>
    <rPh sb="21" eb="26">
      <t>ゼイトウロクバンゴウ</t>
    </rPh>
    <rPh sb="32" eb="34">
      <t>ドウサ</t>
    </rPh>
    <rPh sb="35" eb="37">
      <t>セイギョ</t>
    </rPh>
    <rPh sb="47" eb="49">
      <t>セッテイ</t>
    </rPh>
    <rPh sb="54" eb="56">
      <t>バアイ</t>
    </rPh>
    <rPh sb="57" eb="59">
      <t>ゼイム</t>
    </rPh>
    <rPh sb="59" eb="63">
      <t>トウロクバンゴウ</t>
    </rPh>
    <rPh sb="64" eb="66">
      <t>キテイ</t>
    </rPh>
    <rPh sb="67" eb="69">
      <t>カゼイ</t>
    </rPh>
    <rPh sb="69" eb="71">
      <t>コウジョ</t>
    </rPh>
    <rPh sb="71" eb="73">
      <t>バンゴウ</t>
    </rPh>
    <rPh sb="92" eb="94">
      <t>セッテイ</t>
    </rPh>
    <rPh sb="99" eb="101">
      <t>バアイ</t>
    </rPh>
    <rPh sb="102" eb="108">
      <t>ゼイムトウロクバンゴウ</t>
    </rPh>
    <rPh sb="109" eb="111">
      <t>キテイ</t>
    </rPh>
    <rPh sb="112" eb="116">
      <t>カゼイコウジョ</t>
    </rPh>
    <rPh sb="116" eb="118">
      <t>バンゴウ</t>
    </rPh>
    <phoneticPr fontId="13"/>
  </si>
  <si>
    <t>手動</t>
    <rPh sb="0" eb="2">
      <t>シュドウ</t>
    </rPh>
    <phoneticPr fontId="13"/>
  </si>
  <si>
    <t>ユーザー</t>
    <phoneticPr fontId="13"/>
  </si>
  <si>
    <t>はい</t>
  </si>
  <si>
    <t>RMA明細行を分割できない場合に残余を削除する</t>
  </si>
  <si>
    <t>販売明細行の代替品目の既定値を置き換える</t>
    <rPh sb="0" eb="2">
      <t>ハンバイ</t>
    </rPh>
    <rPh sb="2" eb="4">
      <t>メイサイ</t>
    </rPh>
    <rPh sb="4" eb="5">
      <t>ギョウ</t>
    </rPh>
    <rPh sb="6" eb="8">
      <t>ダイタイ</t>
    </rPh>
    <rPh sb="8" eb="10">
      <t>ヒンモク</t>
    </rPh>
    <rPh sb="11" eb="14">
      <t>キテイチ</t>
    </rPh>
    <rPh sb="15" eb="16">
      <t>オ</t>
    </rPh>
    <rPh sb="17" eb="18">
      <t>カ</t>
    </rPh>
    <phoneticPr fontId="13"/>
  </si>
  <si>
    <t>When set to Yes system set the alternative item data such as financial dimensions and unit of measure on the sales order line. When set No system will retain all data on the sales order line</t>
    <phoneticPr fontId="13"/>
  </si>
  <si>
    <t>承認なしの変更を許可する</t>
  </si>
  <si>
    <t>チェック無</t>
  </si>
  <si>
    <t>確認</t>
    <rPh sb="0" eb="2">
      <t>カクニン</t>
    </rPh>
    <phoneticPr fontId="13"/>
  </si>
  <si>
    <t>ヘッダーの更新から配送日が再計算される場合に、CTP を配送日管理として保持する</t>
    <phoneticPr fontId="13"/>
  </si>
  <si>
    <t>販売注文に行を追加する際に CTP 配送日管理をサポートする</t>
    <phoneticPr fontId="13"/>
  </si>
  <si>
    <t>「はい」に設定すると、明細行の配送日の再計算を求める販売注文ヘッダーを更新しても、配送日管理が最初 CTP に設定されていた明細行の配送日管理は「なし」にリセットされません。そのような明細行では、明細行の配送日の再計算により、明細行の配送日管理が CTP から「なし」に変更されません。「いいえ」に設定すると、これらの明細行の明細行配送日管理は、配送日の再計算後に CTP から「なし」に変更されます。</t>
    <phoneticPr fontId="13"/>
  </si>
  <si>
    <t>[はい] に設定して、明細行を [製品から追加] および [品目リストから追加] を通じて作成すると、追加され、なおかつ明細行の作成後に「なし」に変更されなかった販売注文明細行に対し、CTP が配送日管理として適用されます。</t>
    <phoneticPr fontId="13"/>
  </si>
  <si>
    <t>現在の配送日を使用し、配送日の管理は無効にする</t>
  </si>
  <si>
    <t>参照を削除するが、関連する発注書は保持する</t>
  </si>
  <si>
    <t>△</t>
    <phoneticPr fontId="13"/>
  </si>
  <si>
    <t>振替口座の文字数</t>
    <rPh sb="0" eb="2">
      <t>フリカエ</t>
    </rPh>
    <rPh sb="2" eb="4">
      <t>コウザ</t>
    </rPh>
    <rPh sb="5" eb="8">
      <t>モジスウ</t>
    </rPh>
    <phoneticPr fontId="13"/>
  </si>
  <si>
    <t>カードの支払状態を監視しています</t>
    <phoneticPr fontId="13"/>
  </si>
  <si>
    <t>このパラメーターはカード支払で使用します。有効化すると、カードの支払処理をいくつかの段階に分割します: 顧客請求書の作成、クレジット カードの取得/払戻、支払仕訳の転記、残余額の承認。
それぞれのステップを、販売注文ごとに一元的に記録し、監視できます。いずれかのステップが失敗した場合は、ユーザーがエラーを確認して手動で支払を再開できます。</t>
    <phoneticPr fontId="13"/>
  </si>
  <si>
    <t>トランザクション</t>
  </si>
  <si>
    <t>利子計算書日付</t>
  </si>
  <si>
    <t>10</t>
    <phoneticPr fontId="13"/>
  </si>
  <si>
    <t>このオプションを使用すると、顧客残高をエイジングする際に、顧客の割合をバッチ タスクごとに制御します。値を指定しない場合は既定の 10% になります。</t>
    <phoneticPr fontId="13"/>
  </si>
  <si>
    <t>指定の期間に達している顧客残高&gt;バッチ タスクあたりの顧客数の割合</t>
    <phoneticPr fontId="13"/>
  </si>
  <si>
    <t>10.00</t>
  </si>
  <si>
    <t>14</t>
  </si>
  <si>
    <t>ライン</t>
  </si>
  <si>
    <t>売買契約の統合</t>
    <rPh sb="0" eb="2">
      <t>バイバイ</t>
    </rPh>
    <rPh sb="2" eb="4">
      <t>ケイヤク</t>
    </rPh>
    <rPh sb="5" eb="7">
      <t>トウゴウ</t>
    </rPh>
    <phoneticPr fontId="13"/>
  </si>
  <si>
    <t>Choose whether the system should allow custom features to receive alerts when a record in the price agreement table (PriceDiscTable) is updated.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</si>
  <si>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価格契約更新の警告をスキップする</t>
    <phoneticPr fontId="13"/>
  </si>
  <si>
    <t>Choose whether the system should allow custom features to receive alerts when an insertion event occurs in the price agreement table (PriceDiscTable). An insertion even occurs when a record from the trade agreement journal (PriceDiscAdmTrans table) is posted, which results in the posted record being inserted as a new record in the price agreement table. Setting this to "Yes" will prevent custom features from receiving these alerts, even when specifically requested by a custom feature. Setting this to "No" will allow the alerts to be generated, but can impact system performance, especially if your system is integrated with Dynamics 365 Sales through dual-write. If you don't have any relevant customizations, you should keep this set to "Yes".</t>
    <phoneticPr fontId="13"/>
  </si>
  <si>
    <t>価格契約挿入の警告をスキップする</t>
    <phoneticPr fontId="13"/>
  </si>
  <si>
    <t>販売注文明細をインポートする際に、このパラメーターを使用して販売明細行の価格割引計算を実行できます。これは価格割引を外部で計算する統合シナリオで便利です。</t>
    <phoneticPr fontId="13"/>
  </si>
  <si>
    <t>販売注文明細行をインポートする際に価格割引計算を適用します</t>
    <rPh sb="0" eb="2">
      <t>ハンバイ</t>
    </rPh>
    <rPh sb="2" eb="4">
      <t>チュウモン</t>
    </rPh>
    <rPh sb="4" eb="6">
      <t>メイサイ</t>
    </rPh>
    <rPh sb="6" eb="7">
      <t>ギョウ</t>
    </rPh>
    <rPh sb="15" eb="16">
      <t>サイ</t>
    </rPh>
    <rPh sb="17" eb="19">
      <t>カカク</t>
    </rPh>
    <rPh sb="19" eb="21">
      <t>ワリビキ</t>
    </rPh>
    <rPh sb="21" eb="23">
      <t>ケイサン</t>
    </rPh>
    <rPh sb="24" eb="26">
      <t>テキヨウ</t>
    </rPh>
    <phoneticPr fontId="13"/>
  </si>
  <si>
    <t>&lt; 0.00</t>
  </si>
  <si>
    <t>CG01</t>
  </si>
  <si>
    <t>CG01</t>
    <phoneticPr fontId="13"/>
  </si>
  <si>
    <t>通常得意先（売掛金）</t>
  </si>
  <si>
    <t>CG02</t>
  </si>
  <si>
    <t>CG02</t>
    <phoneticPr fontId="13"/>
  </si>
  <si>
    <t>通常得意先（未収入金）</t>
  </si>
  <si>
    <t>GEN</t>
    <phoneticPr fontId="13"/>
  </si>
  <si>
    <t>グループ</t>
    <phoneticPr fontId="13"/>
  </si>
  <si>
    <t>1040103</t>
  </si>
  <si>
    <t>10日</t>
  </si>
  <si>
    <t>11日</t>
  </si>
  <si>
    <t>12日</t>
  </si>
  <si>
    <t>13日</t>
  </si>
  <si>
    <t>14日</t>
  </si>
  <si>
    <t>15日</t>
  </si>
  <si>
    <t>16日</t>
  </si>
  <si>
    <t>17日</t>
  </si>
  <si>
    <t>18日</t>
  </si>
  <si>
    <t>19日</t>
  </si>
  <si>
    <t>1日</t>
  </si>
  <si>
    <t>20日</t>
  </si>
  <si>
    <t>21日</t>
  </si>
  <si>
    <t>22日</t>
  </si>
  <si>
    <t>23日</t>
  </si>
  <si>
    <t>24日</t>
  </si>
  <si>
    <t>25日</t>
  </si>
  <si>
    <t>26日</t>
  </si>
  <si>
    <t>27日</t>
  </si>
  <si>
    <t>28日</t>
  </si>
  <si>
    <t>29日</t>
  </si>
  <si>
    <t>2日</t>
  </si>
  <si>
    <t>30日</t>
  </si>
  <si>
    <t>3日</t>
  </si>
  <si>
    <t>4日</t>
  </si>
  <si>
    <t>5日</t>
  </si>
  <si>
    <t>6日</t>
  </si>
  <si>
    <t>7日</t>
  </si>
  <si>
    <t>8日</t>
  </si>
  <si>
    <t>9日</t>
  </si>
  <si>
    <t>月末</t>
  </si>
  <si>
    <t>FOパラメータ定義書-SEJ_07.売掛金管理</t>
    <rPh sb="7" eb="10">
      <t>テイギショ</t>
    </rPh>
    <rPh sb="18" eb="21">
      <t>ウリカケキン</t>
    </rPh>
    <rPh sb="21" eb="23">
      <t>カンリ</t>
    </rPh>
    <phoneticPr fontId="13"/>
  </si>
  <si>
    <t>未収入金スクラップ</t>
    <phoneticPr fontId="13"/>
  </si>
  <si>
    <t>D</t>
    <phoneticPr fontId="13"/>
  </si>
  <si>
    <t>1140102</t>
    <phoneticPr fontId="13"/>
  </si>
  <si>
    <t>顧客からの支払カレンダーの定義となる。
※【サンスター】FOパラメータ定義書-SSJ_07.売掛金管理_v1.0.xlsx　で管理を行う。</t>
    <rPh sb="0" eb="2">
      <t>コキャク</t>
    </rPh>
    <rPh sb="5" eb="7">
      <t>シハライ</t>
    </rPh>
    <rPh sb="13" eb="15">
      <t>テイギ</t>
    </rPh>
    <rPh sb="46" eb="49">
      <t>ウリカケキン</t>
    </rPh>
    <phoneticPr fontId="13"/>
  </si>
  <si>
    <t>Japan</t>
  </si>
  <si>
    <t>会社の所在地</t>
    <phoneticPr fontId="13"/>
  </si>
  <si>
    <t>Japan</t>
    <phoneticPr fontId="13"/>
  </si>
  <si>
    <t>会社の所在地</t>
    <rPh sb="0" eb="2">
      <t>カイシャ</t>
    </rPh>
    <rPh sb="3" eb="6">
      <t>ショザイチ</t>
    </rPh>
    <phoneticPr fontId="13"/>
  </si>
  <si>
    <t>チェック有</t>
    <rPh sb="4" eb="5">
      <t>アリ</t>
    </rPh>
    <phoneticPr fontId="13"/>
  </si>
  <si>
    <t>日本用支払カレンダールール</t>
    <phoneticPr fontId="13"/>
  </si>
  <si>
    <t>JBS秋信</t>
    <rPh sb="3" eb="5">
      <t>アキノブ</t>
    </rPh>
    <phoneticPr fontId="13"/>
  </si>
  <si>
    <t>顧客の支払方法の定義となる。
※移行対象</t>
    <rPh sb="0" eb="2">
      <t>コキャク</t>
    </rPh>
    <rPh sb="16" eb="20">
      <t>イコウタイショウ</t>
    </rPh>
    <phoneticPr fontId="13"/>
  </si>
  <si>
    <t>回収サイト設定なし</t>
  </si>
  <si>
    <t>PT02</t>
  </si>
  <si>
    <t>15日締当月末払い</t>
    <rPh sb="4" eb="6">
      <t>トウゲツ</t>
    </rPh>
    <rPh sb="6" eb="7">
      <t>マツ</t>
    </rPh>
    <rPh sb="7" eb="8">
      <t>ハラ</t>
    </rPh>
    <phoneticPr fontId="4"/>
  </si>
  <si>
    <t>締日</t>
    <rPh sb="0" eb="1">
      <t>シ</t>
    </rPh>
    <rPh sb="1" eb="2">
      <t>ビ</t>
    </rPh>
    <phoneticPr fontId="13"/>
  </si>
  <si>
    <t>月末</t>
    <rPh sb="0" eb="2">
      <t>ゲツマツ</t>
    </rPh>
    <phoneticPr fontId="3"/>
  </si>
  <si>
    <t>前の営業日</t>
    <rPh sb="0" eb="1">
      <t>マエ</t>
    </rPh>
    <rPh sb="2" eb="5">
      <t>エイギョウビ</t>
    </rPh>
    <phoneticPr fontId="13"/>
  </si>
  <si>
    <t>PT03</t>
  </si>
  <si>
    <t>25日締当月末払い</t>
    <rPh sb="2" eb="3">
      <t>ニチ</t>
    </rPh>
    <rPh sb="3" eb="4">
      <t>シ</t>
    </rPh>
    <rPh sb="4" eb="6">
      <t>トウゲツ</t>
    </rPh>
    <rPh sb="6" eb="7">
      <t>マツ</t>
    </rPh>
    <rPh sb="7" eb="8">
      <t>ハラ</t>
    </rPh>
    <phoneticPr fontId="4"/>
  </si>
  <si>
    <t>PT04</t>
  </si>
  <si>
    <t>20日締翌月20日払い</t>
    <rPh sb="2" eb="3">
      <t>ニチ</t>
    </rPh>
    <rPh sb="3" eb="4">
      <t>ジ</t>
    </rPh>
    <rPh sb="4" eb="6">
      <t>ヨクゲツ</t>
    </rPh>
    <rPh sb="8" eb="9">
      <t>ニチ</t>
    </rPh>
    <rPh sb="9" eb="10">
      <t>ハラ</t>
    </rPh>
    <phoneticPr fontId="4"/>
  </si>
  <si>
    <t>1</t>
  </si>
  <si>
    <t>20日</t>
    <rPh sb="2" eb="3">
      <t>ニチ</t>
    </rPh>
    <phoneticPr fontId="3"/>
  </si>
  <si>
    <t>PT05</t>
  </si>
  <si>
    <t>末締め翌月15日払い</t>
    <rPh sb="0" eb="2">
      <t>マツジ</t>
    </rPh>
    <rPh sb="3" eb="5">
      <t>ヨクゲツ</t>
    </rPh>
    <rPh sb="7" eb="8">
      <t>ニチ</t>
    </rPh>
    <rPh sb="8" eb="9">
      <t>ハラ</t>
    </rPh>
    <phoneticPr fontId="4"/>
  </si>
  <si>
    <t>当月</t>
    <rPh sb="0" eb="2">
      <t>トウゲツ</t>
    </rPh>
    <phoneticPr fontId="13"/>
  </si>
  <si>
    <t>15日</t>
    <rPh sb="2" eb="3">
      <t>ニチ</t>
    </rPh>
    <phoneticPr fontId="3"/>
  </si>
  <si>
    <t>PT06</t>
  </si>
  <si>
    <t>末締め翌月末払い</t>
    <rPh sb="0" eb="2">
      <t>マツジ</t>
    </rPh>
    <rPh sb="3" eb="5">
      <t>ヨクゲツ</t>
    </rPh>
    <rPh sb="5" eb="6">
      <t>マツ</t>
    </rPh>
    <rPh sb="6" eb="7">
      <t>ハラ</t>
    </rPh>
    <phoneticPr fontId="4"/>
  </si>
  <si>
    <t>PT07</t>
  </si>
  <si>
    <t>末締め翌々末払い</t>
    <rPh sb="0" eb="2">
      <t>マツジ</t>
    </rPh>
    <rPh sb="3" eb="5">
      <t>ヨクヨク</t>
    </rPh>
    <rPh sb="5" eb="6">
      <t>マツ</t>
    </rPh>
    <rPh sb="6" eb="7">
      <t>ハラ</t>
    </rPh>
    <phoneticPr fontId="4"/>
  </si>
  <si>
    <t>2</t>
  </si>
  <si>
    <t>PT08</t>
  </si>
  <si>
    <t>末締め翌々々末払い</t>
    <rPh sb="0" eb="2">
      <t>マツジ</t>
    </rPh>
    <rPh sb="3" eb="5">
      <t>ヨクヨク</t>
    </rPh>
    <rPh sb="6" eb="7">
      <t>マツ</t>
    </rPh>
    <rPh sb="7" eb="8">
      <t>ハラ</t>
    </rPh>
    <phoneticPr fontId="4"/>
  </si>
  <si>
    <t>3</t>
  </si>
  <si>
    <t>PT09</t>
  </si>
  <si>
    <t>末締め翌月20日払い</t>
    <rPh sb="0" eb="2">
      <t>マツジ</t>
    </rPh>
    <rPh sb="3" eb="5">
      <t>ヨクゲツ</t>
    </rPh>
    <rPh sb="7" eb="8">
      <t>ニチ</t>
    </rPh>
    <rPh sb="8" eb="9">
      <t>ハラ</t>
    </rPh>
    <phoneticPr fontId="4"/>
  </si>
  <si>
    <t>PT10</t>
  </si>
  <si>
    <t>仕入割引</t>
    <rPh sb="0" eb="4">
      <t>シイレワリビキ</t>
    </rPh>
    <phoneticPr fontId="4"/>
  </si>
  <si>
    <t>PT11</t>
  </si>
  <si>
    <t>サイト30日（海外送金）</t>
    <rPh sb="5" eb="6">
      <t>ニチ</t>
    </rPh>
    <rPh sb="7" eb="9">
      <t>カイガイ</t>
    </rPh>
    <rPh sb="9" eb="11">
      <t>ソウキン</t>
    </rPh>
    <phoneticPr fontId="4"/>
  </si>
  <si>
    <t>30</t>
  </si>
  <si>
    <t>PT12</t>
  </si>
  <si>
    <t>サイト35日（海外送金）</t>
    <rPh sb="5" eb="6">
      <t>ニチ</t>
    </rPh>
    <rPh sb="7" eb="9">
      <t>カイガイ</t>
    </rPh>
    <rPh sb="9" eb="11">
      <t>ソウキン</t>
    </rPh>
    <phoneticPr fontId="4"/>
  </si>
  <si>
    <t>35</t>
  </si>
  <si>
    <t>PT13</t>
  </si>
  <si>
    <t>サイト45日（海外送金）</t>
    <rPh sb="5" eb="6">
      <t>ニチ</t>
    </rPh>
    <rPh sb="7" eb="9">
      <t>カイガイ</t>
    </rPh>
    <rPh sb="9" eb="11">
      <t>ソウキン</t>
    </rPh>
    <phoneticPr fontId="4"/>
  </si>
  <si>
    <t>45</t>
  </si>
  <si>
    <t>PT14</t>
  </si>
  <si>
    <t>サイト60日（海外送金）</t>
    <rPh sb="5" eb="6">
      <t>ニチ</t>
    </rPh>
    <rPh sb="7" eb="9">
      <t>カイガイ</t>
    </rPh>
    <rPh sb="9" eb="11">
      <t>ソウキン</t>
    </rPh>
    <phoneticPr fontId="4"/>
  </si>
  <si>
    <t>60</t>
  </si>
  <si>
    <t>PT15</t>
  </si>
  <si>
    <t>サイト90日（海外送金）</t>
    <rPh sb="5" eb="6">
      <t>ニチ</t>
    </rPh>
    <rPh sb="7" eb="9">
      <t>カイガイ</t>
    </rPh>
    <rPh sb="9" eb="11">
      <t>ソウキン</t>
    </rPh>
    <phoneticPr fontId="4"/>
  </si>
  <si>
    <t>90</t>
  </si>
  <si>
    <t>PT90</t>
  </si>
  <si>
    <t>【システム使用】末締め翌月10日払い</t>
    <rPh sb="5" eb="7">
      <t>シヨウ</t>
    </rPh>
    <rPh sb="8" eb="10">
      <t>マツジ</t>
    </rPh>
    <rPh sb="11" eb="13">
      <t>ヨクゲツ</t>
    </rPh>
    <rPh sb="15" eb="16">
      <t>ニチ</t>
    </rPh>
    <rPh sb="16" eb="17">
      <t>ハラ</t>
    </rPh>
    <phoneticPr fontId="4"/>
  </si>
  <si>
    <t>10日</t>
    <rPh sb="2" eb="3">
      <t>ニチ</t>
    </rPh>
    <phoneticPr fontId="3"/>
  </si>
  <si>
    <t>翌営業日</t>
    <rPh sb="0" eb="4">
      <t>ヨクエイギョウビ</t>
    </rPh>
    <phoneticPr fontId="13"/>
  </si>
  <si>
    <t>PT91</t>
  </si>
  <si>
    <t>【システム使用】10日締め当月20日払い</t>
    <rPh sb="10" eb="11">
      <t>ニチ</t>
    </rPh>
    <rPh sb="11" eb="12">
      <t>シ</t>
    </rPh>
    <rPh sb="13" eb="15">
      <t>トウゲツ</t>
    </rPh>
    <rPh sb="17" eb="18">
      <t>ニチ</t>
    </rPh>
    <rPh sb="18" eb="19">
      <t>ハラ</t>
    </rPh>
    <phoneticPr fontId="4"/>
  </si>
  <si>
    <t>PT92</t>
  </si>
  <si>
    <t>【システム使用】サイト40日</t>
    <rPh sb="5" eb="7">
      <t>シヨウ</t>
    </rPh>
    <rPh sb="13" eb="14">
      <t>ニチ</t>
    </rPh>
    <phoneticPr fontId="4"/>
  </si>
  <si>
    <t>PT93</t>
  </si>
  <si>
    <t>【システム使用】サイト60日</t>
    <rPh sb="5" eb="7">
      <t>シヨウ</t>
    </rPh>
    <rPh sb="13" eb="14">
      <t>ニチ</t>
    </rPh>
    <phoneticPr fontId="4"/>
  </si>
  <si>
    <t>PT94</t>
  </si>
  <si>
    <t>【システム使用】サイト95日</t>
    <rPh sb="5" eb="7">
      <t>シヨウ</t>
    </rPh>
    <rPh sb="13" eb="14">
      <t>ニチ</t>
    </rPh>
    <phoneticPr fontId="4"/>
  </si>
  <si>
    <t>25日</t>
    <rPh sb="2" eb="3">
      <t>ニチ</t>
    </rPh>
    <phoneticPr fontId="3"/>
  </si>
  <si>
    <t>PT95</t>
  </si>
  <si>
    <t>【システム使用】サイト30日</t>
    <rPh sb="5" eb="7">
      <t>シヨウ</t>
    </rPh>
    <rPh sb="13" eb="14">
      <t>ニチ</t>
    </rPh>
    <phoneticPr fontId="4"/>
  </si>
  <si>
    <t>PT96</t>
  </si>
  <si>
    <t>【システム使用】サイト65日</t>
    <rPh sb="5" eb="7">
      <t>シヨウ</t>
    </rPh>
    <rPh sb="13" eb="14">
      <t>ニチ</t>
    </rPh>
    <phoneticPr fontId="4"/>
  </si>
  <si>
    <t>PT97</t>
  </si>
  <si>
    <t>【システム使用】非営業日考慮用</t>
    <rPh sb="8" eb="12">
      <t>ヒエイギョウビ</t>
    </rPh>
    <rPh sb="12" eb="15">
      <t>コウリョヨウ</t>
    </rPh>
    <phoneticPr fontId="4"/>
  </si>
  <si>
    <t>PT01</t>
    <phoneticPr fontId="13"/>
  </si>
  <si>
    <t>未処理</t>
    <rPh sb="0" eb="3">
      <t>ミショリ</t>
    </rPh>
    <phoneticPr fontId="17"/>
  </si>
  <si>
    <t>2024/8/1　秋信
消込が完了しているものは、規定で表示させないため。</t>
    <rPh sb="9" eb="11">
      <t>アキノブ</t>
    </rPh>
    <rPh sb="12" eb="14">
      <t>ケシコミ</t>
    </rPh>
    <rPh sb="15" eb="17">
      <t>カンリョウ</t>
    </rPh>
    <rPh sb="25" eb="27">
      <t>キテイ</t>
    </rPh>
    <rPh sb="28" eb="30">
      <t>ヒョウジ</t>
    </rPh>
    <phoneticPr fontId="17"/>
  </si>
  <si>
    <t>2024/12/20：Branch2反映</t>
    <rPh sb="18" eb="20">
      <t>ハンエイ</t>
    </rPh>
    <phoneticPr fontId="13"/>
  </si>
  <si>
    <t>DUMMY</t>
    <phoneticPr fontId="13"/>
  </si>
  <si>
    <t>ダミー勘定（販売実績取込用）</t>
    <rPh sb="3" eb="5">
      <t>カンジョウ</t>
    </rPh>
    <rPh sb="10" eb="12">
      <t>トリコミ</t>
    </rPh>
    <phoneticPr fontId="13"/>
  </si>
  <si>
    <t>→2024/12/20時点：販売実績取込にてDummy勘定で債権を計上する際に使用する。</t>
    <rPh sb="11" eb="13">
      <t>ジテン</t>
    </rPh>
    <rPh sb="14" eb="20">
      <t>ハンバイジッセキトリコミ</t>
    </rPh>
    <rPh sb="32" eb="34">
      <t>カンジョウ</t>
    </rPh>
    <rPh sb="35" eb="37">
      <t>サイケン</t>
    </rPh>
    <rPh sb="39" eb="41">
      <t>シヨウ</t>
    </rPh>
    <rPh sb="42" eb="43">
      <t>サイ</t>
    </rPh>
    <phoneticPr fontId="13"/>
  </si>
  <si>
    <t>Z900001</t>
    <phoneticPr fontId="13"/>
  </si>
  <si>
    <t>機能として使用しないため、既定値のままとする。</t>
    <rPh sb="0" eb="2">
      <t>キノウ</t>
    </rPh>
    <rPh sb="13" eb="16">
      <t>キテイチ</t>
    </rPh>
    <phoneticPr fontId="13"/>
  </si>
  <si>
    <t>月次締め請求書の仕訳帳名</t>
    <phoneticPr fontId="13"/>
  </si>
  <si>
    <t>顧客の月次締め請求書を転記する際に使用する仕訳帳名。</t>
    <phoneticPr fontId="13"/>
  </si>
  <si>
    <t>販売注文</t>
    <rPh sb="0" eb="2">
      <t>ハンバイ</t>
    </rPh>
    <rPh sb="2" eb="4">
      <t>チュウモン</t>
    </rPh>
    <phoneticPr fontId="13"/>
  </si>
  <si>
    <t>IF連携が前提のため、販売注文を設定する。</t>
    <rPh sb="2" eb="4">
      <t>レンケイ</t>
    </rPh>
    <rPh sb="5" eb="7">
      <t>ゼンテイ</t>
    </rPh>
    <rPh sb="11" eb="15">
      <t>ハンバイチュウモン</t>
    </rPh>
    <rPh sb="16" eb="18">
      <t>セッテイ</t>
    </rPh>
    <phoneticPr fontId="13"/>
  </si>
  <si>
    <t>在庫管理を行わないため、引当は既定値のままとする。</t>
    <rPh sb="0" eb="2">
      <t>ザイコ</t>
    </rPh>
    <rPh sb="2" eb="4">
      <t>カンリ</t>
    </rPh>
    <rPh sb="5" eb="6">
      <t>オコナ</t>
    </rPh>
    <rPh sb="12" eb="14">
      <t>ヒキアテ</t>
    </rPh>
    <rPh sb="15" eb="18">
      <t>キテイチ</t>
    </rPh>
    <phoneticPr fontId="13"/>
  </si>
  <si>
    <t>項目として使用しないため、既定値のままとする。</t>
    <rPh sb="0" eb="2">
      <t>コウモク</t>
    </rPh>
    <rPh sb="13" eb="16">
      <t>キテイチ</t>
    </rPh>
    <phoneticPr fontId="13"/>
  </si>
  <si>
    <t>IF連携が前提のため、既定値のままとする。</t>
    <rPh sb="2" eb="4">
      <t>レンケイ</t>
    </rPh>
    <rPh sb="5" eb="7">
      <t>ゼンテイ</t>
    </rPh>
    <rPh sb="11" eb="14">
      <t>キテイチ</t>
    </rPh>
    <phoneticPr fontId="13"/>
  </si>
  <si>
    <t>発注機能は使用しないため、既定値のままとする。</t>
    <rPh sb="0" eb="2">
      <t>ハッチュウ</t>
    </rPh>
    <rPh sb="2" eb="4">
      <t>キノウ</t>
    </rPh>
    <rPh sb="5" eb="7">
      <t>シヨウ</t>
    </rPh>
    <rPh sb="13" eb="16">
      <t>キテイチ</t>
    </rPh>
    <phoneticPr fontId="13"/>
  </si>
  <si>
    <t>販売注文詳細のパフォーマンスの向上</t>
    <phoneticPr fontId="13"/>
  </si>
  <si>
    <t>[はい] に設定すると、注文の詳細を開くときのパフォーマンスが改善します。 SalesTableListPage は省略され、ユーザーが販売の [すべての販売注文] メニューと同様のリスト ページにアクセスする場合に、リスト ビュー モードで SalesTable フォームを開きます。 SalesTableListPage に対して作成された保存されたビューは、このリスト ページがアクセスしなくなったので使用できません。</t>
    <phoneticPr fontId="13"/>
  </si>
  <si>
    <t>パフォーマンス向上のパラメータのため、既定値のままとする。</t>
    <rPh sb="7" eb="9">
      <t>コウジョウ</t>
    </rPh>
    <rPh sb="19" eb="22">
      <t>キテイチ</t>
    </rPh>
    <phoneticPr fontId="13"/>
  </si>
  <si>
    <t>返品注文は機能として使用しないため、既定値のままとする。</t>
    <rPh sb="0" eb="4">
      <t>ヘンピンチュウモン</t>
    </rPh>
    <rPh sb="5" eb="7">
      <t>キノウ</t>
    </rPh>
    <rPh sb="10" eb="12">
      <t>シヨウ</t>
    </rPh>
    <rPh sb="18" eb="21">
      <t>キテイチ</t>
    </rPh>
    <phoneticPr fontId="13"/>
  </si>
  <si>
    <t>会社間機能は使用しないため、既定値のままとする。</t>
    <rPh sb="0" eb="3">
      <t>カイシャカン</t>
    </rPh>
    <rPh sb="3" eb="5">
      <t>キノウ</t>
    </rPh>
    <rPh sb="14" eb="17">
      <t>キテイチ</t>
    </rPh>
    <phoneticPr fontId="13"/>
  </si>
  <si>
    <t>販売見積は使用しないため、既定値のままとする。</t>
    <rPh sb="0" eb="2">
      <t>ハンバイ</t>
    </rPh>
    <rPh sb="2" eb="4">
      <t>ミツモリ</t>
    </rPh>
    <rPh sb="13" eb="16">
      <t>キテイチ</t>
    </rPh>
    <phoneticPr fontId="13"/>
  </si>
  <si>
    <t>データ エンティティ インポートの設定</t>
    <rPh sb="17" eb="19">
      <t>セッテイ</t>
    </rPh>
    <phoneticPr fontId="13"/>
  </si>
  <si>
    <t>インポートされた販売注文明細行番号の維持</t>
    <phoneticPr fontId="13"/>
  </si>
  <si>
    <t>Choose whether the system should generate unique line and line-creation-sequence numbers when importing sales order lines. If your import files include unique line and line-creation-sequence numbers, then setting this option to "Yes" can help increase import performance.</t>
    <phoneticPr fontId="13"/>
  </si>
  <si>
    <t>IF連携では自動採番でよい。</t>
    <rPh sb="2" eb="4">
      <t>レンケイ</t>
    </rPh>
    <rPh sb="6" eb="10">
      <t>ジドウサイバン</t>
    </rPh>
    <phoneticPr fontId="13"/>
  </si>
  <si>
    <t>配送日機能は使用しないため、既定値のままとする。</t>
    <phoneticPr fontId="13"/>
  </si>
  <si>
    <t>超過/不足配送は使用しないため、既定値のままとする。</t>
    <rPh sb="0" eb="2">
      <t>チョウカ</t>
    </rPh>
    <rPh sb="3" eb="5">
      <t>フソク</t>
    </rPh>
    <rPh sb="5" eb="7">
      <t>ハイソウ</t>
    </rPh>
    <rPh sb="8" eb="10">
      <t>シヨウ</t>
    </rPh>
    <rPh sb="16" eb="19">
      <t>キテイチ</t>
    </rPh>
    <phoneticPr fontId="13"/>
  </si>
  <si>
    <t>ロック済</t>
    <rPh sb="3" eb="4">
      <t>ズ</t>
    </rPh>
    <phoneticPr fontId="13"/>
  </si>
  <si>
    <t>売上済の販売注文が誤って削除されないよう制御する。
※2024/11/14打合せ</t>
    <rPh sb="0" eb="2">
      <t>ウリアゲ</t>
    </rPh>
    <rPh sb="2" eb="3">
      <t>ズ</t>
    </rPh>
    <rPh sb="4" eb="8">
      <t>ハンバイチュウモン</t>
    </rPh>
    <rPh sb="9" eb="10">
      <t>アヤマ</t>
    </rPh>
    <rPh sb="12" eb="14">
      <t>サクジョ</t>
    </rPh>
    <rPh sb="20" eb="22">
      <t>セイギョ</t>
    </rPh>
    <rPh sb="37" eb="39">
      <t>ウチアワ</t>
    </rPh>
    <phoneticPr fontId="13"/>
  </si>
  <si>
    <t>小数点以下桁数は単位の定義に準ずるべき。</t>
    <rPh sb="0" eb="3">
      <t>ショウスウテン</t>
    </rPh>
    <rPh sb="3" eb="5">
      <t>イカ</t>
    </rPh>
    <rPh sb="5" eb="7">
      <t>ケタスウ</t>
    </rPh>
    <rPh sb="8" eb="10">
      <t>タンイ</t>
    </rPh>
    <rPh sb="11" eb="13">
      <t>テイギ</t>
    </rPh>
    <rPh sb="14" eb="15">
      <t>ジュン</t>
    </rPh>
    <phoneticPr fontId="13"/>
  </si>
  <si>
    <t>配送日機能は使用しないため、既定値のままとする。</t>
    <rPh sb="0" eb="3">
      <t>ハイソウビ</t>
    </rPh>
    <rPh sb="3" eb="5">
      <t>キノウ</t>
    </rPh>
    <rPh sb="6" eb="8">
      <t>シヨウ</t>
    </rPh>
    <rPh sb="14" eb="17">
      <t>キテイチ</t>
    </rPh>
    <phoneticPr fontId="13"/>
  </si>
  <si>
    <t>ピッキングリストは使用しないため、既定値のままとする。</t>
    <rPh sb="9" eb="11">
      <t>シヨウ</t>
    </rPh>
    <rPh sb="17" eb="20">
      <t>キテイチ</t>
    </rPh>
    <phoneticPr fontId="13"/>
  </si>
  <si>
    <t>梱包明細は使用しないため、既定値のままとする。</t>
    <rPh sb="0" eb="2">
      <t>コンポウ</t>
    </rPh>
    <rPh sb="2" eb="4">
      <t>メイサイ</t>
    </rPh>
    <rPh sb="5" eb="7">
      <t>シヨウ</t>
    </rPh>
    <rPh sb="13" eb="16">
      <t>キテイチ</t>
    </rPh>
    <phoneticPr fontId="13"/>
  </si>
  <si>
    <t>販売注文から発生する債権について本PJでは扱わないため、既定値のままとする。</t>
    <rPh sb="0" eb="2">
      <t>ハンバイ</t>
    </rPh>
    <rPh sb="2" eb="4">
      <t>チュウモン</t>
    </rPh>
    <rPh sb="6" eb="8">
      <t>ハッセイ</t>
    </rPh>
    <rPh sb="10" eb="12">
      <t>サイケン</t>
    </rPh>
    <rPh sb="16" eb="17">
      <t>ホン</t>
    </rPh>
    <rPh sb="21" eb="22">
      <t>アツカ</t>
    </rPh>
    <rPh sb="28" eb="31">
      <t>キテイチ</t>
    </rPh>
    <phoneticPr fontId="13"/>
  </si>
  <si>
    <t>一般会計側で逆仕訳時はマイナスで表記する形になっていないので、こちらも同様とする。</t>
    <rPh sb="0" eb="4">
      <t>イッパンカイケイ</t>
    </rPh>
    <rPh sb="4" eb="5">
      <t>ガワ</t>
    </rPh>
    <rPh sb="6" eb="7">
      <t>ギャク</t>
    </rPh>
    <rPh sb="7" eb="9">
      <t>シワケ</t>
    </rPh>
    <rPh sb="9" eb="10">
      <t>ジ</t>
    </rPh>
    <rPh sb="16" eb="18">
      <t>ヒョウキ</t>
    </rPh>
    <rPh sb="20" eb="21">
      <t>カタチ</t>
    </rPh>
    <rPh sb="35" eb="37">
      <t>ドウヨウ</t>
    </rPh>
    <phoneticPr fontId="13"/>
  </si>
  <si>
    <t>ワークフローは使用しないため、既定値のままとする。</t>
    <rPh sb="7" eb="9">
      <t>シヨウ</t>
    </rPh>
    <rPh sb="15" eb="18">
      <t>キテイチ</t>
    </rPh>
    <phoneticPr fontId="13"/>
  </si>
  <si>
    <t>IF連携が前提のため、既定値のままとする。（印刷要件無し）</t>
    <rPh sb="2" eb="4">
      <t>レンケイ</t>
    </rPh>
    <rPh sb="5" eb="7">
      <t>ゼンテイ</t>
    </rPh>
    <rPh sb="11" eb="14">
      <t>キテイチ</t>
    </rPh>
    <rPh sb="22" eb="24">
      <t>インサツ</t>
    </rPh>
    <rPh sb="24" eb="26">
      <t>ヨウケン</t>
    </rPh>
    <rPh sb="26" eb="27">
      <t>ナ</t>
    </rPh>
    <phoneticPr fontId="13"/>
  </si>
  <si>
    <t>9999</t>
    <phoneticPr fontId="13"/>
  </si>
  <si>
    <t>IF連携の転記処理に影響するのであれば、最大値を設定する。</t>
    <rPh sb="2" eb="4">
      <t>レンケイ</t>
    </rPh>
    <rPh sb="5" eb="9">
      <t>テンキショリ</t>
    </rPh>
    <rPh sb="10" eb="12">
      <t>エイキョウ</t>
    </rPh>
    <rPh sb="20" eb="23">
      <t>サイダイチ</t>
    </rPh>
    <rPh sb="24" eb="26">
      <t>セッテイ</t>
    </rPh>
    <phoneticPr fontId="13"/>
  </si>
  <si>
    <t>制限無しのため、0のままとする。</t>
    <rPh sb="0" eb="2">
      <t>セイゲン</t>
    </rPh>
    <rPh sb="2" eb="3">
      <t>ナ</t>
    </rPh>
    <phoneticPr fontId="13"/>
  </si>
  <si>
    <t>督促状は使用しないため、既定値のままとする。</t>
    <rPh sb="0" eb="3">
      <t>トクソクジョウ</t>
    </rPh>
    <rPh sb="4" eb="6">
      <t>シヨウ</t>
    </rPh>
    <rPh sb="12" eb="15">
      <t>キテイチ</t>
    </rPh>
    <phoneticPr fontId="13"/>
  </si>
  <si>
    <t>プロジェクトモジュールは使用しないため、既定値のままとする。</t>
    <rPh sb="20" eb="23">
      <t>キテイチ</t>
    </rPh>
    <phoneticPr fontId="13"/>
  </si>
  <si>
    <t>出荷ドキュメントの要件は無いため、既定値のままとする。</t>
    <rPh sb="0" eb="2">
      <t>シュッカ</t>
    </rPh>
    <rPh sb="9" eb="11">
      <t>ヨウケン</t>
    </rPh>
    <rPh sb="12" eb="13">
      <t>ナ</t>
    </rPh>
    <rPh sb="17" eb="20">
      <t>キテイチ</t>
    </rPh>
    <phoneticPr fontId="13"/>
  </si>
  <si>
    <t>出荷処理は不要のため、既定値のままとする。</t>
    <rPh sb="0" eb="2">
      <t>シュッカ</t>
    </rPh>
    <rPh sb="2" eb="4">
      <t>ショリ</t>
    </rPh>
    <rPh sb="5" eb="7">
      <t>フヨウ</t>
    </rPh>
    <rPh sb="11" eb="14">
      <t>キテイチ</t>
    </rPh>
    <phoneticPr fontId="13"/>
  </si>
  <si>
    <t>印刷要件は無いため、既定値のままとする。</t>
    <rPh sb="0" eb="2">
      <t>インサツ</t>
    </rPh>
    <rPh sb="2" eb="4">
      <t>ヨウケン</t>
    </rPh>
    <rPh sb="5" eb="6">
      <t>ナ</t>
    </rPh>
    <rPh sb="10" eb="13">
      <t>キテイチ</t>
    </rPh>
    <phoneticPr fontId="13"/>
  </si>
  <si>
    <t>B/L要件は無いため、既定値のままとする。</t>
    <rPh sb="3" eb="5">
      <t>ヨウケン</t>
    </rPh>
    <rPh sb="6" eb="7">
      <t>ナ</t>
    </rPh>
    <rPh sb="11" eb="14">
      <t>キテイチ</t>
    </rPh>
    <phoneticPr fontId="13"/>
  </si>
  <si>
    <t>諸掛機能を使用しないため、既定値のままとする。</t>
    <rPh sb="0" eb="2">
      <t>ショガカリ</t>
    </rPh>
    <rPh sb="2" eb="4">
      <t>キノウ</t>
    </rPh>
    <rPh sb="13" eb="16">
      <t>キテイチ</t>
    </rPh>
    <phoneticPr fontId="13"/>
  </si>
  <si>
    <t>売買契約仕訳帳を使用しないため、既定値のままとする。</t>
    <rPh sb="0" eb="4">
      <t>バイバイケイヤク</t>
    </rPh>
    <rPh sb="4" eb="7">
      <t>シワケチョウ</t>
    </rPh>
    <rPh sb="16" eb="19">
      <t>キテイチ</t>
    </rPh>
    <phoneticPr fontId="13"/>
  </si>
  <si>
    <t>サイト・倉庫のみは必須のため、既定で表示する。</t>
    <rPh sb="4" eb="6">
      <t>ソウコ</t>
    </rPh>
    <rPh sb="9" eb="11">
      <t>ヒッス</t>
    </rPh>
    <rPh sb="15" eb="17">
      <t>キテイ</t>
    </rPh>
    <rPh sb="18" eb="20">
      <t>ヒョウジ</t>
    </rPh>
    <phoneticPr fontId="13"/>
  </si>
  <si>
    <t>SEJ-SOR</t>
    <phoneticPr fontId="13"/>
  </si>
  <si>
    <t>SEJ-SIV</t>
    <phoneticPr fontId="13"/>
  </si>
  <si>
    <t>SEJ-SIVVo</t>
    <phoneticPr fontId="13"/>
  </si>
  <si>
    <t>ARO</t>
    <phoneticPr fontId="13"/>
  </si>
  <si>
    <t>2025/4/16　中村　追加</t>
    <rPh sb="10" eb="12">
      <t>ナカムラ</t>
    </rPh>
    <rPh sb="13" eb="15">
      <t>ツイカ</t>
    </rPh>
    <phoneticPr fontId="13"/>
  </si>
  <si>
    <t>未収入金</t>
    <phoneticPr fontId="13"/>
  </si>
  <si>
    <t>1140101</t>
    <phoneticPr fontId="13"/>
  </si>
  <si>
    <t>売掛金勘定ワークフローの定義となる。
設定するワークフローを既定から選択する必要がある。</t>
    <rPh sb="0" eb="3">
      <t>ウリカケキン</t>
    </rPh>
    <rPh sb="3" eb="5">
      <t>カンジョウ</t>
    </rPh>
    <rPh sb="12" eb="14">
      <t>テイギ</t>
    </rPh>
    <rPh sb="19" eb="21">
      <t>セッテイ</t>
    </rPh>
    <rPh sb="30" eb="32">
      <t>キテイ</t>
    </rPh>
    <rPh sb="34" eb="36">
      <t>センタク</t>
    </rPh>
    <rPh sb="38" eb="40">
      <t>ヒツヨウ</t>
    </rPh>
    <phoneticPr fontId="4"/>
  </si>
  <si>
    <t>000078</t>
    <phoneticPr fontId="13"/>
  </si>
  <si>
    <t>CustPay_02</t>
  </si>
  <si>
    <t>SEJ</t>
    <phoneticPr fontId="13"/>
  </si>
  <si>
    <t>CustPaymentTemplate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</si>
</sst>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40"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sz val="10"/>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theme="1"/>
      <name val="Meiryo UI"/>
      <family val="2"/>
      <charset val="128"/>
    </font>
    <font>
      <sz val="10"/>
      <color theme="1"/>
      <name val="Meiryo UI"/>
      <family val="2"/>
      <charset val="128"/>
    </font>
    <font>
      <sz val="11"/>
      <name val="ＭＳ Ｐゴシック"/>
      <family val="3"/>
      <charset val="128"/>
    </font>
    <font>
      <b/>
      <sz val="10"/>
      <color theme="1"/>
      <name val="Meiryo UI"/>
      <family val="3"/>
      <charset val="128"/>
    </font>
    <font>
      <u/>
      <sz val="10"/>
      <color theme="10"/>
      <name val="Meiryo UI"/>
      <family val="3"/>
      <charset val="128"/>
    </font>
    <font>
      <sz val="10"/>
      <color theme="9" tint="0.39997558519241921"/>
      <name val="Meiryo UI"/>
      <family val="3"/>
      <charset val="128"/>
    </font>
    <font>
      <b/>
      <sz val="11"/>
      <color rgb="FFFF0000"/>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s>
  <cellStyleXfs count="40">
    <xf numFmtId="0" fontId="0" fillId="0" borderId="0">
      <alignment vertical="center"/>
    </xf>
    <xf numFmtId="0" fontId="15" fillId="0" borderId="0">
      <alignment vertical="center"/>
    </xf>
    <xf numFmtId="0" fontId="19" fillId="0" borderId="0"/>
    <xf numFmtId="0" fontId="24" fillId="0" borderId="0" applyNumberFormat="0" applyFill="0" applyBorder="0" applyAlignment="0" applyProtection="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25"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5" fillId="0" borderId="0">
      <alignment vertical="center"/>
    </xf>
    <xf numFmtId="0" fontId="34" fillId="0" borderId="0">
      <alignment vertical="center"/>
    </xf>
    <xf numFmtId="0" fontId="5" fillId="0" borderId="0">
      <alignment vertical="center"/>
    </xf>
    <xf numFmtId="0" fontId="33" fillId="0" borderId="0">
      <alignment vertical="center"/>
    </xf>
    <xf numFmtId="0" fontId="5" fillId="0" borderId="0">
      <alignment vertical="center"/>
    </xf>
    <xf numFmtId="0" fontId="3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03">
    <xf numFmtId="0" fontId="0" fillId="0" borderId="0" xfId="0">
      <alignment vertical="center"/>
    </xf>
    <xf numFmtId="0" fontId="16" fillId="0" borderId="0" xfId="1" applyFont="1">
      <alignment vertical="center"/>
    </xf>
    <xf numFmtId="0" fontId="16" fillId="0" borderId="0" xfId="4" applyFont="1">
      <alignment vertical="center"/>
    </xf>
    <xf numFmtId="0" fontId="23" fillId="4" borderId="11" xfId="0" applyFont="1" applyFill="1" applyBorder="1" applyAlignment="1">
      <alignment horizontal="center" vertical="top" wrapText="1"/>
    </xf>
    <xf numFmtId="0" fontId="23" fillId="4" borderId="11" xfId="0" applyFont="1" applyFill="1" applyBorder="1" applyAlignment="1">
      <alignment horizontal="center" vertical="top"/>
    </xf>
    <xf numFmtId="0" fontId="0" fillId="0" borderId="0" xfId="0" applyAlignment="1">
      <alignment vertical="center" wrapText="1"/>
    </xf>
    <xf numFmtId="0" fontId="0" fillId="0" borderId="1" xfId="0" applyBorder="1" applyAlignment="1">
      <alignment vertical="center" wrapText="1"/>
    </xf>
    <xf numFmtId="0" fontId="20" fillId="0" borderId="15" xfId="0" applyFont="1" applyBorder="1" applyAlignment="1">
      <alignment horizontal="left" vertical="top" wrapText="1"/>
    </xf>
    <xf numFmtId="0" fontId="20" fillId="5" borderId="4" xfId="0" applyFont="1" applyFill="1" applyBorder="1" applyAlignment="1">
      <alignment vertical="center" wrapText="1"/>
    </xf>
    <xf numFmtId="0" fontId="20" fillId="5" borderId="9" xfId="0" applyFont="1" applyFill="1" applyBorder="1" applyAlignment="1">
      <alignment vertical="center" wrapText="1"/>
    </xf>
    <xf numFmtId="0" fontId="20" fillId="5" borderId="1" xfId="0" applyFont="1" applyFill="1" applyBorder="1" applyAlignment="1">
      <alignment horizontal="left" vertical="top" wrapText="1"/>
    </xf>
    <xf numFmtId="0" fontId="20" fillId="5" borderId="14" xfId="0" applyFont="1" applyFill="1" applyBorder="1" applyAlignment="1">
      <alignment horizontal="left" vertical="top" wrapText="1"/>
    </xf>
    <xf numFmtId="0" fontId="21" fillId="0" borderId="7" xfId="0" applyFont="1" applyBorder="1" applyAlignment="1">
      <alignment vertical="top" wrapText="1"/>
    </xf>
    <xf numFmtId="0" fontId="21" fillId="0" borderId="1" xfId="0" applyFont="1" applyBorder="1" applyAlignment="1">
      <alignment horizontal="left" vertical="center" wrapText="1"/>
    </xf>
    <xf numFmtId="0" fontId="20" fillId="0" borderId="15" xfId="0" applyFont="1" applyBorder="1" applyAlignment="1">
      <alignment horizontal="left" vertical="center" wrapText="1"/>
    </xf>
    <xf numFmtId="0" fontId="20" fillId="5" borderId="15" xfId="0" applyFont="1" applyFill="1" applyBorder="1" applyAlignment="1">
      <alignment vertical="center" wrapText="1"/>
    </xf>
    <xf numFmtId="0" fontId="20" fillId="5" borderId="16" xfId="0" applyFont="1" applyFill="1" applyBorder="1" applyAlignment="1">
      <alignment vertical="center" wrapText="1"/>
    </xf>
    <xf numFmtId="0" fontId="20" fillId="5" borderId="14" xfId="0" applyFont="1" applyFill="1" applyBorder="1" applyAlignment="1">
      <alignment vertical="center" wrapText="1"/>
    </xf>
    <xf numFmtId="0" fontId="21" fillId="0" borderId="11" xfId="0" applyFont="1" applyBorder="1" applyAlignment="1">
      <alignment vertical="top"/>
    </xf>
    <xf numFmtId="0" fontId="21" fillId="6" borderId="11" xfId="0" applyFont="1" applyFill="1" applyBorder="1" applyAlignment="1" applyProtection="1">
      <alignment horizontal="left" vertical="top" wrapText="1"/>
      <protection locked="0"/>
    </xf>
    <xf numFmtId="0" fontId="21" fillId="6" borderId="10" xfId="0" applyFont="1" applyFill="1" applyBorder="1" applyAlignment="1" applyProtection="1">
      <alignment vertical="top" wrapText="1"/>
      <protection locked="0"/>
    </xf>
    <xf numFmtId="0" fontId="0" fillId="4" borderId="1" xfId="0" applyFill="1" applyBorder="1">
      <alignment vertical="center"/>
    </xf>
    <xf numFmtId="49" fontId="0" fillId="0" borderId="0" xfId="0" applyNumberFormat="1" applyAlignment="1">
      <alignment horizontal="left" vertical="center"/>
    </xf>
    <xf numFmtId="0" fontId="20" fillId="5" borderId="14" xfId="0" applyFont="1" applyFill="1" applyBorder="1" applyAlignment="1">
      <alignment vertical="top" wrapText="1"/>
    </xf>
    <xf numFmtId="0" fontId="20" fillId="5" borderId="15" xfId="0" applyFont="1" applyFill="1" applyBorder="1" applyAlignment="1">
      <alignment horizontal="left" vertical="top" wrapText="1"/>
    </xf>
    <xf numFmtId="0" fontId="20" fillId="5" borderId="4" xfId="0" applyFont="1" applyFill="1" applyBorder="1" applyAlignment="1">
      <alignment horizontal="left" vertical="top" wrapText="1"/>
    </xf>
    <xf numFmtId="0" fontId="16" fillId="0" borderId="0" xfId="14" applyFont="1">
      <alignment vertical="center"/>
    </xf>
    <xf numFmtId="0" fontId="18" fillId="0" borderId="0" xfId="0" applyFont="1">
      <alignment vertical="center"/>
    </xf>
    <xf numFmtId="0" fontId="24" fillId="0" borderId="1" xfId="3" applyFill="1" applyBorder="1" applyProtection="1">
      <alignment vertical="center"/>
    </xf>
    <xf numFmtId="0" fontId="0" fillId="0" borderId="1" xfId="0" applyBorder="1">
      <alignment vertical="center"/>
    </xf>
    <xf numFmtId="0" fontId="21" fillId="6" borderId="1" xfId="0" applyFont="1" applyFill="1" applyBorder="1" applyAlignment="1" applyProtection="1">
      <alignment horizontal="left" vertical="top" wrapText="1"/>
      <protection locked="0"/>
    </xf>
    <xf numFmtId="0" fontId="21" fillId="6" borderId="1" xfId="0" applyFont="1" applyFill="1" applyBorder="1" applyAlignment="1" applyProtection="1">
      <alignment vertical="top" wrapText="1"/>
      <protection locked="0"/>
    </xf>
    <xf numFmtId="0" fontId="20" fillId="5" borderId="1" xfId="0" applyFont="1" applyFill="1" applyBorder="1" applyAlignment="1">
      <alignment vertical="top" wrapText="1"/>
    </xf>
    <xf numFmtId="0" fontId="20" fillId="6" borderId="13" xfId="0" applyFont="1" applyFill="1" applyBorder="1" applyAlignment="1">
      <alignment vertical="top" wrapText="1"/>
    </xf>
    <xf numFmtId="0" fontId="20" fillId="6" borderId="1" xfId="0" applyFont="1" applyFill="1" applyBorder="1" applyAlignment="1">
      <alignment vertical="top" wrapText="1"/>
    </xf>
    <xf numFmtId="49" fontId="21" fillId="6" borderId="1" xfId="0" applyNumberFormat="1" applyFont="1" applyFill="1" applyBorder="1" applyAlignment="1" applyProtection="1">
      <alignment horizontal="left" vertical="top" wrapText="1"/>
      <protection locked="0"/>
    </xf>
    <xf numFmtId="0" fontId="24" fillId="0" borderId="0" xfId="3" applyProtection="1">
      <alignment vertical="center"/>
    </xf>
    <xf numFmtId="0" fontId="23" fillId="4" borderId="1" xfId="0" applyFont="1" applyFill="1" applyBorder="1" applyAlignment="1">
      <alignment horizontal="center" vertical="top" wrapText="1"/>
    </xf>
    <xf numFmtId="0" fontId="23" fillId="5" borderId="1" xfId="0" applyFont="1" applyFill="1" applyBorder="1" applyAlignment="1">
      <alignment horizontal="center" vertical="top"/>
    </xf>
    <xf numFmtId="0" fontId="21" fillId="0" borderId="11" xfId="0" applyFont="1" applyBorder="1" applyAlignment="1">
      <alignment vertical="top" wrapText="1"/>
    </xf>
    <xf numFmtId="0" fontId="21" fillId="0" borderId="11" xfId="0" applyFont="1" applyBorder="1" applyAlignment="1">
      <alignment horizontal="left" vertical="top" wrapText="1"/>
    </xf>
    <xf numFmtId="0" fontId="21" fillId="0" borderId="1" xfId="0" applyFont="1" applyBorder="1" applyAlignment="1">
      <alignment vertical="top" wrapText="1"/>
    </xf>
    <xf numFmtId="0" fontId="21" fillId="0" borderId="12" xfId="0" applyFont="1" applyBorder="1" applyAlignment="1">
      <alignment vertical="top" wrapText="1"/>
    </xf>
    <xf numFmtId="0" fontId="21" fillId="0" borderId="10" xfId="0" applyFont="1" applyBorder="1" applyAlignment="1">
      <alignment vertical="top" wrapText="1"/>
    </xf>
    <xf numFmtId="0" fontId="23" fillId="4" borderId="1" xfId="0" applyFont="1" applyFill="1" applyBorder="1" applyAlignment="1">
      <alignment horizontal="center" vertical="top"/>
    </xf>
    <xf numFmtId="0" fontId="21" fillId="0" borderId="1" xfId="0" applyFont="1" applyBorder="1" applyAlignment="1">
      <alignment vertical="top"/>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0" fillId="0" borderId="1" xfId="0" applyFont="1" applyBorder="1" applyAlignment="1">
      <alignment vertical="top" wrapText="1"/>
    </xf>
    <xf numFmtId="0" fontId="21" fillId="0" borderId="12" xfId="0" applyFont="1" applyBorder="1" applyAlignment="1">
      <alignment horizontal="left" vertical="top" wrapText="1"/>
    </xf>
    <xf numFmtId="0" fontId="21" fillId="0" borderId="10" xfId="0" applyFont="1" applyBorder="1" applyAlignment="1">
      <alignment horizontal="left" vertical="top" wrapText="1"/>
    </xf>
    <xf numFmtId="0" fontId="20"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0" fillId="2" borderId="1" xfId="0" applyFont="1" applyFill="1" applyBorder="1" applyAlignment="1">
      <alignment vertical="top" wrapText="1"/>
    </xf>
    <xf numFmtId="0" fontId="21" fillId="2" borderId="1" xfId="0" applyFont="1" applyFill="1" applyBorder="1" applyAlignment="1">
      <alignment vertical="top" wrapText="1"/>
    </xf>
    <xf numFmtId="0" fontId="21" fillId="2" borderId="10" xfId="0" applyFont="1" applyFill="1" applyBorder="1" applyAlignment="1">
      <alignment vertical="top" wrapText="1"/>
    </xf>
    <xf numFmtId="2" fontId="21" fillId="2" borderId="1" xfId="0" applyNumberFormat="1" applyFont="1" applyFill="1" applyBorder="1" applyAlignment="1">
      <alignment horizontal="left" vertical="top" wrapText="1"/>
    </xf>
    <xf numFmtId="0" fontId="21" fillId="2" borderId="11" xfId="0" applyFont="1" applyFill="1" applyBorder="1" applyAlignment="1">
      <alignment horizontal="left" vertical="top" wrapText="1"/>
    </xf>
    <xf numFmtId="0" fontId="21" fillId="2" borderId="12" xfId="0" applyFont="1" applyFill="1" applyBorder="1" applyAlignment="1">
      <alignment horizontal="left" vertical="top" wrapText="1"/>
    </xf>
    <xf numFmtId="0" fontId="21" fillId="2" borderId="10" xfId="0" applyFont="1" applyFill="1" applyBorder="1" applyAlignment="1">
      <alignment horizontal="left" vertical="top" wrapText="1"/>
    </xf>
    <xf numFmtId="0" fontId="21" fillId="2" borderId="1" xfId="0" quotePrefix="1" applyFont="1" applyFill="1" applyBorder="1" applyAlignment="1">
      <alignment horizontal="left" vertical="top" wrapText="1"/>
    </xf>
    <xf numFmtId="0" fontId="20" fillId="5" borderId="13" xfId="0" applyFont="1" applyFill="1" applyBorder="1" applyAlignment="1">
      <alignment vertical="top" wrapText="1"/>
    </xf>
    <xf numFmtId="0" fontId="21" fillId="0" borderId="1" xfId="0" quotePrefix="1" applyFont="1" applyBorder="1" applyAlignment="1">
      <alignment horizontal="left" vertical="top" wrapText="1"/>
    </xf>
    <xf numFmtId="0" fontId="21" fillId="0" borderId="5" xfId="0" applyFont="1" applyBorder="1" applyAlignment="1">
      <alignment vertical="top" wrapText="1"/>
    </xf>
    <xf numFmtId="0" fontId="20" fillId="0" borderId="14" xfId="0" applyFont="1" applyBorder="1" applyAlignment="1">
      <alignment horizontal="left" vertical="top" wrapText="1"/>
    </xf>
    <xf numFmtId="49" fontId="23" fillId="5" borderId="1" xfId="0" applyNumberFormat="1" applyFont="1" applyFill="1" applyBorder="1" applyAlignment="1">
      <alignment horizontal="center" vertical="top"/>
    </xf>
    <xf numFmtId="49" fontId="0" fillId="0" borderId="0" xfId="0" applyNumberFormat="1">
      <alignment vertical="center"/>
    </xf>
    <xf numFmtId="49" fontId="21" fillId="6" borderId="1" xfId="0" quotePrefix="1" applyNumberFormat="1" applyFont="1" applyFill="1" applyBorder="1" applyAlignment="1" applyProtection="1">
      <alignment horizontal="left" vertical="top" wrapText="1"/>
      <protection locked="0"/>
    </xf>
    <xf numFmtId="49" fontId="21" fillId="6" borderId="1" xfId="0" applyNumberFormat="1" applyFont="1" applyFill="1" applyBorder="1" applyAlignment="1" applyProtection="1">
      <alignment vertical="top" wrapText="1"/>
      <protection locked="0"/>
    </xf>
    <xf numFmtId="49" fontId="21" fillId="6" borderId="1" xfId="0" quotePrefix="1" applyNumberFormat="1" applyFont="1" applyFill="1" applyBorder="1" applyAlignment="1" applyProtection="1">
      <alignment vertical="top" wrapText="1"/>
      <protection locked="0"/>
    </xf>
    <xf numFmtId="49" fontId="20" fillId="6" borderId="1" xfId="0" applyNumberFormat="1" applyFont="1" applyFill="1" applyBorder="1" applyAlignment="1" applyProtection="1">
      <alignment vertical="top" wrapText="1"/>
      <protection locked="0"/>
    </xf>
    <xf numFmtId="49" fontId="21" fillId="2" borderId="1" xfId="0" applyNumberFormat="1" applyFont="1" applyFill="1" applyBorder="1" applyAlignment="1">
      <alignment horizontal="left" vertical="top" wrapText="1"/>
    </xf>
    <xf numFmtId="0" fontId="27" fillId="2" borderId="1" xfId="0" applyFont="1" applyFill="1" applyBorder="1" applyAlignment="1">
      <alignment horizontal="left" vertical="top" wrapText="1"/>
    </xf>
    <xf numFmtId="0" fontId="0" fillId="4" borderId="1" xfId="0" applyFill="1" applyBorder="1" applyAlignment="1">
      <alignment horizontal="center" vertical="center"/>
    </xf>
    <xf numFmtId="0" fontId="18" fillId="0" borderId="0" xfId="0" applyFont="1" applyAlignment="1"/>
    <xf numFmtId="0" fontId="18"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7" xfId="0" applyFont="1" applyBorder="1" applyAlignment="1"/>
    <xf numFmtId="0" fontId="18" fillId="0" borderId="5" xfId="0" applyFont="1" applyBorder="1">
      <alignment vertical="center"/>
    </xf>
    <xf numFmtId="0" fontId="16" fillId="0" borderId="0" xfId="21" applyFont="1">
      <alignment vertical="center"/>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xf>
    <xf numFmtId="0" fontId="0" fillId="7" borderId="1" xfId="0" applyFill="1" applyBorder="1" applyAlignment="1">
      <alignment horizontal="center" vertical="center"/>
    </xf>
    <xf numFmtId="0" fontId="16" fillId="0" borderId="0" xfId="35" applyFont="1">
      <alignment vertical="center"/>
    </xf>
    <xf numFmtId="0" fontId="21" fillId="0" borderId="0" xfId="0" applyFont="1">
      <alignment vertical="center"/>
    </xf>
    <xf numFmtId="0" fontId="21" fillId="0" borderId="0" xfId="0" applyFont="1" applyAlignment="1">
      <alignment horizontal="left" vertical="center"/>
    </xf>
    <xf numFmtId="0" fontId="23" fillId="4" borderId="1" xfId="0" applyFont="1" applyFill="1" applyBorder="1" applyAlignment="1">
      <alignment horizontal="center" vertical="center" wrapText="1"/>
    </xf>
    <xf numFmtId="0" fontId="21" fillId="0" borderId="12" xfId="0" applyFont="1" applyBorder="1">
      <alignment vertical="center"/>
    </xf>
    <xf numFmtId="0" fontId="21" fillId="0" borderId="0" xfId="0" applyFont="1" applyAlignment="1">
      <alignment vertical="center" wrapText="1"/>
    </xf>
    <xf numFmtId="0" fontId="21" fillId="0" borderId="6" xfId="0" applyFont="1" applyBorder="1" applyAlignment="1">
      <alignment vertical="top" wrapText="1"/>
    </xf>
    <xf numFmtId="0" fontId="21" fillId="0" borderId="10" xfId="0" applyFont="1" applyBorder="1">
      <alignment vertical="center"/>
    </xf>
    <xf numFmtId="0" fontId="21" fillId="0" borderId="1" xfId="0" applyFont="1" applyBorder="1">
      <alignment vertical="center"/>
    </xf>
    <xf numFmtId="0" fontId="20" fillId="5" borderId="12" xfId="0" applyFont="1" applyFill="1" applyBorder="1" applyAlignment="1">
      <alignment vertical="top" wrapText="1"/>
    </xf>
    <xf numFmtId="0" fontId="16" fillId="0" borderId="0" xfId="36" applyFont="1">
      <alignment vertical="center"/>
    </xf>
    <xf numFmtId="0" fontId="21" fillId="5" borderId="1" xfId="0" applyFont="1" applyFill="1" applyBorder="1" applyAlignment="1">
      <alignment vertical="top" wrapText="1"/>
    </xf>
    <xf numFmtId="0" fontId="24" fillId="0" borderId="1" xfId="3" applyFill="1" applyBorder="1">
      <alignment vertical="center"/>
    </xf>
    <xf numFmtId="0" fontId="21" fillId="0" borderId="12" xfId="0" applyFont="1" applyBorder="1" applyAlignment="1">
      <alignment vertical="top"/>
    </xf>
    <xf numFmtId="0" fontId="16" fillId="0" borderId="0" xfId="37" applyFont="1">
      <alignment vertical="center"/>
    </xf>
    <xf numFmtId="0" fontId="21" fillId="0" borderId="9" xfId="0" applyFont="1" applyBorder="1" applyAlignment="1">
      <alignment vertical="top" wrapText="1"/>
    </xf>
    <xf numFmtId="0" fontId="21" fillId="0" borderId="4" xfId="0" applyFont="1" applyBorder="1" applyAlignment="1">
      <alignment vertical="top" wrapText="1"/>
    </xf>
    <xf numFmtId="0" fontId="0" fillId="0" borderId="18" xfId="0" applyBorder="1">
      <alignment vertical="center"/>
    </xf>
    <xf numFmtId="0" fontId="0" fillId="0" borderId="18" xfId="0" applyBorder="1" applyAlignment="1">
      <alignment horizontal="center" vertical="center"/>
    </xf>
    <xf numFmtId="0" fontId="0" fillId="0" borderId="18" xfId="0" applyBorder="1" applyAlignment="1">
      <alignment vertical="center" wrapText="1"/>
    </xf>
    <xf numFmtId="0" fontId="24" fillId="0" borderId="18" xfId="3" applyBorder="1">
      <alignment vertical="center"/>
    </xf>
    <xf numFmtId="0" fontId="20" fillId="6" borderId="1" xfId="0" applyFont="1" applyFill="1" applyBorder="1" applyAlignment="1">
      <alignment horizontal="center" vertical="center" wrapText="1"/>
    </xf>
    <xf numFmtId="0" fontId="16" fillId="0" borderId="0" xfId="39" applyFont="1">
      <alignment vertical="center"/>
    </xf>
    <xf numFmtId="0" fontId="20" fillId="5" borderId="19" xfId="0" applyFont="1" applyFill="1" applyBorder="1" applyAlignment="1">
      <alignment vertical="center" wrapText="1"/>
    </xf>
    <xf numFmtId="0" fontId="20" fillId="5" borderId="22" xfId="0" applyFont="1" applyFill="1" applyBorder="1" applyAlignment="1">
      <alignment vertical="top" wrapText="1"/>
    </xf>
    <xf numFmtId="0" fontId="20" fillId="5" borderId="15" xfId="0" applyFont="1" applyFill="1" applyBorder="1" applyAlignment="1">
      <alignment vertical="top" wrapText="1"/>
    </xf>
    <xf numFmtId="0" fontId="20" fillId="5" borderId="23" xfId="0" applyFont="1" applyFill="1" applyBorder="1" applyAlignment="1">
      <alignment vertical="top" wrapText="1"/>
    </xf>
    <xf numFmtId="0" fontId="20" fillId="6" borderId="22" xfId="0" applyFont="1" applyFill="1" applyBorder="1" applyAlignment="1">
      <alignment vertical="top" wrapText="1"/>
    </xf>
    <xf numFmtId="0" fontId="20" fillId="6" borderId="14" xfId="0" applyFont="1" applyFill="1" applyBorder="1" applyAlignment="1">
      <alignment vertical="top" wrapText="1"/>
    </xf>
    <xf numFmtId="0" fontId="20" fillId="6" borderId="15" xfId="0" applyFont="1" applyFill="1" applyBorder="1" applyAlignment="1">
      <alignment vertical="top" wrapText="1"/>
    </xf>
    <xf numFmtId="0" fontId="20" fillId="6" borderId="23" xfId="0" applyFont="1" applyFill="1" applyBorder="1" applyAlignment="1">
      <alignment vertical="top" wrapText="1"/>
    </xf>
    <xf numFmtId="0" fontId="20" fillId="5" borderId="2" xfId="0" applyFont="1" applyFill="1" applyBorder="1" applyAlignment="1">
      <alignment vertical="top" wrapText="1"/>
    </xf>
    <xf numFmtId="0" fontId="20" fillId="5" borderId="3" xfId="0" applyFont="1" applyFill="1" applyBorder="1" applyAlignment="1">
      <alignment vertical="top" wrapText="1"/>
    </xf>
    <xf numFmtId="0" fontId="20" fillId="6" borderId="1" xfId="0" applyFont="1" applyFill="1" applyBorder="1" applyAlignment="1">
      <alignment horizontal="center" vertical="top"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0" fillId="5" borderId="1" xfId="0" applyFont="1" applyFill="1" applyBorder="1" applyAlignment="1">
      <alignment vertical="center" wrapText="1"/>
    </xf>
    <xf numFmtId="0" fontId="20" fillId="5" borderId="3" xfId="0" applyFont="1" applyFill="1" applyBorder="1" applyAlignment="1">
      <alignment horizontal="left" vertical="top" wrapText="1"/>
    </xf>
    <xf numFmtId="0" fontId="20" fillId="5" borderId="2" xfId="0" applyFont="1" applyFill="1" applyBorder="1" applyAlignment="1">
      <alignment vertical="center" wrapText="1"/>
    </xf>
    <xf numFmtId="0" fontId="20" fillId="5" borderId="3" xfId="0" applyFont="1" applyFill="1" applyBorder="1" applyAlignment="1">
      <alignment vertical="center" wrapText="1"/>
    </xf>
    <xf numFmtId="0" fontId="20" fillId="5" borderId="7" xfId="0" applyFont="1" applyFill="1" applyBorder="1" applyAlignment="1">
      <alignment vertical="center" wrapText="1"/>
    </xf>
    <xf numFmtId="0" fontId="20" fillId="5" borderId="8" xfId="0" applyFont="1" applyFill="1" applyBorder="1" applyAlignment="1">
      <alignment vertical="center" wrapText="1"/>
    </xf>
    <xf numFmtId="0" fontId="0" fillId="8" borderId="0" xfId="0" applyFill="1">
      <alignment vertical="center"/>
    </xf>
    <xf numFmtId="14" fontId="21" fillId="0" borderId="0" xfId="0" applyNumberFormat="1" applyFont="1">
      <alignment vertical="center"/>
    </xf>
    <xf numFmtId="0" fontId="27" fillId="0" borderId="0" xfId="0" applyFont="1">
      <alignment vertical="center"/>
    </xf>
    <xf numFmtId="49" fontId="21" fillId="0" borderId="0" xfId="0" applyNumberFormat="1" applyFont="1">
      <alignment vertical="center"/>
    </xf>
    <xf numFmtId="0" fontId="21" fillId="3" borderId="1" xfId="0" applyFont="1" applyFill="1" applyBorder="1" applyAlignment="1" applyProtection="1">
      <protection locked="0"/>
    </xf>
    <xf numFmtId="0" fontId="21" fillId="3" borderId="11" xfId="0" applyFont="1" applyFill="1" applyBorder="1" applyAlignment="1" applyProtection="1">
      <protection locked="0"/>
    </xf>
    <xf numFmtId="0" fontId="20" fillId="5" borderId="10" xfId="0" applyFont="1" applyFill="1" applyBorder="1" applyAlignment="1">
      <alignment vertical="top" wrapText="1"/>
    </xf>
    <xf numFmtId="0" fontId="21" fillId="3" borderId="13" xfId="0" applyFont="1" applyFill="1" applyBorder="1" applyAlignment="1" applyProtection="1">
      <protection locked="0"/>
    </xf>
    <xf numFmtId="0" fontId="20" fillId="5" borderId="14" xfId="0" applyFont="1" applyFill="1" applyBorder="1" applyAlignment="1">
      <alignment horizontal="left" vertical="center" wrapText="1"/>
    </xf>
    <xf numFmtId="0" fontId="21" fillId="3" borderId="1" xfId="0" applyFont="1" applyFill="1" applyBorder="1" applyAlignment="1"/>
    <xf numFmtId="49" fontId="21" fillId="0" borderId="1" xfId="10" applyNumberFormat="1" applyFont="1" applyBorder="1" applyAlignment="1">
      <alignment horizontal="left"/>
    </xf>
    <xf numFmtId="0" fontId="21" fillId="0" borderId="1" xfId="10" applyFont="1" applyBorder="1"/>
    <xf numFmtId="0" fontId="21" fillId="0" borderId="1" xfId="0" applyFont="1" applyBorder="1" applyAlignment="1"/>
    <xf numFmtId="0" fontId="21" fillId="0" borderId="6" xfId="0" applyFont="1" applyBorder="1" applyAlignment="1" applyProtection="1">
      <protection locked="0"/>
    </xf>
    <xf numFmtId="0" fontId="21" fillId="0" borderId="1" xfId="0" applyFont="1" applyBorder="1" applyAlignment="1">
      <alignment vertical="center" wrapText="1"/>
    </xf>
    <xf numFmtId="0" fontId="21" fillId="0" borderId="11" xfId="0" applyFont="1" applyBorder="1" applyAlignment="1">
      <alignment vertical="center" wrapText="1"/>
    </xf>
    <xf numFmtId="0" fontId="21" fillId="0" borderId="1" xfId="0" applyFont="1" applyBorder="1" applyAlignment="1">
      <alignment horizontal="left" vertical="center"/>
    </xf>
    <xf numFmtId="0" fontId="21" fillId="0" borderId="11" xfId="0" applyFont="1" applyBorder="1" applyAlignment="1">
      <alignment horizontal="left" vertical="center" wrapText="1"/>
    </xf>
    <xf numFmtId="176" fontId="21" fillId="0" borderId="1" xfId="0" applyNumberFormat="1" applyFont="1" applyBorder="1" applyAlignment="1" applyProtection="1">
      <protection locked="0"/>
    </xf>
    <xf numFmtId="0" fontId="21" fillId="0" borderId="1" xfId="0" applyFont="1" applyBorder="1" applyAlignment="1" applyProtection="1">
      <protection locked="0"/>
    </xf>
    <xf numFmtId="0" fontId="21" fillId="0" borderId="1" xfId="0" applyFont="1" applyBorder="1" applyAlignment="1" applyProtection="1">
      <alignment horizontal="left"/>
      <protection locked="0"/>
    </xf>
    <xf numFmtId="0" fontId="21" fillId="0" borderId="1" xfId="0" applyFont="1" applyBorder="1" applyProtection="1">
      <alignment vertical="center"/>
      <protection locked="0"/>
    </xf>
    <xf numFmtId="0" fontId="21" fillId="2" borderId="1" xfId="0" quotePrefix="1" applyFont="1" applyFill="1" applyBorder="1" applyAlignment="1" applyProtection="1">
      <protection locked="0"/>
    </xf>
    <xf numFmtId="0" fontId="21" fillId="2" borderId="1" xfId="0" applyFont="1" applyFill="1" applyBorder="1" applyAlignment="1" applyProtection="1">
      <protection locked="0"/>
    </xf>
    <xf numFmtId="0" fontId="21" fillId="2" borderId="15" xfId="0" quotePrefix="1" applyFont="1" applyFill="1" applyBorder="1" applyAlignment="1" applyProtection="1">
      <protection locked="0"/>
    </xf>
    <xf numFmtId="0" fontId="21" fillId="3" borderId="13" xfId="0" quotePrefix="1" applyFont="1" applyFill="1" applyBorder="1" applyAlignment="1" applyProtection="1">
      <protection locked="0"/>
    </xf>
    <xf numFmtId="0" fontId="21" fillId="3" borderId="1" xfId="0" quotePrefix="1" applyFont="1" applyFill="1" applyBorder="1" applyAlignment="1" applyProtection="1">
      <protection locked="0"/>
    </xf>
    <xf numFmtId="0" fontId="21" fillId="0" borderId="13" xfId="0" applyFont="1" applyBorder="1" applyAlignment="1" applyProtection="1">
      <protection locked="0"/>
    </xf>
    <xf numFmtId="49" fontId="21" fillId="0" borderId="15" xfId="0" applyNumberFormat="1" applyFont="1" applyBorder="1" applyAlignment="1">
      <alignment horizontal="left"/>
    </xf>
    <xf numFmtId="49" fontId="21" fillId="0" borderId="1" xfId="0" applyNumberFormat="1" applyFont="1" applyBorder="1" applyAlignment="1">
      <alignment horizontal="left"/>
    </xf>
    <xf numFmtId="0" fontId="21" fillId="0" borderId="13" xfId="0" quotePrefix="1" applyFont="1" applyBorder="1" applyAlignment="1" applyProtection="1">
      <protection locked="0"/>
    </xf>
    <xf numFmtId="0" fontId="21" fillId="0" borderId="10" xfId="0" applyFont="1" applyBorder="1" applyAlignment="1" applyProtection="1">
      <protection locked="0"/>
    </xf>
    <xf numFmtId="0" fontId="21" fillId="0" borderId="11" xfId="0" applyFont="1" applyBorder="1" applyAlignment="1" applyProtection="1">
      <protection locked="0"/>
    </xf>
    <xf numFmtId="0" fontId="37" fillId="0" borderId="0" xfId="3" applyFont="1" applyProtection="1">
      <alignment vertical="center"/>
    </xf>
    <xf numFmtId="0" fontId="21" fillId="3" borderId="2" xfId="0" applyFont="1" applyFill="1" applyBorder="1" applyAlignment="1" applyProtection="1">
      <protection locked="0"/>
    </xf>
    <xf numFmtId="0" fontId="21" fillId="3" borderId="23" xfId="0" applyFont="1" applyFill="1" applyBorder="1" applyAlignment="1" applyProtection="1">
      <protection locked="0"/>
    </xf>
    <xf numFmtId="0" fontId="21" fillId="3" borderId="15" xfId="0" applyFont="1" applyFill="1" applyBorder="1" applyAlignment="1" applyProtection="1">
      <protection locked="0"/>
    </xf>
    <xf numFmtId="0" fontId="21" fillId="0" borderId="23" xfId="0" applyFont="1" applyBorder="1" applyAlignment="1" applyProtection="1">
      <protection locked="0"/>
    </xf>
    <xf numFmtId="0" fontId="21" fillId="0" borderId="15" xfId="0" applyFont="1" applyBorder="1" applyAlignment="1" applyProtection="1">
      <protection locked="0"/>
    </xf>
    <xf numFmtId="0" fontId="21" fillId="3" borderId="24" xfId="0" applyFont="1" applyFill="1" applyBorder="1" applyAlignment="1" applyProtection="1">
      <alignment vertical="top"/>
      <protection locked="0"/>
    </xf>
    <xf numFmtId="0" fontId="21" fillId="3" borderId="14" xfId="0" applyFont="1" applyFill="1" applyBorder="1" applyAlignment="1" applyProtection="1">
      <protection locked="0"/>
    </xf>
    <xf numFmtId="0" fontId="21" fillId="3" borderId="23" xfId="0" applyFont="1" applyFill="1" applyBorder="1" applyAlignment="1" applyProtection="1">
      <alignment wrapText="1"/>
      <protection locked="0"/>
    </xf>
    <xf numFmtId="0" fontId="21" fillId="3" borderId="20" xfId="0" applyFont="1" applyFill="1" applyBorder="1" applyAlignment="1" applyProtection="1">
      <protection locked="0"/>
    </xf>
    <xf numFmtId="0" fontId="21" fillId="3" borderId="25" xfId="0" applyFont="1" applyFill="1" applyBorder="1" applyAlignment="1" applyProtection="1">
      <protection locked="0"/>
    </xf>
    <xf numFmtId="0" fontId="21" fillId="3" borderId="26" xfId="0" applyFont="1" applyFill="1" applyBorder="1" applyAlignment="1" applyProtection="1">
      <protection locked="0"/>
    </xf>
    <xf numFmtId="0" fontId="21" fillId="3" borderId="27" xfId="0" applyFont="1" applyFill="1" applyBorder="1" applyAlignment="1" applyProtection="1">
      <protection locked="0"/>
    </xf>
    <xf numFmtId="0" fontId="21" fillId="3" borderId="14" xfId="0" applyFont="1" applyFill="1" applyBorder="1" applyAlignment="1" applyProtection="1">
      <alignment wrapText="1"/>
      <protection locked="0"/>
    </xf>
    <xf numFmtId="0" fontId="21" fillId="3" borderId="28" xfId="0" applyFont="1" applyFill="1" applyBorder="1" applyAlignment="1" applyProtection="1">
      <alignment vertical="top"/>
      <protection locked="0"/>
    </xf>
    <xf numFmtId="0" fontId="21" fillId="3" borderId="29" xfId="0" applyFont="1" applyFill="1" applyBorder="1" applyAlignment="1" applyProtection="1">
      <protection locked="0"/>
    </xf>
    <xf numFmtId="0" fontId="21" fillId="3" borderId="30" xfId="0" applyFont="1" applyFill="1" applyBorder="1" applyAlignment="1" applyProtection="1">
      <protection locked="0"/>
    </xf>
    <xf numFmtId="0" fontId="21" fillId="3" borderId="31" xfId="0" applyFont="1" applyFill="1" applyBorder="1" applyAlignment="1" applyProtection="1">
      <protection locked="0"/>
    </xf>
    <xf numFmtId="0" fontId="21" fillId="3" borderId="32" xfId="0" applyFont="1" applyFill="1" applyBorder="1" applyAlignment="1" applyProtection="1">
      <protection locked="0"/>
    </xf>
    <xf numFmtId="0" fontId="21" fillId="3" borderId="33" xfId="0" applyFont="1" applyFill="1" applyBorder="1" applyAlignment="1" applyProtection="1">
      <protection locked="0"/>
    </xf>
    <xf numFmtId="0" fontId="21" fillId="3" borderId="34" xfId="0" applyFont="1" applyFill="1" applyBorder="1" applyAlignment="1" applyProtection="1">
      <protection locked="0"/>
    </xf>
    <xf numFmtId="0" fontId="21" fillId="3" borderId="19" xfId="0" applyFont="1" applyFill="1" applyBorder="1" applyAlignment="1" applyProtection="1">
      <protection locked="0"/>
    </xf>
    <xf numFmtId="0" fontId="21" fillId="3" borderId="9" xfId="0" applyFont="1" applyFill="1" applyBorder="1" applyAlignment="1" applyProtection="1">
      <protection locked="0"/>
    </xf>
    <xf numFmtId="0" fontId="21" fillId="3" borderId="7" xfId="0" applyFont="1" applyFill="1" applyBorder="1" applyAlignment="1" applyProtection="1">
      <protection locked="0"/>
    </xf>
    <xf numFmtId="0" fontId="21" fillId="3" borderId="35" xfId="0" applyFont="1" applyFill="1" applyBorder="1" applyAlignment="1" applyProtection="1">
      <protection locked="0"/>
    </xf>
    <xf numFmtId="0" fontId="21" fillId="3" borderId="10" xfId="0" applyFont="1" applyFill="1" applyBorder="1" applyAlignment="1" applyProtection="1">
      <protection locked="0"/>
    </xf>
    <xf numFmtId="0" fontId="21" fillId="3" borderId="36" xfId="0" applyFont="1" applyFill="1" applyBorder="1" applyAlignment="1" applyProtection="1">
      <protection locked="0"/>
    </xf>
    <xf numFmtId="0" fontId="21" fillId="3" borderId="19" xfId="0" applyFont="1" applyFill="1" applyBorder="1" applyAlignment="1" applyProtection="1">
      <alignment vertical="top"/>
      <protection locked="0"/>
    </xf>
    <xf numFmtId="0" fontId="21" fillId="3" borderId="21" xfId="0" applyFont="1" applyFill="1" applyBorder="1" applyAlignment="1" applyProtection="1">
      <alignment vertical="top"/>
      <protection locked="0"/>
    </xf>
    <xf numFmtId="0" fontId="20" fillId="5" borderId="20" xfId="0" applyFont="1" applyFill="1" applyBorder="1" applyAlignment="1">
      <alignment vertical="center" wrapText="1"/>
    </xf>
    <xf numFmtId="0" fontId="21" fillId="3" borderId="11" xfId="0" applyFont="1" applyFill="1" applyBorder="1" applyAlignment="1" applyProtection="1">
      <alignment horizontal="right" vertical="top"/>
      <protection locked="0"/>
    </xf>
    <xf numFmtId="0" fontId="21" fillId="3" borderId="1" xfId="0" applyFont="1" applyFill="1" applyBorder="1" applyAlignment="1" applyProtection="1">
      <alignment horizontal="center" vertical="center"/>
      <protection locked="0"/>
    </xf>
    <xf numFmtId="0" fontId="21" fillId="3" borderId="11" xfId="0" applyFont="1" applyFill="1" applyBorder="1" applyAlignment="1" applyProtection="1">
      <alignment vertical="top"/>
      <protection locked="0"/>
    </xf>
    <xf numFmtId="0" fontId="21" fillId="3" borderId="14" xfId="0" applyFont="1" applyFill="1" applyBorder="1" applyAlignment="1" applyProtection="1">
      <alignment horizontal="center" vertical="center"/>
      <protection locked="0"/>
    </xf>
    <xf numFmtId="0" fontId="21" fillId="3" borderId="1" xfId="0" applyFont="1" applyFill="1" applyBorder="1" applyAlignment="1" applyProtection="1">
      <alignment vertical="top"/>
      <protection locked="0"/>
    </xf>
    <xf numFmtId="0" fontId="38" fillId="6" borderId="10" xfId="0" applyFont="1" applyFill="1" applyBorder="1" applyProtection="1">
      <alignment vertical="center"/>
      <protection locked="0"/>
    </xf>
    <xf numFmtId="49" fontId="21" fillId="0" borderId="1" xfId="0" quotePrefix="1" applyNumberFormat="1" applyFont="1" applyBorder="1" applyAlignment="1" applyProtection="1">
      <protection locked="0"/>
    </xf>
    <xf numFmtId="0" fontId="21" fillId="0" borderId="14" xfId="0" applyFont="1" applyBorder="1" applyAlignment="1" applyProtection="1">
      <protection locked="0"/>
    </xf>
    <xf numFmtId="0" fontId="21" fillId="0" borderId="14" xfId="0" quotePrefix="1" applyFont="1" applyBorder="1" applyAlignment="1" applyProtection="1">
      <protection locked="0"/>
    </xf>
    <xf numFmtId="49" fontId="21" fillId="0" borderId="1" xfId="0" applyNumberFormat="1" applyFont="1" applyBorder="1" applyAlignment="1" applyProtection="1">
      <protection locked="0"/>
    </xf>
    <xf numFmtId="0" fontId="21" fillId="0" borderId="14" xfId="0" applyFont="1" applyBorder="1" applyAlignment="1" applyProtection="1">
      <alignment wrapText="1"/>
      <protection locked="0"/>
    </xf>
    <xf numFmtId="0" fontId="21" fillId="0" borderId="0" xfId="0" applyFont="1" applyAlignment="1" applyProtection="1">
      <protection locked="0"/>
    </xf>
    <xf numFmtId="0" fontId="36" fillId="0" borderId="0" xfId="0" applyFont="1">
      <alignment vertical="center"/>
    </xf>
    <xf numFmtId="0" fontId="20" fillId="5" borderId="2" xfId="0" applyFont="1" applyFill="1" applyBorder="1">
      <alignment vertical="center"/>
    </xf>
    <xf numFmtId="0" fontId="20" fillId="5" borderId="3" xfId="0" applyFont="1" applyFill="1" applyBorder="1">
      <alignment vertical="center"/>
    </xf>
    <xf numFmtId="0" fontId="20" fillId="5" borderId="4" xfId="0" applyFont="1" applyFill="1" applyBorder="1">
      <alignment vertical="center"/>
    </xf>
    <xf numFmtId="0" fontId="21" fillId="0" borderId="11" xfId="0" applyFont="1" applyBorder="1" applyAlignment="1" applyProtection="1">
      <alignment vertical="top"/>
      <protection locked="0"/>
    </xf>
    <xf numFmtId="0" fontId="21" fillId="0" borderId="10" xfId="0" applyFont="1" applyBorder="1" applyAlignment="1" applyProtection="1">
      <alignment vertical="top"/>
      <protection locked="0"/>
    </xf>
    <xf numFmtId="49" fontId="21" fillId="0" borderId="10" xfId="0" applyNumberFormat="1" applyFont="1" applyBorder="1" applyAlignment="1">
      <alignment horizontal="left"/>
    </xf>
    <xf numFmtId="0" fontId="21" fillId="0" borderId="1" xfId="0" applyFont="1" applyBorder="1" applyAlignment="1" applyProtection="1">
      <alignment vertical="top"/>
      <protection locked="0"/>
    </xf>
    <xf numFmtId="49" fontId="21" fillId="9" borderId="1" xfId="0" applyNumberFormat="1" applyFont="1" applyFill="1" applyBorder="1" applyAlignment="1" applyProtection="1">
      <alignment horizontal="left" vertical="top" wrapText="1"/>
      <protection locked="0"/>
    </xf>
    <xf numFmtId="0" fontId="0" fillId="8" borderId="1" xfId="0" applyFill="1" applyBorder="1">
      <alignment vertical="center"/>
    </xf>
    <xf numFmtId="0" fontId="0" fillId="8" borderId="1" xfId="0" applyFill="1" applyBorder="1" applyAlignment="1">
      <alignment horizontal="center" vertical="center"/>
    </xf>
    <xf numFmtId="0" fontId="24" fillId="8" borderId="1" xfId="3" applyFill="1" applyBorder="1" applyProtection="1">
      <alignment vertical="center"/>
    </xf>
    <xf numFmtId="0" fontId="0" fillId="8" borderId="1" xfId="0" applyFill="1" applyBorder="1" applyAlignment="1">
      <alignment vertical="center" wrapText="1"/>
    </xf>
    <xf numFmtId="0" fontId="21" fillId="8" borderId="14" xfId="0" applyFont="1" applyFill="1" applyBorder="1" applyAlignment="1" applyProtection="1">
      <protection locked="0"/>
    </xf>
    <xf numFmtId="0" fontId="21" fillId="8" borderId="14" xfId="0" quotePrefix="1" applyFont="1" applyFill="1" applyBorder="1" applyAlignment="1" applyProtection="1">
      <protection locked="0"/>
    </xf>
    <xf numFmtId="0" fontId="39" fillId="4" borderId="0" xfId="0" applyFont="1" applyFill="1">
      <alignment vertical="center"/>
    </xf>
    <xf numFmtId="0" fontId="24" fillId="4" borderId="1" xfId="3" applyFill="1" applyBorder="1" applyProtection="1">
      <alignment vertical="center"/>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1" xfId="0" applyFill="1" applyBorder="1" applyAlignment="1">
      <alignment vertical="center" wrapText="1"/>
    </xf>
    <xf numFmtId="0" fontId="21" fillId="4" borderId="1" xfId="0" applyFont="1" applyFill="1" applyBorder="1" applyAlignment="1" applyProtection="1">
      <protection locked="0"/>
    </xf>
    <xf numFmtId="49" fontId="21" fillId="4" borderId="15" xfId="0" applyNumberFormat="1" applyFont="1" applyFill="1" applyBorder="1" applyAlignment="1">
      <alignment horizontal="left"/>
    </xf>
    <xf numFmtId="49" fontId="21" fillId="4" borderId="1" xfId="0" applyNumberFormat="1" applyFont="1" applyFill="1" applyBorder="1" applyAlignment="1">
      <alignment horizontal="left"/>
    </xf>
    <xf numFmtId="0" fontId="21" fillId="4" borderId="1" xfId="0" applyFont="1" applyFill="1" applyBorder="1" applyProtection="1">
      <alignment vertical="center"/>
      <protection locked="0"/>
    </xf>
    <xf numFmtId="0" fontId="21" fillId="4" borderId="1" xfId="0" applyFont="1" applyFill="1" applyBorder="1" applyAlignment="1" applyProtection="1">
      <alignment vertical="top"/>
      <protection locked="0"/>
    </xf>
    <xf numFmtId="0" fontId="27" fillId="4" borderId="1" xfId="0" quotePrefix="1" applyFont="1" applyFill="1" applyBorder="1" applyAlignment="1" applyProtection="1">
      <protection locked="0"/>
    </xf>
    <xf numFmtId="0" fontId="21" fillId="4" borderId="1" xfId="0" applyFont="1" applyFill="1" applyBorder="1" applyAlignment="1" applyProtection="1">
      <alignment vertical="top" wrapText="1"/>
      <protection locked="0"/>
    </xf>
    <xf numFmtId="0" fontId="21" fillId="4" borderId="1" xfId="0" applyFont="1" applyFill="1" applyBorder="1" applyAlignment="1">
      <alignment vertical="top"/>
    </xf>
    <xf numFmtId="0" fontId="21" fillId="4" borderId="12" xfId="0" applyFont="1" applyFill="1" applyBorder="1" applyAlignment="1">
      <alignment vertical="top" wrapText="1"/>
    </xf>
    <xf numFmtId="0" fontId="20" fillId="4" borderId="1" xfId="0" applyFont="1" applyFill="1" applyBorder="1" applyAlignment="1">
      <alignment horizontal="left" vertical="top" wrapText="1"/>
    </xf>
    <xf numFmtId="0" fontId="21" fillId="4" borderId="1" xfId="0" applyFont="1" applyFill="1" applyBorder="1" applyAlignment="1">
      <alignment horizontal="left" vertical="top" wrapText="1"/>
    </xf>
    <xf numFmtId="49" fontId="27" fillId="4" borderId="1" xfId="0" applyNumberFormat="1" applyFont="1" applyFill="1" applyBorder="1" applyAlignment="1" applyProtection="1">
      <alignment horizontal="left" vertical="top" wrapText="1"/>
      <protection locked="0"/>
    </xf>
    <xf numFmtId="0" fontId="21" fillId="4" borderId="10" xfId="0" applyFont="1" applyFill="1" applyBorder="1" applyAlignment="1">
      <alignment vertical="top" wrapText="1"/>
    </xf>
    <xf numFmtId="0" fontId="21" fillId="4" borderId="1" xfId="0" applyFont="1" applyFill="1" applyBorder="1" applyAlignment="1">
      <alignment vertical="top" wrapText="1"/>
    </xf>
    <xf numFmtId="0" fontId="21" fillId="4" borderId="1" xfId="0" quotePrefix="1" applyFont="1" applyFill="1" applyBorder="1" applyAlignment="1">
      <alignment horizontal="left" vertical="top" wrapText="1"/>
    </xf>
    <xf numFmtId="49" fontId="21" fillId="4" borderId="1" xfId="0" quotePrefix="1" applyNumberFormat="1" applyFont="1" applyFill="1" applyBorder="1" applyAlignment="1" applyProtection="1">
      <alignment horizontal="left" vertical="top" wrapText="1"/>
      <protection locked="0"/>
    </xf>
    <xf numFmtId="0" fontId="21" fillId="4" borderId="1" xfId="0" applyFont="1" applyFill="1" applyBorder="1" applyAlignment="1" applyProtection="1">
      <alignment horizontal="left" vertical="top" wrapText="1"/>
      <protection locked="0"/>
    </xf>
    <xf numFmtId="0" fontId="21" fillId="4" borderId="1" xfId="0" applyFont="1" applyFill="1" applyBorder="1" applyAlignment="1"/>
    <xf numFmtId="49" fontId="21" fillId="4" borderId="1" xfId="10" applyNumberFormat="1" applyFont="1" applyFill="1" applyBorder="1" applyAlignment="1">
      <alignment horizontal="left"/>
    </xf>
    <xf numFmtId="0" fontId="21" fillId="4" borderId="1" xfId="10" applyFont="1" applyFill="1" applyBorder="1"/>
    <xf numFmtId="0" fontId="20" fillId="0" borderId="1" xfId="0" quotePrefix="1" applyFont="1" applyBorder="1" applyAlignment="1" applyProtection="1">
      <protection locked="0"/>
    </xf>
    <xf numFmtId="0" fontId="32" fillId="0" borderId="0" xfId="0" applyFont="1" applyAlignment="1">
      <alignment horizontal="center" vertical="center"/>
    </xf>
    <xf numFmtId="0" fontId="26" fillId="0" borderId="0" xfId="0" applyFont="1" applyAlignment="1">
      <alignment horizontal="center"/>
    </xf>
    <xf numFmtId="0" fontId="26" fillId="0" borderId="17"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26" fillId="0" borderId="5" xfId="0" applyFont="1" applyBorder="1" applyAlignment="1">
      <alignment horizontal="center" vertical="center"/>
    </xf>
    <xf numFmtId="0" fontId="26" fillId="0" borderId="0" xfId="0" applyFont="1" applyAlignment="1">
      <alignment horizontal="center" vertical="center"/>
    </xf>
    <xf numFmtId="0" fontId="26" fillId="0" borderId="6" xfId="0" applyFont="1" applyBorder="1" applyAlignment="1">
      <alignment horizontal="center" vertic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14" fontId="32" fillId="0" borderId="0" xfId="0" applyNumberFormat="1" applyFont="1" applyAlignment="1">
      <alignment horizontal="center"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14" fontId="18" fillId="0" borderId="15" xfId="0" applyNumberFormat="1" applyFont="1" applyBorder="1" applyAlignment="1">
      <alignment horizontal="center" vertical="center"/>
    </xf>
    <xf numFmtId="14" fontId="18" fillId="0" borderId="16" xfId="0" applyNumberFormat="1" applyFont="1" applyBorder="1" applyAlignment="1">
      <alignment horizontal="center" vertical="center"/>
    </xf>
    <xf numFmtId="14" fontId="18" fillId="0" borderId="14" xfId="0" applyNumberFormat="1" applyFont="1" applyBorder="1" applyAlignment="1">
      <alignment horizontal="center" vertical="center"/>
    </xf>
    <xf numFmtId="0" fontId="21" fillId="2" borderId="11" xfId="0" applyFont="1" applyFill="1" applyBorder="1" applyAlignment="1">
      <alignment vertical="top" wrapText="1"/>
    </xf>
    <xf numFmtId="0" fontId="21" fillId="2" borderId="12" xfId="0" applyFont="1" applyFill="1" applyBorder="1" applyAlignment="1">
      <alignment vertical="top" wrapText="1"/>
    </xf>
    <xf numFmtId="0" fontId="21" fillId="5" borderId="15" xfId="0" applyFont="1" applyFill="1" applyBorder="1">
      <alignment vertical="center"/>
    </xf>
    <xf numFmtId="0" fontId="21" fillId="5" borderId="1" xfId="0" applyFont="1" applyFill="1" applyBorder="1">
      <alignment vertical="center"/>
    </xf>
    <xf numFmtId="0" fontId="20" fillId="5" borderId="11" xfId="0" applyFont="1" applyFill="1" applyBorder="1" applyAlignment="1">
      <alignment vertical="center" wrapText="1"/>
    </xf>
    <xf numFmtId="0" fontId="20" fillId="5" borderId="10" xfId="0" applyFont="1" applyFill="1" applyBorder="1" applyAlignment="1">
      <alignment vertical="center" wrapText="1"/>
    </xf>
    <xf numFmtId="0" fontId="20" fillId="5" borderId="2" xfId="0" applyFont="1" applyFill="1" applyBorder="1" applyAlignment="1">
      <alignment horizontal="left" vertical="top" wrapText="1"/>
    </xf>
    <xf numFmtId="0" fontId="20" fillId="5" borderId="3" xfId="0" applyFont="1" applyFill="1" applyBorder="1" applyAlignment="1">
      <alignment horizontal="left" vertical="top" wrapText="1"/>
    </xf>
    <xf numFmtId="0" fontId="21" fillId="3" borderId="11" xfId="0" applyFont="1" applyFill="1" applyBorder="1" applyAlignment="1" applyProtection="1">
      <alignment vertical="top"/>
      <protection locked="0"/>
    </xf>
    <xf numFmtId="0" fontId="21" fillId="3" borderId="12" xfId="0" applyFont="1" applyFill="1" applyBorder="1" applyAlignment="1" applyProtection="1">
      <alignment vertical="top"/>
      <protection locked="0"/>
    </xf>
    <xf numFmtId="0" fontId="21" fillId="3" borderId="10" xfId="0" applyFont="1" applyFill="1" applyBorder="1" applyAlignment="1" applyProtection="1">
      <alignment vertical="top"/>
      <protection locked="0"/>
    </xf>
    <xf numFmtId="0" fontId="21" fillId="5" borderId="11" xfId="0" applyFont="1" applyFill="1" applyBorder="1">
      <alignment vertical="center"/>
    </xf>
    <xf numFmtId="0" fontId="21" fillId="5" borderId="12" xfId="0" applyFont="1" applyFill="1" applyBorder="1">
      <alignment vertical="center"/>
    </xf>
    <xf numFmtId="0" fontId="21" fillId="5" borderId="10" xfId="0" applyFont="1" applyFill="1" applyBorder="1">
      <alignment vertical="center"/>
    </xf>
    <xf numFmtId="0" fontId="20" fillId="5" borderId="3" xfId="0" applyFont="1" applyFill="1" applyBorder="1" applyAlignment="1">
      <alignment horizontal="left" vertical="center" wrapText="1"/>
    </xf>
    <xf numFmtId="0" fontId="0" fillId="0" borderId="1" xfId="0" applyFill="1" applyBorder="1">
      <alignment vertical="center"/>
    </xf>
    <xf numFmtId="0" fontId="0" fillId="0" borderId="1" xfId="0" applyFill="1" applyBorder="1" applyAlignment="1">
      <alignment horizontal="center" vertical="center"/>
    </xf>
    <xf numFmtId="0" fontId="0" fillId="0" borderId="1" xfId="0" applyFill="1" applyBorder="1" applyAlignment="1">
      <alignment vertical="center" wrapText="1"/>
    </xf>
    <xf numFmtId="14" fontId="0" fillId="0" borderId="1" xfId="0" applyNumberFormat="1" applyFill="1" applyBorder="1" applyAlignment="1">
      <alignment horizontal="center" vertical="center" wrapText="1"/>
    </xf>
  </cellXfs>
  <cellStyles count="40">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2 2" xfId="21" xr:uid="{510C35C7-491C-4C9D-B0FA-1F5126EAF1C2}"/>
    <cellStyle name="標準 2 2 2 2 2 3" xfId="9" xr:uid="{00000000-0005-0000-0000-000009000000}"/>
    <cellStyle name="標準 2 2 2 2 2 3 2" xfId="22" xr:uid="{71FE1C22-1829-4D6A-B58D-C8DFAC2E5B27}"/>
    <cellStyle name="標準 2 2 2 2 2 4" xfId="20" xr:uid="{2B36D107-A0AA-4BE8-A3A0-81628FDDE6D0}"/>
    <cellStyle name="標準 2 2 2 2 2 5" xfId="39" xr:uid="{74930F8F-CF0E-4855-9B4D-AD91B05DDE1A}"/>
    <cellStyle name="標準 2 2 2 2 3" xfId="14" xr:uid="{00000000-0005-0000-0000-00000A000000}"/>
    <cellStyle name="標準 2 2 2 2 3 2" xfId="30" xr:uid="{71306208-98A4-4C19-9DEF-42D53D937248}"/>
    <cellStyle name="標準 2 2 2 2 3 3" xfId="26" xr:uid="{99D3C44B-A05C-46D1-9D43-2116E4EC6641}"/>
    <cellStyle name="標準 2 2 2 2 4" xfId="19" xr:uid="{02EEAD33-573E-4928-B38D-0D5B879E3781}"/>
    <cellStyle name="標準 2 2 2 3" xfId="28" xr:uid="{822C383B-11DA-4138-A25B-BD19B0DA6D4B}"/>
    <cellStyle name="標準 2 2 2 3 2" xfId="33" xr:uid="{7614E6AC-3B4F-4F9F-BA06-BC5AE1CCA5EC}"/>
    <cellStyle name="標準 2 2 2 4" xfId="18" xr:uid="{53B47CB1-2F1E-431F-84D1-76E8BCF9E623}"/>
    <cellStyle name="標準 2 2 3" xfId="11" xr:uid="{00000000-0005-0000-0000-00000B000000}"/>
    <cellStyle name="標準 2 2 3 2" xfId="23" xr:uid="{B3B08CDF-8CB2-4AC6-A2CA-A010C92A0164}"/>
    <cellStyle name="標準 2 2 4" xfId="13" xr:uid="{00000000-0005-0000-0000-00000C000000}"/>
    <cellStyle name="標準 2 2 4 2" xfId="25" xr:uid="{087B0090-2780-4098-B1C0-EEA8E4AD4E54}"/>
    <cellStyle name="標準 2 2 5" xfId="17" xr:uid="{3622902C-47D5-4ABA-AA83-B959955D28E4}"/>
    <cellStyle name="標準 2 2 6" xfId="36" xr:uid="{4373C359-EE04-4012-8F94-AC48560DC665}"/>
    <cellStyle name="標準 2 3" xfId="12" xr:uid="{00000000-0005-0000-0000-00000D000000}"/>
    <cellStyle name="標準 2 3 2" xfId="24" xr:uid="{FB552BEC-0B36-4677-98D7-C8CF3CC4C31C}"/>
    <cellStyle name="標準 2 4" xfId="15" xr:uid="{00000000-0005-0000-0000-00000E000000}"/>
    <cellStyle name="標準 2 4 2" xfId="32" xr:uid="{AFDE45D4-CF67-45E6-9D06-E0D26485D5D1}"/>
    <cellStyle name="標準 2 4 2 2" xfId="35" xr:uid="{97F758C1-DC11-4411-BD8B-7CF5CDBDE9AB}"/>
    <cellStyle name="標準 2 4 2 3" xfId="37" xr:uid="{D7CDEA38-6688-47BD-88EE-3D8830A441A3}"/>
    <cellStyle name="標準 2 4 3" xfId="27" xr:uid="{6E07833C-22CE-48F4-8193-1ACBDB6A85FC}"/>
    <cellStyle name="標準 2 5" xfId="16" xr:uid="{FFEB532C-2BAC-47AC-9429-D088370E607A}"/>
    <cellStyle name="標準 2 6" xfId="34" xr:uid="{669ED362-A211-4282-B000-2FDB20B9D5F6}"/>
    <cellStyle name="標準 2 6 2" xfId="38" xr:uid="{4C80FF5C-E183-435F-9ECA-E52090BF9E71}"/>
    <cellStyle name="標準 3" xfId="10" xr:uid="{00000000-0005-0000-0000-00000F000000}"/>
    <cellStyle name="標準 3 3" xfId="29" xr:uid="{96BE90A6-E33B-4513-91B3-80F0882C067C}"/>
    <cellStyle name="標準 4" xfId="31" xr:uid="{A3474D67-773C-45A5-82B9-827690E718C8}"/>
  </cellStyles>
  <dxfs count="5">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D4F7-33A3-437E-A505-E10DCE79B382}">
  <sheetPr>
    <pageSetUpPr autoPageBreaks="0"/>
  </sheetPr>
  <dimension ref="A1:AK37"/>
  <sheetViews>
    <sheetView showGridLines="0" zoomScaleNormal="100" zoomScaleSheetLayoutView="100" workbookViewId="0"/>
  </sheetViews>
  <sheetFormatPr defaultColWidth="2.2109375" defaultRowHeight="15" customHeight="1" x14ac:dyDescent="0.35"/>
  <cols>
    <col min="1" max="16384" width="2.2109375" style="75"/>
  </cols>
  <sheetData>
    <row r="1" spans="1:37" ht="15" customHeight="1" x14ac:dyDescent="0.35">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x14ac:dyDescent="0.35">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x14ac:dyDescent="0.35">
      <c r="A3" s="74"/>
      <c r="B3" s="77" t="s">
        <v>1108</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x14ac:dyDescent="0.55000000000000004">
      <c r="A4" s="78"/>
      <c r="B4" s="78"/>
      <c r="C4" s="78"/>
      <c r="D4" s="78"/>
      <c r="E4" s="78"/>
      <c r="F4" s="78"/>
      <c r="G4" s="78"/>
      <c r="H4" s="78"/>
      <c r="I4" s="78"/>
      <c r="J4" s="249"/>
      <c r="K4" s="249"/>
      <c r="L4" s="249"/>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x14ac:dyDescent="0.55000000000000004">
      <c r="A5" s="79"/>
      <c r="B5" s="79"/>
      <c r="C5" s="79"/>
      <c r="D5" s="79"/>
      <c r="E5" s="79"/>
      <c r="F5" s="79"/>
      <c r="G5" s="79"/>
      <c r="H5" s="79"/>
      <c r="I5" s="79"/>
      <c r="J5" s="250"/>
      <c r="K5" s="250"/>
      <c r="L5" s="250"/>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x14ac:dyDescent="0.35">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x14ac:dyDescent="0.35">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x14ac:dyDescent="0.35">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x14ac:dyDescent="0.35">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x14ac:dyDescent="0.35">
      <c r="A10" s="74"/>
      <c r="B10" s="251" t="s">
        <v>1109</v>
      </c>
      <c r="C10" s="252"/>
      <c r="D10" s="252"/>
      <c r="E10" s="252"/>
      <c r="F10" s="252"/>
      <c r="G10" s="252"/>
      <c r="H10" s="252"/>
      <c r="I10" s="252"/>
      <c r="J10" s="252"/>
      <c r="K10" s="252"/>
      <c r="L10" s="252"/>
      <c r="M10" s="252"/>
      <c r="N10" s="252"/>
      <c r="O10" s="252"/>
      <c r="P10" s="252"/>
      <c r="Q10" s="252"/>
      <c r="R10" s="252"/>
      <c r="S10" s="252"/>
      <c r="T10" s="252"/>
      <c r="U10" s="252"/>
      <c r="V10" s="252"/>
      <c r="W10" s="252"/>
      <c r="X10" s="252"/>
      <c r="Y10" s="252"/>
      <c r="Z10" s="252"/>
      <c r="AA10" s="252"/>
      <c r="AB10" s="252"/>
      <c r="AC10" s="252"/>
      <c r="AD10" s="252"/>
      <c r="AE10" s="253"/>
      <c r="AF10" s="74"/>
      <c r="AG10" s="74"/>
      <c r="AH10" s="74"/>
      <c r="AI10" s="74"/>
      <c r="AJ10" s="74"/>
      <c r="AK10" s="74"/>
    </row>
    <row r="11" spans="1:37" ht="15" customHeight="1" x14ac:dyDescent="0.35">
      <c r="A11" s="74"/>
      <c r="B11" s="254"/>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6"/>
      <c r="AF11" s="74"/>
      <c r="AG11" s="74"/>
      <c r="AH11" s="74"/>
      <c r="AI11" s="74"/>
      <c r="AJ11" s="74"/>
      <c r="AK11" s="74"/>
    </row>
    <row r="12" spans="1:37" ht="15" customHeight="1" x14ac:dyDescent="0.35">
      <c r="A12" s="74"/>
      <c r="B12" s="254"/>
      <c r="C12" s="255"/>
      <c r="D12" s="255"/>
      <c r="E12" s="255"/>
      <c r="F12" s="255"/>
      <c r="G12" s="255"/>
      <c r="H12" s="255"/>
      <c r="I12" s="255"/>
      <c r="J12" s="255"/>
      <c r="K12" s="255"/>
      <c r="L12" s="255"/>
      <c r="M12" s="255"/>
      <c r="N12" s="255"/>
      <c r="O12" s="255"/>
      <c r="P12" s="255"/>
      <c r="Q12" s="255"/>
      <c r="R12" s="255"/>
      <c r="S12" s="255"/>
      <c r="T12" s="255"/>
      <c r="U12" s="255"/>
      <c r="V12" s="255"/>
      <c r="W12" s="255"/>
      <c r="X12" s="255"/>
      <c r="Y12" s="255"/>
      <c r="Z12" s="255"/>
      <c r="AA12" s="255"/>
      <c r="AB12" s="255"/>
      <c r="AC12" s="255"/>
      <c r="AD12" s="255"/>
      <c r="AE12" s="256"/>
      <c r="AF12" s="74"/>
      <c r="AG12" s="74"/>
      <c r="AH12" s="74"/>
      <c r="AI12" s="74"/>
      <c r="AJ12" s="74"/>
      <c r="AK12" s="74"/>
    </row>
    <row r="13" spans="1:37" ht="15" customHeight="1" x14ac:dyDescent="0.35">
      <c r="A13" s="74"/>
      <c r="B13" s="254"/>
      <c r="C13" s="255"/>
      <c r="D13" s="255"/>
      <c r="E13" s="255"/>
      <c r="F13" s="255"/>
      <c r="G13" s="255"/>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6"/>
      <c r="AF13" s="74"/>
      <c r="AG13" s="74"/>
      <c r="AH13" s="74"/>
      <c r="AI13" s="74"/>
      <c r="AJ13" s="74"/>
      <c r="AK13" s="74"/>
    </row>
    <row r="14" spans="1:37" ht="15" customHeight="1" x14ac:dyDescent="0.35">
      <c r="A14" s="74"/>
      <c r="B14" s="257" t="s">
        <v>1198</v>
      </c>
      <c r="C14" s="258"/>
      <c r="D14" s="258"/>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9"/>
      <c r="AF14" s="74"/>
      <c r="AG14" s="74"/>
      <c r="AH14" s="74"/>
      <c r="AI14" s="74"/>
      <c r="AJ14" s="74"/>
      <c r="AK14" s="74"/>
    </row>
    <row r="15" spans="1:37" ht="15" customHeight="1" x14ac:dyDescent="0.35">
      <c r="A15" s="74"/>
      <c r="B15" s="257"/>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9"/>
      <c r="AF15" s="74"/>
      <c r="AG15" s="74"/>
      <c r="AH15" s="74"/>
      <c r="AI15" s="74"/>
      <c r="AJ15" s="74"/>
      <c r="AK15" s="74"/>
    </row>
    <row r="16" spans="1:37" ht="15" customHeight="1" x14ac:dyDescent="0.35">
      <c r="A16" s="74"/>
      <c r="B16" s="260"/>
      <c r="C16" s="261"/>
      <c r="D16" s="261"/>
      <c r="E16" s="261"/>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2"/>
      <c r="AF16" s="74"/>
      <c r="AG16" s="74"/>
      <c r="AH16" s="74"/>
      <c r="AI16" s="74"/>
      <c r="AJ16" s="74"/>
      <c r="AK16" s="74"/>
    </row>
    <row r="17" spans="1:37" ht="15" customHeight="1" x14ac:dyDescent="0.35">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x14ac:dyDescent="0.35">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x14ac:dyDescent="0.35">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x14ac:dyDescent="0.35">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x14ac:dyDescent="0.35">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x14ac:dyDescent="0.35">
      <c r="A22" s="74"/>
      <c r="B22" s="248" t="s">
        <v>782</v>
      </c>
      <c r="C22" s="248"/>
      <c r="D22" s="248"/>
      <c r="E22" s="248"/>
      <c r="F22" s="248"/>
      <c r="G22" s="248"/>
      <c r="H22" s="248"/>
      <c r="I22" s="248"/>
      <c r="J22" s="248"/>
      <c r="K22" s="248"/>
      <c r="L22" s="248"/>
      <c r="M22" s="248"/>
      <c r="N22" s="248"/>
      <c r="O22" s="248"/>
      <c r="P22" s="248"/>
      <c r="Q22" s="248"/>
      <c r="R22" s="248"/>
      <c r="S22" s="248"/>
      <c r="T22" s="248"/>
      <c r="U22" s="248"/>
      <c r="V22" s="248"/>
      <c r="W22" s="248"/>
      <c r="X22" s="248"/>
      <c r="Y22" s="248"/>
      <c r="Z22" s="248"/>
      <c r="AA22" s="248"/>
      <c r="AB22" s="248"/>
      <c r="AC22" s="248"/>
      <c r="AD22" s="248"/>
      <c r="AE22" s="248"/>
      <c r="AF22" s="74"/>
      <c r="AG22" s="74"/>
      <c r="AH22" s="74"/>
      <c r="AI22" s="74"/>
      <c r="AJ22" s="74"/>
      <c r="AK22" s="74"/>
    </row>
    <row r="23" spans="1:37" ht="15" customHeight="1" x14ac:dyDescent="0.35">
      <c r="A23" s="74"/>
      <c r="B23" s="248"/>
      <c r="C23" s="248"/>
      <c r="D23" s="248"/>
      <c r="E23" s="248"/>
      <c r="F23" s="248"/>
      <c r="G23" s="248"/>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74"/>
      <c r="AG23" s="74"/>
      <c r="AH23" s="74"/>
      <c r="AI23" s="74"/>
      <c r="AJ23" s="74"/>
      <c r="AK23" s="74"/>
    </row>
    <row r="24" spans="1:37" ht="15" customHeight="1" x14ac:dyDescent="0.35">
      <c r="A24" s="74"/>
      <c r="B24" s="263">
        <v>45546</v>
      </c>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74"/>
      <c r="AG24" s="74"/>
      <c r="AH24" s="74"/>
      <c r="AI24" s="74"/>
      <c r="AJ24" s="74"/>
      <c r="AK24" s="74"/>
    </row>
    <row r="25" spans="1:37" ht="15" customHeight="1" x14ac:dyDescent="0.35">
      <c r="A25" s="74"/>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74"/>
      <c r="AG25" s="74"/>
      <c r="AH25" s="74"/>
      <c r="AI25" s="74"/>
      <c r="AJ25" s="74"/>
      <c r="AK25" s="74"/>
    </row>
    <row r="26" spans="1:37" ht="15" customHeight="1" x14ac:dyDescent="0.35">
      <c r="A26" s="74"/>
      <c r="B26" s="248" t="s">
        <v>0</v>
      </c>
      <c r="C26" s="248"/>
      <c r="D26" s="248"/>
      <c r="E26" s="248"/>
      <c r="F26" s="248"/>
      <c r="G26" s="248"/>
      <c r="H26" s="248"/>
      <c r="I26" s="248"/>
      <c r="J26" s="248"/>
      <c r="K26" s="248"/>
      <c r="L26" s="248"/>
      <c r="M26" s="248"/>
      <c r="N26" s="248"/>
      <c r="O26" s="248"/>
      <c r="P26" s="248"/>
      <c r="Q26" s="248"/>
      <c r="R26" s="248"/>
      <c r="S26" s="248"/>
      <c r="T26" s="248"/>
      <c r="U26" s="248"/>
      <c r="V26" s="248"/>
      <c r="W26" s="248"/>
      <c r="X26" s="248"/>
      <c r="Y26" s="248"/>
      <c r="Z26" s="248"/>
      <c r="AA26" s="248"/>
      <c r="AB26" s="248"/>
      <c r="AC26" s="248"/>
      <c r="AD26" s="248"/>
      <c r="AE26" s="248"/>
      <c r="AF26" s="74"/>
      <c r="AG26" s="74"/>
      <c r="AH26" s="74"/>
      <c r="AI26" s="74"/>
      <c r="AJ26" s="74"/>
      <c r="AK26" s="74"/>
    </row>
    <row r="27" spans="1:37" ht="15" customHeight="1" x14ac:dyDescent="0.35">
      <c r="A27" s="74"/>
      <c r="B27" s="248"/>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c r="AA27" s="248"/>
      <c r="AB27" s="248"/>
      <c r="AC27" s="248"/>
      <c r="AD27" s="248"/>
      <c r="AE27" s="248"/>
      <c r="AF27" s="74"/>
      <c r="AG27" s="74"/>
      <c r="AH27" s="74"/>
      <c r="AI27" s="74"/>
      <c r="AJ27" s="74"/>
      <c r="AK27" s="74"/>
    </row>
    <row r="28" spans="1:37" ht="15" customHeight="1" x14ac:dyDescent="0.35">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x14ac:dyDescent="0.35">
      <c r="A29" s="74"/>
      <c r="B29" s="74"/>
      <c r="C29" s="74"/>
      <c r="D29" s="74"/>
      <c r="E29" s="74"/>
      <c r="F29" s="279" t="s">
        <v>783</v>
      </c>
      <c r="G29" s="279"/>
      <c r="H29" s="279"/>
      <c r="I29" s="279"/>
      <c r="J29" s="279"/>
      <c r="K29" s="279"/>
      <c r="L29" s="27"/>
      <c r="M29" s="27"/>
      <c r="N29" s="27"/>
      <c r="O29" s="271" t="s">
        <v>784</v>
      </c>
      <c r="P29" s="279"/>
      <c r="Q29" s="279"/>
      <c r="R29" s="279"/>
      <c r="S29" s="27"/>
      <c r="T29" s="27"/>
      <c r="U29" s="27"/>
      <c r="V29" s="74"/>
      <c r="W29" s="74"/>
      <c r="X29" s="74"/>
      <c r="Y29" s="74"/>
      <c r="Z29" s="74"/>
      <c r="AA29" s="74"/>
      <c r="AB29" s="74"/>
      <c r="AC29" s="74"/>
      <c r="AD29" s="74"/>
      <c r="AE29" s="74"/>
      <c r="AF29" s="74"/>
      <c r="AG29" s="74"/>
      <c r="AH29" s="74"/>
      <c r="AI29" s="74"/>
      <c r="AJ29" s="74"/>
      <c r="AK29" s="74"/>
    </row>
    <row r="30" spans="1:37" x14ac:dyDescent="0.35">
      <c r="A30" s="74"/>
      <c r="B30" s="74"/>
      <c r="C30" s="74"/>
      <c r="D30" s="74"/>
      <c r="E30" s="74"/>
      <c r="F30" s="281">
        <v>45546</v>
      </c>
      <c r="G30" s="282"/>
      <c r="H30" s="282"/>
      <c r="I30" s="282"/>
      <c r="J30" s="282"/>
      <c r="K30" s="282"/>
      <c r="L30" s="80"/>
      <c r="M30" s="27"/>
      <c r="N30" s="281" t="s">
        <v>1057</v>
      </c>
      <c r="O30" s="282"/>
      <c r="P30" s="282"/>
      <c r="Q30" s="282"/>
      <c r="R30" s="282"/>
      <c r="S30" s="283"/>
      <c r="T30" s="27"/>
      <c r="U30" s="27"/>
      <c r="V30" s="74"/>
      <c r="W30" s="74"/>
      <c r="X30" s="74"/>
      <c r="Y30" s="74"/>
      <c r="Z30" s="74"/>
      <c r="AA30" s="74"/>
      <c r="AB30" s="74"/>
      <c r="AC30" s="74"/>
      <c r="AD30" s="74"/>
      <c r="AE30" s="74"/>
      <c r="AF30" s="74"/>
      <c r="AG30" s="74"/>
      <c r="AH30" s="74"/>
      <c r="AI30" s="74"/>
      <c r="AJ30" s="74"/>
      <c r="AK30" s="74"/>
    </row>
    <row r="31" spans="1:37" ht="15" customHeight="1" x14ac:dyDescent="0.35">
      <c r="A31" s="74"/>
      <c r="B31" s="74"/>
      <c r="C31" s="74"/>
      <c r="D31" s="74"/>
      <c r="E31" s="74"/>
      <c r="F31" s="264" t="s">
        <v>1115</v>
      </c>
      <c r="G31" s="265"/>
      <c r="H31" s="265"/>
      <c r="I31" s="265"/>
      <c r="J31" s="265"/>
      <c r="K31" s="266"/>
      <c r="L31" s="80"/>
      <c r="M31" s="27"/>
      <c r="N31" s="264" t="s">
        <v>785</v>
      </c>
      <c r="O31" s="273"/>
      <c r="P31" s="273"/>
      <c r="Q31" s="273"/>
      <c r="R31" s="273"/>
      <c r="S31" s="274"/>
      <c r="T31" s="27"/>
      <c r="U31" s="27"/>
      <c r="V31" s="74"/>
      <c r="W31" s="74"/>
      <c r="X31" s="74"/>
      <c r="Y31" s="74"/>
      <c r="Z31" s="74"/>
      <c r="AA31" s="74"/>
      <c r="AB31" s="74"/>
      <c r="AC31" s="74"/>
      <c r="AD31" s="74"/>
      <c r="AE31" s="74"/>
      <c r="AF31" s="74"/>
      <c r="AG31" s="74"/>
      <c r="AH31" s="74"/>
      <c r="AI31" s="74"/>
      <c r="AJ31" s="74"/>
      <c r="AK31" s="74"/>
    </row>
    <row r="32" spans="1:37" x14ac:dyDescent="0.35">
      <c r="A32" s="74"/>
      <c r="B32" s="74"/>
      <c r="C32" s="74"/>
      <c r="D32" s="74"/>
      <c r="E32" s="74"/>
      <c r="F32" s="267"/>
      <c r="G32" s="268"/>
      <c r="H32" s="268"/>
      <c r="I32" s="268"/>
      <c r="J32" s="268"/>
      <c r="K32" s="269"/>
      <c r="L32" s="80"/>
      <c r="M32" s="27"/>
      <c r="N32" s="275"/>
      <c r="O32" s="276"/>
      <c r="P32" s="276"/>
      <c r="Q32" s="276"/>
      <c r="R32" s="276"/>
      <c r="S32" s="277"/>
      <c r="T32" s="27"/>
      <c r="U32" s="27"/>
      <c r="V32" s="74"/>
      <c r="W32" s="74"/>
      <c r="X32" s="74"/>
      <c r="Y32" s="74"/>
      <c r="Z32" s="74"/>
      <c r="AA32" s="74"/>
      <c r="AB32" s="74"/>
      <c r="AC32" s="74"/>
      <c r="AD32" s="74"/>
      <c r="AE32" s="74"/>
      <c r="AF32" s="74"/>
      <c r="AG32" s="74"/>
      <c r="AH32" s="74"/>
      <c r="AI32" s="74"/>
      <c r="AJ32" s="74"/>
      <c r="AK32" s="74"/>
    </row>
    <row r="33" spans="1:37" x14ac:dyDescent="0.35">
      <c r="A33" s="74"/>
      <c r="B33" s="74"/>
      <c r="C33" s="74"/>
      <c r="D33" s="74"/>
      <c r="E33" s="74"/>
      <c r="F33" s="267"/>
      <c r="G33" s="268"/>
      <c r="H33" s="268"/>
      <c r="I33" s="268"/>
      <c r="J33" s="268"/>
      <c r="K33" s="269"/>
      <c r="L33" s="80"/>
      <c r="M33" s="27"/>
      <c r="N33" s="275"/>
      <c r="O33" s="276"/>
      <c r="P33" s="276"/>
      <c r="Q33" s="276"/>
      <c r="R33" s="276"/>
      <c r="S33" s="277"/>
      <c r="T33" s="27"/>
      <c r="U33" s="27"/>
      <c r="V33" s="74"/>
      <c r="W33" s="74"/>
      <c r="X33" s="74"/>
      <c r="Y33" s="74"/>
      <c r="Z33" s="74"/>
      <c r="AA33" s="74"/>
      <c r="AB33" s="74"/>
      <c r="AC33" s="74"/>
      <c r="AD33" s="74"/>
      <c r="AE33" s="74"/>
      <c r="AF33" s="74"/>
      <c r="AG33" s="74"/>
      <c r="AH33" s="74"/>
      <c r="AI33" s="74"/>
      <c r="AJ33" s="74"/>
      <c r="AK33" s="74"/>
    </row>
    <row r="34" spans="1:37" x14ac:dyDescent="0.35">
      <c r="A34" s="74"/>
      <c r="B34" s="74"/>
      <c r="C34" s="74"/>
      <c r="D34" s="74"/>
      <c r="E34" s="74"/>
      <c r="F34" s="267"/>
      <c r="G34" s="268"/>
      <c r="H34" s="268"/>
      <c r="I34" s="268"/>
      <c r="J34" s="268"/>
      <c r="K34" s="269"/>
      <c r="L34" s="80"/>
      <c r="M34" s="27"/>
      <c r="N34" s="275"/>
      <c r="O34" s="276"/>
      <c r="P34" s="276"/>
      <c r="Q34" s="276"/>
      <c r="R34" s="276"/>
      <c r="S34" s="277"/>
      <c r="T34" s="27"/>
      <c r="U34" s="27"/>
      <c r="V34" s="74"/>
      <c r="W34" s="74"/>
      <c r="X34" s="74"/>
      <c r="Y34" s="74"/>
      <c r="Z34" s="74"/>
      <c r="AA34" s="74"/>
      <c r="AB34" s="74"/>
      <c r="AC34" s="74"/>
      <c r="AD34" s="74"/>
      <c r="AE34" s="74"/>
      <c r="AF34" s="74"/>
      <c r="AG34" s="74"/>
      <c r="AH34" s="74"/>
      <c r="AI34" s="74"/>
      <c r="AJ34" s="74"/>
      <c r="AK34" s="74"/>
    </row>
    <row r="35" spans="1:37" x14ac:dyDescent="0.35">
      <c r="A35" s="74"/>
      <c r="B35" s="74"/>
      <c r="C35" s="74"/>
      <c r="D35" s="74"/>
      <c r="E35" s="74"/>
      <c r="F35" s="270"/>
      <c r="G35" s="271"/>
      <c r="H35" s="271"/>
      <c r="I35" s="271"/>
      <c r="J35" s="271"/>
      <c r="K35" s="272"/>
      <c r="L35" s="80"/>
      <c r="M35" s="27"/>
      <c r="N35" s="278"/>
      <c r="O35" s="279"/>
      <c r="P35" s="279"/>
      <c r="Q35" s="279"/>
      <c r="R35" s="279"/>
      <c r="S35" s="280"/>
      <c r="T35" s="27"/>
      <c r="U35" s="27"/>
      <c r="V35" s="74"/>
      <c r="W35" s="74"/>
      <c r="X35" s="74"/>
      <c r="Y35" s="74"/>
      <c r="Z35" s="74"/>
      <c r="AA35" s="74"/>
      <c r="AB35" s="74"/>
      <c r="AC35" s="74"/>
      <c r="AD35" s="74"/>
      <c r="AE35" s="74"/>
      <c r="AF35" s="74"/>
      <c r="AG35" s="74"/>
      <c r="AH35" s="74"/>
      <c r="AI35" s="74"/>
      <c r="AJ35" s="74"/>
      <c r="AK35" s="74"/>
    </row>
    <row r="36" spans="1:37" ht="15" customHeight="1" x14ac:dyDescent="0.35">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x14ac:dyDescent="0.35">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3"/>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K17"/>
  <sheetViews>
    <sheetView showGridLines="0" zoomScale="71" zoomScaleNormal="100" zoomScaleSheetLayoutView="80" workbookViewId="0">
      <pane ySplit="3" topLeftCell="A4" activePane="bottomLeft" state="frozen"/>
      <selection pane="bottomLeft" activeCell="B12" sqref="B12"/>
    </sheetView>
  </sheetViews>
  <sheetFormatPr defaultColWidth="8.78515625" defaultRowHeight="15" x14ac:dyDescent="0.35"/>
  <cols>
    <col min="1" max="1" width="2.78515625" customWidth="1"/>
    <col min="2" max="2" width="3.78515625" bestFit="1" customWidth="1"/>
    <col min="3" max="3" width="10.7109375" bestFit="1" customWidth="1"/>
    <col min="4" max="4" width="11.5703125" bestFit="1" customWidth="1"/>
    <col min="5" max="5" width="24.42578125" bestFit="1" customWidth="1"/>
    <col min="6" max="7" width="12.2109375" style="120" bestFit="1" customWidth="1"/>
    <col min="8" max="8" width="54.2109375" customWidth="1"/>
    <col min="9" max="9" width="59.2109375" customWidth="1"/>
  </cols>
  <sheetData>
    <row r="1" spans="1:11" ht="19.5" x14ac:dyDescent="0.35">
      <c r="A1" s="26" t="s">
        <v>1103</v>
      </c>
    </row>
    <row r="2" spans="1:11" x14ac:dyDescent="0.35">
      <c r="C2" s="22"/>
      <c r="D2" s="22"/>
    </row>
    <row r="3" spans="1:11" x14ac:dyDescent="0.35">
      <c r="B3" s="21" t="s">
        <v>1</v>
      </c>
      <c r="C3" s="21" t="s">
        <v>2</v>
      </c>
      <c r="D3" s="73" t="s">
        <v>781</v>
      </c>
      <c r="E3" s="21" t="s">
        <v>3</v>
      </c>
      <c r="F3" s="73" t="s">
        <v>1105</v>
      </c>
      <c r="G3" s="73" t="s">
        <v>1106</v>
      </c>
      <c r="H3" s="21" t="s">
        <v>4</v>
      </c>
      <c r="I3" s="21" t="s">
        <v>5</v>
      </c>
    </row>
    <row r="4" spans="1:11" ht="45" x14ac:dyDescent="0.35">
      <c r="A4" s="222" t="s">
        <v>1276</v>
      </c>
      <c r="B4" s="21">
        <f t="shared" ref="B4:B13" si="0">ROW()-3</f>
        <v>1</v>
      </c>
      <c r="C4" s="21" t="s">
        <v>6</v>
      </c>
      <c r="D4" s="73" t="s">
        <v>911</v>
      </c>
      <c r="E4" s="223" t="s">
        <v>787</v>
      </c>
      <c r="F4" s="224" t="s">
        <v>1209</v>
      </c>
      <c r="G4" s="225">
        <v>45629</v>
      </c>
      <c r="H4" s="226" t="s">
        <v>7</v>
      </c>
      <c r="I4" s="226" t="s">
        <v>908</v>
      </c>
    </row>
    <row r="5" spans="1:11" ht="45" x14ac:dyDescent="0.35">
      <c r="B5" s="29">
        <f t="shared" si="0"/>
        <v>2</v>
      </c>
      <c r="C5" s="29" t="s">
        <v>8</v>
      </c>
      <c r="D5" s="84" t="s">
        <v>911</v>
      </c>
      <c r="E5" s="98" t="s">
        <v>11</v>
      </c>
      <c r="F5" s="121" t="s">
        <v>1209</v>
      </c>
      <c r="G5" s="122">
        <v>45629</v>
      </c>
      <c r="H5" s="6" t="s">
        <v>914</v>
      </c>
      <c r="I5" s="6" t="s">
        <v>13</v>
      </c>
    </row>
    <row r="6" spans="1:11" ht="45" x14ac:dyDescent="0.35">
      <c r="B6" s="29">
        <f t="shared" si="0"/>
        <v>3</v>
      </c>
      <c r="C6" s="29" t="s">
        <v>8</v>
      </c>
      <c r="D6" s="84" t="s">
        <v>911</v>
      </c>
      <c r="E6" s="28" t="s">
        <v>9</v>
      </c>
      <c r="F6" s="121" t="s">
        <v>1209</v>
      </c>
      <c r="G6" s="122">
        <v>45628</v>
      </c>
      <c r="H6" s="6" t="s">
        <v>913</v>
      </c>
      <c r="I6" s="6" t="s">
        <v>10</v>
      </c>
    </row>
    <row r="7" spans="1:11" ht="45" x14ac:dyDescent="0.35">
      <c r="B7" s="29">
        <f t="shared" si="0"/>
        <v>4</v>
      </c>
      <c r="C7" s="29" t="s">
        <v>8</v>
      </c>
      <c r="D7" s="84" t="s">
        <v>911</v>
      </c>
      <c r="E7" s="28" t="s">
        <v>14</v>
      </c>
      <c r="F7" s="121" t="s">
        <v>1116</v>
      </c>
      <c r="G7" s="122">
        <v>45548</v>
      </c>
      <c r="H7" s="6" t="s">
        <v>15</v>
      </c>
      <c r="I7" s="6" t="s">
        <v>16</v>
      </c>
    </row>
    <row r="8" spans="1:11" ht="30" x14ac:dyDescent="0.35">
      <c r="A8" s="222" t="s">
        <v>1276</v>
      </c>
      <c r="B8" s="21">
        <f t="shared" si="0"/>
        <v>5</v>
      </c>
      <c r="C8" s="21" t="s">
        <v>8</v>
      </c>
      <c r="D8" s="73" t="s">
        <v>911</v>
      </c>
      <c r="E8" s="223" t="s">
        <v>17</v>
      </c>
      <c r="F8" s="224" t="s">
        <v>1116</v>
      </c>
      <c r="G8" s="225">
        <v>45548</v>
      </c>
      <c r="H8" s="226" t="s">
        <v>786</v>
      </c>
      <c r="I8" s="226" t="s">
        <v>18</v>
      </c>
    </row>
    <row r="9" spans="1:11" x14ac:dyDescent="0.35">
      <c r="B9" s="82">
        <f t="shared" si="0"/>
        <v>6</v>
      </c>
      <c r="C9" s="82" t="s">
        <v>8</v>
      </c>
      <c r="D9" s="85" t="s">
        <v>911</v>
      </c>
      <c r="E9" s="132" t="s">
        <v>19</v>
      </c>
      <c r="F9" s="123"/>
      <c r="G9" s="123"/>
      <c r="H9" s="83" t="s">
        <v>1107</v>
      </c>
      <c r="I9" s="83" t="s">
        <v>1107</v>
      </c>
    </row>
    <row r="10" spans="1:11" ht="45" x14ac:dyDescent="0.35">
      <c r="B10" s="216">
        <f t="shared" ref="B10" si="1">ROW()-3</f>
        <v>7</v>
      </c>
      <c r="C10" s="216" t="s">
        <v>6</v>
      </c>
      <c r="D10" s="217" t="s">
        <v>915</v>
      </c>
      <c r="E10" s="218" t="s">
        <v>20</v>
      </c>
      <c r="F10" s="123"/>
      <c r="G10" s="123"/>
      <c r="H10" s="219" t="s">
        <v>1202</v>
      </c>
      <c r="I10" s="219" t="s">
        <v>21</v>
      </c>
    </row>
    <row r="11" spans="1:11" ht="30" x14ac:dyDescent="0.35">
      <c r="B11" s="216">
        <f t="shared" si="0"/>
        <v>8</v>
      </c>
      <c r="C11" s="216" t="s">
        <v>6</v>
      </c>
      <c r="D11" s="217" t="s">
        <v>911</v>
      </c>
      <c r="E11" s="218" t="s">
        <v>22</v>
      </c>
      <c r="F11" s="123"/>
      <c r="G11" s="123"/>
      <c r="H11" s="219" t="s">
        <v>1210</v>
      </c>
      <c r="I11" s="219" t="s">
        <v>23</v>
      </c>
    </row>
    <row r="12" spans="1:11" ht="30" x14ac:dyDescent="0.35">
      <c r="B12" s="299">
        <f t="shared" si="0"/>
        <v>9</v>
      </c>
      <c r="C12" s="299" t="s">
        <v>6</v>
      </c>
      <c r="D12" s="300" t="s">
        <v>911</v>
      </c>
      <c r="E12" s="98" t="s">
        <v>912</v>
      </c>
      <c r="F12" s="121" t="s">
        <v>1209</v>
      </c>
      <c r="G12" s="302">
        <v>45770</v>
      </c>
      <c r="H12" s="301" t="s">
        <v>1331</v>
      </c>
      <c r="I12" s="301" t="s">
        <v>933</v>
      </c>
    </row>
    <row r="13" spans="1:11" ht="30" x14ac:dyDescent="0.35">
      <c r="B13" s="103">
        <f t="shared" si="0"/>
        <v>10</v>
      </c>
      <c r="C13" s="103" t="s">
        <v>8</v>
      </c>
      <c r="D13" s="104" t="s">
        <v>911</v>
      </c>
      <c r="E13" s="106" t="s">
        <v>1050</v>
      </c>
      <c r="F13" s="121" t="s">
        <v>1209</v>
      </c>
      <c r="G13" s="122">
        <v>45628</v>
      </c>
      <c r="H13" s="105" t="s">
        <v>1043</v>
      </c>
      <c r="I13" s="105" t="s">
        <v>1051</v>
      </c>
      <c r="K13" s="5"/>
    </row>
    <row r="14" spans="1:11" x14ac:dyDescent="0.35">
      <c r="F14"/>
      <c r="G14"/>
    </row>
    <row r="15" spans="1:11" x14ac:dyDescent="0.35">
      <c r="F15"/>
      <c r="G15"/>
    </row>
    <row r="16" spans="1:11" x14ac:dyDescent="0.35">
      <c r="F16"/>
      <c r="G16"/>
    </row>
    <row r="17" spans="6:7" x14ac:dyDescent="0.35">
      <c r="F17"/>
      <c r="G17"/>
    </row>
  </sheetData>
  <phoneticPr fontId="13"/>
  <dataValidations count="1">
    <dataValidation type="list" allowBlank="1" showInputMessage="1" showErrorMessage="1" sqref="D4:D13" xr:uid="{4CCBDBAB-A7AD-4741-A650-35AB294D9DE7}">
      <formula1>"共通,個別"</formula1>
    </dataValidation>
  </dataValidations>
  <hyperlinks>
    <hyperlink ref="E4" location="売掛金勘定パラメーター!A1" display="売掛金勘定パラメーター" xr:uid="{00000000-0004-0000-0100-000000000000}"/>
    <hyperlink ref="E6" location="支払期日!A1" display="支払期日" xr:uid="{00000000-0004-0000-0100-000001000000}"/>
    <hyperlink ref="E7" location="顧客グループ!A1" display="顧客グループ" xr:uid="{00000000-0004-0000-0100-000002000000}"/>
    <hyperlink ref="E8" location="顧客転記プロファイル!A1" display="顧客転記プロファイル" xr:uid="{00000000-0004-0000-0100-000003000000}"/>
    <hyperlink ref="E10" location="支払カレンダー!A1" display="支払カレンダー" xr:uid="{00000000-0004-0000-0100-000004000000}"/>
    <hyperlink ref="E11" location="支払方法!A1" display="支払方法" xr:uid="{00000000-0004-0000-0100-000005000000}"/>
    <hyperlink ref="E12" location="売掛金勘定ワークフロー!A1" display="売掛金勘定ワークフロー" xr:uid="{E3AB6EE2-FCEE-49DD-9AE6-F7257192A244}"/>
    <hyperlink ref="E5" location="支払条件!A1" display="支払条件" xr:uid="{E293CC6F-AAC4-428C-9798-5D4D91FCA85E}"/>
    <hyperlink ref="E13" location="支払カレンダーのコンフィグレーション!A1" display="支払カレンダーのコンフィグレーション" xr:uid="{C5E6A8D1-0DB4-43E8-86D5-C172214D69D3}"/>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66E6D-DD7D-4296-9126-757B05AD8343}">
  <sheetPr>
    <tabColor rgb="FFFFC000"/>
    <pageSetUpPr fitToPage="1"/>
  </sheetPr>
  <dimension ref="A1:M32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4"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135" customWidth="1"/>
    <col min="12" max="12" width="18.78515625" style="87" customWidth="1"/>
    <col min="13" max="13" width="9.5703125" style="87" bestFit="1" customWidth="1"/>
    <col min="14" max="16384" width="8.78515625" style="87"/>
  </cols>
  <sheetData>
    <row r="1" spans="1:12" customFormat="1" ht="19.5" x14ac:dyDescent="0.35">
      <c r="A1" s="81" t="s">
        <v>787</v>
      </c>
      <c r="K1" s="66"/>
    </row>
    <row r="2" spans="1:12" customFormat="1" ht="15" x14ac:dyDescent="0.35">
      <c r="B2" t="s">
        <v>909</v>
      </c>
      <c r="K2" s="66"/>
    </row>
    <row r="3" spans="1:12" customFormat="1" ht="15" x14ac:dyDescent="0.35">
      <c r="B3" t="s">
        <v>910</v>
      </c>
      <c r="K3" s="66"/>
    </row>
    <row r="4" spans="1:12" customFormat="1" ht="15" x14ac:dyDescent="0.35">
      <c r="A4" s="36" t="s">
        <v>1104</v>
      </c>
      <c r="K4" s="66"/>
    </row>
    <row r="5" spans="1:12" x14ac:dyDescent="0.35">
      <c r="B5" s="37" t="s">
        <v>24</v>
      </c>
      <c r="C5" s="37" t="s">
        <v>31</v>
      </c>
      <c r="D5" s="37" t="s">
        <v>32</v>
      </c>
      <c r="E5" s="37" t="s">
        <v>33</v>
      </c>
      <c r="F5" s="44" t="s">
        <v>34</v>
      </c>
      <c r="G5" s="44" t="s">
        <v>788</v>
      </c>
      <c r="H5" s="37" t="s">
        <v>36</v>
      </c>
      <c r="I5" s="37" t="s">
        <v>37</v>
      </c>
      <c r="J5" s="37" t="s">
        <v>38</v>
      </c>
      <c r="K5" s="65" t="s">
        <v>39</v>
      </c>
      <c r="L5" s="38" t="s">
        <v>40</v>
      </c>
    </row>
    <row r="6" spans="1:12" ht="27" x14ac:dyDescent="0.35">
      <c r="B6" s="45">
        <f>ROW() - 5</f>
        <v>1</v>
      </c>
      <c r="C6" s="39" t="s">
        <v>41</v>
      </c>
      <c r="D6" s="39" t="s">
        <v>42</v>
      </c>
      <c r="E6" s="41" t="s">
        <v>43</v>
      </c>
      <c r="F6" s="46" t="s">
        <v>44</v>
      </c>
      <c r="G6" s="46"/>
      <c r="H6" s="46" t="s">
        <v>45</v>
      </c>
      <c r="I6" s="47" t="s">
        <v>46</v>
      </c>
      <c r="J6" s="47"/>
      <c r="K6" s="35" t="s">
        <v>47</v>
      </c>
      <c r="L6" s="31"/>
    </row>
    <row r="7" spans="1:12" ht="40.5" x14ac:dyDescent="0.35">
      <c r="B7" s="45">
        <f t="shared" ref="B7:B98" si="0">ROW() - 5</f>
        <v>2</v>
      </c>
      <c r="C7" s="42"/>
      <c r="D7" s="42"/>
      <c r="E7" s="39" t="s">
        <v>48</v>
      </c>
      <c r="F7" s="46" t="s">
        <v>49</v>
      </c>
      <c r="G7" s="46" t="s">
        <v>50</v>
      </c>
      <c r="H7" s="46" t="s">
        <v>997</v>
      </c>
      <c r="I7" s="47" t="s">
        <v>51</v>
      </c>
      <c r="J7" s="47"/>
      <c r="K7" s="35" t="s">
        <v>52</v>
      </c>
      <c r="L7" s="31"/>
    </row>
    <row r="8" spans="1:12" x14ac:dyDescent="0.35">
      <c r="B8" s="45">
        <f t="shared" si="0"/>
        <v>3</v>
      </c>
      <c r="C8" s="42"/>
      <c r="D8" s="42"/>
      <c r="E8" s="42"/>
      <c r="F8" s="46" t="s">
        <v>53</v>
      </c>
      <c r="G8" s="46" t="s">
        <v>54</v>
      </c>
      <c r="H8" s="46" t="s">
        <v>55</v>
      </c>
      <c r="I8" s="62" t="s">
        <v>56</v>
      </c>
      <c r="J8" s="47"/>
      <c r="K8" s="67" t="s">
        <v>56</v>
      </c>
      <c r="L8" s="31"/>
    </row>
    <row r="9" spans="1:12" ht="40.5" x14ac:dyDescent="0.35">
      <c r="B9" s="45">
        <f t="shared" si="0"/>
        <v>4</v>
      </c>
      <c r="C9" s="42"/>
      <c r="D9" s="42"/>
      <c r="E9" s="42"/>
      <c r="F9" s="48" t="s">
        <v>789</v>
      </c>
      <c r="G9" s="48" t="s">
        <v>790</v>
      </c>
      <c r="H9" s="46" t="s">
        <v>57</v>
      </c>
      <c r="I9" s="41" t="s">
        <v>58</v>
      </c>
      <c r="J9" s="41"/>
      <c r="K9" s="68" t="s">
        <v>59</v>
      </c>
      <c r="L9" s="31"/>
    </row>
    <row r="10" spans="1:12" ht="27" x14ac:dyDescent="0.35">
      <c r="B10" s="45">
        <f t="shared" si="0"/>
        <v>5</v>
      </c>
      <c r="C10" s="42"/>
      <c r="D10" s="42"/>
      <c r="E10" s="42"/>
      <c r="F10" s="46" t="s">
        <v>60</v>
      </c>
      <c r="G10" s="46" t="s">
        <v>61</v>
      </c>
      <c r="H10" s="46" t="s">
        <v>45</v>
      </c>
      <c r="I10" s="47" t="s">
        <v>46</v>
      </c>
      <c r="J10" s="47"/>
      <c r="K10" s="35" t="s">
        <v>47</v>
      </c>
      <c r="L10" s="31"/>
    </row>
    <row r="11" spans="1:12" ht="27" x14ac:dyDescent="0.35">
      <c r="B11" s="45">
        <f t="shared" si="0"/>
        <v>6</v>
      </c>
      <c r="C11" s="42"/>
      <c r="D11" s="42"/>
      <c r="E11" s="42"/>
      <c r="F11" s="46" t="s">
        <v>62</v>
      </c>
      <c r="G11" s="46"/>
      <c r="H11" s="46" t="s">
        <v>45</v>
      </c>
      <c r="I11" s="47" t="s">
        <v>46</v>
      </c>
      <c r="J11" s="47"/>
      <c r="K11" s="35" t="s">
        <v>47</v>
      </c>
      <c r="L11" s="233" t="s">
        <v>1281</v>
      </c>
    </row>
    <row r="12" spans="1:12" ht="27" x14ac:dyDescent="0.35">
      <c r="B12" s="234">
        <f t="shared" si="0"/>
        <v>7</v>
      </c>
      <c r="C12" s="235"/>
      <c r="D12" s="235"/>
      <c r="E12" s="235"/>
      <c r="F12" s="236" t="s">
        <v>1282</v>
      </c>
      <c r="G12" s="236" t="s">
        <v>1283</v>
      </c>
      <c r="H12" s="236" t="s">
        <v>1012</v>
      </c>
      <c r="I12" s="237" t="s">
        <v>51</v>
      </c>
      <c r="J12" s="237"/>
      <c r="K12" s="35" t="s">
        <v>52</v>
      </c>
      <c r="L12" s="233" t="s">
        <v>1281</v>
      </c>
    </row>
    <row r="13" spans="1:12" ht="67.5" x14ac:dyDescent="0.35">
      <c r="B13" s="45">
        <f t="shared" si="0"/>
        <v>8</v>
      </c>
      <c r="C13" s="42"/>
      <c r="D13" s="42"/>
      <c r="E13" s="42"/>
      <c r="F13" s="46" t="s">
        <v>64</v>
      </c>
      <c r="G13" s="46"/>
      <c r="H13" s="46" t="s">
        <v>65</v>
      </c>
      <c r="I13" s="47" t="s">
        <v>66</v>
      </c>
      <c r="J13" s="47"/>
      <c r="K13" s="30" t="s">
        <v>1274</v>
      </c>
      <c r="L13" s="31" t="s">
        <v>1275</v>
      </c>
    </row>
    <row r="14" spans="1:12" ht="27" x14ac:dyDescent="0.35">
      <c r="B14" s="45">
        <f t="shared" si="0"/>
        <v>9</v>
      </c>
      <c r="C14" s="42"/>
      <c r="D14" s="42"/>
      <c r="E14" s="42"/>
      <c r="F14" s="46" t="s">
        <v>68</v>
      </c>
      <c r="G14" s="46" t="s">
        <v>69</v>
      </c>
      <c r="H14" s="46" t="s">
        <v>791</v>
      </c>
      <c r="I14" s="47" t="s">
        <v>780</v>
      </c>
      <c r="J14" s="47"/>
      <c r="K14" s="35" t="s">
        <v>47</v>
      </c>
      <c r="L14" s="31"/>
    </row>
    <row r="15" spans="1:12" ht="27" x14ac:dyDescent="0.35">
      <c r="B15" s="45">
        <f t="shared" si="0"/>
        <v>10</v>
      </c>
      <c r="C15" s="42"/>
      <c r="D15" s="42"/>
      <c r="E15" s="42"/>
      <c r="F15" s="46" t="s">
        <v>792</v>
      </c>
      <c r="G15" s="46" t="s">
        <v>793</v>
      </c>
      <c r="H15" s="46" t="s">
        <v>791</v>
      </c>
      <c r="I15" s="47" t="s">
        <v>780</v>
      </c>
      <c r="J15" s="47"/>
      <c r="K15" s="35" t="s">
        <v>47</v>
      </c>
      <c r="L15" s="31"/>
    </row>
    <row r="16" spans="1:12" ht="54" x14ac:dyDescent="0.35">
      <c r="A16" s="87" t="s">
        <v>1120</v>
      </c>
      <c r="B16" s="45">
        <f t="shared" si="0"/>
        <v>11</v>
      </c>
      <c r="C16" s="42"/>
      <c r="D16" s="42"/>
      <c r="E16" s="42"/>
      <c r="F16" s="46" t="s">
        <v>1121</v>
      </c>
      <c r="G16" s="46" t="s">
        <v>1122</v>
      </c>
      <c r="H16" s="46" t="s">
        <v>791</v>
      </c>
      <c r="I16" s="47" t="s">
        <v>780</v>
      </c>
      <c r="J16" s="47"/>
      <c r="K16" s="35" t="s">
        <v>47</v>
      </c>
      <c r="L16" s="31"/>
    </row>
    <row r="17" spans="2:12" ht="67.5" x14ac:dyDescent="0.35">
      <c r="B17" s="45">
        <f t="shared" si="0"/>
        <v>12</v>
      </c>
      <c r="C17" s="42"/>
      <c r="D17" s="42"/>
      <c r="E17" s="39" t="s">
        <v>70</v>
      </c>
      <c r="F17" s="46" t="s">
        <v>71</v>
      </c>
      <c r="G17" s="46"/>
      <c r="H17" s="46" t="s">
        <v>794</v>
      </c>
      <c r="I17" s="47" t="s">
        <v>72</v>
      </c>
      <c r="J17" s="47"/>
      <c r="K17" s="238" t="s">
        <v>1284</v>
      </c>
      <c r="L17" s="233" t="s">
        <v>1285</v>
      </c>
    </row>
    <row r="18" spans="2:12" ht="27" x14ac:dyDescent="0.35">
      <c r="B18" s="45">
        <f t="shared" si="0"/>
        <v>13</v>
      </c>
      <c r="C18" s="42"/>
      <c r="D18" s="42"/>
      <c r="E18" s="42"/>
      <c r="F18" s="46" t="s">
        <v>73</v>
      </c>
      <c r="G18" s="46"/>
      <c r="H18" s="46" t="s">
        <v>55</v>
      </c>
      <c r="I18" s="62" t="s">
        <v>74</v>
      </c>
      <c r="J18" s="47"/>
      <c r="K18" s="67" t="s">
        <v>74</v>
      </c>
      <c r="L18" s="233" t="s">
        <v>1281</v>
      </c>
    </row>
    <row r="19" spans="2:12" ht="54" x14ac:dyDescent="0.35">
      <c r="B19" s="45">
        <f t="shared" si="0"/>
        <v>14</v>
      </c>
      <c r="C19" s="42"/>
      <c r="D19" s="42"/>
      <c r="E19" s="42"/>
      <c r="F19" s="46" t="s">
        <v>75</v>
      </c>
      <c r="G19" s="46" t="s">
        <v>76</v>
      </c>
      <c r="H19" s="46" t="s">
        <v>998</v>
      </c>
      <c r="I19" s="47" t="s">
        <v>51</v>
      </c>
      <c r="J19" s="47"/>
      <c r="K19" s="35" t="s">
        <v>52</v>
      </c>
      <c r="L19" s="233" t="s">
        <v>1281</v>
      </c>
    </row>
    <row r="20" spans="2:12" ht="40.5" x14ac:dyDescent="0.35">
      <c r="B20" s="45">
        <f t="shared" si="0"/>
        <v>15</v>
      </c>
      <c r="C20" s="42"/>
      <c r="D20" s="42"/>
      <c r="E20" s="42"/>
      <c r="F20" s="46" t="s">
        <v>77</v>
      </c>
      <c r="G20" s="46"/>
      <c r="H20" s="46" t="s">
        <v>78</v>
      </c>
      <c r="I20" s="47" t="s">
        <v>79</v>
      </c>
      <c r="J20" s="47"/>
      <c r="K20" s="35" t="s">
        <v>1123</v>
      </c>
      <c r="L20" s="233" t="s">
        <v>1286</v>
      </c>
    </row>
    <row r="21" spans="2:12" ht="27" x14ac:dyDescent="0.35">
      <c r="B21" s="45">
        <f t="shared" si="0"/>
        <v>16</v>
      </c>
      <c r="C21" s="42"/>
      <c r="D21" s="42"/>
      <c r="E21" s="42"/>
      <c r="F21" s="46" t="s">
        <v>80</v>
      </c>
      <c r="G21" s="46"/>
      <c r="H21" s="46" t="s">
        <v>999</v>
      </c>
      <c r="I21" s="47" t="s">
        <v>51</v>
      </c>
      <c r="J21" s="47"/>
      <c r="K21" s="35" t="s">
        <v>52</v>
      </c>
      <c r="L21" s="233" t="s">
        <v>1287</v>
      </c>
    </row>
    <row r="22" spans="2:12" ht="27" x14ac:dyDescent="0.35">
      <c r="B22" s="45">
        <f t="shared" si="0"/>
        <v>17</v>
      </c>
      <c r="C22" s="42"/>
      <c r="D22" s="42"/>
      <c r="E22" s="42"/>
      <c r="F22" s="46" t="s">
        <v>795</v>
      </c>
      <c r="G22" s="46"/>
      <c r="H22" s="46" t="s">
        <v>999</v>
      </c>
      <c r="I22" s="47" t="s">
        <v>51</v>
      </c>
      <c r="J22" s="47"/>
      <c r="K22" s="35" t="s">
        <v>52</v>
      </c>
      <c r="L22" s="233" t="s">
        <v>1281</v>
      </c>
    </row>
    <row r="23" spans="2:12" ht="27" x14ac:dyDescent="0.35">
      <c r="B23" s="45">
        <f t="shared" si="0"/>
        <v>18</v>
      </c>
      <c r="C23" s="42"/>
      <c r="D23" s="42"/>
      <c r="E23" s="42"/>
      <c r="F23" s="46" t="s">
        <v>81</v>
      </c>
      <c r="G23" s="46"/>
      <c r="H23" s="46" t="s">
        <v>45</v>
      </c>
      <c r="I23" s="47" t="s">
        <v>46</v>
      </c>
      <c r="J23" s="47"/>
      <c r="K23" s="35" t="s">
        <v>47</v>
      </c>
      <c r="L23" s="233" t="s">
        <v>1288</v>
      </c>
    </row>
    <row r="24" spans="2:12" ht="27" x14ac:dyDescent="0.35">
      <c r="B24" s="45">
        <f t="shared" si="0"/>
        <v>19</v>
      </c>
      <c r="C24" s="42"/>
      <c r="D24" s="42"/>
      <c r="E24" s="42"/>
      <c r="F24" s="46" t="s">
        <v>82</v>
      </c>
      <c r="G24" s="46"/>
      <c r="H24" s="46" t="s">
        <v>83</v>
      </c>
      <c r="I24" s="47" t="s">
        <v>84</v>
      </c>
      <c r="J24" s="47"/>
      <c r="K24" s="35" t="s">
        <v>1124</v>
      </c>
      <c r="L24" s="233" t="s">
        <v>1288</v>
      </c>
    </row>
    <row r="25" spans="2:12" ht="27" x14ac:dyDescent="0.35">
      <c r="B25" s="45">
        <f t="shared" si="0"/>
        <v>20</v>
      </c>
      <c r="C25" s="42"/>
      <c r="D25" s="42"/>
      <c r="E25" s="42"/>
      <c r="F25" s="46" t="s">
        <v>85</v>
      </c>
      <c r="G25" s="46"/>
      <c r="H25" s="46" t="s">
        <v>83</v>
      </c>
      <c r="I25" s="47" t="s">
        <v>84</v>
      </c>
      <c r="J25" s="47"/>
      <c r="K25" s="35" t="s">
        <v>1124</v>
      </c>
      <c r="L25" s="233" t="s">
        <v>1288</v>
      </c>
    </row>
    <row r="26" spans="2:12" ht="27" x14ac:dyDescent="0.35">
      <c r="B26" s="45">
        <f t="shared" si="0"/>
        <v>21</v>
      </c>
      <c r="C26" s="42"/>
      <c r="D26" s="42"/>
      <c r="E26" s="42"/>
      <c r="F26" s="46" t="s">
        <v>86</v>
      </c>
      <c r="G26" s="46"/>
      <c r="H26" s="46" t="s">
        <v>83</v>
      </c>
      <c r="I26" s="47" t="s">
        <v>84</v>
      </c>
      <c r="J26" s="47"/>
      <c r="K26" s="35" t="s">
        <v>1124</v>
      </c>
      <c r="L26" s="233" t="s">
        <v>1288</v>
      </c>
    </row>
    <row r="27" spans="2:12" ht="27" x14ac:dyDescent="0.35">
      <c r="B27" s="45">
        <f t="shared" si="0"/>
        <v>22</v>
      </c>
      <c r="C27" s="42"/>
      <c r="D27" s="42"/>
      <c r="E27" s="42"/>
      <c r="F27" s="46" t="s">
        <v>87</v>
      </c>
      <c r="G27" s="46"/>
      <c r="H27" s="46" t="s">
        <v>83</v>
      </c>
      <c r="I27" s="47" t="s">
        <v>84</v>
      </c>
      <c r="J27" s="47"/>
      <c r="K27" s="35" t="s">
        <v>1124</v>
      </c>
      <c r="L27" s="31"/>
    </row>
    <row r="28" spans="2:12" ht="94.5" x14ac:dyDescent="0.35">
      <c r="B28" s="45">
        <f t="shared" si="0"/>
        <v>23</v>
      </c>
      <c r="C28" s="42"/>
      <c r="D28" s="42"/>
      <c r="E28" s="43"/>
      <c r="F28" s="46" t="s">
        <v>88</v>
      </c>
      <c r="G28" s="46" t="s">
        <v>89</v>
      </c>
      <c r="H28" s="46" t="s">
        <v>45</v>
      </c>
      <c r="I28" s="47" t="s">
        <v>46</v>
      </c>
      <c r="J28" s="47"/>
      <c r="K28" s="35" t="s">
        <v>47</v>
      </c>
      <c r="L28" s="233" t="s">
        <v>1289</v>
      </c>
    </row>
    <row r="29" spans="2:12" ht="67.5" x14ac:dyDescent="0.35">
      <c r="B29" s="45">
        <f t="shared" si="0"/>
        <v>24</v>
      </c>
      <c r="C29" s="42"/>
      <c r="D29" s="42"/>
      <c r="E29" s="39" t="s">
        <v>90</v>
      </c>
      <c r="F29" s="46" t="s">
        <v>91</v>
      </c>
      <c r="G29" s="46" t="s">
        <v>92</v>
      </c>
      <c r="H29" s="46" t="s">
        <v>45</v>
      </c>
      <c r="I29" s="47" t="s">
        <v>46</v>
      </c>
      <c r="J29" s="47"/>
      <c r="K29" s="35" t="s">
        <v>47</v>
      </c>
      <c r="L29" s="233" t="s">
        <v>1288</v>
      </c>
    </row>
    <row r="30" spans="2:12" ht="27" x14ac:dyDescent="0.35">
      <c r="B30" s="45">
        <f t="shared" si="0"/>
        <v>25</v>
      </c>
      <c r="C30" s="42"/>
      <c r="D30" s="42"/>
      <c r="E30" s="42"/>
      <c r="F30" s="46" t="s">
        <v>93</v>
      </c>
      <c r="G30" s="46" t="s">
        <v>94</v>
      </c>
      <c r="H30" s="46" t="s">
        <v>45</v>
      </c>
      <c r="I30" s="47" t="s">
        <v>46</v>
      </c>
      <c r="J30" s="47"/>
      <c r="K30" s="35" t="s">
        <v>47</v>
      </c>
      <c r="L30" s="233" t="s">
        <v>1288</v>
      </c>
    </row>
    <row r="31" spans="2:12" ht="40.5" x14ac:dyDescent="0.35">
      <c r="B31" s="45">
        <f t="shared" si="0"/>
        <v>26</v>
      </c>
      <c r="C31" s="42"/>
      <c r="D31" s="42"/>
      <c r="E31" s="42"/>
      <c r="F31" s="46" t="s">
        <v>95</v>
      </c>
      <c r="G31" s="46" t="s">
        <v>96</v>
      </c>
      <c r="H31" s="46" t="s">
        <v>45</v>
      </c>
      <c r="I31" s="47" t="s">
        <v>46</v>
      </c>
      <c r="J31" s="47"/>
      <c r="K31" s="35" t="s">
        <v>47</v>
      </c>
      <c r="L31" s="31"/>
    </row>
    <row r="32" spans="2:12" ht="27" x14ac:dyDescent="0.35">
      <c r="B32" s="45">
        <f t="shared" si="0"/>
        <v>27</v>
      </c>
      <c r="C32" s="42"/>
      <c r="D32" s="42"/>
      <c r="E32" s="42"/>
      <c r="F32" s="46" t="s">
        <v>97</v>
      </c>
      <c r="G32" s="46"/>
      <c r="H32" s="46" t="s">
        <v>45</v>
      </c>
      <c r="I32" s="47" t="s">
        <v>63</v>
      </c>
      <c r="J32" s="47"/>
      <c r="K32" s="35" t="s">
        <v>63</v>
      </c>
      <c r="L32" s="233" t="s">
        <v>1288</v>
      </c>
    </row>
    <row r="33" spans="1:12" ht="54" x14ac:dyDescent="0.35">
      <c r="B33" s="45">
        <f t="shared" si="0"/>
        <v>28</v>
      </c>
      <c r="C33" s="42"/>
      <c r="D33" s="42"/>
      <c r="E33" s="42"/>
      <c r="F33" s="46" t="s">
        <v>796</v>
      </c>
      <c r="G33" s="46" t="s">
        <v>797</v>
      </c>
      <c r="H33" s="46" t="s">
        <v>107</v>
      </c>
      <c r="I33" s="62">
        <v>0</v>
      </c>
      <c r="J33" s="47"/>
      <c r="K33" s="67" t="s">
        <v>74</v>
      </c>
      <c r="L33" s="233" t="s">
        <v>1288</v>
      </c>
    </row>
    <row r="34" spans="1:12" ht="27" x14ac:dyDescent="0.35">
      <c r="B34" s="45">
        <f t="shared" si="0"/>
        <v>29</v>
      </c>
      <c r="C34" s="42"/>
      <c r="D34" s="42"/>
      <c r="E34" s="42"/>
      <c r="F34" s="46" t="s">
        <v>98</v>
      </c>
      <c r="G34" s="46"/>
      <c r="H34" s="46" t="s">
        <v>99</v>
      </c>
      <c r="I34" s="62" t="s">
        <v>100</v>
      </c>
      <c r="J34" s="47"/>
      <c r="K34" s="67" t="s">
        <v>100</v>
      </c>
      <c r="L34" s="233" t="s">
        <v>1288</v>
      </c>
    </row>
    <row r="35" spans="1:12" ht="54" x14ac:dyDescent="0.35">
      <c r="B35" s="45">
        <f t="shared" si="0"/>
        <v>30</v>
      </c>
      <c r="C35" s="42"/>
      <c r="D35" s="42"/>
      <c r="E35" s="42"/>
      <c r="F35" s="46" t="s">
        <v>798</v>
      </c>
      <c r="G35" s="46"/>
      <c r="H35" s="52" t="s">
        <v>799</v>
      </c>
      <c r="I35" s="47" t="s">
        <v>52</v>
      </c>
      <c r="J35" s="47"/>
      <c r="K35" s="35" t="s">
        <v>52</v>
      </c>
      <c r="L35" s="233" t="s">
        <v>1288</v>
      </c>
    </row>
    <row r="36" spans="1:12" ht="81" x14ac:dyDescent="0.35">
      <c r="B36" s="234">
        <f t="shared" si="0"/>
        <v>31</v>
      </c>
      <c r="C36" s="235"/>
      <c r="D36" s="235"/>
      <c r="E36" s="235"/>
      <c r="F36" s="236" t="s">
        <v>1290</v>
      </c>
      <c r="G36" s="236" t="s">
        <v>1291</v>
      </c>
      <c r="H36" s="237" t="s">
        <v>45</v>
      </c>
      <c r="I36" s="237" t="s">
        <v>63</v>
      </c>
      <c r="J36" s="237"/>
      <c r="K36" s="35" t="s">
        <v>63</v>
      </c>
      <c r="L36" s="233" t="s">
        <v>1292</v>
      </c>
    </row>
    <row r="37" spans="1:12" ht="27" x14ac:dyDescent="0.35">
      <c r="B37" s="45">
        <f t="shared" si="0"/>
        <v>32</v>
      </c>
      <c r="C37" s="42"/>
      <c r="D37" s="42"/>
      <c r="E37" s="42"/>
      <c r="F37" s="46" t="s">
        <v>101</v>
      </c>
      <c r="G37" s="46"/>
      <c r="H37" s="46" t="s">
        <v>107</v>
      </c>
      <c r="I37" s="62">
        <v>0</v>
      </c>
      <c r="J37" s="47"/>
      <c r="K37" s="67" t="s">
        <v>74</v>
      </c>
      <c r="L37" s="233" t="s">
        <v>1293</v>
      </c>
    </row>
    <row r="38" spans="1:12" ht="189" x14ac:dyDescent="0.35">
      <c r="B38" s="45">
        <f t="shared" si="0"/>
        <v>33</v>
      </c>
      <c r="C38" s="42"/>
      <c r="D38" s="42"/>
      <c r="E38" s="42"/>
      <c r="F38" s="46" t="s">
        <v>803</v>
      </c>
      <c r="G38" s="46" t="s">
        <v>800</v>
      </c>
      <c r="H38" s="46" t="s">
        <v>801</v>
      </c>
      <c r="I38" s="62" t="s">
        <v>802</v>
      </c>
      <c r="J38" s="47"/>
      <c r="K38" s="67" t="s">
        <v>1126</v>
      </c>
      <c r="L38" s="233" t="s">
        <v>1293</v>
      </c>
    </row>
    <row r="39" spans="1:12" ht="27" x14ac:dyDescent="0.35">
      <c r="B39" s="45">
        <f t="shared" si="0"/>
        <v>34</v>
      </c>
      <c r="C39" s="42"/>
      <c r="D39" s="42"/>
      <c r="E39" s="42"/>
      <c r="F39" s="46" t="s">
        <v>102</v>
      </c>
      <c r="G39" s="46"/>
      <c r="H39" s="46" t="s">
        <v>45</v>
      </c>
      <c r="I39" s="47" t="s">
        <v>47</v>
      </c>
      <c r="J39" s="47"/>
      <c r="K39" s="35" t="s">
        <v>47</v>
      </c>
      <c r="L39" s="233" t="s">
        <v>1288</v>
      </c>
    </row>
    <row r="40" spans="1:12" ht="27" x14ac:dyDescent="0.35">
      <c r="B40" s="45">
        <f t="shared" si="0"/>
        <v>35</v>
      </c>
      <c r="C40" s="42"/>
      <c r="D40" s="42"/>
      <c r="E40" s="42"/>
      <c r="F40" s="46" t="s">
        <v>103</v>
      </c>
      <c r="G40" s="46"/>
      <c r="H40" s="46" t="s">
        <v>45</v>
      </c>
      <c r="I40" s="47" t="s">
        <v>47</v>
      </c>
      <c r="J40" s="47"/>
      <c r="K40" s="35" t="s">
        <v>47</v>
      </c>
      <c r="L40" s="233" t="s">
        <v>1288</v>
      </c>
    </row>
    <row r="41" spans="1:12" ht="40.5" x14ac:dyDescent="0.35">
      <c r="B41" s="45">
        <f t="shared" si="0"/>
        <v>36</v>
      </c>
      <c r="C41" s="42"/>
      <c r="D41" s="42"/>
      <c r="E41" s="42"/>
      <c r="F41" s="46" t="s">
        <v>959</v>
      </c>
      <c r="G41" s="46" t="s">
        <v>960</v>
      </c>
      <c r="H41" s="46" t="s">
        <v>45</v>
      </c>
      <c r="I41" s="47" t="s">
        <v>47</v>
      </c>
      <c r="J41" s="47"/>
      <c r="K41" s="35" t="s">
        <v>47</v>
      </c>
      <c r="L41" s="233" t="s">
        <v>1294</v>
      </c>
    </row>
    <row r="42" spans="1:12" ht="54" x14ac:dyDescent="0.35">
      <c r="A42" s="87" t="s">
        <v>1120</v>
      </c>
      <c r="B42" s="45">
        <f t="shared" si="0"/>
        <v>37</v>
      </c>
      <c r="C42" s="42"/>
      <c r="D42" s="42"/>
      <c r="E42" s="43"/>
      <c r="F42" s="46" t="s">
        <v>1127</v>
      </c>
      <c r="G42" s="46" t="s">
        <v>1128</v>
      </c>
      <c r="H42" s="46" t="s">
        <v>45</v>
      </c>
      <c r="I42" s="47" t="s">
        <v>63</v>
      </c>
      <c r="J42" s="47"/>
      <c r="K42" s="35" t="s">
        <v>63</v>
      </c>
      <c r="L42" s="233" t="s">
        <v>1288</v>
      </c>
    </row>
    <row r="43" spans="1:12" ht="27" x14ac:dyDescent="0.35">
      <c r="B43" s="45">
        <f t="shared" si="0"/>
        <v>38</v>
      </c>
      <c r="C43" s="42"/>
      <c r="D43" s="42"/>
      <c r="E43" s="39" t="s">
        <v>104</v>
      </c>
      <c r="F43" s="46" t="s">
        <v>105</v>
      </c>
      <c r="G43" s="46"/>
      <c r="H43" s="52" t="s">
        <v>1000</v>
      </c>
      <c r="I43" s="47" t="s">
        <v>51</v>
      </c>
      <c r="J43" s="47"/>
      <c r="K43" s="35" t="s">
        <v>52</v>
      </c>
      <c r="L43" s="233" t="s">
        <v>1295</v>
      </c>
    </row>
    <row r="44" spans="1:12" ht="27" x14ac:dyDescent="0.35">
      <c r="B44" s="45">
        <f t="shared" si="0"/>
        <v>39</v>
      </c>
      <c r="C44" s="42"/>
      <c r="D44" s="42"/>
      <c r="E44" s="42"/>
      <c r="F44" s="46" t="s">
        <v>106</v>
      </c>
      <c r="G44" s="46"/>
      <c r="H44" s="46" t="s">
        <v>107</v>
      </c>
      <c r="I44" s="62" t="s">
        <v>108</v>
      </c>
      <c r="J44" s="47"/>
      <c r="K44" s="67" t="s">
        <v>108</v>
      </c>
      <c r="L44" s="233" t="s">
        <v>1295</v>
      </c>
    </row>
    <row r="45" spans="1:12" ht="27" x14ac:dyDescent="0.35">
      <c r="B45" s="45">
        <f t="shared" si="0"/>
        <v>40</v>
      </c>
      <c r="C45" s="42"/>
      <c r="D45" s="42"/>
      <c r="E45" s="42"/>
      <c r="F45" s="46" t="s">
        <v>109</v>
      </c>
      <c r="G45" s="46"/>
      <c r="H45" s="46" t="s">
        <v>107</v>
      </c>
      <c r="I45" s="62" t="s">
        <v>110</v>
      </c>
      <c r="J45" s="47"/>
      <c r="K45" s="67" t="s">
        <v>110</v>
      </c>
      <c r="L45" s="233" t="s">
        <v>1295</v>
      </c>
    </row>
    <row r="46" spans="1:12" ht="27" x14ac:dyDescent="0.35">
      <c r="B46" s="45">
        <f t="shared" si="0"/>
        <v>41</v>
      </c>
      <c r="C46" s="42"/>
      <c r="D46" s="63"/>
      <c r="E46" s="39" t="s">
        <v>111</v>
      </c>
      <c r="F46" s="64" t="s">
        <v>112</v>
      </c>
      <c r="G46" s="46"/>
      <c r="H46" s="46" t="s">
        <v>45</v>
      </c>
      <c r="I46" s="62" t="s">
        <v>46</v>
      </c>
      <c r="J46" s="47"/>
      <c r="K46" s="67" t="s">
        <v>47</v>
      </c>
      <c r="L46" s="31"/>
    </row>
    <row r="47" spans="1:12" ht="27" x14ac:dyDescent="0.35">
      <c r="B47" s="45">
        <f t="shared" si="0"/>
        <v>42</v>
      </c>
      <c r="C47" s="42"/>
      <c r="D47" s="63"/>
      <c r="E47" s="42"/>
      <c r="F47" s="64" t="s">
        <v>113</v>
      </c>
      <c r="G47" s="46"/>
      <c r="H47" s="46" t="s">
        <v>45</v>
      </c>
      <c r="I47" s="62" t="s">
        <v>46</v>
      </c>
      <c r="J47" s="47"/>
      <c r="K47" s="67" t="s">
        <v>47</v>
      </c>
      <c r="L47" s="233" t="s">
        <v>1293</v>
      </c>
    </row>
    <row r="48" spans="1:12" x14ac:dyDescent="0.35">
      <c r="B48" s="45">
        <f t="shared" si="0"/>
        <v>43</v>
      </c>
      <c r="C48" s="42"/>
      <c r="D48" s="63"/>
      <c r="E48" s="43"/>
      <c r="F48" s="64" t="s">
        <v>114</v>
      </c>
      <c r="G48" s="46"/>
      <c r="H48" s="46" t="s">
        <v>45</v>
      </c>
      <c r="I48" s="62" t="s">
        <v>46</v>
      </c>
      <c r="J48" s="47"/>
      <c r="K48" s="67" t="s">
        <v>47</v>
      </c>
      <c r="L48" s="31"/>
    </row>
    <row r="49" spans="2:12" x14ac:dyDescent="0.35">
      <c r="B49" s="45">
        <f t="shared" si="0"/>
        <v>44</v>
      </c>
      <c r="C49" s="42"/>
      <c r="D49" s="42"/>
      <c r="E49" s="39" t="s">
        <v>115</v>
      </c>
      <c r="F49" s="46" t="s">
        <v>116</v>
      </c>
      <c r="G49" s="46" t="s">
        <v>117</v>
      </c>
      <c r="H49" s="46" t="s">
        <v>45</v>
      </c>
      <c r="I49" s="62" t="s">
        <v>46</v>
      </c>
      <c r="J49" s="47"/>
      <c r="K49" s="67" t="s">
        <v>47</v>
      </c>
      <c r="L49" s="31"/>
    </row>
    <row r="50" spans="2:12" ht="40.5" x14ac:dyDescent="0.35">
      <c r="B50" s="45">
        <f t="shared" si="0"/>
        <v>45</v>
      </c>
      <c r="C50" s="42"/>
      <c r="D50" s="42"/>
      <c r="E50" s="42"/>
      <c r="F50" s="46" t="s">
        <v>118</v>
      </c>
      <c r="G50" s="46"/>
      <c r="H50" s="46" t="s">
        <v>119</v>
      </c>
      <c r="I50" s="62" t="s">
        <v>120</v>
      </c>
      <c r="J50" s="47"/>
      <c r="K50" s="67" t="s">
        <v>1129</v>
      </c>
      <c r="L50" s="31"/>
    </row>
    <row r="51" spans="2:12" x14ac:dyDescent="0.35">
      <c r="B51" s="45">
        <f t="shared" si="0"/>
        <v>46</v>
      </c>
      <c r="C51" s="42"/>
      <c r="D51" s="42"/>
      <c r="E51" s="49"/>
      <c r="F51" s="46" t="s">
        <v>121</v>
      </c>
      <c r="G51" s="46"/>
      <c r="H51" s="46" t="s">
        <v>122</v>
      </c>
      <c r="I51" s="47" t="s">
        <v>51</v>
      </c>
      <c r="J51" s="47"/>
      <c r="K51" s="30" t="s">
        <v>52</v>
      </c>
      <c r="L51" s="31"/>
    </row>
    <row r="52" spans="2:12" ht="27" x14ac:dyDescent="0.35">
      <c r="B52" s="45">
        <f t="shared" si="0"/>
        <v>47</v>
      </c>
      <c r="C52" s="42"/>
      <c r="D52" s="42"/>
      <c r="E52" s="49"/>
      <c r="F52" s="46" t="s">
        <v>123</v>
      </c>
      <c r="G52" s="46" t="s">
        <v>124</v>
      </c>
      <c r="H52" s="46" t="s">
        <v>125</v>
      </c>
      <c r="I52" s="47" t="s">
        <v>51</v>
      </c>
      <c r="J52" s="47" t="s">
        <v>804</v>
      </c>
      <c r="K52" s="30" t="s">
        <v>52</v>
      </c>
      <c r="L52" s="31"/>
    </row>
    <row r="53" spans="2:12" x14ac:dyDescent="0.35">
      <c r="B53" s="45">
        <f t="shared" si="0"/>
        <v>48</v>
      </c>
      <c r="C53" s="42"/>
      <c r="D53" s="42"/>
      <c r="E53" s="49"/>
      <c r="F53" s="46" t="s">
        <v>126</v>
      </c>
      <c r="G53" s="46"/>
      <c r="H53" s="46" t="s">
        <v>699</v>
      </c>
      <c r="I53" s="47" t="s">
        <v>1130</v>
      </c>
      <c r="J53" s="47"/>
      <c r="K53" s="30" t="s">
        <v>1130</v>
      </c>
      <c r="L53" s="31"/>
    </row>
    <row r="54" spans="2:12" x14ac:dyDescent="0.35">
      <c r="B54" s="45">
        <f t="shared" si="0"/>
        <v>49</v>
      </c>
      <c r="C54" s="42"/>
      <c r="D54" s="42"/>
      <c r="E54" s="49"/>
      <c r="F54" s="46" t="s">
        <v>127</v>
      </c>
      <c r="G54" s="46"/>
      <c r="H54" s="46" t="s">
        <v>125</v>
      </c>
      <c r="I54" s="47" t="s">
        <v>1130</v>
      </c>
      <c r="J54" s="47"/>
      <c r="K54" s="30" t="s">
        <v>1130</v>
      </c>
      <c r="L54" s="31"/>
    </row>
    <row r="55" spans="2:12" x14ac:dyDescent="0.35">
      <c r="B55" s="45">
        <f t="shared" si="0"/>
        <v>50</v>
      </c>
      <c r="C55" s="42"/>
      <c r="D55" s="42"/>
      <c r="E55" s="49"/>
      <c r="F55" s="46" t="s">
        <v>128</v>
      </c>
      <c r="G55" s="46"/>
      <c r="H55" s="46" t="s">
        <v>125</v>
      </c>
      <c r="I55" s="47" t="s">
        <v>1130</v>
      </c>
      <c r="J55" s="47"/>
      <c r="K55" s="30" t="s">
        <v>1130</v>
      </c>
      <c r="L55" s="31"/>
    </row>
    <row r="56" spans="2:12" x14ac:dyDescent="0.35">
      <c r="B56" s="45">
        <f t="shared" si="0"/>
        <v>51</v>
      </c>
      <c r="C56" s="42"/>
      <c r="D56" s="42"/>
      <c r="E56" s="49"/>
      <c r="F56" s="46" t="s">
        <v>129</v>
      </c>
      <c r="G56" s="46"/>
      <c r="H56" s="46" t="s">
        <v>125</v>
      </c>
      <c r="I56" s="47" t="s">
        <v>1130</v>
      </c>
      <c r="J56" s="47"/>
      <c r="K56" s="30" t="s">
        <v>1130</v>
      </c>
      <c r="L56" s="31"/>
    </row>
    <row r="57" spans="2:12" x14ac:dyDescent="0.35">
      <c r="B57" s="45">
        <f t="shared" si="0"/>
        <v>52</v>
      </c>
      <c r="C57" s="42"/>
      <c r="D57" s="42"/>
      <c r="E57" s="49"/>
      <c r="F57" s="46" t="s">
        <v>130</v>
      </c>
      <c r="G57" s="46"/>
      <c r="H57" s="46" t="s">
        <v>125</v>
      </c>
      <c r="I57" s="47" t="s">
        <v>1130</v>
      </c>
      <c r="J57" s="47"/>
      <c r="K57" s="30" t="s">
        <v>1130</v>
      </c>
      <c r="L57" s="31"/>
    </row>
    <row r="58" spans="2:12" x14ac:dyDescent="0.35">
      <c r="B58" s="45">
        <f t="shared" si="0"/>
        <v>53</v>
      </c>
      <c r="C58" s="42"/>
      <c r="D58" s="42"/>
      <c r="E58" s="49"/>
      <c r="F58" s="46" t="s">
        <v>131</v>
      </c>
      <c r="G58" s="46"/>
      <c r="H58" s="46" t="s">
        <v>125</v>
      </c>
      <c r="I58" s="47" t="s">
        <v>1130</v>
      </c>
      <c r="J58" s="47"/>
      <c r="K58" s="30" t="s">
        <v>1130</v>
      </c>
      <c r="L58" s="31"/>
    </row>
    <row r="59" spans="2:12" x14ac:dyDescent="0.35">
      <c r="B59" s="45">
        <f t="shared" si="0"/>
        <v>54</v>
      </c>
      <c r="C59" s="42"/>
      <c r="D59" s="42"/>
      <c r="E59" s="49"/>
      <c r="F59" s="46" t="s">
        <v>132</v>
      </c>
      <c r="G59" s="46"/>
      <c r="H59" s="46" t="s">
        <v>125</v>
      </c>
      <c r="I59" s="47" t="s">
        <v>1130</v>
      </c>
      <c r="J59" s="47"/>
      <c r="K59" s="30" t="s">
        <v>1130</v>
      </c>
      <c r="L59" s="31"/>
    </row>
    <row r="60" spans="2:12" x14ac:dyDescent="0.35">
      <c r="B60" s="45">
        <f t="shared" si="0"/>
        <v>55</v>
      </c>
      <c r="C60" s="42"/>
      <c r="D60" s="42"/>
      <c r="E60" s="49"/>
      <c r="F60" s="46" t="s">
        <v>133</v>
      </c>
      <c r="G60" s="46"/>
      <c r="H60" s="46" t="s">
        <v>125</v>
      </c>
      <c r="I60" s="47" t="s">
        <v>1130</v>
      </c>
      <c r="J60" s="47"/>
      <c r="K60" s="30" t="s">
        <v>1130</v>
      </c>
      <c r="L60" s="31"/>
    </row>
    <row r="61" spans="2:12" x14ac:dyDescent="0.35">
      <c r="B61" s="45">
        <f t="shared" si="0"/>
        <v>56</v>
      </c>
      <c r="C61" s="42"/>
      <c r="D61" s="42"/>
      <c r="E61" s="49"/>
      <c r="F61" s="46" t="s">
        <v>134</v>
      </c>
      <c r="G61" s="46"/>
      <c r="H61" s="46" t="s">
        <v>125</v>
      </c>
      <c r="I61" s="47" t="s">
        <v>1130</v>
      </c>
      <c r="J61" s="47"/>
      <c r="K61" s="30" t="s">
        <v>1130</v>
      </c>
      <c r="L61" s="31"/>
    </row>
    <row r="62" spans="2:12" x14ac:dyDescent="0.35">
      <c r="B62" s="45">
        <f t="shared" si="0"/>
        <v>57</v>
      </c>
      <c r="C62" s="42"/>
      <c r="D62" s="42"/>
      <c r="E62" s="49"/>
      <c r="F62" s="46" t="s">
        <v>135</v>
      </c>
      <c r="G62" s="46"/>
      <c r="H62" s="46" t="s">
        <v>125</v>
      </c>
      <c r="I62" s="47" t="s">
        <v>1130</v>
      </c>
      <c r="J62" s="47"/>
      <c r="K62" s="30" t="s">
        <v>1130</v>
      </c>
      <c r="L62" s="31"/>
    </row>
    <row r="63" spans="2:12" x14ac:dyDescent="0.35">
      <c r="B63" s="45">
        <f t="shared" si="0"/>
        <v>58</v>
      </c>
      <c r="C63" s="42"/>
      <c r="D63" s="42"/>
      <c r="E63" s="49"/>
      <c r="F63" s="46" t="s">
        <v>136</v>
      </c>
      <c r="G63" s="46"/>
      <c r="H63" s="46" t="s">
        <v>125</v>
      </c>
      <c r="I63" s="47" t="s">
        <v>1130</v>
      </c>
      <c r="J63" s="47"/>
      <c r="K63" s="30" t="s">
        <v>1130</v>
      </c>
      <c r="L63" s="31"/>
    </row>
    <row r="64" spans="2:12" x14ac:dyDescent="0.35">
      <c r="B64" s="45">
        <f t="shared" si="0"/>
        <v>59</v>
      </c>
      <c r="C64" s="42"/>
      <c r="D64" s="42"/>
      <c r="E64" s="49"/>
      <c r="F64" s="46" t="s">
        <v>137</v>
      </c>
      <c r="G64" s="46"/>
      <c r="H64" s="46" t="s">
        <v>125</v>
      </c>
      <c r="I64" s="47" t="s">
        <v>1130</v>
      </c>
      <c r="J64" s="47"/>
      <c r="K64" s="30" t="s">
        <v>1130</v>
      </c>
      <c r="L64" s="31"/>
    </row>
    <row r="65" spans="2:12" x14ac:dyDescent="0.35">
      <c r="B65" s="45">
        <f t="shared" si="0"/>
        <v>60</v>
      </c>
      <c r="C65" s="42"/>
      <c r="D65" s="42"/>
      <c r="E65" s="42"/>
      <c r="F65" s="46" t="s">
        <v>138</v>
      </c>
      <c r="G65" s="46"/>
      <c r="H65" s="46" t="s">
        <v>125</v>
      </c>
      <c r="I65" s="47" t="s">
        <v>1130</v>
      </c>
      <c r="J65" s="47"/>
      <c r="K65" s="30" t="s">
        <v>1130</v>
      </c>
      <c r="L65" s="31"/>
    </row>
    <row r="66" spans="2:12" x14ac:dyDescent="0.35">
      <c r="B66" s="45">
        <f t="shared" si="0"/>
        <v>61</v>
      </c>
      <c r="C66" s="42"/>
      <c r="D66" s="42"/>
      <c r="E66" s="42"/>
      <c r="F66" s="46" t="s">
        <v>139</v>
      </c>
      <c r="G66" s="46"/>
      <c r="H66" s="46" t="s">
        <v>125</v>
      </c>
      <c r="I66" s="47" t="s">
        <v>1130</v>
      </c>
      <c r="J66" s="47"/>
      <c r="K66" s="30" t="s">
        <v>1130</v>
      </c>
      <c r="L66" s="31"/>
    </row>
    <row r="67" spans="2:12" x14ac:dyDescent="0.35">
      <c r="B67" s="45">
        <f t="shared" si="0"/>
        <v>62</v>
      </c>
      <c r="C67" s="42"/>
      <c r="D67" s="42"/>
      <c r="E67" s="42"/>
      <c r="F67" s="46" t="s">
        <v>140</v>
      </c>
      <c r="G67" s="46"/>
      <c r="H67" s="46" t="s">
        <v>125</v>
      </c>
      <c r="I67" s="47" t="s">
        <v>1130</v>
      </c>
      <c r="J67" s="47"/>
      <c r="K67" s="30" t="s">
        <v>1130</v>
      </c>
      <c r="L67" s="31"/>
    </row>
    <row r="68" spans="2:12" x14ac:dyDescent="0.35">
      <c r="B68" s="45">
        <f t="shared" si="0"/>
        <v>63</v>
      </c>
      <c r="C68" s="42"/>
      <c r="D68" s="42"/>
      <c r="E68" s="43"/>
      <c r="F68" s="46" t="s">
        <v>141</v>
      </c>
      <c r="G68" s="46"/>
      <c r="H68" s="46" t="s">
        <v>125</v>
      </c>
      <c r="I68" s="47" t="s">
        <v>1130</v>
      </c>
      <c r="J68" s="47"/>
      <c r="K68" s="30" t="s">
        <v>1130</v>
      </c>
      <c r="L68" s="31"/>
    </row>
    <row r="69" spans="2:12" ht="40.5" x14ac:dyDescent="0.35">
      <c r="B69" s="45">
        <f t="shared" si="0"/>
        <v>64</v>
      </c>
      <c r="C69" s="42"/>
      <c r="D69" s="42"/>
      <c r="E69" s="39" t="s">
        <v>805</v>
      </c>
      <c r="F69" s="46" t="s">
        <v>806</v>
      </c>
      <c r="G69" s="46" t="s">
        <v>807</v>
      </c>
      <c r="H69" s="46" t="s">
        <v>45</v>
      </c>
      <c r="I69" s="62" t="s">
        <v>46</v>
      </c>
      <c r="J69" s="47"/>
      <c r="K69" s="67" t="s">
        <v>63</v>
      </c>
      <c r="L69" s="31"/>
    </row>
    <row r="70" spans="2:12" ht="40.5" x14ac:dyDescent="0.35">
      <c r="B70" s="45">
        <f t="shared" si="0"/>
        <v>65</v>
      </c>
      <c r="C70" s="42"/>
      <c r="D70" s="42"/>
      <c r="E70" s="43"/>
      <c r="F70" s="46" t="s">
        <v>808</v>
      </c>
      <c r="G70" s="46" t="s">
        <v>809</v>
      </c>
      <c r="H70" s="46" t="s">
        <v>45</v>
      </c>
      <c r="I70" s="62" t="s">
        <v>1125</v>
      </c>
      <c r="J70" s="47"/>
      <c r="K70" s="67" t="s">
        <v>63</v>
      </c>
      <c r="L70" s="233" t="s">
        <v>1295</v>
      </c>
    </row>
    <row r="71" spans="2:12" ht="67.5" x14ac:dyDescent="0.35">
      <c r="B71" s="234">
        <f t="shared" si="0"/>
        <v>66</v>
      </c>
      <c r="C71" s="239"/>
      <c r="D71" s="239"/>
      <c r="E71" s="240" t="s">
        <v>1296</v>
      </c>
      <c r="F71" s="236" t="s">
        <v>1297</v>
      </c>
      <c r="G71" s="236" t="s">
        <v>1298</v>
      </c>
      <c r="H71" s="236" t="s">
        <v>45</v>
      </c>
      <c r="I71" s="241" t="s">
        <v>46</v>
      </c>
      <c r="J71" s="237"/>
      <c r="K71" s="67" t="s">
        <v>47</v>
      </c>
      <c r="L71" s="233" t="s">
        <v>1299</v>
      </c>
    </row>
    <row r="72" spans="2:12" ht="40.5" x14ac:dyDescent="0.35">
      <c r="B72" s="45">
        <f t="shared" si="0"/>
        <v>67</v>
      </c>
      <c r="C72" s="42" t="s">
        <v>142</v>
      </c>
      <c r="D72" s="42" t="s">
        <v>143</v>
      </c>
      <c r="E72" s="42" t="s">
        <v>144</v>
      </c>
      <c r="F72" s="46" t="s">
        <v>145</v>
      </c>
      <c r="G72" s="46" t="s">
        <v>146</v>
      </c>
      <c r="H72" s="46" t="s">
        <v>147</v>
      </c>
      <c r="I72" s="62" t="s">
        <v>148</v>
      </c>
      <c r="J72" s="47"/>
      <c r="K72" s="35" t="s">
        <v>1131</v>
      </c>
      <c r="L72" s="233" t="s">
        <v>1288</v>
      </c>
    </row>
    <row r="73" spans="2:12" ht="40.5" x14ac:dyDescent="0.35">
      <c r="B73" s="45">
        <f t="shared" si="0"/>
        <v>68</v>
      </c>
      <c r="C73" s="42"/>
      <c r="D73" s="42"/>
      <c r="E73" s="42"/>
      <c r="F73" s="46" t="s">
        <v>149</v>
      </c>
      <c r="G73" s="46" t="s">
        <v>150</v>
      </c>
      <c r="H73" s="46" t="s">
        <v>147</v>
      </c>
      <c r="I73" s="62" t="s">
        <v>148</v>
      </c>
      <c r="J73" s="47"/>
      <c r="K73" s="35" t="s">
        <v>1131</v>
      </c>
      <c r="L73" s="233" t="s">
        <v>1288</v>
      </c>
    </row>
    <row r="74" spans="2:12" ht="40.5" x14ac:dyDescent="0.35">
      <c r="B74" s="45">
        <f t="shared" si="0"/>
        <v>69</v>
      </c>
      <c r="C74" s="42"/>
      <c r="D74" s="42"/>
      <c r="E74" s="42"/>
      <c r="F74" s="46" t="s">
        <v>151</v>
      </c>
      <c r="G74" s="46" t="s">
        <v>152</v>
      </c>
      <c r="H74" s="46" t="s">
        <v>147</v>
      </c>
      <c r="I74" s="62" t="s">
        <v>148</v>
      </c>
      <c r="J74" s="47"/>
      <c r="K74" s="35" t="s">
        <v>1131</v>
      </c>
      <c r="L74" s="233" t="s">
        <v>1288</v>
      </c>
    </row>
    <row r="75" spans="2:12" ht="40.5" x14ac:dyDescent="0.35">
      <c r="B75" s="45">
        <f t="shared" si="0"/>
        <v>70</v>
      </c>
      <c r="C75" s="42"/>
      <c r="D75" s="42"/>
      <c r="E75" s="42"/>
      <c r="F75" s="46" t="s">
        <v>153</v>
      </c>
      <c r="G75" s="46" t="s">
        <v>154</v>
      </c>
      <c r="H75" s="46" t="s">
        <v>147</v>
      </c>
      <c r="I75" s="62" t="s">
        <v>148</v>
      </c>
      <c r="J75" s="47"/>
      <c r="K75" s="35" t="s">
        <v>1131</v>
      </c>
      <c r="L75" s="233" t="s">
        <v>1288</v>
      </c>
    </row>
    <row r="76" spans="2:12" ht="40.5" x14ac:dyDescent="0.35">
      <c r="B76" s="45">
        <f t="shared" si="0"/>
        <v>71</v>
      </c>
      <c r="C76" s="42"/>
      <c r="D76" s="42"/>
      <c r="E76" s="42"/>
      <c r="F76" s="46" t="s">
        <v>155</v>
      </c>
      <c r="G76" s="46" t="s">
        <v>156</v>
      </c>
      <c r="H76" s="46" t="s">
        <v>147</v>
      </c>
      <c r="I76" s="62" t="s">
        <v>148</v>
      </c>
      <c r="J76" s="47"/>
      <c r="K76" s="35" t="s">
        <v>1131</v>
      </c>
      <c r="L76" s="233" t="s">
        <v>1288</v>
      </c>
    </row>
    <row r="77" spans="2:12" ht="40.5" x14ac:dyDescent="0.35">
      <c r="B77" s="45">
        <f t="shared" si="0"/>
        <v>72</v>
      </c>
      <c r="C77" s="42"/>
      <c r="D77" s="42"/>
      <c r="E77" s="42"/>
      <c r="F77" s="46" t="s">
        <v>157</v>
      </c>
      <c r="G77" s="46" t="s">
        <v>158</v>
      </c>
      <c r="H77" s="46" t="s">
        <v>147</v>
      </c>
      <c r="I77" s="62" t="s">
        <v>148</v>
      </c>
      <c r="J77" s="47"/>
      <c r="K77" s="35" t="s">
        <v>1131</v>
      </c>
      <c r="L77" s="233" t="s">
        <v>1288</v>
      </c>
    </row>
    <row r="78" spans="2:12" ht="40.5" x14ac:dyDescent="0.35">
      <c r="B78" s="45">
        <f t="shared" si="0"/>
        <v>73</v>
      </c>
      <c r="C78" s="42"/>
      <c r="D78" s="42"/>
      <c r="E78" s="42"/>
      <c r="F78" s="46" t="s">
        <v>159</v>
      </c>
      <c r="G78" s="46" t="s">
        <v>160</v>
      </c>
      <c r="H78" s="46" t="s">
        <v>147</v>
      </c>
      <c r="I78" s="62" t="s">
        <v>148</v>
      </c>
      <c r="J78" s="47"/>
      <c r="K78" s="35" t="s">
        <v>1131</v>
      </c>
      <c r="L78" s="233" t="s">
        <v>1288</v>
      </c>
    </row>
    <row r="79" spans="2:12" ht="40.5" x14ac:dyDescent="0.35">
      <c r="B79" s="45">
        <f t="shared" si="0"/>
        <v>74</v>
      </c>
      <c r="C79" s="42"/>
      <c r="D79" s="42"/>
      <c r="E79" s="42"/>
      <c r="F79" s="46" t="s">
        <v>161</v>
      </c>
      <c r="G79" s="46" t="s">
        <v>162</v>
      </c>
      <c r="H79" s="46" t="s">
        <v>147</v>
      </c>
      <c r="I79" s="62" t="s">
        <v>148</v>
      </c>
      <c r="J79" s="47"/>
      <c r="K79" s="35" t="s">
        <v>1131</v>
      </c>
      <c r="L79" s="233" t="s">
        <v>1288</v>
      </c>
    </row>
    <row r="80" spans="2:12" ht="40.5" x14ac:dyDescent="0.35">
      <c r="B80" s="45">
        <f t="shared" si="0"/>
        <v>75</v>
      </c>
      <c r="C80" s="42"/>
      <c r="D80" s="42"/>
      <c r="E80" s="42"/>
      <c r="F80" s="46" t="s">
        <v>163</v>
      </c>
      <c r="G80" s="46" t="s">
        <v>164</v>
      </c>
      <c r="H80" s="46" t="s">
        <v>147</v>
      </c>
      <c r="I80" s="62" t="s">
        <v>148</v>
      </c>
      <c r="J80" s="47"/>
      <c r="K80" s="35" t="s">
        <v>1131</v>
      </c>
      <c r="L80" s="233" t="s">
        <v>1288</v>
      </c>
    </row>
    <row r="81" spans="2:12" ht="40.5" x14ac:dyDescent="0.35">
      <c r="B81" s="45">
        <f t="shared" si="0"/>
        <v>76</v>
      </c>
      <c r="C81" s="42"/>
      <c r="D81" s="42"/>
      <c r="E81" s="42"/>
      <c r="F81" s="46" t="s">
        <v>165</v>
      </c>
      <c r="G81" s="46" t="s">
        <v>166</v>
      </c>
      <c r="H81" s="46" t="s">
        <v>147</v>
      </c>
      <c r="I81" s="62" t="s">
        <v>148</v>
      </c>
      <c r="J81" s="47"/>
      <c r="K81" s="35" t="s">
        <v>1131</v>
      </c>
      <c r="L81" s="233" t="s">
        <v>1288</v>
      </c>
    </row>
    <row r="82" spans="2:12" ht="40.5" x14ac:dyDescent="0.35">
      <c r="B82" s="45">
        <f t="shared" si="0"/>
        <v>77</v>
      </c>
      <c r="C82" s="42"/>
      <c r="D82" s="42"/>
      <c r="E82" s="42"/>
      <c r="F82" s="46" t="s">
        <v>167</v>
      </c>
      <c r="G82" s="46" t="s">
        <v>168</v>
      </c>
      <c r="H82" s="46" t="s">
        <v>147</v>
      </c>
      <c r="I82" s="62" t="s">
        <v>148</v>
      </c>
      <c r="J82" s="47"/>
      <c r="K82" s="35" t="s">
        <v>1131</v>
      </c>
      <c r="L82" s="233" t="s">
        <v>1288</v>
      </c>
    </row>
    <row r="83" spans="2:12" ht="40.5" x14ac:dyDescent="0.35">
      <c r="B83" s="45">
        <f t="shared" si="0"/>
        <v>78</v>
      </c>
      <c r="C83" s="42"/>
      <c r="D83" s="42"/>
      <c r="E83" s="42"/>
      <c r="F83" s="46" t="s">
        <v>169</v>
      </c>
      <c r="G83" s="46" t="s">
        <v>170</v>
      </c>
      <c r="H83" s="46" t="s">
        <v>147</v>
      </c>
      <c r="I83" s="62" t="s">
        <v>148</v>
      </c>
      <c r="J83" s="47"/>
      <c r="K83" s="35" t="s">
        <v>1131</v>
      </c>
      <c r="L83" s="233" t="s">
        <v>1288</v>
      </c>
    </row>
    <row r="84" spans="2:12" ht="40.5" x14ac:dyDescent="0.35">
      <c r="B84" s="45">
        <f t="shared" si="0"/>
        <v>79</v>
      </c>
      <c r="C84" s="42"/>
      <c r="D84" s="42"/>
      <c r="E84" s="42"/>
      <c r="F84" s="46" t="s">
        <v>171</v>
      </c>
      <c r="G84" s="46" t="s">
        <v>172</v>
      </c>
      <c r="H84" s="46" t="s">
        <v>147</v>
      </c>
      <c r="I84" s="62" t="s">
        <v>148</v>
      </c>
      <c r="J84" s="47"/>
      <c r="K84" s="35" t="s">
        <v>1131</v>
      </c>
      <c r="L84" s="233" t="s">
        <v>1288</v>
      </c>
    </row>
    <row r="85" spans="2:12" ht="42.75" customHeight="1" x14ac:dyDescent="0.35">
      <c r="B85" s="45">
        <f t="shared" si="0"/>
        <v>80</v>
      </c>
      <c r="C85" s="42"/>
      <c r="D85" s="42"/>
      <c r="E85" s="39" t="s">
        <v>173</v>
      </c>
      <c r="F85" s="46" t="s">
        <v>145</v>
      </c>
      <c r="G85" s="46" t="s">
        <v>174</v>
      </c>
      <c r="H85" s="46" t="s">
        <v>147</v>
      </c>
      <c r="I85" s="62" t="s">
        <v>148</v>
      </c>
      <c r="J85" s="47"/>
      <c r="K85" s="35" t="s">
        <v>1131</v>
      </c>
      <c r="L85" s="233" t="s">
        <v>1295</v>
      </c>
    </row>
    <row r="86" spans="2:12" ht="40.5" x14ac:dyDescent="0.35">
      <c r="B86" s="45">
        <f t="shared" si="0"/>
        <v>81</v>
      </c>
      <c r="C86" s="42"/>
      <c r="D86" s="42"/>
      <c r="E86" s="42"/>
      <c r="F86" s="46" t="s">
        <v>149</v>
      </c>
      <c r="G86" s="46" t="s">
        <v>175</v>
      </c>
      <c r="H86" s="46" t="s">
        <v>147</v>
      </c>
      <c r="I86" s="62" t="s">
        <v>148</v>
      </c>
      <c r="J86" s="47"/>
      <c r="K86" s="35" t="s">
        <v>1131</v>
      </c>
      <c r="L86" s="233" t="s">
        <v>1295</v>
      </c>
    </row>
    <row r="87" spans="2:12" ht="40.5" x14ac:dyDescent="0.35">
      <c r="B87" s="45">
        <f t="shared" si="0"/>
        <v>82</v>
      </c>
      <c r="C87" s="42"/>
      <c r="D87" s="42"/>
      <c r="E87" s="42"/>
      <c r="F87" s="46" t="s">
        <v>151</v>
      </c>
      <c r="G87" s="46" t="s">
        <v>176</v>
      </c>
      <c r="H87" s="46" t="s">
        <v>147</v>
      </c>
      <c r="I87" s="62" t="s">
        <v>148</v>
      </c>
      <c r="J87" s="47"/>
      <c r="K87" s="35" t="s">
        <v>1131</v>
      </c>
      <c r="L87" s="233" t="s">
        <v>1295</v>
      </c>
    </row>
    <row r="88" spans="2:12" ht="40.5" x14ac:dyDescent="0.35">
      <c r="B88" s="45">
        <f t="shared" si="0"/>
        <v>83</v>
      </c>
      <c r="C88" s="42"/>
      <c r="D88" s="42"/>
      <c r="E88" s="42"/>
      <c r="F88" s="46" t="s">
        <v>153</v>
      </c>
      <c r="G88" s="46" t="s">
        <v>177</v>
      </c>
      <c r="H88" s="46" t="s">
        <v>147</v>
      </c>
      <c r="I88" s="62" t="s">
        <v>148</v>
      </c>
      <c r="J88" s="47"/>
      <c r="K88" s="35" t="s">
        <v>1131</v>
      </c>
      <c r="L88" s="233" t="s">
        <v>1295</v>
      </c>
    </row>
    <row r="89" spans="2:12" ht="40.5" x14ac:dyDescent="0.35">
      <c r="B89" s="45">
        <f t="shared" si="0"/>
        <v>84</v>
      </c>
      <c r="C89" s="42"/>
      <c r="D89" s="42"/>
      <c r="E89" s="42"/>
      <c r="F89" s="46" t="s">
        <v>155</v>
      </c>
      <c r="G89" s="46" t="s">
        <v>178</v>
      </c>
      <c r="H89" s="46" t="s">
        <v>147</v>
      </c>
      <c r="I89" s="62" t="s">
        <v>148</v>
      </c>
      <c r="J89" s="47"/>
      <c r="K89" s="35" t="s">
        <v>1131</v>
      </c>
      <c r="L89" s="233" t="s">
        <v>1295</v>
      </c>
    </row>
    <row r="90" spans="2:12" ht="40.5" x14ac:dyDescent="0.35">
      <c r="B90" s="45">
        <f t="shared" si="0"/>
        <v>85</v>
      </c>
      <c r="C90" s="42"/>
      <c r="D90" s="42"/>
      <c r="E90" s="42"/>
      <c r="F90" s="46" t="s">
        <v>179</v>
      </c>
      <c r="G90" s="46" t="s">
        <v>180</v>
      </c>
      <c r="H90" s="46" t="s">
        <v>147</v>
      </c>
      <c r="I90" s="62" t="s">
        <v>148</v>
      </c>
      <c r="J90" s="47"/>
      <c r="K90" s="35" t="s">
        <v>1131</v>
      </c>
      <c r="L90" s="233" t="s">
        <v>1295</v>
      </c>
    </row>
    <row r="91" spans="2:12" ht="40.5" x14ac:dyDescent="0.35">
      <c r="B91" s="45">
        <f t="shared" si="0"/>
        <v>86</v>
      </c>
      <c r="C91" s="42"/>
      <c r="D91" s="42"/>
      <c r="E91" s="42"/>
      <c r="F91" s="46" t="s">
        <v>181</v>
      </c>
      <c r="G91" s="46" t="s">
        <v>182</v>
      </c>
      <c r="H91" s="46" t="s">
        <v>147</v>
      </c>
      <c r="I91" s="62" t="s">
        <v>148</v>
      </c>
      <c r="J91" s="47"/>
      <c r="K91" s="35" t="s">
        <v>1131</v>
      </c>
      <c r="L91" s="233" t="s">
        <v>1295</v>
      </c>
    </row>
    <row r="92" spans="2:12" ht="40.5" x14ac:dyDescent="0.35">
      <c r="B92" s="45">
        <f t="shared" si="0"/>
        <v>87</v>
      </c>
      <c r="C92" s="42"/>
      <c r="D92" s="42"/>
      <c r="E92" s="42"/>
      <c r="F92" s="46" t="s">
        <v>183</v>
      </c>
      <c r="G92" s="46" t="s">
        <v>184</v>
      </c>
      <c r="H92" s="46" t="s">
        <v>147</v>
      </c>
      <c r="I92" s="62" t="s">
        <v>148</v>
      </c>
      <c r="J92" s="47"/>
      <c r="K92" s="35" t="s">
        <v>1131</v>
      </c>
      <c r="L92" s="233" t="s">
        <v>1295</v>
      </c>
    </row>
    <row r="93" spans="2:12" ht="40.5" x14ac:dyDescent="0.35">
      <c r="B93" s="45">
        <f t="shared" si="0"/>
        <v>88</v>
      </c>
      <c r="C93" s="42"/>
      <c r="D93" s="42"/>
      <c r="E93" s="42"/>
      <c r="F93" s="46" t="s">
        <v>159</v>
      </c>
      <c r="G93" s="46" t="s">
        <v>185</v>
      </c>
      <c r="H93" s="46" t="s">
        <v>147</v>
      </c>
      <c r="I93" s="62" t="s">
        <v>148</v>
      </c>
      <c r="J93" s="47"/>
      <c r="K93" s="35" t="s">
        <v>1131</v>
      </c>
      <c r="L93" s="233" t="s">
        <v>1295</v>
      </c>
    </row>
    <row r="94" spans="2:12" ht="40.5" x14ac:dyDescent="0.35">
      <c r="B94" s="45">
        <f t="shared" si="0"/>
        <v>89</v>
      </c>
      <c r="C94" s="42"/>
      <c r="D94" s="42"/>
      <c r="E94" s="42"/>
      <c r="F94" s="46" t="s">
        <v>161</v>
      </c>
      <c r="G94" s="46" t="s">
        <v>186</v>
      </c>
      <c r="H94" s="46" t="s">
        <v>147</v>
      </c>
      <c r="I94" s="62" t="s">
        <v>148</v>
      </c>
      <c r="J94" s="47"/>
      <c r="K94" s="35" t="s">
        <v>1131</v>
      </c>
      <c r="L94" s="233" t="s">
        <v>1295</v>
      </c>
    </row>
    <row r="95" spans="2:12" ht="40.5" x14ac:dyDescent="0.35">
      <c r="B95" s="45">
        <f t="shared" si="0"/>
        <v>90</v>
      </c>
      <c r="C95" s="42"/>
      <c r="D95" s="42"/>
      <c r="E95" s="42"/>
      <c r="F95" s="46" t="s">
        <v>163</v>
      </c>
      <c r="G95" s="46" t="s">
        <v>187</v>
      </c>
      <c r="H95" s="46" t="s">
        <v>147</v>
      </c>
      <c r="I95" s="62" t="s">
        <v>148</v>
      </c>
      <c r="J95" s="47"/>
      <c r="K95" s="35" t="s">
        <v>1131</v>
      </c>
      <c r="L95" s="233" t="s">
        <v>1295</v>
      </c>
    </row>
    <row r="96" spans="2:12" ht="40.5" x14ac:dyDescent="0.35">
      <c r="B96" s="45">
        <f t="shared" si="0"/>
        <v>91</v>
      </c>
      <c r="C96" s="42"/>
      <c r="D96" s="42"/>
      <c r="E96" s="42"/>
      <c r="F96" s="46" t="s">
        <v>188</v>
      </c>
      <c r="G96" s="46" t="s">
        <v>189</v>
      </c>
      <c r="H96" s="46" t="s">
        <v>147</v>
      </c>
      <c r="I96" s="62" t="s">
        <v>148</v>
      </c>
      <c r="J96" s="47"/>
      <c r="K96" s="35" t="s">
        <v>1131</v>
      </c>
      <c r="L96" s="233" t="s">
        <v>1295</v>
      </c>
    </row>
    <row r="97" spans="2:12" ht="40.5" x14ac:dyDescent="0.35">
      <c r="B97" s="45">
        <f t="shared" si="0"/>
        <v>92</v>
      </c>
      <c r="C97" s="42"/>
      <c r="D97" s="42"/>
      <c r="E97" s="42"/>
      <c r="F97" s="46" t="s">
        <v>190</v>
      </c>
      <c r="G97" s="46" t="s">
        <v>191</v>
      </c>
      <c r="H97" s="46" t="s">
        <v>147</v>
      </c>
      <c r="I97" s="62" t="s">
        <v>148</v>
      </c>
      <c r="J97" s="47"/>
      <c r="K97" s="35" t="s">
        <v>1131</v>
      </c>
      <c r="L97" s="233" t="s">
        <v>1295</v>
      </c>
    </row>
    <row r="98" spans="2:12" ht="40.5" x14ac:dyDescent="0.35">
      <c r="B98" s="45">
        <f t="shared" si="0"/>
        <v>93</v>
      </c>
      <c r="C98" s="42"/>
      <c r="D98" s="42"/>
      <c r="E98" s="42"/>
      <c r="F98" s="46" t="s">
        <v>167</v>
      </c>
      <c r="G98" s="46" t="s">
        <v>192</v>
      </c>
      <c r="H98" s="46" t="s">
        <v>147</v>
      </c>
      <c r="I98" s="62" t="s">
        <v>148</v>
      </c>
      <c r="J98" s="47"/>
      <c r="K98" s="35" t="s">
        <v>1131</v>
      </c>
      <c r="L98" s="233" t="s">
        <v>1295</v>
      </c>
    </row>
    <row r="99" spans="2:12" ht="40.5" x14ac:dyDescent="0.35">
      <c r="B99" s="45">
        <f t="shared" ref="B99:B176" si="1">ROW() - 5</f>
        <v>94</v>
      </c>
      <c r="C99" s="42"/>
      <c r="D99" s="42"/>
      <c r="E99" s="42"/>
      <c r="F99" s="46" t="s">
        <v>193</v>
      </c>
      <c r="G99" s="46" t="s">
        <v>194</v>
      </c>
      <c r="H99" s="46" t="s">
        <v>147</v>
      </c>
      <c r="I99" s="62" t="s">
        <v>148</v>
      </c>
      <c r="J99" s="47"/>
      <c r="K99" s="35" t="s">
        <v>1131</v>
      </c>
      <c r="L99" s="233" t="s">
        <v>1295</v>
      </c>
    </row>
    <row r="100" spans="2:12" ht="40.5" x14ac:dyDescent="0.35">
      <c r="B100" s="45">
        <f t="shared" si="1"/>
        <v>95</v>
      </c>
      <c r="C100" s="42"/>
      <c r="D100" s="42"/>
      <c r="E100" s="42"/>
      <c r="F100" s="46" t="s">
        <v>195</v>
      </c>
      <c r="G100" s="46" t="s">
        <v>196</v>
      </c>
      <c r="H100" s="46" t="s">
        <v>147</v>
      </c>
      <c r="I100" s="62" t="s">
        <v>148</v>
      </c>
      <c r="J100" s="47"/>
      <c r="K100" s="35" t="s">
        <v>1131</v>
      </c>
      <c r="L100" s="233" t="s">
        <v>1295</v>
      </c>
    </row>
    <row r="101" spans="2:12" ht="40.5" x14ac:dyDescent="0.35">
      <c r="B101" s="45">
        <f t="shared" si="1"/>
        <v>96</v>
      </c>
      <c r="C101" s="42"/>
      <c r="D101" s="42"/>
      <c r="E101" s="43"/>
      <c r="F101" s="46" t="s">
        <v>171</v>
      </c>
      <c r="G101" s="46" t="s">
        <v>197</v>
      </c>
      <c r="H101" s="46" t="s">
        <v>147</v>
      </c>
      <c r="I101" s="47" t="s">
        <v>198</v>
      </c>
      <c r="J101" s="47"/>
      <c r="K101" s="35" t="s">
        <v>1131</v>
      </c>
      <c r="L101" s="233" t="s">
        <v>1295</v>
      </c>
    </row>
    <row r="102" spans="2:12" ht="40.5" x14ac:dyDescent="0.35">
      <c r="B102" s="45">
        <f t="shared" si="1"/>
        <v>97</v>
      </c>
      <c r="C102" s="42"/>
      <c r="D102" s="42"/>
      <c r="E102" s="40" t="s">
        <v>199</v>
      </c>
      <c r="F102" s="46" t="s">
        <v>200</v>
      </c>
      <c r="G102" s="46"/>
      <c r="H102" s="46" t="s">
        <v>201</v>
      </c>
      <c r="I102" s="47" t="s">
        <v>202</v>
      </c>
      <c r="J102" s="47"/>
      <c r="K102" s="35" t="s">
        <v>1136</v>
      </c>
      <c r="L102" s="233" t="s">
        <v>1300</v>
      </c>
    </row>
    <row r="103" spans="2:12" ht="27" x14ac:dyDescent="0.35">
      <c r="B103" s="45">
        <f t="shared" si="1"/>
        <v>98</v>
      </c>
      <c r="C103" s="42"/>
      <c r="D103" s="42"/>
      <c r="E103" s="49"/>
      <c r="F103" s="46" t="s">
        <v>203</v>
      </c>
      <c r="G103" s="46"/>
      <c r="H103" s="46" t="s">
        <v>45</v>
      </c>
      <c r="I103" s="47" t="s">
        <v>46</v>
      </c>
      <c r="J103" s="47"/>
      <c r="K103" s="35" t="s">
        <v>780</v>
      </c>
      <c r="L103" s="233" t="s">
        <v>1301</v>
      </c>
    </row>
    <row r="104" spans="2:12" ht="27" x14ac:dyDescent="0.35">
      <c r="B104" s="45">
        <f t="shared" si="1"/>
        <v>99</v>
      </c>
      <c r="C104" s="42"/>
      <c r="D104" s="42"/>
      <c r="E104" s="49"/>
      <c r="F104" s="46" t="s">
        <v>204</v>
      </c>
      <c r="G104" s="46"/>
      <c r="H104" s="46" t="s">
        <v>45</v>
      </c>
      <c r="I104" s="47" t="s">
        <v>46</v>
      </c>
      <c r="J104" s="47"/>
      <c r="K104" s="35" t="s">
        <v>780</v>
      </c>
      <c r="L104" s="233" t="s">
        <v>1301</v>
      </c>
    </row>
    <row r="105" spans="2:12" ht="40.5" x14ac:dyDescent="0.35">
      <c r="B105" s="45">
        <f t="shared" si="1"/>
        <v>100</v>
      </c>
      <c r="C105" s="42"/>
      <c r="D105" s="42"/>
      <c r="E105" s="49"/>
      <c r="F105" s="46" t="s">
        <v>205</v>
      </c>
      <c r="G105" s="46"/>
      <c r="H105" s="46" t="s">
        <v>206</v>
      </c>
      <c r="I105" s="47" t="s">
        <v>58</v>
      </c>
      <c r="J105" s="47"/>
      <c r="K105" s="238" t="s">
        <v>1302</v>
      </c>
      <c r="L105" s="233" t="s">
        <v>1303</v>
      </c>
    </row>
    <row r="106" spans="2:12" ht="27" x14ac:dyDescent="0.35">
      <c r="B106" s="45">
        <f t="shared" si="1"/>
        <v>101</v>
      </c>
      <c r="C106" s="42"/>
      <c r="D106" s="42"/>
      <c r="E106" s="49"/>
      <c r="F106" s="46" t="s">
        <v>810</v>
      </c>
      <c r="G106" s="46" t="s">
        <v>811</v>
      </c>
      <c r="H106" s="46" t="s">
        <v>45</v>
      </c>
      <c r="I106" s="47" t="s">
        <v>812</v>
      </c>
      <c r="J106" s="47"/>
      <c r="K106" s="35" t="s">
        <v>1125</v>
      </c>
      <c r="L106" s="233" t="s">
        <v>1304</v>
      </c>
    </row>
    <row r="107" spans="2:12" ht="81" x14ac:dyDescent="0.35">
      <c r="B107" s="45">
        <f t="shared" si="1"/>
        <v>102</v>
      </c>
      <c r="C107" s="42"/>
      <c r="D107" s="42"/>
      <c r="E107" s="125"/>
      <c r="F107" s="46" t="s">
        <v>813</v>
      </c>
      <c r="G107" s="46" t="s">
        <v>814</v>
      </c>
      <c r="H107" s="46" t="s">
        <v>815</v>
      </c>
      <c r="I107" s="47" t="s">
        <v>816</v>
      </c>
      <c r="J107" s="47"/>
      <c r="K107" s="35" t="s">
        <v>1137</v>
      </c>
      <c r="L107" s="233" t="s">
        <v>1289</v>
      </c>
    </row>
    <row r="108" spans="2:12" ht="81" x14ac:dyDescent="0.35">
      <c r="B108" s="45">
        <f t="shared" si="1"/>
        <v>103</v>
      </c>
      <c r="C108" s="125"/>
      <c r="D108" s="125"/>
      <c r="E108" s="125"/>
      <c r="F108" s="51" t="s">
        <v>1132</v>
      </c>
      <c r="G108" s="51" t="s">
        <v>1134</v>
      </c>
      <c r="H108" s="46" t="s">
        <v>45</v>
      </c>
      <c r="I108" s="47" t="s">
        <v>46</v>
      </c>
      <c r="J108" s="52"/>
      <c r="K108" s="35" t="s">
        <v>780</v>
      </c>
      <c r="L108" s="233" t="s">
        <v>1305</v>
      </c>
    </row>
    <row r="109" spans="2:12" ht="40.5" x14ac:dyDescent="0.35">
      <c r="B109" s="45">
        <f t="shared" si="1"/>
        <v>104</v>
      </c>
      <c r="C109" s="125"/>
      <c r="D109" s="125"/>
      <c r="E109" s="55"/>
      <c r="F109" s="51" t="s">
        <v>1133</v>
      </c>
      <c r="G109" s="51" t="s">
        <v>1135</v>
      </c>
      <c r="H109" s="46" t="s">
        <v>45</v>
      </c>
      <c r="I109" s="47" t="s">
        <v>46</v>
      </c>
      <c r="J109" s="52"/>
      <c r="K109" s="35" t="s">
        <v>780</v>
      </c>
      <c r="L109" s="233" t="s">
        <v>1305</v>
      </c>
    </row>
    <row r="110" spans="2:12" ht="27" x14ac:dyDescent="0.35">
      <c r="B110" s="45">
        <f t="shared" si="1"/>
        <v>105</v>
      </c>
      <c r="C110" s="125"/>
      <c r="D110" s="125"/>
      <c r="E110" s="124" t="s">
        <v>207</v>
      </c>
      <c r="F110" s="51" t="s">
        <v>208</v>
      </c>
      <c r="G110" s="51"/>
      <c r="H110" s="46" t="s">
        <v>45</v>
      </c>
      <c r="I110" s="47" t="s">
        <v>46</v>
      </c>
      <c r="J110" s="52"/>
      <c r="K110" s="35" t="s">
        <v>780</v>
      </c>
      <c r="L110" s="233" t="s">
        <v>1306</v>
      </c>
    </row>
    <row r="111" spans="2:12" ht="27" x14ac:dyDescent="0.35">
      <c r="B111" s="45">
        <f t="shared" si="1"/>
        <v>106</v>
      </c>
      <c r="C111" s="125"/>
      <c r="D111" s="125"/>
      <c r="E111" s="125"/>
      <c r="F111" s="53" t="s">
        <v>209</v>
      </c>
      <c r="G111" s="53"/>
      <c r="H111" s="46" t="s">
        <v>45</v>
      </c>
      <c r="I111" s="47" t="s">
        <v>46</v>
      </c>
      <c r="J111" s="53"/>
      <c r="K111" s="35" t="s">
        <v>780</v>
      </c>
      <c r="L111" s="233" t="s">
        <v>1306</v>
      </c>
    </row>
    <row r="112" spans="2:12" ht="27" x14ac:dyDescent="0.35">
      <c r="B112" s="45">
        <f t="shared" si="1"/>
        <v>107</v>
      </c>
      <c r="C112" s="125"/>
      <c r="D112" s="125"/>
      <c r="E112" s="125"/>
      <c r="F112" s="51" t="s">
        <v>210</v>
      </c>
      <c r="G112" s="51"/>
      <c r="H112" s="46" t="s">
        <v>211</v>
      </c>
      <c r="I112" s="52" t="s">
        <v>212</v>
      </c>
      <c r="J112" s="52"/>
      <c r="K112" s="35" t="s">
        <v>212</v>
      </c>
      <c r="L112" s="233" t="s">
        <v>1306</v>
      </c>
    </row>
    <row r="113" spans="2:12" ht="27" x14ac:dyDescent="0.35">
      <c r="B113" s="45">
        <f t="shared" si="1"/>
        <v>108</v>
      </c>
      <c r="C113" s="125"/>
      <c r="D113" s="125"/>
      <c r="E113" s="55"/>
      <c r="F113" s="51" t="s">
        <v>213</v>
      </c>
      <c r="G113" s="51"/>
      <c r="H113" s="46" t="s">
        <v>45</v>
      </c>
      <c r="I113" s="47" t="s">
        <v>46</v>
      </c>
      <c r="J113" s="52"/>
      <c r="K113" s="35" t="s">
        <v>780</v>
      </c>
      <c r="L113" s="233" t="s">
        <v>1306</v>
      </c>
    </row>
    <row r="114" spans="2:12" ht="27" x14ac:dyDescent="0.35">
      <c r="B114" s="45">
        <f t="shared" si="1"/>
        <v>109</v>
      </c>
      <c r="C114" s="125"/>
      <c r="D114" s="125"/>
      <c r="E114" s="124" t="s">
        <v>214</v>
      </c>
      <c r="F114" s="52" t="s">
        <v>215</v>
      </c>
      <c r="G114" s="52"/>
      <c r="H114" s="46" t="s">
        <v>45</v>
      </c>
      <c r="I114" s="47" t="s">
        <v>46</v>
      </c>
      <c r="J114" s="52"/>
      <c r="K114" s="35" t="s">
        <v>47</v>
      </c>
      <c r="L114" s="233" t="s">
        <v>1307</v>
      </c>
    </row>
    <row r="115" spans="2:12" ht="108" x14ac:dyDescent="0.35">
      <c r="B115" s="45">
        <f t="shared" si="1"/>
        <v>110</v>
      </c>
      <c r="C115" s="125"/>
      <c r="D115" s="125"/>
      <c r="E115" s="125"/>
      <c r="F115" s="52" t="s">
        <v>216</v>
      </c>
      <c r="G115" s="52" t="s">
        <v>217</v>
      </c>
      <c r="H115" s="46" t="s">
        <v>45</v>
      </c>
      <c r="I115" s="47" t="s">
        <v>46</v>
      </c>
      <c r="J115" s="52"/>
      <c r="K115" s="35" t="s">
        <v>47</v>
      </c>
      <c r="L115" s="233" t="s">
        <v>1307</v>
      </c>
    </row>
    <row r="116" spans="2:12" ht="40.5" x14ac:dyDescent="0.35">
      <c r="B116" s="45">
        <f t="shared" si="1"/>
        <v>111</v>
      </c>
      <c r="C116" s="125"/>
      <c r="D116" s="125"/>
      <c r="E116" s="124" t="s">
        <v>218</v>
      </c>
      <c r="F116" s="52" t="s">
        <v>219</v>
      </c>
      <c r="G116" s="52"/>
      <c r="H116" s="51" t="s">
        <v>220</v>
      </c>
      <c r="I116" s="54" t="s">
        <v>58</v>
      </c>
      <c r="J116" s="52"/>
      <c r="K116" s="68" t="s">
        <v>1118</v>
      </c>
      <c r="L116" s="233" t="s">
        <v>1308</v>
      </c>
    </row>
    <row r="117" spans="2:12" ht="40.5" x14ac:dyDescent="0.35">
      <c r="B117" s="45">
        <f t="shared" si="1"/>
        <v>112</v>
      </c>
      <c r="C117" s="125"/>
      <c r="D117" s="125"/>
      <c r="E117" s="125"/>
      <c r="F117" s="52" t="s">
        <v>221</v>
      </c>
      <c r="G117" s="52"/>
      <c r="H117" s="51" t="s">
        <v>57</v>
      </c>
      <c r="I117" s="54" t="s">
        <v>58</v>
      </c>
      <c r="J117" s="52"/>
      <c r="K117" s="68" t="s">
        <v>1118</v>
      </c>
      <c r="L117" s="31"/>
    </row>
    <row r="118" spans="2:12" ht="54" x14ac:dyDescent="0.35">
      <c r="B118" s="45">
        <f t="shared" si="1"/>
        <v>113</v>
      </c>
      <c r="C118" s="125"/>
      <c r="D118" s="125"/>
      <c r="E118" s="125"/>
      <c r="F118" s="52" t="s">
        <v>222</v>
      </c>
      <c r="G118" s="52" t="s">
        <v>223</v>
      </c>
      <c r="H118" s="51" t="s">
        <v>45</v>
      </c>
      <c r="I118" s="54" t="s">
        <v>46</v>
      </c>
      <c r="J118" s="52"/>
      <c r="K118" s="68" t="s">
        <v>780</v>
      </c>
      <c r="L118" s="31"/>
    </row>
    <row r="119" spans="2:12" ht="94.5" x14ac:dyDescent="0.35">
      <c r="B119" s="45">
        <f t="shared" si="1"/>
        <v>114</v>
      </c>
      <c r="C119" s="125"/>
      <c r="D119" s="125"/>
      <c r="E119" s="125"/>
      <c r="F119" s="52" t="s">
        <v>224</v>
      </c>
      <c r="G119" s="52" t="s">
        <v>225</v>
      </c>
      <c r="H119" s="51" t="s">
        <v>45</v>
      </c>
      <c r="I119" s="54" t="s">
        <v>46</v>
      </c>
      <c r="J119" s="52"/>
      <c r="K119" s="68" t="s">
        <v>780</v>
      </c>
      <c r="L119" s="31"/>
    </row>
    <row r="120" spans="2:12" ht="27" x14ac:dyDescent="0.35">
      <c r="B120" s="45">
        <f t="shared" si="1"/>
        <v>115</v>
      </c>
      <c r="C120" s="125"/>
      <c r="D120" s="125"/>
      <c r="E120" s="125"/>
      <c r="F120" s="52" t="s">
        <v>226</v>
      </c>
      <c r="G120" s="52"/>
      <c r="H120" s="51" t="s">
        <v>45</v>
      </c>
      <c r="I120" s="54" t="s">
        <v>46</v>
      </c>
      <c r="J120" s="52"/>
      <c r="K120" s="68" t="s">
        <v>780</v>
      </c>
      <c r="L120" s="233" t="s">
        <v>1288</v>
      </c>
    </row>
    <row r="121" spans="2:12" ht="40.5" x14ac:dyDescent="0.35">
      <c r="B121" s="45">
        <f t="shared" si="1"/>
        <v>116</v>
      </c>
      <c r="C121" s="125"/>
      <c r="D121" s="125"/>
      <c r="E121" s="125"/>
      <c r="F121" s="52" t="s">
        <v>227</v>
      </c>
      <c r="G121" s="52" t="s">
        <v>228</v>
      </c>
      <c r="H121" s="51" t="s">
        <v>45</v>
      </c>
      <c r="I121" s="54" t="s">
        <v>46</v>
      </c>
      <c r="J121" s="52"/>
      <c r="K121" s="68" t="s">
        <v>780</v>
      </c>
      <c r="L121" s="233" t="s">
        <v>1288</v>
      </c>
    </row>
    <row r="122" spans="2:12" ht="67.5" x14ac:dyDescent="0.35">
      <c r="B122" s="45">
        <f t="shared" si="1"/>
        <v>117</v>
      </c>
      <c r="C122" s="125"/>
      <c r="D122" s="125"/>
      <c r="E122" s="125"/>
      <c r="F122" s="52" t="s">
        <v>229</v>
      </c>
      <c r="G122" s="52" t="s">
        <v>230</v>
      </c>
      <c r="H122" s="51" t="s">
        <v>45</v>
      </c>
      <c r="I122" s="54" t="s">
        <v>46</v>
      </c>
      <c r="J122" s="52"/>
      <c r="K122" s="68" t="s">
        <v>780</v>
      </c>
      <c r="L122" s="233" t="s">
        <v>1309</v>
      </c>
    </row>
    <row r="123" spans="2:12" ht="27" x14ac:dyDescent="0.35">
      <c r="B123" s="45">
        <f t="shared" si="1"/>
        <v>118</v>
      </c>
      <c r="C123" s="125"/>
      <c r="D123" s="125"/>
      <c r="E123" s="125"/>
      <c r="F123" s="52" t="s">
        <v>231</v>
      </c>
      <c r="G123" s="52"/>
      <c r="H123" s="51" t="s">
        <v>45</v>
      </c>
      <c r="I123" s="54" t="s">
        <v>46</v>
      </c>
      <c r="J123" s="52"/>
      <c r="K123" s="68" t="s">
        <v>780</v>
      </c>
      <c r="L123" s="233" t="s">
        <v>1288</v>
      </c>
    </row>
    <row r="124" spans="2:12" ht="27" x14ac:dyDescent="0.35">
      <c r="B124" s="45">
        <f t="shared" si="1"/>
        <v>119</v>
      </c>
      <c r="C124" s="125"/>
      <c r="D124" s="125"/>
      <c r="E124" s="125"/>
      <c r="F124" s="52" t="s">
        <v>817</v>
      </c>
      <c r="G124" s="52" t="s">
        <v>818</v>
      </c>
      <c r="H124" s="51" t="s">
        <v>45</v>
      </c>
      <c r="I124" s="54" t="s">
        <v>46</v>
      </c>
      <c r="J124" s="52"/>
      <c r="K124" s="68" t="s">
        <v>780</v>
      </c>
      <c r="L124" s="233" t="s">
        <v>1310</v>
      </c>
    </row>
    <row r="125" spans="2:12" ht="40.5" x14ac:dyDescent="0.35">
      <c r="B125" s="45">
        <f t="shared" si="1"/>
        <v>120</v>
      </c>
      <c r="C125" s="125"/>
      <c r="D125" s="125"/>
      <c r="E125" s="125"/>
      <c r="F125" s="52" t="s">
        <v>819</v>
      </c>
      <c r="G125" s="52" t="s">
        <v>820</v>
      </c>
      <c r="H125" s="51" t="s">
        <v>45</v>
      </c>
      <c r="I125" s="54" t="s">
        <v>46</v>
      </c>
      <c r="J125" s="52"/>
      <c r="K125" s="68" t="s">
        <v>780</v>
      </c>
      <c r="L125" s="233" t="s">
        <v>1311</v>
      </c>
    </row>
    <row r="126" spans="2:12" ht="40.5" x14ac:dyDescent="0.35">
      <c r="B126" s="45">
        <f t="shared" si="1"/>
        <v>121</v>
      </c>
      <c r="C126" s="125"/>
      <c r="D126" s="125"/>
      <c r="E126" s="125"/>
      <c r="F126" s="52" t="s">
        <v>232</v>
      </c>
      <c r="G126" s="52" t="s">
        <v>961</v>
      </c>
      <c r="H126" s="51" t="s">
        <v>233</v>
      </c>
      <c r="I126" s="54" t="s">
        <v>234</v>
      </c>
      <c r="J126" s="52"/>
      <c r="K126" s="68" t="s">
        <v>234</v>
      </c>
      <c r="L126" s="233" t="s">
        <v>1288</v>
      </c>
    </row>
    <row r="127" spans="2:12" ht="40.5" x14ac:dyDescent="0.35">
      <c r="B127" s="45">
        <f t="shared" si="1"/>
        <v>122</v>
      </c>
      <c r="C127" s="125"/>
      <c r="D127" s="125"/>
      <c r="E127" s="124" t="s">
        <v>821</v>
      </c>
      <c r="F127" s="52" t="s">
        <v>822</v>
      </c>
      <c r="G127" s="52"/>
      <c r="H127" s="51" t="s">
        <v>823</v>
      </c>
      <c r="I127" s="54" t="s">
        <v>58</v>
      </c>
      <c r="J127" s="52"/>
      <c r="K127" s="68" t="s">
        <v>1118</v>
      </c>
      <c r="L127" s="233" t="s">
        <v>1288</v>
      </c>
    </row>
    <row r="128" spans="2:12" ht="40.5" x14ac:dyDescent="0.35">
      <c r="B128" s="45">
        <f t="shared" si="1"/>
        <v>123</v>
      </c>
      <c r="C128" s="125"/>
      <c r="D128" s="125"/>
      <c r="E128" s="125"/>
      <c r="F128" s="52" t="s">
        <v>824</v>
      </c>
      <c r="G128" s="52"/>
      <c r="H128" s="51" t="s">
        <v>823</v>
      </c>
      <c r="I128" s="54" t="s">
        <v>58</v>
      </c>
      <c r="J128" s="52"/>
      <c r="K128" s="68" t="s">
        <v>1118</v>
      </c>
      <c r="L128" s="233" t="s">
        <v>1288</v>
      </c>
    </row>
    <row r="129" spans="1:12" ht="40.5" x14ac:dyDescent="0.35">
      <c r="B129" s="45">
        <f t="shared" si="1"/>
        <v>124</v>
      </c>
      <c r="C129" s="125"/>
      <c r="D129" s="125"/>
      <c r="E129" s="125"/>
      <c r="F129" s="52" t="s">
        <v>825</v>
      </c>
      <c r="G129" s="52"/>
      <c r="H129" s="51" t="s">
        <v>823</v>
      </c>
      <c r="I129" s="54" t="s">
        <v>58</v>
      </c>
      <c r="J129" s="52"/>
      <c r="K129" s="68" t="s">
        <v>1118</v>
      </c>
      <c r="L129" s="233" t="s">
        <v>1288</v>
      </c>
    </row>
    <row r="130" spans="1:12" ht="40.5" x14ac:dyDescent="0.35">
      <c r="B130" s="45">
        <f t="shared" si="1"/>
        <v>125</v>
      </c>
      <c r="C130" s="125"/>
      <c r="D130" s="125"/>
      <c r="E130" s="125"/>
      <c r="F130" s="52" t="s">
        <v>824</v>
      </c>
      <c r="G130" s="52"/>
      <c r="H130" s="51" t="s">
        <v>823</v>
      </c>
      <c r="I130" s="54" t="s">
        <v>58</v>
      </c>
      <c r="J130" s="52"/>
      <c r="K130" s="68" t="s">
        <v>1118</v>
      </c>
      <c r="L130" s="233" t="s">
        <v>1288</v>
      </c>
    </row>
    <row r="131" spans="1:12" ht="40.5" x14ac:dyDescent="0.35">
      <c r="A131" s="87" t="s">
        <v>1138</v>
      </c>
      <c r="B131" s="45">
        <f t="shared" si="1"/>
        <v>126</v>
      </c>
      <c r="C131" s="125"/>
      <c r="D131" s="125"/>
      <c r="E131" s="124" t="s">
        <v>826</v>
      </c>
      <c r="F131" s="52" t="s">
        <v>827</v>
      </c>
      <c r="G131" s="52" t="s">
        <v>828</v>
      </c>
      <c r="H131" s="46" t="s">
        <v>107</v>
      </c>
      <c r="I131" s="60">
        <v>5</v>
      </c>
      <c r="J131" s="52"/>
      <c r="K131" s="242" t="s">
        <v>1312</v>
      </c>
      <c r="L131" s="233" t="s">
        <v>1313</v>
      </c>
    </row>
    <row r="132" spans="1:12" ht="67.5" x14ac:dyDescent="0.35">
      <c r="B132" s="45">
        <f t="shared" si="1"/>
        <v>127</v>
      </c>
      <c r="C132" s="125"/>
      <c r="D132" s="125"/>
      <c r="E132" s="125"/>
      <c r="F132" s="52" t="s">
        <v>829</v>
      </c>
      <c r="G132" s="52" t="s">
        <v>830</v>
      </c>
      <c r="H132" s="46" t="s">
        <v>107</v>
      </c>
      <c r="I132" s="60" t="s">
        <v>74</v>
      </c>
      <c r="J132" s="52"/>
      <c r="K132" s="67" t="s">
        <v>74</v>
      </c>
      <c r="L132" s="233" t="s">
        <v>1314</v>
      </c>
    </row>
    <row r="133" spans="1:12" ht="27" x14ac:dyDescent="0.35">
      <c r="B133" s="45">
        <f t="shared" si="1"/>
        <v>128</v>
      </c>
      <c r="C133" s="125"/>
      <c r="D133" s="125"/>
      <c r="E133" s="125"/>
      <c r="F133" s="52" t="s">
        <v>831</v>
      </c>
      <c r="G133" s="52"/>
      <c r="H133" s="46" t="s">
        <v>107</v>
      </c>
      <c r="I133" s="60" t="s">
        <v>56</v>
      </c>
      <c r="J133" s="52"/>
      <c r="K133" s="67" t="s">
        <v>56</v>
      </c>
      <c r="L133" s="233" t="s">
        <v>1315</v>
      </c>
    </row>
    <row r="134" spans="1:12" ht="94.5" x14ac:dyDescent="0.35">
      <c r="B134" s="45">
        <f t="shared" si="1"/>
        <v>129</v>
      </c>
      <c r="C134" s="125"/>
      <c r="D134" s="125"/>
      <c r="E134" s="125"/>
      <c r="F134" s="52" t="s">
        <v>832</v>
      </c>
      <c r="G134" s="52" t="s">
        <v>833</v>
      </c>
      <c r="H134" s="51" t="s">
        <v>45</v>
      </c>
      <c r="I134" s="54" t="s">
        <v>46</v>
      </c>
      <c r="J134" s="52"/>
      <c r="K134" s="69" t="s">
        <v>47</v>
      </c>
      <c r="L134" s="31"/>
    </row>
    <row r="135" spans="1:12" ht="94.5" x14ac:dyDescent="0.35">
      <c r="B135" s="45">
        <f t="shared" si="1"/>
        <v>130</v>
      </c>
      <c r="C135" s="125"/>
      <c r="D135" s="125"/>
      <c r="E135" s="55"/>
      <c r="F135" s="52" t="s">
        <v>834</v>
      </c>
      <c r="G135" s="52" t="s">
        <v>835</v>
      </c>
      <c r="H135" s="51" t="s">
        <v>45</v>
      </c>
      <c r="I135" s="54" t="s">
        <v>46</v>
      </c>
      <c r="J135" s="52"/>
      <c r="K135" s="69" t="s">
        <v>47</v>
      </c>
      <c r="L135" s="233" t="s">
        <v>1288</v>
      </c>
    </row>
    <row r="136" spans="1:12" ht="27" x14ac:dyDescent="0.35">
      <c r="B136" s="45">
        <f t="shared" si="1"/>
        <v>131</v>
      </c>
      <c r="C136" s="124" t="s">
        <v>235</v>
      </c>
      <c r="D136" s="124" t="s">
        <v>236</v>
      </c>
      <c r="E136" s="124"/>
      <c r="F136" s="52" t="s">
        <v>237</v>
      </c>
      <c r="G136" s="52"/>
      <c r="H136" s="46" t="s">
        <v>45</v>
      </c>
      <c r="I136" s="54" t="s">
        <v>46</v>
      </c>
      <c r="J136" s="52"/>
      <c r="K136" s="68" t="s">
        <v>47</v>
      </c>
      <c r="L136" s="233" t="s">
        <v>1316</v>
      </c>
    </row>
    <row r="137" spans="1:12" ht="27" x14ac:dyDescent="0.35">
      <c r="B137" s="45">
        <f t="shared" si="1"/>
        <v>132</v>
      </c>
      <c r="C137" s="125"/>
      <c r="D137" s="125"/>
      <c r="E137" s="55"/>
      <c r="F137" s="52" t="s">
        <v>238</v>
      </c>
      <c r="G137" s="52"/>
      <c r="H137" s="52" t="s">
        <v>45</v>
      </c>
      <c r="I137" s="54" t="s">
        <v>46</v>
      </c>
      <c r="J137" s="52"/>
      <c r="K137" s="68" t="s">
        <v>47</v>
      </c>
      <c r="L137" s="233" t="s">
        <v>1316</v>
      </c>
    </row>
    <row r="138" spans="1:12" ht="40.5" x14ac:dyDescent="0.35">
      <c r="B138" s="45">
        <f t="shared" si="1"/>
        <v>133</v>
      </c>
      <c r="C138" s="57" t="s">
        <v>239</v>
      </c>
      <c r="D138" s="124" t="s">
        <v>240</v>
      </c>
      <c r="E138" s="57" t="s">
        <v>241</v>
      </c>
      <c r="F138" s="51" t="s">
        <v>836</v>
      </c>
      <c r="G138" s="51" t="s">
        <v>837</v>
      </c>
      <c r="H138" s="51" t="s">
        <v>244</v>
      </c>
      <c r="I138" s="52" t="s">
        <v>245</v>
      </c>
      <c r="J138" s="52"/>
      <c r="K138" s="35" t="s">
        <v>916</v>
      </c>
      <c r="L138" s="243" t="s">
        <v>1317</v>
      </c>
    </row>
    <row r="139" spans="1:12" ht="27" x14ac:dyDescent="0.35">
      <c r="B139" s="45">
        <f t="shared" si="1"/>
        <v>134</v>
      </c>
      <c r="C139" s="58"/>
      <c r="D139" s="125"/>
      <c r="E139" s="58"/>
      <c r="F139" s="53" t="s">
        <v>838</v>
      </c>
      <c r="G139" s="53" t="s">
        <v>839</v>
      </c>
      <c r="H139" s="51" t="s">
        <v>244</v>
      </c>
      <c r="I139" s="52" t="s">
        <v>245</v>
      </c>
      <c r="J139" s="54"/>
      <c r="K139" s="35" t="s">
        <v>917</v>
      </c>
      <c r="L139" s="243" t="s">
        <v>1317</v>
      </c>
    </row>
    <row r="140" spans="1:12" ht="27" x14ac:dyDescent="0.35">
      <c r="B140" s="45">
        <f t="shared" si="1"/>
        <v>135</v>
      </c>
      <c r="C140" s="58"/>
      <c r="D140" s="125"/>
      <c r="E140" s="58"/>
      <c r="F140" s="53" t="s">
        <v>840</v>
      </c>
      <c r="G140" s="53" t="s">
        <v>841</v>
      </c>
      <c r="H140" s="51" t="s">
        <v>244</v>
      </c>
      <c r="I140" s="52" t="s">
        <v>245</v>
      </c>
      <c r="J140" s="54"/>
      <c r="K140" s="35" t="s">
        <v>918</v>
      </c>
      <c r="L140" s="243" t="s">
        <v>1317</v>
      </c>
    </row>
    <row r="141" spans="1:12" ht="27" x14ac:dyDescent="0.35">
      <c r="B141" s="45">
        <f t="shared" si="1"/>
        <v>136</v>
      </c>
      <c r="C141" s="58"/>
      <c r="D141" s="125"/>
      <c r="E141" s="58"/>
      <c r="F141" s="53" t="s">
        <v>842</v>
      </c>
      <c r="G141" s="53" t="s">
        <v>843</v>
      </c>
      <c r="H141" s="51" t="s">
        <v>244</v>
      </c>
      <c r="I141" s="52" t="s">
        <v>245</v>
      </c>
      <c r="J141" s="54"/>
      <c r="K141" s="35" t="s">
        <v>919</v>
      </c>
      <c r="L141" s="243" t="s">
        <v>1317</v>
      </c>
    </row>
    <row r="142" spans="1:12" ht="27" x14ac:dyDescent="0.35">
      <c r="B142" s="45">
        <f t="shared" si="1"/>
        <v>137</v>
      </c>
      <c r="C142" s="58"/>
      <c r="D142" s="125"/>
      <c r="E142" s="59"/>
      <c r="F142" s="53" t="s">
        <v>242</v>
      </c>
      <c r="G142" s="53" t="s">
        <v>243</v>
      </c>
      <c r="H142" s="51" t="s">
        <v>244</v>
      </c>
      <c r="I142" s="52" t="s">
        <v>245</v>
      </c>
      <c r="J142" s="54"/>
      <c r="K142" s="35" t="s">
        <v>920</v>
      </c>
      <c r="L142" s="243" t="s">
        <v>1317</v>
      </c>
    </row>
    <row r="143" spans="1:12" ht="189" x14ac:dyDescent="0.35">
      <c r="B143" s="45">
        <f t="shared" si="1"/>
        <v>138</v>
      </c>
      <c r="C143" s="58"/>
      <c r="D143" s="58"/>
      <c r="E143" s="57" t="s">
        <v>239</v>
      </c>
      <c r="F143" s="53" t="s">
        <v>246</v>
      </c>
      <c r="G143" s="53" t="s">
        <v>247</v>
      </c>
      <c r="H143" s="52" t="s">
        <v>248</v>
      </c>
      <c r="I143" s="54" t="s">
        <v>58</v>
      </c>
      <c r="J143" s="54"/>
      <c r="K143" s="68" t="s">
        <v>59</v>
      </c>
      <c r="L143" s="243" t="s">
        <v>1317</v>
      </c>
    </row>
    <row r="144" spans="1:12" ht="40.5" x14ac:dyDescent="0.35">
      <c r="B144" s="45">
        <f t="shared" si="1"/>
        <v>139</v>
      </c>
      <c r="C144" s="58"/>
      <c r="D144" s="58"/>
      <c r="E144" s="59"/>
      <c r="F144" s="53" t="s">
        <v>249</v>
      </c>
      <c r="G144" s="53"/>
      <c r="H144" s="52" t="s">
        <v>250</v>
      </c>
      <c r="I144" s="54" t="s">
        <v>251</v>
      </c>
      <c r="J144" s="54"/>
      <c r="K144" s="68" t="s">
        <v>251</v>
      </c>
      <c r="L144" s="243" t="s">
        <v>1317</v>
      </c>
    </row>
    <row r="145" spans="2:12" ht="27" x14ac:dyDescent="0.35">
      <c r="B145" s="45">
        <f t="shared" si="1"/>
        <v>140</v>
      </c>
      <c r="C145" s="58"/>
      <c r="D145" s="58"/>
      <c r="E145" s="57" t="s">
        <v>252</v>
      </c>
      <c r="F145" s="53" t="s">
        <v>253</v>
      </c>
      <c r="G145" s="53"/>
      <c r="H145" s="52" t="s">
        <v>45</v>
      </c>
      <c r="I145" s="54" t="s">
        <v>46</v>
      </c>
      <c r="J145" s="54"/>
      <c r="K145" s="68" t="s">
        <v>780</v>
      </c>
      <c r="L145" s="243" t="s">
        <v>1317</v>
      </c>
    </row>
    <row r="146" spans="2:12" ht="27" x14ac:dyDescent="0.35">
      <c r="B146" s="45">
        <f t="shared" si="1"/>
        <v>141</v>
      </c>
      <c r="C146" s="58"/>
      <c r="D146" s="58"/>
      <c r="E146" s="58"/>
      <c r="F146" s="53" t="s">
        <v>254</v>
      </c>
      <c r="G146" s="53"/>
      <c r="H146" s="52" t="s">
        <v>45</v>
      </c>
      <c r="I146" s="54" t="s">
        <v>63</v>
      </c>
      <c r="J146" s="54"/>
      <c r="K146" s="68" t="s">
        <v>1125</v>
      </c>
      <c r="L146" s="243" t="s">
        <v>1317</v>
      </c>
    </row>
    <row r="147" spans="2:12" ht="27" x14ac:dyDescent="0.35">
      <c r="B147" s="45">
        <f t="shared" si="1"/>
        <v>142</v>
      </c>
      <c r="C147" s="58"/>
      <c r="D147" s="58"/>
      <c r="E147" s="58"/>
      <c r="F147" s="53" t="s">
        <v>255</v>
      </c>
      <c r="G147" s="53"/>
      <c r="H147" s="52" t="s">
        <v>45</v>
      </c>
      <c r="I147" s="54" t="s">
        <v>63</v>
      </c>
      <c r="J147" s="54"/>
      <c r="K147" s="68" t="s">
        <v>1125</v>
      </c>
      <c r="L147" s="243" t="s">
        <v>1317</v>
      </c>
    </row>
    <row r="148" spans="2:12" ht="27" x14ac:dyDescent="0.35">
      <c r="B148" s="45">
        <f t="shared" si="1"/>
        <v>143</v>
      </c>
      <c r="C148" s="58"/>
      <c r="D148" s="58"/>
      <c r="E148" s="58"/>
      <c r="F148" s="53" t="s">
        <v>256</v>
      </c>
      <c r="G148" s="53"/>
      <c r="H148" s="52" t="s">
        <v>45</v>
      </c>
      <c r="I148" s="54" t="s">
        <v>46</v>
      </c>
      <c r="J148" s="54"/>
      <c r="K148" s="68" t="s">
        <v>780</v>
      </c>
      <c r="L148" s="243" t="s">
        <v>1317</v>
      </c>
    </row>
    <row r="149" spans="2:12" ht="27" x14ac:dyDescent="0.35">
      <c r="B149" s="45">
        <f t="shared" si="1"/>
        <v>144</v>
      </c>
      <c r="C149" s="58"/>
      <c r="D149" s="58"/>
      <c r="E149" s="58"/>
      <c r="F149" s="53" t="s">
        <v>257</v>
      </c>
      <c r="G149" s="53"/>
      <c r="H149" s="52" t="s">
        <v>45</v>
      </c>
      <c r="I149" s="54" t="s">
        <v>46</v>
      </c>
      <c r="J149" s="54"/>
      <c r="K149" s="68" t="s">
        <v>780</v>
      </c>
      <c r="L149" s="243" t="s">
        <v>1317</v>
      </c>
    </row>
    <row r="150" spans="2:12" ht="27" x14ac:dyDescent="0.35">
      <c r="B150" s="45">
        <f t="shared" si="1"/>
        <v>145</v>
      </c>
      <c r="C150" s="58"/>
      <c r="D150" s="58"/>
      <c r="E150" s="58"/>
      <c r="F150" s="53" t="s">
        <v>258</v>
      </c>
      <c r="G150" s="53"/>
      <c r="H150" s="52" t="s">
        <v>45</v>
      </c>
      <c r="I150" s="54" t="s">
        <v>46</v>
      </c>
      <c r="J150" s="54"/>
      <c r="K150" s="68" t="s">
        <v>780</v>
      </c>
      <c r="L150" s="243" t="s">
        <v>1317</v>
      </c>
    </row>
    <row r="151" spans="2:12" ht="27" x14ac:dyDescent="0.35">
      <c r="B151" s="45">
        <f t="shared" si="1"/>
        <v>146</v>
      </c>
      <c r="C151" s="58"/>
      <c r="D151" s="58"/>
      <c r="E151" s="58"/>
      <c r="F151" s="53" t="s">
        <v>259</v>
      </c>
      <c r="G151" s="53"/>
      <c r="H151" s="52" t="s">
        <v>45</v>
      </c>
      <c r="I151" s="54" t="s">
        <v>46</v>
      </c>
      <c r="J151" s="54"/>
      <c r="K151" s="68" t="s">
        <v>780</v>
      </c>
      <c r="L151" s="243" t="s">
        <v>1317</v>
      </c>
    </row>
    <row r="152" spans="2:12" ht="27" x14ac:dyDescent="0.35">
      <c r="B152" s="45">
        <f t="shared" si="1"/>
        <v>147</v>
      </c>
      <c r="C152" s="58"/>
      <c r="D152" s="58"/>
      <c r="E152" s="59"/>
      <c r="F152" s="53" t="s">
        <v>260</v>
      </c>
      <c r="G152" s="51"/>
      <c r="H152" s="52" t="s">
        <v>45</v>
      </c>
      <c r="I152" s="54" t="s">
        <v>46</v>
      </c>
      <c r="J152" s="52"/>
      <c r="K152" s="68" t="s">
        <v>780</v>
      </c>
      <c r="L152" s="243" t="s">
        <v>1317</v>
      </c>
    </row>
    <row r="153" spans="2:12" ht="54" x14ac:dyDescent="0.35">
      <c r="B153" s="45">
        <f t="shared" si="1"/>
        <v>148</v>
      </c>
      <c r="C153" s="57" t="s">
        <v>261</v>
      </c>
      <c r="D153" s="57" t="s">
        <v>262</v>
      </c>
      <c r="E153" s="57" t="s">
        <v>263</v>
      </c>
      <c r="F153" s="51" t="s">
        <v>264</v>
      </c>
      <c r="G153" s="51"/>
      <c r="H153" s="52" t="s">
        <v>265</v>
      </c>
      <c r="I153" s="52" t="s">
        <v>58</v>
      </c>
      <c r="J153" s="52"/>
      <c r="K153" s="35" t="s">
        <v>1118</v>
      </c>
      <c r="L153" s="233" t="s">
        <v>1318</v>
      </c>
    </row>
    <row r="154" spans="2:12" ht="67.5" x14ac:dyDescent="0.35">
      <c r="B154" s="45">
        <f t="shared" si="1"/>
        <v>149</v>
      </c>
      <c r="C154" s="58"/>
      <c r="D154" s="58"/>
      <c r="E154" s="57" t="s">
        <v>266</v>
      </c>
      <c r="F154" s="51" t="s">
        <v>267</v>
      </c>
      <c r="G154" s="51"/>
      <c r="H154" s="52" t="s">
        <v>268</v>
      </c>
      <c r="I154" s="52" t="s">
        <v>58</v>
      </c>
      <c r="J154" s="52"/>
      <c r="K154" s="35" t="s">
        <v>1118</v>
      </c>
      <c r="L154" s="233" t="s">
        <v>1305</v>
      </c>
    </row>
    <row r="155" spans="2:12" ht="27" x14ac:dyDescent="0.35">
      <c r="B155" s="45">
        <f t="shared" si="1"/>
        <v>150</v>
      </c>
      <c r="C155" s="58"/>
      <c r="D155" s="58"/>
      <c r="E155" s="58"/>
      <c r="F155" s="51" t="s">
        <v>269</v>
      </c>
      <c r="G155" s="51"/>
      <c r="H155" s="52" t="s">
        <v>107</v>
      </c>
      <c r="I155" s="60" t="s">
        <v>74</v>
      </c>
      <c r="J155" s="52"/>
      <c r="K155" s="67" t="s">
        <v>1119</v>
      </c>
      <c r="L155" s="233" t="s">
        <v>1305</v>
      </c>
    </row>
    <row r="156" spans="2:12" ht="27" x14ac:dyDescent="0.35">
      <c r="B156" s="45">
        <f t="shared" si="1"/>
        <v>151</v>
      </c>
      <c r="C156" s="58"/>
      <c r="D156" s="58"/>
      <c r="E156" s="58"/>
      <c r="F156" s="51" t="s">
        <v>270</v>
      </c>
      <c r="G156" s="51"/>
      <c r="H156" s="52" t="s">
        <v>45</v>
      </c>
      <c r="I156" s="52" t="s">
        <v>46</v>
      </c>
      <c r="J156" s="52"/>
      <c r="K156" s="35" t="s">
        <v>780</v>
      </c>
      <c r="L156" s="233" t="s">
        <v>1305</v>
      </c>
    </row>
    <row r="157" spans="2:12" ht="27" x14ac:dyDescent="0.35">
      <c r="B157" s="45">
        <f t="shared" si="1"/>
        <v>152</v>
      </c>
      <c r="C157" s="58"/>
      <c r="D157" s="58"/>
      <c r="E157" s="58"/>
      <c r="F157" s="51" t="s">
        <v>271</v>
      </c>
      <c r="G157" s="51"/>
      <c r="H157" s="52" t="s">
        <v>107</v>
      </c>
      <c r="I157" s="60" t="s">
        <v>74</v>
      </c>
      <c r="J157" s="52"/>
      <c r="K157" s="67" t="s">
        <v>1119</v>
      </c>
      <c r="L157" s="233" t="s">
        <v>1305</v>
      </c>
    </row>
    <row r="158" spans="2:12" ht="67.5" x14ac:dyDescent="0.35">
      <c r="B158" s="45">
        <f t="shared" si="1"/>
        <v>153</v>
      </c>
      <c r="C158" s="58"/>
      <c r="D158" s="58"/>
      <c r="E158" s="58"/>
      <c r="F158" s="51" t="s">
        <v>272</v>
      </c>
      <c r="G158" s="51" t="s">
        <v>273</v>
      </c>
      <c r="H158" s="52" t="s">
        <v>107</v>
      </c>
      <c r="I158" s="60" t="s">
        <v>74</v>
      </c>
      <c r="J158" s="52"/>
      <c r="K158" s="67" t="s">
        <v>1119</v>
      </c>
      <c r="L158" s="233" t="s">
        <v>1305</v>
      </c>
    </row>
    <row r="159" spans="2:12" ht="67.5" x14ac:dyDescent="0.35">
      <c r="B159" s="45">
        <f t="shared" si="1"/>
        <v>154</v>
      </c>
      <c r="C159" s="58"/>
      <c r="D159" s="58"/>
      <c r="E159" s="58"/>
      <c r="F159" s="51" t="s">
        <v>274</v>
      </c>
      <c r="G159" s="51" t="s">
        <v>275</v>
      </c>
      <c r="H159" s="52" t="s">
        <v>107</v>
      </c>
      <c r="I159" s="60" t="s">
        <v>74</v>
      </c>
      <c r="J159" s="52"/>
      <c r="K159" s="67" t="s">
        <v>1119</v>
      </c>
      <c r="L159" s="233" t="s">
        <v>1305</v>
      </c>
    </row>
    <row r="160" spans="2:12" ht="54" x14ac:dyDescent="0.35">
      <c r="B160" s="45">
        <f t="shared" si="1"/>
        <v>155</v>
      </c>
      <c r="C160" s="58"/>
      <c r="D160" s="58"/>
      <c r="E160" s="58"/>
      <c r="F160" s="51" t="s">
        <v>276</v>
      </c>
      <c r="G160" s="51" t="s">
        <v>277</v>
      </c>
      <c r="H160" s="52" t="s">
        <v>107</v>
      </c>
      <c r="I160" s="60" t="s">
        <v>74</v>
      </c>
      <c r="J160" s="52"/>
      <c r="K160" s="67" t="s">
        <v>1119</v>
      </c>
      <c r="L160" s="233" t="s">
        <v>1305</v>
      </c>
    </row>
    <row r="161" spans="2:13" ht="40.5" x14ac:dyDescent="0.35">
      <c r="B161" s="45">
        <f t="shared" si="1"/>
        <v>156</v>
      </c>
      <c r="C161" s="58"/>
      <c r="D161" s="58"/>
      <c r="E161" s="58"/>
      <c r="F161" s="51" t="s">
        <v>278</v>
      </c>
      <c r="G161" s="51" t="s">
        <v>279</v>
      </c>
      <c r="H161" s="52" t="s">
        <v>107</v>
      </c>
      <c r="I161" s="60" t="s">
        <v>74</v>
      </c>
      <c r="J161" s="52"/>
      <c r="K161" s="67" t="s">
        <v>1119</v>
      </c>
      <c r="L161" s="233" t="s">
        <v>1305</v>
      </c>
    </row>
    <row r="162" spans="2:13" ht="27" x14ac:dyDescent="0.35">
      <c r="B162" s="45">
        <f t="shared" si="1"/>
        <v>157</v>
      </c>
      <c r="C162" s="58"/>
      <c r="D162" s="58"/>
      <c r="E162" s="59"/>
      <c r="F162" s="51" t="s">
        <v>280</v>
      </c>
      <c r="G162" s="51"/>
      <c r="H162" s="52" t="s">
        <v>45</v>
      </c>
      <c r="I162" s="52" t="s">
        <v>46</v>
      </c>
      <c r="J162" s="52"/>
      <c r="K162" s="35" t="s">
        <v>780</v>
      </c>
      <c r="L162" s="233" t="s">
        <v>1305</v>
      </c>
    </row>
    <row r="163" spans="2:13" ht="27" x14ac:dyDescent="0.35">
      <c r="B163" s="45">
        <f t="shared" si="1"/>
        <v>158</v>
      </c>
      <c r="C163" s="58"/>
      <c r="D163" s="58"/>
      <c r="E163" s="51" t="s">
        <v>281</v>
      </c>
      <c r="F163" s="51" t="s">
        <v>282</v>
      </c>
      <c r="G163" s="51"/>
      <c r="H163" s="52" t="s">
        <v>283</v>
      </c>
      <c r="I163" s="52" t="s">
        <v>284</v>
      </c>
      <c r="J163" s="52"/>
      <c r="K163" s="35" t="s">
        <v>284</v>
      </c>
      <c r="L163" s="233" t="s">
        <v>1319</v>
      </c>
    </row>
    <row r="164" spans="2:13" ht="54" x14ac:dyDescent="0.35">
      <c r="B164" s="45">
        <f t="shared" si="1"/>
        <v>159</v>
      </c>
      <c r="C164" s="58"/>
      <c r="D164" s="58"/>
      <c r="E164" s="58" t="s">
        <v>285</v>
      </c>
      <c r="F164" s="58" t="s">
        <v>285</v>
      </c>
      <c r="G164" s="51"/>
      <c r="H164" s="52" t="s">
        <v>265</v>
      </c>
      <c r="I164" s="52" t="s">
        <v>58</v>
      </c>
      <c r="J164" s="52"/>
      <c r="K164" s="35" t="s">
        <v>1118</v>
      </c>
      <c r="L164" s="233" t="s">
        <v>1320</v>
      </c>
    </row>
    <row r="165" spans="2:13" ht="27" x14ac:dyDescent="0.35">
      <c r="B165" s="45">
        <f t="shared" si="1"/>
        <v>160</v>
      </c>
      <c r="C165" s="58"/>
      <c r="D165" s="58"/>
      <c r="E165" s="58"/>
      <c r="F165" s="51" t="s">
        <v>286</v>
      </c>
      <c r="G165" s="51"/>
      <c r="H165" s="52" t="s">
        <v>287</v>
      </c>
      <c r="I165" s="52" t="s">
        <v>51</v>
      </c>
      <c r="J165" s="52"/>
      <c r="K165" s="35" t="s">
        <v>51</v>
      </c>
      <c r="L165" s="233" t="s">
        <v>1320</v>
      </c>
    </row>
    <row r="166" spans="2:13" ht="27" x14ac:dyDescent="0.35">
      <c r="B166" s="45">
        <f t="shared" si="1"/>
        <v>161</v>
      </c>
      <c r="C166" s="58"/>
      <c r="D166" s="58"/>
      <c r="E166" s="58"/>
      <c r="F166" s="51" t="s">
        <v>288</v>
      </c>
      <c r="G166" s="51"/>
      <c r="H166" s="52" t="s">
        <v>289</v>
      </c>
      <c r="I166" s="52" t="s">
        <v>51</v>
      </c>
      <c r="J166" s="52"/>
      <c r="K166" s="35" t="s">
        <v>51</v>
      </c>
      <c r="L166" s="233" t="s">
        <v>1320</v>
      </c>
    </row>
    <row r="167" spans="2:13" ht="40.5" x14ac:dyDescent="0.35">
      <c r="B167" s="45">
        <f t="shared" si="1"/>
        <v>162</v>
      </c>
      <c r="C167" s="58"/>
      <c r="D167" s="58"/>
      <c r="E167" s="58"/>
      <c r="F167" s="51" t="s">
        <v>290</v>
      </c>
      <c r="G167" s="51"/>
      <c r="H167" s="52" t="s">
        <v>291</v>
      </c>
      <c r="I167" s="52" t="s">
        <v>290</v>
      </c>
      <c r="J167" s="52"/>
      <c r="K167" s="35" t="s">
        <v>290</v>
      </c>
      <c r="L167" s="233" t="s">
        <v>1320</v>
      </c>
    </row>
    <row r="168" spans="2:13" ht="40.5" x14ac:dyDescent="0.35">
      <c r="B168" s="45">
        <f t="shared" si="1"/>
        <v>163</v>
      </c>
      <c r="C168" s="58"/>
      <c r="D168" s="58"/>
      <c r="E168" s="58"/>
      <c r="F168" s="51" t="s">
        <v>292</v>
      </c>
      <c r="G168" s="51"/>
      <c r="H168" s="52" t="s">
        <v>293</v>
      </c>
      <c r="I168" s="52" t="s">
        <v>294</v>
      </c>
      <c r="J168" s="52"/>
      <c r="K168" s="35" t="s">
        <v>294</v>
      </c>
      <c r="L168" s="233" t="s">
        <v>1320</v>
      </c>
    </row>
    <row r="169" spans="2:13" ht="27" x14ac:dyDescent="0.35">
      <c r="B169" s="45">
        <f t="shared" si="1"/>
        <v>164</v>
      </c>
      <c r="C169" s="58"/>
      <c r="D169" s="58"/>
      <c r="E169" s="58"/>
      <c r="F169" s="51" t="s">
        <v>295</v>
      </c>
      <c r="G169" s="51"/>
      <c r="H169" s="52" t="s">
        <v>296</v>
      </c>
      <c r="I169" s="52" t="s">
        <v>297</v>
      </c>
      <c r="J169" s="52"/>
      <c r="K169" s="35" t="s">
        <v>297</v>
      </c>
      <c r="L169" s="233" t="s">
        <v>1320</v>
      </c>
    </row>
    <row r="170" spans="2:13" ht="40.5" x14ac:dyDescent="0.35">
      <c r="B170" s="45">
        <f t="shared" si="1"/>
        <v>165</v>
      </c>
      <c r="C170" s="58"/>
      <c r="D170" s="58"/>
      <c r="E170" s="58"/>
      <c r="F170" s="51" t="s">
        <v>298</v>
      </c>
      <c r="G170" s="51"/>
      <c r="H170" s="52" t="s">
        <v>299</v>
      </c>
      <c r="I170" s="52" t="s">
        <v>297</v>
      </c>
      <c r="J170" s="52"/>
      <c r="K170" s="35" t="s">
        <v>297</v>
      </c>
      <c r="L170" s="233" t="s">
        <v>1320</v>
      </c>
    </row>
    <row r="171" spans="2:13" x14ac:dyDescent="0.35">
      <c r="B171" s="45">
        <f t="shared" si="1"/>
        <v>166</v>
      </c>
      <c r="C171" s="57" t="s">
        <v>300</v>
      </c>
      <c r="D171" s="57" t="s">
        <v>301</v>
      </c>
      <c r="E171" s="57" t="s">
        <v>302</v>
      </c>
      <c r="F171" s="51" t="s">
        <v>303</v>
      </c>
      <c r="G171" s="51"/>
      <c r="H171" s="52" t="s">
        <v>1001</v>
      </c>
      <c r="I171" s="52" t="s">
        <v>51</v>
      </c>
      <c r="J171" s="52"/>
      <c r="K171" s="215" t="s">
        <v>1164</v>
      </c>
      <c r="L171" s="31"/>
      <c r="M171" s="133"/>
    </row>
    <row r="172" spans="2:13" ht="27" x14ac:dyDescent="0.35">
      <c r="B172" s="45">
        <f t="shared" si="1"/>
        <v>167</v>
      </c>
      <c r="C172" s="58"/>
      <c r="D172" s="58"/>
      <c r="E172" s="58"/>
      <c r="F172" s="51" t="s">
        <v>304</v>
      </c>
      <c r="G172" s="51"/>
      <c r="H172" s="52" t="s">
        <v>305</v>
      </c>
      <c r="I172" s="52" t="s">
        <v>306</v>
      </c>
      <c r="J172" s="52"/>
      <c r="K172" s="35" t="s">
        <v>306</v>
      </c>
      <c r="L172" s="31"/>
    </row>
    <row r="173" spans="2:13" ht="27" x14ac:dyDescent="0.35">
      <c r="B173" s="45">
        <f t="shared" si="1"/>
        <v>168</v>
      </c>
      <c r="C173" s="58"/>
      <c r="D173" s="58"/>
      <c r="E173" s="58"/>
      <c r="F173" s="51" t="s">
        <v>307</v>
      </c>
      <c r="G173" s="51"/>
      <c r="H173" s="52" t="s">
        <v>305</v>
      </c>
      <c r="I173" s="52" t="s">
        <v>306</v>
      </c>
      <c r="J173" s="52"/>
      <c r="K173" s="35" t="s">
        <v>306</v>
      </c>
      <c r="L173" s="31"/>
    </row>
    <row r="174" spans="2:13" ht="27" x14ac:dyDescent="0.35">
      <c r="B174" s="45">
        <f t="shared" si="1"/>
        <v>169</v>
      </c>
      <c r="C174" s="58"/>
      <c r="D174" s="58"/>
      <c r="E174" s="58"/>
      <c r="F174" s="51" t="s">
        <v>308</v>
      </c>
      <c r="G174" s="51"/>
      <c r="H174" s="52" t="s">
        <v>305</v>
      </c>
      <c r="I174" s="52" t="s">
        <v>306</v>
      </c>
      <c r="J174" s="52"/>
      <c r="K174" s="35" t="s">
        <v>306</v>
      </c>
      <c r="L174" s="31"/>
    </row>
    <row r="175" spans="2:13" ht="81" x14ac:dyDescent="0.35">
      <c r="B175" s="45">
        <f t="shared" si="1"/>
        <v>170</v>
      </c>
      <c r="C175" s="58"/>
      <c r="D175" s="58"/>
      <c r="E175" s="58"/>
      <c r="F175" s="51" t="s">
        <v>309</v>
      </c>
      <c r="G175" s="51"/>
      <c r="H175" s="52" t="s">
        <v>310</v>
      </c>
      <c r="I175" s="52" t="s">
        <v>311</v>
      </c>
      <c r="J175" s="52"/>
      <c r="K175" s="35" t="s">
        <v>311</v>
      </c>
      <c r="L175" s="31"/>
    </row>
    <row r="176" spans="2:13" ht="40.5" x14ac:dyDescent="0.35">
      <c r="B176" s="45">
        <f t="shared" si="1"/>
        <v>171</v>
      </c>
      <c r="C176" s="58"/>
      <c r="D176" s="58"/>
      <c r="E176" s="58"/>
      <c r="F176" s="51" t="s">
        <v>844</v>
      </c>
      <c r="G176" s="51" t="s">
        <v>845</v>
      </c>
      <c r="H176" s="52" t="s">
        <v>45</v>
      </c>
      <c r="I176" s="52" t="s">
        <v>46</v>
      </c>
      <c r="J176" s="52"/>
      <c r="K176" s="35" t="s">
        <v>780</v>
      </c>
      <c r="L176" s="31"/>
    </row>
    <row r="177" spans="2:13" x14ac:dyDescent="0.35">
      <c r="B177" s="45">
        <f t="shared" ref="B177:B244" si="2">ROW() - 5</f>
        <v>172</v>
      </c>
      <c r="C177" s="58"/>
      <c r="D177" s="58"/>
      <c r="E177" s="58"/>
      <c r="F177" s="51" t="s">
        <v>312</v>
      </c>
      <c r="G177" s="51" t="s">
        <v>313</v>
      </c>
      <c r="H177" s="52" t="s">
        <v>45</v>
      </c>
      <c r="I177" s="52" t="s">
        <v>46</v>
      </c>
      <c r="J177" s="52"/>
      <c r="K177" s="35" t="s">
        <v>780</v>
      </c>
      <c r="L177" s="31"/>
    </row>
    <row r="178" spans="2:13" ht="94.5" x14ac:dyDescent="0.35">
      <c r="B178" s="45">
        <f t="shared" si="2"/>
        <v>173</v>
      </c>
      <c r="C178" s="58"/>
      <c r="D178" s="58"/>
      <c r="E178" s="58"/>
      <c r="F178" s="51" t="s">
        <v>846</v>
      </c>
      <c r="G178" s="51" t="s">
        <v>847</v>
      </c>
      <c r="H178" s="52" t="s">
        <v>45</v>
      </c>
      <c r="I178" s="52" t="s">
        <v>46</v>
      </c>
      <c r="J178" s="52"/>
      <c r="K178" s="35" t="s">
        <v>780</v>
      </c>
      <c r="L178" s="31"/>
    </row>
    <row r="179" spans="2:13" ht="27" x14ac:dyDescent="0.35">
      <c r="B179" s="45">
        <f t="shared" si="2"/>
        <v>174</v>
      </c>
      <c r="C179" s="58"/>
      <c r="D179" s="58"/>
      <c r="E179" s="58"/>
      <c r="F179" s="51" t="s">
        <v>314</v>
      </c>
      <c r="G179" s="51"/>
      <c r="H179" s="52" t="s">
        <v>45</v>
      </c>
      <c r="I179" s="52" t="s">
        <v>46</v>
      </c>
      <c r="J179" s="52"/>
      <c r="K179" s="35" t="s">
        <v>780</v>
      </c>
      <c r="L179" s="31"/>
    </row>
    <row r="180" spans="2:13" ht="27" x14ac:dyDescent="0.35">
      <c r="B180" s="45">
        <f t="shared" si="2"/>
        <v>175</v>
      </c>
      <c r="C180" s="58"/>
      <c r="D180" s="58"/>
      <c r="E180" s="58"/>
      <c r="F180" s="51" t="s">
        <v>68</v>
      </c>
      <c r="G180" s="51" t="s">
        <v>69</v>
      </c>
      <c r="H180" s="52" t="s">
        <v>45</v>
      </c>
      <c r="I180" s="52" t="s">
        <v>46</v>
      </c>
      <c r="J180" s="72"/>
      <c r="K180" s="35" t="s">
        <v>780</v>
      </c>
      <c r="L180" s="31"/>
      <c r="M180" s="134"/>
    </row>
    <row r="181" spans="2:13" ht="54" x14ac:dyDescent="0.35">
      <c r="B181" s="45">
        <f t="shared" si="2"/>
        <v>176</v>
      </c>
      <c r="C181" s="58"/>
      <c r="D181" s="58"/>
      <c r="E181" s="57" t="s">
        <v>315</v>
      </c>
      <c r="F181" s="51" t="s">
        <v>1139</v>
      </c>
      <c r="G181" s="51" t="s">
        <v>316</v>
      </c>
      <c r="H181" s="52" t="s">
        <v>107</v>
      </c>
      <c r="I181" s="60" t="s">
        <v>74</v>
      </c>
      <c r="J181" s="52"/>
      <c r="K181" s="67" t="s">
        <v>1119</v>
      </c>
      <c r="L181" s="31"/>
    </row>
    <row r="182" spans="2:13" x14ac:dyDescent="0.35">
      <c r="B182" s="45">
        <f t="shared" si="2"/>
        <v>177</v>
      </c>
      <c r="C182" s="58"/>
      <c r="D182" s="58"/>
      <c r="E182" s="58"/>
      <c r="F182" s="51" t="s">
        <v>317</v>
      </c>
      <c r="G182" s="51"/>
      <c r="H182" s="52" t="s">
        <v>45</v>
      </c>
      <c r="I182" s="52" t="s">
        <v>46</v>
      </c>
      <c r="J182" s="52"/>
      <c r="K182" s="35" t="s">
        <v>47</v>
      </c>
      <c r="L182" s="31"/>
    </row>
    <row r="183" spans="2:13" ht="67.5" x14ac:dyDescent="0.35">
      <c r="B183" s="45">
        <f t="shared" si="2"/>
        <v>178</v>
      </c>
      <c r="C183" s="58"/>
      <c r="D183" s="58"/>
      <c r="E183" s="58"/>
      <c r="F183" s="51" t="s">
        <v>318</v>
      </c>
      <c r="G183" s="51" t="s">
        <v>319</v>
      </c>
      <c r="H183" s="52" t="s">
        <v>1001</v>
      </c>
      <c r="I183" s="52" t="s">
        <v>51</v>
      </c>
      <c r="J183" s="52"/>
      <c r="K183" s="35" t="s">
        <v>51</v>
      </c>
      <c r="L183" s="31"/>
    </row>
    <row r="184" spans="2:13" ht="27" x14ac:dyDescent="0.35">
      <c r="B184" s="45">
        <f t="shared" si="2"/>
        <v>179</v>
      </c>
      <c r="C184" s="58"/>
      <c r="D184" s="58"/>
      <c r="E184" s="58"/>
      <c r="F184" s="51" t="s">
        <v>320</v>
      </c>
      <c r="G184" s="51"/>
      <c r="H184" s="52" t="s">
        <v>45</v>
      </c>
      <c r="I184" s="52" t="s">
        <v>46</v>
      </c>
      <c r="J184" s="52"/>
      <c r="K184" s="35" t="s">
        <v>780</v>
      </c>
      <c r="L184" s="31"/>
    </row>
    <row r="185" spans="2:13" x14ac:dyDescent="0.35">
      <c r="B185" s="45">
        <f t="shared" si="2"/>
        <v>180</v>
      </c>
      <c r="C185" s="58"/>
      <c r="D185" s="58"/>
      <c r="E185" s="57" t="s">
        <v>321</v>
      </c>
      <c r="F185" s="51" t="s">
        <v>322</v>
      </c>
      <c r="G185" s="51"/>
      <c r="H185" s="52" t="s">
        <v>1001</v>
      </c>
      <c r="I185" s="52" t="s">
        <v>51</v>
      </c>
      <c r="J185" s="52"/>
      <c r="K185" s="35" t="s">
        <v>51</v>
      </c>
      <c r="L185" s="31"/>
      <c r="M185" s="133"/>
    </row>
    <row r="186" spans="2:13" x14ac:dyDescent="0.35">
      <c r="B186" s="45">
        <f t="shared" si="2"/>
        <v>181</v>
      </c>
      <c r="C186" s="58"/>
      <c r="D186" s="58"/>
      <c r="E186" s="58"/>
      <c r="F186" s="51" t="s">
        <v>323</v>
      </c>
      <c r="G186" s="51"/>
      <c r="H186" s="52" t="s">
        <v>1001</v>
      </c>
      <c r="I186" s="52" t="s">
        <v>51</v>
      </c>
      <c r="J186" s="52"/>
      <c r="K186" s="35" t="s">
        <v>51</v>
      </c>
      <c r="L186" s="31"/>
      <c r="M186" s="133"/>
    </row>
    <row r="187" spans="2:13" x14ac:dyDescent="0.35">
      <c r="B187" s="45">
        <f t="shared" si="2"/>
        <v>182</v>
      </c>
      <c r="C187" s="58"/>
      <c r="D187" s="58"/>
      <c r="E187" s="58"/>
      <c r="F187" s="51" t="s">
        <v>324</v>
      </c>
      <c r="G187" s="51"/>
      <c r="H187" s="52" t="s">
        <v>1001</v>
      </c>
      <c r="I187" s="52" t="s">
        <v>51</v>
      </c>
      <c r="J187" s="52"/>
      <c r="K187" s="35" t="s">
        <v>51</v>
      </c>
      <c r="L187" s="31"/>
    </row>
    <row r="188" spans="2:13" x14ac:dyDescent="0.35">
      <c r="B188" s="45">
        <f t="shared" si="2"/>
        <v>183</v>
      </c>
      <c r="C188" s="58"/>
      <c r="D188" s="58"/>
      <c r="E188" s="58"/>
      <c r="F188" s="51" t="s">
        <v>325</v>
      </c>
      <c r="G188" s="51"/>
      <c r="H188" s="52" t="s">
        <v>1001</v>
      </c>
      <c r="I188" s="52" t="s">
        <v>51</v>
      </c>
      <c r="J188" s="52"/>
      <c r="K188" s="35" t="s">
        <v>51</v>
      </c>
      <c r="L188" s="31"/>
      <c r="M188" s="133"/>
    </row>
    <row r="189" spans="2:13" x14ac:dyDescent="0.35">
      <c r="B189" s="45">
        <f t="shared" si="2"/>
        <v>184</v>
      </c>
      <c r="C189" s="58"/>
      <c r="D189" s="58"/>
      <c r="E189" s="58"/>
      <c r="F189" s="51" t="s">
        <v>326</v>
      </c>
      <c r="G189" s="51"/>
      <c r="H189" s="52" t="s">
        <v>1001</v>
      </c>
      <c r="I189" s="52" t="s">
        <v>51</v>
      </c>
      <c r="J189" s="52"/>
      <c r="K189" s="35" t="s">
        <v>51</v>
      </c>
      <c r="L189" s="31"/>
    </row>
    <row r="190" spans="2:13" ht="27" x14ac:dyDescent="0.35">
      <c r="B190" s="45">
        <f t="shared" si="2"/>
        <v>185</v>
      </c>
      <c r="C190" s="58"/>
      <c r="D190" s="58"/>
      <c r="E190" s="57" t="s">
        <v>327</v>
      </c>
      <c r="F190" s="51" t="s">
        <v>328</v>
      </c>
      <c r="G190" s="51" t="s">
        <v>329</v>
      </c>
      <c r="H190" s="52" t="s">
        <v>1003</v>
      </c>
      <c r="I190" s="52" t="s">
        <v>51</v>
      </c>
      <c r="J190" s="52"/>
      <c r="K190" s="35" t="s">
        <v>51</v>
      </c>
      <c r="L190" s="233" t="s">
        <v>1281</v>
      </c>
    </row>
    <row r="191" spans="2:13" ht="27" x14ac:dyDescent="0.35">
      <c r="B191" s="45">
        <f t="shared" si="2"/>
        <v>186</v>
      </c>
      <c r="C191" s="58"/>
      <c r="D191" s="58"/>
      <c r="E191" s="58"/>
      <c r="F191" s="51" t="s">
        <v>11</v>
      </c>
      <c r="G191" s="51" t="s">
        <v>330</v>
      </c>
      <c r="H191" s="52" t="s">
        <v>1003</v>
      </c>
      <c r="I191" s="52" t="s">
        <v>51</v>
      </c>
      <c r="J191" s="52"/>
      <c r="K191" s="35" t="s">
        <v>51</v>
      </c>
      <c r="L191" s="233" t="s">
        <v>1281</v>
      </c>
    </row>
    <row r="192" spans="2:13" ht="27" x14ac:dyDescent="0.35">
      <c r="B192" s="45">
        <f t="shared" si="2"/>
        <v>187</v>
      </c>
      <c r="C192" s="58"/>
      <c r="D192" s="58"/>
      <c r="E192" s="58"/>
      <c r="F192" s="51" t="s">
        <v>331</v>
      </c>
      <c r="G192" s="51" t="s">
        <v>332</v>
      </c>
      <c r="H192" s="52" t="s">
        <v>1003</v>
      </c>
      <c r="I192" s="52" t="s">
        <v>51</v>
      </c>
      <c r="J192" s="52"/>
      <c r="K192" s="35" t="s">
        <v>51</v>
      </c>
      <c r="L192" s="233" t="s">
        <v>1281</v>
      </c>
    </row>
    <row r="193" spans="2:12" ht="27" x14ac:dyDescent="0.35">
      <c r="B193" s="45">
        <f t="shared" si="2"/>
        <v>188</v>
      </c>
      <c r="C193" s="58"/>
      <c r="D193" s="58"/>
      <c r="E193" s="58"/>
      <c r="F193" s="51" t="s">
        <v>333</v>
      </c>
      <c r="G193" s="51"/>
      <c r="H193" s="52" t="s">
        <v>1004</v>
      </c>
      <c r="I193" s="52" t="s">
        <v>51</v>
      </c>
      <c r="J193" s="52"/>
      <c r="K193" s="35" t="s">
        <v>51</v>
      </c>
      <c r="L193" s="233" t="s">
        <v>1281</v>
      </c>
    </row>
    <row r="194" spans="2:12" ht="27" x14ac:dyDescent="0.35">
      <c r="B194" s="45">
        <f t="shared" si="2"/>
        <v>189</v>
      </c>
      <c r="C194" s="59"/>
      <c r="D194" s="59"/>
      <c r="E194" s="59"/>
      <c r="F194" s="51" t="s">
        <v>849</v>
      </c>
      <c r="G194" s="51" t="s">
        <v>334</v>
      </c>
      <c r="H194" s="52" t="s">
        <v>1005</v>
      </c>
      <c r="I194" s="52" t="s">
        <v>51</v>
      </c>
      <c r="J194" s="52"/>
      <c r="K194" s="35" t="s">
        <v>51</v>
      </c>
      <c r="L194" s="233" t="s">
        <v>1281</v>
      </c>
    </row>
    <row r="195" spans="2:12" ht="27" x14ac:dyDescent="0.35">
      <c r="B195" s="45">
        <f t="shared" si="2"/>
        <v>190</v>
      </c>
      <c r="C195" s="124" t="s">
        <v>335</v>
      </c>
      <c r="D195" s="124" t="s">
        <v>336</v>
      </c>
      <c r="E195" s="124" t="s">
        <v>337</v>
      </c>
      <c r="F195" s="51" t="s">
        <v>338</v>
      </c>
      <c r="G195" s="51"/>
      <c r="H195" s="51" t="s">
        <v>45</v>
      </c>
      <c r="I195" s="52" t="s">
        <v>46</v>
      </c>
      <c r="J195" s="52"/>
      <c r="K195" s="35" t="s">
        <v>780</v>
      </c>
      <c r="L195" s="31"/>
    </row>
    <row r="196" spans="2:12" ht="283.5" x14ac:dyDescent="0.35">
      <c r="B196" s="45">
        <f t="shared" si="2"/>
        <v>191</v>
      </c>
      <c r="C196" s="125"/>
      <c r="D196" s="125"/>
      <c r="E196" s="125"/>
      <c r="F196" s="53" t="s">
        <v>339</v>
      </c>
      <c r="G196" s="53" t="s">
        <v>340</v>
      </c>
      <c r="H196" s="51" t="s">
        <v>341</v>
      </c>
      <c r="I196" s="53" t="s">
        <v>342</v>
      </c>
      <c r="J196" s="53"/>
      <c r="K196" s="70" t="s">
        <v>342</v>
      </c>
      <c r="L196" s="31"/>
    </row>
    <row r="197" spans="2:12" x14ac:dyDescent="0.35">
      <c r="B197" s="45">
        <f t="shared" si="2"/>
        <v>192</v>
      </c>
      <c r="C197" s="125"/>
      <c r="D197" s="125"/>
      <c r="E197" s="125"/>
      <c r="F197" s="51" t="s">
        <v>343</v>
      </c>
      <c r="G197" s="51" t="s">
        <v>54</v>
      </c>
      <c r="H197" s="52" t="s">
        <v>107</v>
      </c>
      <c r="I197" s="60" t="s">
        <v>56</v>
      </c>
      <c r="J197" s="52"/>
      <c r="K197" s="67" t="s">
        <v>1117</v>
      </c>
      <c r="L197" s="31"/>
    </row>
    <row r="198" spans="2:12" x14ac:dyDescent="0.35">
      <c r="B198" s="45">
        <f t="shared" si="2"/>
        <v>193</v>
      </c>
      <c r="C198" s="125"/>
      <c r="D198" s="125"/>
      <c r="E198" s="125"/>
      <c r="F198" s="51" t="s">
        <v>344</v>
      </c>
      <c r="G198" s="51" t="s">
        <v>54</v>
      </c>
      <c r="H198" s="52" t="s">
        <v>107</v>
      </c>
      <c r="I198" s="60" t="s">
        <v>56</v>
      </c>
      <c r="J198" s="52"/>
      <c r="K198" s="67" t="s">
        <v>1117</v>
      </c>
      <c r="L198" s="31"/>
    </row>
    <row r="199" spans="2:12" x14ac:dyDescent="0.35">
      <c r="B199" s="45">
        <f t="shared" si="2"/>
        <v>194</v>
      </c>
      <c r="C199" s="125"/>
      <c r="D199" s="125"/>
      <c r="E199" s="125"/>
      <c r="F199" s="52" t="s">
        <v>345</v>
      </c>
      <c r="G199" s="52"/>
      <c r="H199" s="51" t="s">
        <v>45</v>
      </c>
      <c r="I199" s="52" t="s">
        <v>46</v>
      </c>
      <c r="J199" s="52"/>
      <c r="K199" s="35" t="s">
        <v>780</v>
      </c>
      <c r="L199" s="30"/>
    </row>
    <row r="200" spans="2:12" x14ac:dyDescent="0.35">
      <c r="B200" s="45">
        <f t="shared" si="2"/>
        <v>195</v>
      </c>
      <c r="C200" s="125"/>
      <c r="D200" s="125"/>
      <c r="E200" s="125"/>
      <c r="F200" s="52" t="s">
        <v>346</v>
      </c>
      <c r="G200" s="52"/>
      <c r="H200" s="51" t="s">
        <v>45</v>
      </c>
      <c r="I200" s="52" t="s">
        <v>46</v>
      </c>
      <c r="J200" s="52"/>
      <c r="K200" s="35" t="s">
        <v>780</v>
      </c>
      <c r="L200" s="30"/>
    </row>
    <row r="201" spans="2:12" x14ac:dyDescent="0.35">
      <c r="B201" s="45">
        <f t="shared" si="2"/>
        <v>196</v>
      </c>
      <c r="C201" s="125"/>
      <c r="D201" s="125"/>
      <c r="E201" s="125"/>
      <c r="F201" s="52" t="s">
        <v>347</v>
      </c>
      <c r="G201" s="52"/>
      <c r="H201" s="51" t="s">
        <v>45</v>
      </c>
      <c r="I201" s="52" t="s">
        <v>63</v>
      </c>
      <c r="J201" s="52"/>
      <c r="K201" s="35" t="s">
        <v>1125</v>
      </c>
      <c r="L201" s="30"/>
    </row>
    <row r="202" spans="2:12" ht="27" x14ac:dyDescent="0.35">
      <c r="B202" s="45">
        <f t="shared" si="2"/>
        <v>197</v>
      </c>
      <c r="C202" s="125"/>
      <c r="D202" s="125"/>
      <c r="E202" s="125"/>
      <c r="F202" s="52" t="s">
        <v>348</v>
      </c>
      <c r="G202" s="52" t="s">
        <v>349</v>
      </c>
      <c r="H202" s="51" t="s">
        <v>45</v>
      </c>
      <c r="I202" s="52" t="s">
        <v>46</v>
      </c>
      <c r="J202" s="52"/>
      <c r="K202" s="35" t="s">
        <v>780</v>
      </c>
      <c r="L202" s="30"/>
    </row>
    <row r="203" spans="2:12" ht="54" x14ac:dyDescent="0.35">
      <c r="B203" s="45">
        <f t="shared" si="2"/>
        <v>198</v>
      </c>
      <c r="C203" s="125"/>
      <c r="D203" s="125"/>
      <c r="E203" s="55"/>
      <c r="F203" s="52" t="s">
        <v>850</v>
      </c>
      <c r="G203" s="52" t="s">
        <v>851</v>
      </c>
      <c r="H203" s="51" t="s">
        <v>45</v>
      </c>
      <c r="I203" s="52" t="s">
        <v>46</v>
      </c>
      <c r="J203" s="52"/>
      <c r="K203" s="35" t="s">
        <v>780</v>
      </c>
      <c r="L203" s="30"/>
    </row>
    <row r="204" spans="2:12" ht="27" x14ac:dyDescent="0.35">
      <c r="B204" s="45">
        <f t="shared" si="2"/>
        <v>199</v>
      </c>
      <c r="C204" s="125"/>
      <c r="D204" s="125"/>
      <c r="E204" s="124" t="s">
        <v>350</v>
      </c>
      <c r="F204" s="52" t="s">
        <v>351</v>
      </c>
      <c r="G204" s="52"/>
      <c r="H204" s="51" t="s">
        <v>45</v>
      </c>
      <c r="I204" s="52" t="s">
        <v>46</v>
      </c>
      <c r="J204" s="52"/>
      <c r="K204" s="35" t="s">
        <v>780</v>
      </c>
      <c r="L204" s="30"/>
    </row>
    <row r="205" spans="2:12" ht="108" x14ac:dyDescent="0.35">
      <c r="B205" s="45">
        <f t="shared" si="2"/>
        <v>200</v>
      </c>
      <c r="C205" s="125"/>
      <c r="D205" s="125"/>
      <c r="E205" s="124" t="s">
        <v>352</v>
      </c>
      <c r="F205" s="52" t="s">
        <v>353</v>
      </c>
      <c r="G205" s="52" t="s">
        <v>354</v>
      </c>
      <c r="H205" s="51" t="s">
        <v>45</v>
      </c>
      <c r="I205" s="52" t="s">
        <v>46</v>
      </c>
      <c r="J205" s="71"/>
      <c r="K205" s="35" t="s">
        <v>780</v>
      </c>
      <c r="L205" s="30"/>
    </row>
    <row r="206" spans="2:12" x14ac:dyDescent="0.35">
      <c r="B206" s="45">
        <f t="shared" si="2"/>
        <v>201</v>
      </c>
      <c r="C206" s="125"/>
      <c r="D206" s="125"/>
      <c r="E206" s="125"/>
      <c r="F206" s="52" t="s">
        <v>355</v>
      </c>
      <c r="G206" s="52"/>
      <c r="H206" s="51" t="s">
        <v>45</v>
      </c>
      <c r="I206" s="52" t="s">
        <v>46</v>
      </c>
      <c r="J206" s="52"/>
      <c r="K206" s="35" t="s">
        <v>780</v>
      </c>
      <c r="L206" s="30"/>
    </row>
    <row r="207" spans="2:12" x14ac:dyDescent="0.35">
      <c r="B207" s="45">
        <f t="shared" si="2"/>
        <v>202</v>
      </c>
      <c r="C207" s="125"/>
      <c r="D207" s="125"/>
      <c r="E207" s="124" t="s">
        <v>356</v>
      </c>
      <c r="F207" s="52" t="s">
        <v>357</v>
      </c>
      <c r="G207" s="52"/>
      <c r="H207" s="51" t="s">
        <v>45</v>
      </c>
      <c r="I207" s="52" t="s">
        <v>46</v>
      </c>
      <c r="J207" s="52"/>
      <c r="K207" s="35" t="s">
        <v>780</v>
      </c>
      <c r="L207" s="30"/>
    </row>
    <row r="208" spans="2:12" ht="27" x14ac:dyDescent="0.35">
      <c r="B208" s="45">
        <f t="shared" si="2"/>
        <v>203</v>
      </c>
      <c r="C208" s="125"/>
      <c r="D208" s="125"/>
      <c r="E208" s="125"/>
      <c r="F208" s="52" t="s">
        <v>358</v>
      </c>
      <c r="G208" s="52"/>
      <c r="H208" s="52" t="s">
        <v>1006</v>
      </c>
      <c r="I208" s="52" t="s">
        <v>51</v>
      </c>
      <c r="J208" s="47" t="s">
        <v>359</v>
      </c>
      <c r="K208" s="35" t="s">
        <v>51</v>
      </c>
      <c r="L208" s="30"/>
    </row>
    <row r="209" spans="2:12" ht="27" x14ac:dyDescent="0.35">
      <c r="B209" s="45">
        <f t="shared" si="2"/>
        <v>204</v>
      </c>
      <c r="C209" s="125"/>
      <c r="D209" s="125"/>
      <c r="E209" s="125"/>
      <c r="F209" s="52" t="s">
        <v>360</v>
      </c>
      <c r="G209" s="52"/>
      <c r="H209" s="52" t="s">
        <v>1007</v>
      </c>
      <c r="I209" s="52" t="s">
        <v>51</v>
      </c>
      <c r="J209" s="47" t="s">
        <v>359</v>
      </c>
      <c r="K209" s="35" t="s">
        <v>51</v>
      </c>
      <c r="L209" s="30"/>
    </row>
    <row r="210" spans="2:12" ht="27" x14ac:dyDescent="0.35">
      <c r="B210" s="45">
        <f t="shared" si="2"/>
        <v>205</v>
      </c>
      <c r="C210" s="55"/>
      <c r="D210" s="55"/>
      <c r="E210" s="55"/>
      <c r="F210" s="52" t="s">
        <v>361</v>
      </c>
      <c r="G210" s="52"/>
      <c r="H210" s="52" t="s">
        <v>1008</v>
      </c>
      <c r="I210" s="52" t="s">
        <v>51</v>
      </c>
      <c r="J210" s="47" t="s">
        <v>362</v>
      </c>
      <c r="K210" s="35" t="s">
        <v>51</v>
      </c>
      <c r="L210" s="30"/>
    </row>
    <row r="211" spans="2:12" x14ac:dyDescent="0.35">
      <c r="B211" s="45">
        <f t="shared" si="2"/>
        <v>206</v>
      </c>
      <c r="C211" s="124" t="s">
        <v>363</v>
      </c>
      <c r="D211" s="124" t="s">
        <v>364</v>
      </c>
      <c r="E211" s="124" t="s">
        <v>365</v>
      </c>
      <c r="F211" s="52" t="s">
        <v>366</v>
      </c>
      <c r="G211" s="52"/>
      <c r="H211" s="51" t="s">
        <v>107</v>
      </c>
      <c r="I211" s="52">
        <v>14</v>
      </c>
      <c r="J211" s="52"/>
      <c r="K211" s="35">
        <v>14</v>
      </c>
      <c r="L211" s="30"/>
    </row>
    <row r="212" spans="2:12" x14ac:dyDescent="0.35">
      <c r="B212" s="45">
        <f t="shared" si="2"/>
        <v>207</v>
      </c>
      <c r="C212" s="125"/>
      <c r="D212" s="125"/>
      <c r="E212" s="125"/>
      <c r="F212" s="52" t="s">
        <v>368</v>
      </c>
      <c r="G212" s="52"/>
      <c r="H212" s="51" t="s">
        <v>107</v>
      </c>
      <c r="I212" s="52">
        <v>14</v>
      </c>
      <c r="J212" s="52"/>
      <c r="K212" s="35">
        <v>14</v>
      </c>
      <c r="L212" s="30"/>
    </row>
    <row r="213" spans="2:12" ht="27" x14ac:dyDescent="0.35">
      <c r="B213" s="45">
        <f t="shared" si="2"/>
        <v>208</v>
      </c>
      <c r="C213" s="125"/>
      <c r="D213" s="125"/>
      <c r="E213" s="124" t="s">
        <v>369</v>
      </c>
      <c r="F213" s="52" t="s">
        <v>370</v>
      </c>
      <c r="G213" s="52"/>
      <c r="H213" s="51" t="s">
        <v>107</v>
      </c>
      <c r="I213" s="52">
        <v>5</v>
      </c>
      <c r="J213" s="52"/>
      <c r="K213" s="35">
        <v>5</v>
      </c>
      <c r="L213" s="30"/>
    </row>
    <row r="214" spans="2:12" ht="27" x14ac:dyDescent="0.35">
      <c r="B214" s="45">
        <f t="shared" si="2"/>
        <v>209</v>
      </c>
      <c r="C214" s="125"/>
      <c r="D214" s="125"/>
      <c r="E214" s="125"/>
      <c r="F214" s="52" t="s">
        <v>371</v>
      </c>
      <c r="G214" s="52"/>
      <c r="H214" s="51" t="s">
        <v>107</v>
      </c>
      <c r="I214" s="52">
        <v>2</v>
      </c>
      <c r="J214" s="52"/>
      <c r="K214" s="35">
        <v>2</v>
      </c>
      <c r="L214" s="30"/>
    </row>
    <row r="215" spans="2:12" ht="27" x14ac:dyDescent="0.35">
      <c r="B215" s="45">
        <f t="shared" si="2"/>
        <v>210</v>
      </c>
      <c r="C215" s="125"/>
      <c r="D215" s="125"/>
      <c r="E215" s="125"/>
      <c r="F215" s="52" t="s">
        <v>372</v>
      </c>
      <c r="G215" s="52"/>
      <c r="H215" s="51" t="s">
        <v>107</v>
      </c>
      <c r="I215" s="52">
        <v>1</v>
      </c>
      <c r="J215" s="52"/>
      <c r="K215" s="35">
        <v>1</v>
      </c>
      <c r="L215" s="30"/>
    </row>
    <row r="216" spans="2:12" ht="27" x14ac:dyDescent="0.35">
      <c r="B216" s="45">
        <f t="shared" si="2"/>
        <v>211</v>
      </c>
      <c r="C216" s="125"/>
      <c r="D216" s="125"/>
      <c r="E216" s="125"/>
      <c r="F216" s="52" t="s">
        <v>373</v>
      </c>
      <c r="G216" s="52"/>
      <c r="H216" s="51" t="s">
        <v>107</v>
      </c>
      <c r="I216" s="52">
        <v>1</v>
      </c>
      <c r="J216" s="52"/>
      <c r="K216" s="35">
        <v>1</v>
      </c>
      <c r="L216" s="30"/>
    </row>
    <row r="217" spans="2:12" ht="27" x14ac:dyDescent="0.35">
      <c r="B217" s="45">
        <f t="shared" si="2"/>
        <v>212</v>
      </c>
      <c r="C217" s="125"/>
      <c r="D217" s="125"/>
      <c r="E217" s="125"/>
      <c r="F217" s="52" t="s">
        <v>374</v>
      </c>
      <c r="G217" s="52"/>
      <c r="H217" s="51" t="s">
        <v>107</v>
      </c>
      <c r="I217" s="52">
        <v>1</v>
      </c>
      <c r="J217" s="52"/>
      <c r="K217" s="35">
        <v>1</v>
      </c>
      <c r="L217" s="30"/>
    </row>
    <row r="218" spans="2:12" ht="27" x14ac:dyDescent="0.35">
      <c r="B218" s="45">
        <f t="shared" si="2"/>
        <v>213</v>
      </c>
      <c r="C218" s="125"/>
      <c r="D218" s="125"/>
      <c r="E218" s="55"/>
      <c r="F218" s="52" t="s">
        <v>375</v>
      </c>
      <c r="G218" s="52"/>
      <c r="H218" s="51" t="s">
        <v>107</v>
      </c>
      <c r="I218" s="52">
        <v>1</v>
      </c>
      <c r="J218" s="52"/>
      <c r="K218" s="35">
        <v>1</v>
      </c>
      <c r="L218" s="30"/>
    </row>
    <row r="219" spans="2:12" ht="27" x14ac:dyDescent="0.35">
      <c r="B219" s="45">
        <f t="shared" si="2"/>
        <v>214</v>
      </c>
      <c r="C219" s="125"/>
      <c r="D219" s="125"/>
      <c r="E219" s="124" t="s">
        <v>376</v>
      </c>
      <c r="F219" s="52" t="s">
        <v>377</v>
      </c>
      <c r="G219" s="52"/>
      <c r="H219" s="51" t="s">
        <v>107</v>
      </c>
      <c r="I219" s="52">
        <v>36</v>
      </c>
      <c r="J219" s="52"/>
      <c r="K219" s="35">
        <v>36</v>
      </c>
      <c r="L219" s="30"/>
    </row>
    <row r="220" spans="2:12" x14ac:dyDescent="0.35">
      <c r="B220" s="45">
        <f t="shared" si="2"/>
        <v>215</v>
      </c>
      <c r="C220" s="124" t="s">
        <v>378</v>
      </c>
      <c r="D220" s="124" t="s">
        <v>262</v>
      </c>
      <c r="E220" s="124" t="s">
        <v>379</v>
      </c>
      <c r="F220" s="52" t="s">
        <v>380</v>
      </c>
      <c r="G220" s="52"/>
      <c r="H220" s="51" t="s">
        <v>45</v>
      </c>
      <c r="I220" s="52" t="s">
        <v>46</v>
      </c>
      <c r="J220" s="52"/>
      <c r="K220" s="35" t="s">
        <v>780</v>
      </c>
      <c r="L220" s="30"/>
    </row>
    <row r="221" spans="2:12" x14ac:dyDescent="0.35">
      <c r="B221" s="45">
        <f t="shared" si="2"/>
        <v>216</v>
      </c>
      <c r="C221" s="125"/>
      <c r="D221" s="125"/>
      <c r="E221" s="125"/>
      <c r="F221" s="52" t="s">
        <v>381</v>
      </c>
      <c r="G221" s="52"/>
      <c r="H221" s="51" t="s">
        <v>382</v>
      </c>
      <c r="I221" s="52" t="s">
        <v>51</v>
      </c>
      <c r="J221" s="52"/>
      <c r="K221" s="35" t="s">
        <v>51</v>
      </c>
      <c r="L221" s="30"/>
    </row>
    <row r="222" spans="2:12" x14ac:dyDescent="0.35">
      <c r="B222" s="45">
        <f t="shared" si="2"/>
        <v>217</v>
      </c>
      <c r="C222" s="125"/>
      <c r="D222" s="125"/>
      <c r="E222" s="125"/>
      <c r="F222" s="52" t="s">
        <v>383</v>
      </c>
      <c r="G222" s="52"/>
      <c r="H222" s="51" t="s">
        <v>107</v>
      </c>
      <c r="I222" s="60">
        <v>7</v>
      </c>
      <c r="J222" s="52"/>
      <c r="K222" s="67">
        <v>7</v>
      </c>
      <c r="L222" s="30"/>
    </row>
    <row r="223" spans="2:12" ht="81" x14ac:dyDescent="0.35">
      <c r="B223" s="45">
        <f t="shared" si="2"/>
        <v>218</v>
      </c>
      <c r="C223" s="125"/>
      <c r="D223" s="125"/>
      <c r="E223" s="125"/>
      <c r="F223" s="52" t="s">
        <v>1140</v>
      </c>
      <c r="G223" s="52" t="s">
        <v>1141</v>
      </c>
      <c r="H223" s="51" t="s">
        <v>45</v>
      </c>
      <c r="I223" s="60" t="s">
        <v>46</v>
      </c>
      <c r="J223" s="52"/>
      <c r="K223" s="67" t="s">
        <v>780</v>
      </c>
      <c r="L223" s="30"/>
    </row>
    <row r="224" spans="2:12" ht="67.5" x14ac:dyDescent="0.35">
      <c r="B224" s="45">
        <f t="shared" si="2"/>
        <v>219</v>
      </c>
      <c r="C224" s="125"/>
      <c r="D224" s="125"/>
      <c r="E224" s="124" t="s">
        <v>384</v>
      </c>
      <c r="F224" s="52" t="s">
        <v>385</v>
      </c>
      <c r="G224" s="52" t="s">
        <v>386</v>
      </c>
      <c r="H224" s="51" t="s">
        <v>107</v>
      </c>
      <c r="I224" s="60" t="s">
        <v>56</v>
      </c>
      <c r="J224" s="52"/>
      <c r="K224" s="67" t="s">
        <v>1117</v>
      </c>
      <c r="L224" s="30"/>
    </row>
    <row r="225" spans="2:12" ht="40.5" x14ac:dyDescent="0.35">
      <c r="B225" s="45">
        <f t="shared" si="2"/>
        <v>220</v>
      </c>
      <c r="C225" s="125"/>
      <c r="D225" s="125"/>
      <c r="E225" s="125"/>
      <c r="F225" s="52" t="s">
        <v>387</v>
      </c>
      <c r="G225" s="52" t="s">
        <v>388</v>
      </c>
      <c r="H225" s="51" t="s">
        <v>389</v>
      </c>
      <c r="I225" s="52" t="s">
        <v>390</v>
      </c>
      <c r="J225" s="52"/>
      <c r="K225" s="35" t="s">
        <v>390</v>
      </c>
      <c r="L225" s="30"/>
    </row>
    <row r="226" spans="2:12" ht="27" x14ac:dyDescent="0.35">
      <c r="B226" s="45">
        <f t="shared" si="2"/>
        <v>221</v>
      </c>
      <c r="C226" s="125"/>
      <c r="D226" s="125"/>
      <c r="E226" s="125"/>
      <c r="F226" s="52" t="s">
        <v>391</v>
      </c>
      <c r="G226" s="52"/>
      <c r="H226" s="51" t="s">
        <v>107</v>
      </c>
      <c r="I226" s="56">
        <v>0</v>
      </c>
      <c r="J226" s="47" t="s">
        <v>392</v>
      </c>
      <c r="K226" s="35">
        <v>0</v>
      </c>
      <c r="L226" s="30"/>
    </row>
    <row r="227" spans="2:12" ht="81" x14ac:dyDescent="0.35">
      <c r="B227" s="45">
        <f t="shared" si="2"/>
        <v>222</v>
      </c>
      <c r="C227" s="125"/>
      <c r="D227" s="125"/>
      <c r="E227" s="124" t="s">
        <v>393</v>
      </c>
      <c r="F227" s="52" t="s">
        <v>394</v>
      </c>
      <c r="G227" s="52"/>
      <c r="H227" s="51" t="s">
        <v>395</v>
      </c>
      <c r="I227" s="52" t="s">
        <v>396</v>
      </c>
      <c r="J227" s="52"/>
      <c r="K227" s="35" t="s">
        <v>396</v>
      </c>
      <c r="L227" s="30"/>
    </row>
    <row r="228" spans="2:12" x14ac:dyDescent="0.35">
      <c r="B228" s="45">
        <f t="shared" si="2"/>
        <v>223</v>
      </c>
      <c r="C228" s="125"/>
      <c r="D228" s="125"/>
      <c r="E228" s="125"/>
      <c r="F228" s="52" t="s">
        <v>397</v>
      </c>
      <c r="G228" s="52" t="s">
        <v>400</v>
      </c>
      <c r="H228" s="52" t="s">
        <v>1004</v>
      </c>
      <c r="I228" s="52" t="s">
        <v>51</v>
      </c>
      <c r="J228" s="52"/>
      <c r="K228" s="35" t="s">
        <v>51</v>
      </c>
      <c r="L228" s="30"/>
    </row>
    <row r="229" spans="2:12" x14ac:dyDescent="0.35">
      <c r="B229" s="45">
        <f t="shared" si="2"/>
        <v>224</v>
      </c>
      <c r="C229" s="125"/>
      <c r="D229" s="125"/>
      <c r="E229" s="125"/>
      <c r="F229" s="52" t="s">
        <v>398</v>
      </c>
      <c r="G229" s="52"/>
      <c r="H229" s="52" t="s">
        <v>1009</v>
      </c>
      <c r="I229" s="52" t="s">
        <v>51</v>
      </c>
      <c r="J229" s="52"/>
      <c r="K229" s="35" t="s">
        <v>51</v>
      </c>
      <c r="L229" s="30"/>
    </row>
    <row r="230" spans="2:12" x14ac:dyDescent="0.35">
      <c r="B230" s="45">
        <f t="shared" si="2"/>
        <v>225</v>
      </c>
      <c r="C230" s="55"/>
      <c r="D230" s="55"/>
      <c r="E230" s="55"/>
      <c r="F230" s="52" t="s">
        <v>399</v>
      </c>
      <c r="G230" s="52" t="s">
        <v>400</v>
      </c>
      <c r="H230" s="52" t="s">
        <v>1010</v>
      </c>
      <c r="I230" s="52" t="s">
        <v>51</v>
      </c>
      <c r="J230" s="52"/>
      <c r="K230" s="35" t="s">
        <v>51</v>
      </c>
      <c r="L230" s="30"/>
    </row>
    <row r="231" spans="2:12" ht="27" x14ac:dyDescent="0.35">
      <c r="B231" s="45">
        <f t="shared" si="2"/>
        <v>226</v>
      </c>
      <c r="C231" s="125" t="s">
        <v>401</v>
      </c>
      <c r="D231" s="125" t="s">
        <v>402</v>
      </c>
      <c r="E231" s="125" t="s">
        <v>403</v>
      </c>
      <c r="F231" s="52" t="s">
        <v>404</v>
      </c>
      <c r="G231" s="52"/>
      <c r="H231" s="51" t="s">
        <v>405</v>
      </c>
      <c r="I231" s="52" t="s">
        <v>406</v>
      </c>
      <c r="J231" s="52"/>
      <c r="K231" s="35" t="s">
        <v>406</v>
      </c>
      <c r="L231" s="30"/>
    </row>
    <row r="232" spans="2:12" ht="27" x14ac:dyDescent="0.35">
      <c r="B232" s="45">
        <f t="shared" si="2"/>
        <v>227</v>
      </c>
      <c r="C232" s="125"/>
      <c r="D232" s="125"/>
      <c r="E232" s="125"/>
      <c r="F232" s="52" t="s">
        <v>407</v>
      </c>
      <c r="G232" s="52"/>
      <c r="H232" s="51" t="s">
        <v>45</v>
      </c>
      <c r="I232" s="52" t="s">
        <v>46</v>
      </c>
      <c r="J232" s="52"/>
      <c r="K232" s="35" t="s">
        <v>780</v>
      </c>
      <c r="L232" s="30"/>
    </row>
    <row r="233" spans="2:12" ht="27" x14ac:dyDescent="0.35">
      <c r="B233" s="45">
        <f t="shared" si="2"/>
        <v>228</v>
      </c>
      <c r="C233" s="125"/>
      <c r="D233" s="125"/>
      <c r="E233" s="125"/>
      <c r="F233" s="52" t="s">
        <v>408</v>
      </c>
      <c r="G233" s="52"/>
      <c r="H233" s="51" t="s">
        <v>45</v>
      </c>
      <c r="I233" s="52" t="s">
        <v>46</v>
      </c>
      <c r="J233" s="52"/>
      <c r="K233" s="35" t="s">
        <v>780</v>
      </c>
      <c r="L233" s="30"/>
    </row>
    <row r="234" spans="2:12" ht="27" x14ac:dyDescent="0.35">
      <c r="B234" s="45">
        <f t="shared" si="2"/>
        <v>229</v>
      </c>
      <c r="C234" s="125"/>
      <c r="D234" s="125"/>
      <c r="E234" s="125"/>
      <c r="F234" s="52" t="s">
        <v>409</v>
      </c>
      <c r="G234" s="52"/>
      <c r="H234" s="51" t="s">
        <v>410</v>
      </c>
      <c r="I234" s="52" t="s">
        <v>411</v>
      </c>
      <c r="J234" s="52"/>
      <c r="K234" s="35" t="s">
        <v>1142</v>
      </c>
      <c r="L234" s="30"/>
    </row>
    <row r="235" spans="2:12" x14ac:dyDescent="0.35">
      <c r="B235" s="45">
        <f t="shared" si="2"/>
        <v>230</v>
      </c>
      <c r="C235" s="125"/>
      <c r="D235" s="125"/>
      <c r="E235" s="284" t="s">
        <v>412</v>
      </c>
      <c r="F235" s="52" t="s">
        <v>413</v>
      </c>
      <c r="G235" s="52"/>
      <c r="H235" s="52" t="s">
        <v>1011</v>
      </c>
      <c r="I235" s="52" t="s">
        <v>51</v>
      </c>
      <c r="J235" s="52"/>
      <c r="K235" s="35" t="s">
        <v>51</v>
      </c>
      <c r="L235" s="30"/>
    </row>
    <row r="236" spans="2:12" ht="121.5" x14ac:dyDescent="0.35">
      <c r="B236" s="45">
        <f t="shared" si="2"/>
        <v>231</v>
      </c>
      <c r="C236" s="125"/>
      <c r="D236" s="125"/>
      <c r="E236" s="285"/>
      <c r="F236" s="52" t="s">
        <v>414</v>
      </c>
      <c r="G236" s="52" t="s">
        <v>415</v>
      </c>
      <c r="H236" s="51" t="s">
        <v>107</v>
      </c>
      <c r="I236" s="52" t="s">
        <v>51</v>
      </c>
      <c r="J236" s="52"/>
      <c r="K236" s="35" t="s">
        <v>51</v>
      </c>
      <c r="L236" s="30"/>
    </row>
    <row r="237" spans="2:12" ht="67.5" x14ac:dyDescent="0.35">
      <c r="B237" s="45">
        <f t="shared" si="2"/>
        <v>232</v>
      </c>
      <c r="C237" s="125"/>
      <c r="D237" s="125"/>
      <c r="E237" s="124" t="s">
        <v>416</v>
      </c>
      <c r="F237" s="52" t="s">
        <v>417</v>
      </c>
      <c r="G237" s="52"/>
      <c r="H237" s="51" t="s">
        <v>962</v>
      </c>
      <c r="I237" s="52" t="s">
        <v>418</v>
      </c>
      <c r="J237" s="52"/>
      <c r="K237" s="35" t="s">
        <v>418</v>
      </c>
      <c r="L237" s="30"/>
    </row>
    <row r="238" spans="2:12" ht="27" x14ac:dyDescent="0.35">
      <c r="B238" s="45">
        <f t="shared" si="2"/>
        <v>233</v>
      </c>
      <c r="C238" s="125"/>
      <c r="D238" s="125"/>
      <c r="E238" s="125"/>
      <c r="F238" s="52" t="s">
        <v>419</v>
      </c>
      <c r="G238" s="52"/>
      <c r="H238" s="51" t="s">
        <v>420</v>
      </c>
      <c r="I238" s="52" t="s">
        <v>421</v>
      </c>
      <c r="J238" s="52"/>
      <c r="K238" s="35" t="s">
        <v>1143</v>
      </c>
      <c r="L238" s="30"/>
    </row>
    <row r="239" spans="2:12" ht="27" x14ac:dyDescent="0.35">
      <c r="B239" s="45">
        <f t="shared" si="2"/>
        <v>234</v>
      </c>
      <c r="C239" s="125"/>
      <c r="D239" s="125"/>
      <c r="E239" s="125"/>
      <c r="F239" s="52" t="s">
        <v>422</v>
      </c>
      <c r="G239" s="52"/>
      <c r="H239" s="51" t="s">
        <v>107</v>
      </c>
      <c r="I239" s="60" t="s">
        <v>74</v>
      </c>
      <c r="J239" s="52"/>
      <c r="K239" s="67" t="s">
        <v>1119</v>
      </c>
      <c r="L239" s="30"/>
    </row>
    <row r="240" spans="2:12" ht="27" x14ac:dyDescent="0.35">
      <c r="B240" s="45">
        <f t="shared" si="2"/>
        <v>235</v>
      </c>
      <c r="C240" s="125"/>
      <c r="D240" s="125"/>
      <c r="E240" s="125"/>
      <c r="F240" s="52" t="s">
        <v>423</v>
      </c>
      <c r="G240" s="52"/>
      <c r="H240" s="51" t="s">
        <v>107</v>
      </c>
      <c r="I240" s="60" t="s">
        <v>74</v>
      </c>
      <c r="J240" s="52"/>
      <c r="K240" s="67" t="s">
        <v>1119</v>
      </c>
      <c r="L240" s="30"/>
    </row>
    <row r="241" spans="1:12" x14ac:dyDescent="0.35">
      <c r="B241" s="45">
        <f t="shared" si="2"/>
        <v>236</v>
      </c>
      <c r="C241" s="125"/>
      <c r="D241" s="125"/>
      <c r="E241" s="124" t="s">
        <v>424</v>
      </c>
      <c r="F241" s="52" t="s">
        <v>425</v>
      </c>
      <c r="G241" s="52"/>
      <c r="H241" s="52" t="s">
        <v>1012</v>
      </c>
      <c r="I241" s="52" t="s">
        <v>51</v>
      </c>
      <c r="J241" s="52"/>
      <c r="K241" s="35" t="s">
        <v>51</v>
      </c>
      <c r="L241" s="30"/>
    </row>
    <row r="242" spans="1:12" x14ac:dyDescent="0.35">
      <c r="B242" s="45">
        <f t="shared" si="2"/>
        <v>237</v>
      </c>
      <c r="C242" s="125"/>
      <c r="D242" s="125"/>
      <c r="E242" s="125"/>
      <c r="F242" s="52" t="s">
        <v>426</v>
      </c>
      <c r="G242" s="52"/>
      <c r="H242" s="51" t="s">
        <v>45</v>
      </c>
      <c r="I242" s="52" t="s">
        <v>46</v>
      </c>
      <c r="J242" s="52"/>
      <c r="K242" s="35" t="s">
        <v>780</v>
      </c>
      <c r="L242" s="30"/>
    </row>
    <row r="243" spans="1:12" ht="27" x14ac:dyDescent="0.35">
      <c r="B243" s="45">
        <f t="shared" si="2"/>
        <v>238</v>
      </c>
      <c r="C243" s="125"/>
      <c r="D243" s="125"/>
      <c r="E243" s="125"/>
      <c r="F243" s="52" t="s">
        <v>852</v>
      </c>
      <c r="G243" s="52" t="s">
        <v>853</v>
      </c>
      <c r="H243" s="51" t="s">
        <v>45</v>
      </c>
      <c r="I243" s="52" t="s">
        <v>46</v>
      </c>
      <c r="J243" s="52"/>
      <c r="K243" s="35" t="s">
        <v>780</v>
      </c>
      <c r="L243" s="30"/>
    </row>
    <row r="244" spans="1:12" x14ac:dyDescent="0.35">
      <c r="B244" s="45">
        <f t="shared" si="2"/>
        <v>239</v>
      </c>
      <c r="C244" s="125"/>
      <c r="D244" s="125"/>
      <c r="E244" s="125"/>
      <c r="F244" s="52" t="s">
        <v>427</v>
      </c>
      <c r="G244" s="52"/>
      <c r="H244" s="51"/>
      <c r="I244" s="52" t="s">
        <v>51</v>
      </c>
      <c r="J244" s="52"/>
      <c r="K244" s="35" t="s">
        <v>51</v>
      </c>
      <c r="L244" s="30"/>
    </row>
    <row r="245" spans="1:12" x14ac:dyDescent="0.35">
      <c r="B245" s="45">
        <f t="shared" ref="B245:B314" si="3">ROW() - 5</f>
        <v>240</v>
      </c>
      <c r="C245" s="125"/>
      <c r="D245" s="125"/>
      <c r="E245" s="124" t="s">
        <v>428</v>
      </c>
      <c r="F245" s="52" t="s">
        <v>429</v>
      </c>
      <c r="G245" s="52"/>
      <c r="H245" s="52" t="s">
        <v>1013</v>
      </c>
      <c r="I245" s="52" t="s">
        <v>51</v>
      </c>
      <c r="J245" s="52"/>
      <c r="K245" s="35" t="s">
        <v>51</v>
      </c>
      <c r="L245" s="30"/>
    </row>
    <row r="246" spans="1:12" x14ac:dyDescent="0.35">
      <c r="B246" s="45">
        <f t="shared" si="3"/>
        <v>241</v>
      </c>
      <c r="C246" s="125"/>
      <c r="D246" s="125"/>
      <c r="E246" s="125"/>
      <c r="F246" s="52" t="s">
        <v>430</v>
      </c>
      <c r="G246" s="52" t="s">
        <v>400</v>
      </c>
      <c r="H246" s="52" t="s">
        <v>1014</v>
      </c>
      <c r="I246" s="52" t="s">
        <v>51</v>
      </c>
      <c r="J246" s="52"/>
      <c r="K246" s="35" t="s">
        <v>51</v>
      </c>
      <c r="L246" s="30"/>
    </row>
    <row r="247" spans="1:12" ht="40.5" x14ac:dyDescent="0.35">
      <c r="A247" s="87" t="s">
        <v>1138</v>
      </c>
      <c r="B247" s="45">
        <f t="shared" si="3"/>
        <v>242</v>
      </c>
      <c r="C247" s="125"/>
      <c r="D247" s="125"/>
      <c r="E247" s="125"/>
      <c r="F247" s="52" t="s">
        <v>1146</v>
      </c>
      <c r="G247" s="52" t="s">
        <v>1145</v>
      </c>
      <c r="H247" s="51" t="s">
        <v>107</v>
      </c>
      <c r="I247" s="60">
        <v>10</v>
      </c>
      <c r="J247" s="52"/>
      <c r="K247" s="67" t="s">
        <v>1144</v>
      </c>
      <c r="L247" s="30"/>
    </row>
    <row r="248" spans="1:12" ht="27" x14ac:dyDescent="0.35">
      <c r="B248" s="45">
        <f t="shared" si="3"/>
        <v>243</v>
      </c>
      <c r="C248" s="125"/>
      <c r="D248" s="125"/>
      <c r="E248" s="124" t="s">
        <v>431</v>
      </c>
      <c r="F248" s="52" t="s">
        <v>432</v>
      </c>
      <c r="G248" s="52"/>
      <c r="H248" s="52" t="s">
        <v>1015</v>
      </c>
      <c r="I248" s="52" t="s">
        <v>51</v>
      </c>
      <c r="J248" s="52"/>
      <c r="K248" s="35" t="s">
        <v>51</v>
      </c>
      <c r="L248" s="30"/>
    </row>
    <row r="249" spans="1:12" x14ac:dyDescent="0.35">
      <c r="B249" s="45">
        <f t="shared" si="3"/>
        <v>244</v>
      </c>
      <c r="C249" s="125"/>
      <c r="D249" s="125"/>
      <c r="E249" s="125"/>
      <c r="F249" s="52" t="s">
        <v>433</v>
      </c>
      <c r="G249" s="52"/>
      <c r="H249" s="52" t="s">
        <v>1015</v>
      </c>
      <c r="I249" s="52" t="s">
        <v>51</v>
      </c>
      <c r="J249" s="52"/>
      <c r="K249" s="35" t="s">
        <v>51</v>
      </c>
      <c r="L249" s="30"/>
    </row>
    <row r="250" spans="1:12" x14ac:dyDescent="0.35">
      <c r="B250" s="45">
        <f t="shared" si="3"/>
        <v>245</v>
      </c>
      <c r="C250" s="125"/>
      <c r="D250" s="125"/>
      <c r="E250" s="125"/>
      <c r="F250" s="52" t="s">
        <v>434</v>
      </c>
      <c r="G250" s="52"/>
      <c r="H250" s="52" t="s">
        <v>1015</v>
      </c>
      <c r="I250" s="52" t="s">
        <v>51</v>
      </c>
      <c r="J250" s="52"/>
      <c r="K250" s="35" t="s">
        <v>51</v>
      </c>
      <c r="L250" s="30"/>
    </row>
    <row r="251" spans="1:12" ht="94.5" x14ac:dyDescent="0.35">
      <c r="B251" s="45">
        <f t="shared" si="3"/>
        <v>246</v>
      </c>
      <c r="C251" s="124" t="s">
        <v>854</v>
      </c>
      <c r="D251" s="124" t="s">
        <v>855</v>
      </c>
      <c r="E251" s="124" t="s">
        <v>856</v>
      </c>
      <c r="F251" s="52" t="s">
        <v>857</v>
      </c>
      <c r="G251" s="52"/>
      <c r="H251" s="51" t="s">
        <v>107</v>
      </c>
      <c r="I251" s="71" t="s">
        <v>858</v>
      </c>
      <c r="J251" s="52"/>
      <c r="K251" s="35" t="s">
        <v>1147</v>
      </c>
      <c r="L251" s="30"/>
    </row>
    <row r="252" spans="1:12" x14ac:dyDescent="0.35">
      <c r="B252" s="45">
        <f t="shared" si="3"/>
        <v>247</v>
      </c>
      <c r="C252" s="125"/>
      <c r="D252" s="125"/>
      <c r="E252" s="125"/>
      <c r="F252" s="52" t="s">
        <v>859</v>
      </c>
      <c r="G252" s="52"/>
      <c r="H252" s="51" t="s">
        <v>45</v>
      </c>
      <c r="I252" s="52" t="s">
        <v>46</v>
      </c>
      <c r="J252" s="52"/>
      <c r="K252" s="35" t="s">
        <v>780</v>
      </c>
      <c r="L252" s="30"/>
    </row>
    <row r="253" spans="1:12" x14ac:dyDescent="0.35">
      <c r="B253" s="45">
        <f t="shared" si="3"/>
        <v>248</v>
      </c>
      <c r="C253" s="125"/>
      <c r="D253" s="125"/>
      <c r="E253" s="125"/>
      <c r="F253" s="52" t="s">
        <v>860</v>
      </c>
      <c r="G253" s="52"/>
      <c r="H253" s="51" t="s">
        <v>45</v>
      </c>
      <c r="I253" s="52" t="s">
        <v>46</v>
      </c>
      <c r="J253" s="52"/>
      <c r="K253" s="35" t="s">
        <v>780</v>
      </c>
      <c r="L253" s="30"/>
    </row>
    <row r="254" spans="1:12" ht="27" x14ac:dyDescent="0.35">
      <c r="B254" s="45">
        <f t="shared" si="3"/>
        <v>249</v>
      </c>
      <c r="C254" s="125"/>
      <c r="D254" s="125"/>
      <c r="E254" s="125"/>
      <c r="F254" s="52" t="s">
        <v>861</v>
      </c>
      <c r="G254" s="52"/>
      <c r="H254" s="51" t="s">
        <v>107</v>
      </c>
      <c r="I254" s="71" t="s">
        <v>367</v>
      </c>
      <c r="J254" s="52"/>
      <c r="K254" s="35" t="s">
        <v>1148</v>
      </c>
      <c r="L254" s="30"/>
    </row>
    <row r="255" spans="1:12" ht="40.5" x14ac:dyDescent="0.35">
      <c r="B255" s="45">
        <f t="shared" si="3"/>
        <v>250</v>
      </c>
      <c r="C255" s="125"/>
      <c r="D255" s="125"/>
      <c r="E255" s="55"/>
      <c r="F255" s="52" t="s">
        <v>862</v>
      </c>
      <c r="G255" s="52" t="s">
        <v>863</v>
      </c>
      <c r="H255" s="51" t="s">
        <v>791</v>
      </c>
      <c r="I255" s="52" t="s">
        <v>780</v>
      </c>
      <c r="J255" s="52"/>
      <c r="K255" s="35" t="s">
        <v>780</v>
      </c>
      <c r="L255" s="30"/>
    </row>
    <row r="256" spans="1:12" ht="189" x14ac:dyDescent="0.35">
      <c r="B256" s="45">
        <f t="shared" si="3"/>
        <v>251</v>
      </c>
      <c r="C256" s="125"/>
      <c r="D256" s="125"/>
      <c r="E256" s="125" t="s">
        <v>864</v>
      </c>
      <c r="F256" s="52" t="s">
        <v>865</v>
      </c>
      <c r="G256" s="52"/>
      <c r="H256" s="51" t="s">
        <v>791</v>
      </c>
      <c r="I256" s="52" t="s">
        <v>780</v>
      </c>
      <c r="J256" s="52"/>
      <c r="K256" s="35" t="s">
        <v>780</v>
      </c>
      <c r="L256" s="30"/>
    </row>
    <row r="257" spans="1:13" ht="27" x14ac:dyDescent="0.35">
      <c r="B257" s="45">
        <f t="shared" si="3"/>
        <v>252</v>
      </c>
      <c r="C257" s="124" t="s">
        <v>435</v>
      </c>
      <c r="D257" s="124" t="s">
        <v>436</v>
      </c>
      <c r="E257" s="124" t="s">
        <v>437</v>
      </c>
      <c r="F257" s="52" t="s">
        <v>866</v>
      </c>
      <c r="G257" s="52"/>
      <c r="H257" s="51" t="s">
        <v>45</v>
      </c>
      <c r="I257" s="52" t="s">
        <v>46</v>
      </c>
      <c r="J257" s="52"/>
      <c r="K257" s="35" t="s">
        <v>780</v>
      </c>
      <c r="L257" s="243" t="s">
        <v>1321</v>
      </c>
    </row>
    <row r="258" spans="1:13" ht="27" x14ac:dyDescent="0.35">
      <c r="B258" s="45">
        <f t="shared" si="3"/>
        <v>253</v>
      </c>
      <c r="C258" s="125"/>
      <c r="D258" s="125"/>
      <c r="E258" s="125"/>
      <c r="F258" s="52" t="s">
        <v>438</v>
      </c>
      <c r="G258" s="52"/>
      <c r="H258" s="51" t="s">
        <v>45</v>
      </c>
      <c r="I258" s="52" t="s">
        <v>46</v>
      </c>
      <c r="J258" s="52"/>
      <c r="K258" s="35" t="s">
        <v>780</v>
      </c>
      <c r="L258" s="243" t="s">
        <v>1321</v>
      </c>
    </row>
    <row r="259" spans="1:13" ht="81" x14ac:dyDescent="0.35">
      <c r="B259" s="45">
        <f t="shared" si="3"/>
        <v>254</v>
      </c>
      <c r="C259" s="125"/>
      <c r="D259" s="125"/>
      <c r="E259" s="125"/>
      <c r="F259" s="52" t="s">
        <v>439</v>
      </c>
      <c r="G259" s="52"/>
      <c r="H259" s="51" t="s">
        <v>440</v>
      </c>
      <c r="I259" s="52" t="s">
        <v>441</v>
      </c>
      <c r="J259" s="52"/>
      <c r="K259" s="35" t="s">
        <v>1149</v>
      </c>
      <c r="L259" s="243" t="s">
        <v>1322</v>
      </c>
    </row>
    <row r="260" spans="1:13" ht="40.5" x14ac:dyDescent="0.35">
      <c r="B260" s="45">
        <f t="shared" si="3"/>
        <v>255</v>
      </c>
      <c r="C260" s="125"/>
      <c r="D260" s="125"/>
      <c r="E260" s="125"/>
      <c r="F260" s="52" t="s">
        <v>442</v>
      </c>
      <c r="G260" s="52"/>
      <c r="H260" s="51" t="s">
        <v>443</v>
      </c>
      <c r="I260" s="52" t="s">
        <v>444</v>
      </c>
      <c r="J260" s="52"/>
      <c r="K260" s="35" t="s">
        <v>444</v>
      </c>
      <c r="L260" s="243" t="s">
        <v>1322</v>
      </c>
    </row>
    <row r="261" spans="1:13" ht="81" x14ac:dyDescent="0.35">
      <c r="B261" s="45">
        <f t="shared" si="3"/>
        <v>256</v>
      </c>
      <c r="C261" s="125"/>
      <c r="D261" s="125"/>
      <c r="E261" s="124" t="s">
        <v>445</v>
      </c>
      <c r="F261" s="52" t="s">
        <v>446</v>
      </c>
      <c r="G261" s="52" t="s">
        <v>447</v>
      </c>
      <c r="H261" s="51" t="s">
        <v>45</v>
      </c>
      <c r="I261" s="52" t="s">
        <v>46</v>
      </c>
      <c r="J261" s="52"/>
      <c r="K261" s="35" t="s">
        <v>780</v>
      </c>
      <c r="L261" s="243" t="s">
        <v>1322</v>
      </c>
    </row>
    <row r="262" spans="1:13" ht="27" x14ac:dyDescent="0.35">
      <c r="B262" s="45">
        <f t="shared" si="3"/>
        <v>257</v>
      </c>
      <c r="C262" s="125"/>
      <c r="D262" s="125"/>
      <c r="E262" s="124" t="s">
        <v>448</v>
      </c>
      <c r="F262" s="52" t="s">
        <v>449</v>
      </c>
      <c r="G262" s="52"/>
      <c r="H262" s="52" t="s">
        <v>1011</v>
      </c>
      <c r="I262" s="52" t="s">
        <v>51</v>
      </c>
      <c r="J262" s="52"/>
      <c r="K262" s="35" t="s">
        <v>51</v>
      </c>
      <c r="L262" s="30"/>
    </row>
    <row r="263" spans="1:13" x14ac:dyDescent="0.35">
      <c r="B263" s="45">
        <f t="shared" si="3"/>
        <v>258</v>
      </c>
      <c r="C263" s="125"/>
      <c r="D263" s="125"/>
      <c r="E263" s="125"/>
      <c r="F263" s="52" t="s">
        <v>450</v>
      </c>
      <c r="G263" s="52" t="s">
        <v>400</v>
      </c>
      <c r="H263" s="52" t="s">
        <v>1016</v>
      </c>
      <c r="I263" s="52" t="s">
        <v>51</v>
      </c>
      <c r="J263" s="52"/>
      <c r="K263" s="35" t="s">
        <v>51</v>
      </c>
      <c r="L263" s="30"/>
    </row>
    <row r="264" spans="1:13" ht="27" x14ac:dyDescent="0.35">
      <c r="B264" s="45">
        <f t="shared" si="3"/>
        <v>259</v>
      </c>
      <c r="C264" s="125"/>
      <c r="D264" s="125"/>
      <c r="E264" s="125"/>
      <c r="F264" s="52" t="s">
        <v>451</v>
      </c>
      <c r="G264" s="52"/>
      <c r="H264" s="51" t="s">
        <v>45</v>
      </c>
      <c r="I264" s="52" t="s">
        <v>46</v>
      </c>
      <c r="J264" s="52"/>
      <c r="K264" s="35" t="s">
        <v>780</v>
      </c>
      <c r="L264" s="30"/>
    </row>
    <row r="265" spans="1:13" ht="27" x14ac:dyDescent="0.35">
      <c r="B265" s="45">
        <f t="shared" si="3"/>
        <v>260</v>
      </c>
      <c r="C265" s="125"/>
      <c r="D265" s="125"/>
      <c r="E265" s="124" t="s">
        <v>452</v>
      </c>
      <c r="F265" s="52" t="s">
        <v>453</v>
      </c>
      <c r="G265" s="52"/>
      <c r="H265" s="51" t="s">
        <v>45</v>
      </c>
      <c r="I265" s="52" t="s">
        <v>46</v>
      </c>
      <c r="J265" s="52"/>
      <c r="K265" s="35" t="s">
        <v>780</v>
      </c>
      <c r="L265" s="243" t="s">
        <v>1322</v>
      </c>
    </row>
    <row r="266" spans="1:13" ht="135" x14ac:dyDescent="0.35">
      <c r="B266" s="45">
        <f t="shared" si="3"/>
        <v>261</v>
      </c>
      <c r="C266" s="125"/>
      <c r="D266" s="125"/>
      <c r="E266" s="124" t="s">
        <v>454</v>
      </c>
      <c r="F266" s="52" t="s">
        <v>455</v>
      </c>
      <c r="G266" s="52" t="s">
        <v>456</v>
      </c>
      <c r="H266" s="52" t="s">
        <v>457</v>
      </c>
      <c r="I266" s="52" t="s">
        <v>458</v>
      </c>
      <c r="J266" s="52"/>
      <c r="K266" s="35" t="s">
        <v>457</v>
      </c>
      <c r="L266" s="243" t="s">
        <v>1322</v>
      </c>
    </row>
    <row r="267" spans="1:13" ht="27" x14ac:dyDescent="0.35">
      <c r="B267" s="45">
        <f t="shared" si="3"/>
        <v>262</v>
      </c>
      <c r="C267" s="125"/>
      <c r="D267" s="125"/>
      <c r="E267" s="124" t="s">
        <v>459</v>
      </c>
      <c r="F267" s="52" t="s">
        <v>460</v>
      </c>
      <c r="G267" s="52" t="s">
        <v>461</v>
      </c>
      <c r="H267" s="52" t="s">
        <v>45</v>
      </c>
      <c r="I267" s="52" t="s">
        <v>46</v>
      </c>
      <c r="J267" s="72"/>
      <c r="K267" s="35" t="s">
        <v>47</v>
      </c>
      <c r="L267" s="243" t="s">
        <v>1322</v>
      </c>
      <c r="M267" s="134"/>
    </row>
    <row r="268" spans="1:13" ht="135" x14ac:dyDescent="0.35">
      <c r="A268" s="87" t="s">
        <v>1120</v>
      </c>
      <c r="B268" s="45">
        <f t="shared" si="3"/>
        <v>263</v>
      </c>
      <c r="C268" s="125"/>
      <c r="D268" s="125"/>
      <c r="E268" s="124" t="s">
        <v>1150</v>
      </c>
      <c r="F268" s="52" t="s">
        <v>1152</v>
      </c>
      <c r="G268" s="52" t="s">
        <v>1151</v>
      </c>
      <c r="H268" s="52" t="s">
        <v>45</v>
      </c>
      <c r="I268" s="52" t="s">
        <v>812</v>
      </c>
      <c r="J268" s="72"/>
      <c r="K268" s="35" t="s">
        <v>63</v>
      </c>
      <c r="L268" s="243" t="s">
        <v>1322</v>
      </c>
      <c r="M268" s="134"/>
    </row>
    <row r="269" spans="1:13" ht="175.5" x14ac:dyDescent="0.35">
      <c r="A269" s="87" t="s">
        <v>1120</v>
      </c>
      <c r="B269" s="45">
        <f t="shared" si="3"/>
        <v>264</v>
      </c>
      <c r="C269" s="125"/>
      <c r="D269" s="125"/>
      <c r="E269" s="55"/>
      <c r="F269" s="52" t="s">
        <v>1154</v>
      </c>
      <c r="G269" s="52" t="s">
        <v>1153</v>
      </c>
      <c r="H269" s="52" t="s">
        <v>45</v>
      </c>
      <c r="I269" s="52" t="s">
        <v>812</v>
      </c>
      <c r="J269" s="72"/>
      <c r="K269" s="35" t="s">
        <v>63</v>
      </c>
      <c r="L269" s="243" t="s">
        <v>1322</v>
      </c>
      <c r="M269" s="134"/>
    </row>
    <row r="270" spans="1:13" ht="148.5" x14ac:dyDescent="0.35">
      <c r="B270" s="45">
        <f t="shared" si="3"/>
        <v>265</v>
      </c>
      <c r="C270" s="125"/>
      <c r="D270" s="125"/>
      <c r="E270" s="124" t="s">
        <v>867</v>
      </c>
      <c r="F270" s="52" t="s">
        <v>868</v>
      </c>
      <c r="G270" s="52" t="s">
        <v>869</v>
      </c>
      <c r="H270" s="52" t="s">
        <v>45</v>
      </c>
      <c r="I270" s="52" t="s">
        <v>812</v>
      </c>
      <c r="J270" s="72"/>
      <c r="K270" s="35" t="s">
        <v>63</v>
      </c>
      <c r="L270" s="243" t="s">
        <v>1322</v>
      </c>
      <c r="M270" s="134"/>
    </row>
    <row r="271" spans="1:13" ht="40.5" x14ac:dyDescent="0.35">
      <c r="B271" s="45">
        <f t="shared" si="3"/>
        <v>266</v>
      </c>
      <c r="C271" s="125"/>
      <c r="D271" s="125"/>
      <c r="E271" s="55"/>
      <c r="F271" s="52" t="s">
        <v>1156</v>
      </c>
      <c r="G271" s="52" t="s">
        <v>1155</v>
      </c>
      <c r="H271" s="52" t="s">
        <v>45</v>
      </c>
      <c r="I271" s="52" t="s">
        <v>46</v>
      </c>
      <c r="J271" s="72"/>
      <c r="K271" s="35" t="s">
        <v>47</v>
      </c>
      <c r="L271" s="243" t="s">
        <v>1322</v>
      </c>
      <c r="M271" s="134"/>
    </row>
    <row r="272" spans="1:13" ht="27" x14ac:dyDescent="0.35">
      <c r="B272" s="45">
        <f t="shared" si="3"/>
        <v>267</v>
      </c>
      <c r="C272" s="124" t="s">
        <v>462</v>
      </c>
      <c r="D272" s="124" t="s">
        <v>463</v>
      </c>
      <c r="E272" s="124" t="s">
        <v>464</v>
      </c>
      <c r="F272" s="52" t="s">
        <v>403</v>
      </c>
      <c r="G272" s="52"/>
      <c r="H272" s="52" t="s">
        <v>1017</v>
      </c>
      <c r="I272" s="52" t="s">
        <v>51</v>
      </c>
      <c r="J272" s="52"/>
      <c r="K272" s="35" t="s">
        <v>51</v>
      </c>
      <c r="L272" s="243" t="s">
        <v>1281</v>
      </c>
    </row>
    <row r="273" spans="2:12" ht="27" x14ac:dyDescent="0.35">
      <c r="B273" s="45">
        <f t="shared" si="3"/>
        <v>268</v>
      </c>
      <c r="C273" s="125"/>
      <c r="D273" s="125"/>
      <c r="E273" s="125"/>
      <c r="F273" s="52" t="s">
        <v>465</v>
      </c>
      <c r="G273" s="52"/>
      <c r="H273" s="52" t="s">
        <v>1017</v>
      </c>
      <c r="I273" s="52" t="s">
        <v>51</v>
      </c>
      <c r="J273" s="52"/>
      <c r="K273" s="35" t="s">
        <v>51</v>
      </c>
      <c r="L273" s="243" t="s">
        <v>1281</v>
      </c>
    </row>
    <row r="274" spans="2:12" ht="27" x14ac:dyDescent="0.35">
      <c r="B274" s="45">
        <f t="shared" si="3"/>
        <v>269</v>
      </c>
      <c r="C274" s="125"/>
      <c r="D274" s="125"/>
      <c r="E274" s="125"/>
      <c r="F274" s="52" t="s">
        <v>466</v>
      </c>
      <c r="G274" s="52"/>
      <c r="H274" s="52" t="s">
        <v>1017</v>
      </c>
      <c r="I274" s="52" t="s">
        <v>51</v>
      </c>
      <c r="J274" s="52"/>
      <c r="K274" s="35" t="s">
        <v>51</v>
      </c>
      <c r="L274" s="243" t="s">
        <v>1281</v>
      </c>
    </row>
    <row r="275" spans="2:12" ht="27" x14ac:dyDescent="0.35">
      <c r="B275" s="45">
        <f t="shared" si="3"/>
        <v>270</v>
      </c>
      <c r="C275" s="125"/>
      <c r="D275" s="125"/>
      <c r="E275" s="125"/>
      <c r="F275" s="52" t="s">
        <v>467</v>
      </c>
      <c r="G275" s="52"/>
      <c r="H275" s="52" t="s">
        <v>1017</v>
      </c>
      <c r="I275" s="52" t="s">
        <v>51</v>
      </c>
      <c r="J275" s="52"/>
      <c r="K275" s="35" t="s">
        <v>51</v>
      </c>
      <c r="L275" s="243" t="s">
        <v>1281</v>
      </c>
    </row>
    <row r="276" spans="2:12" ht="27" x14ac:dyDescent="0.35">
      <c r="B276" s="45">
        <f t="shared" si="3"/>
        <v>271</v>
      </c>
      <c r="C276" s="125"/>
      <c r="D276" s="125"/>
      <c r="E276" s="125"/>
      <c r="F276" s="52" t="s">
        <v>468</v>
      </c>
      <c r="G276" s="52"/>
      <c r="H276" s="52" t="s">
        <v>1017</v>
      </c>
      <c r="I276" s="52" t="s">
        <v>51</v>
      </c>
      <c r="J276" s="52"/>
      <c r="K276" s="35" t="s">
        <v>51</v>
      </c>
      <c r="L276" s="243" t="s">
        <v>1281</v>
      </c>
    </row>
    <row r="277" spans="2:12" ht="27" x14ac:dyDescent="0.35">
      <c r="B277" s="45">
        <f t="shared" si="3"/>
        <v>272</v>
      </c>
      <c r="C277" s="124" t="s">
        <v>870</v>
      </c>
      <c r="D277" s="124" t="s">
        <v>871</v>
      </c>
      <c r="E277" s="124" t="s">
        <v>872</v>
      </c>
      <c r="F277" s="52" t="s">
        <v>873</v>
      </c>
      <c r="G277" s="52"/>
      <c r="H277" s="51" t="s">
        <v>45</v>
      </c>
      <c r="I277" s="52" t="s">
        <v>46</v>
      </c>
      <c r="J277" s="52"/>
      <c r="K277" s="35" t="s">
        <v>1053</v>
      </c>
      <c r="L277" s="30"/>
    </row>
    <row r="278" spans="2:12" ht="27" x14ac:dyDescent="0.35">
      <c r="B278" s="45">
        <f t="shared" si="3"/>
        <v>273</v>
      </c>
      <c r="C278" s="125"/>
      <c r="D278" s="125"/>
      <c r="E278" s="125"/>
      <c r="F278" s="52" t="s">
        <v>874</v>
      </c>
      <c r="G278" s="52"/>
      <c r="H278" s="51" t="s">
        <v>45</v>
      </c>
      <c r="I278" s="52" t="s">
        <v>46</v>
      </c>
      <c r="J278" s="52"/>
      <c r="K278" s="35" t="s">
        <v>1053</v>
      </c>
      <c r="L278" s="30"/>
    </row>
    <row r="279" spans="2:12" ht="27" x14ac:dyDescent="0.35">
      <c r="B279" s="45">
        <f t="shared" si="3"/>
        <v>274</v>
      </c>
      <c r="C279" s="125"/>
      <c r="D279" s="125"/>
      <c r="E279" s="125"/>
      <c r="F279" s="52" t="s">
        <v>875</v>
      </c>
      <c r="G279" s="52"/>
      <c r="H279" s="51" t="s">
        <v>45</v>
      </c>
      <c r="I279" s="52" t="s">
        <v>46</v>
      </c>
      <c r="J279" s="52"/>
      <c r="K279" s="35" t="s">
        <v>1053</v>
      </c>
      <c r="L279" s="30"/>
    </row>
    <row r="280" spans="2:12" ht="27" x14ac:dyDescent="0.35">
      <c r="B280" s="45">
        <f t="shared" si="3"/>
        <v>275</v>
      </c>
      <c r="C280" s="125"/>
      <c r="D280" s="125"/>
      <c r="E280" s="125"/>
      <c r="F280" s="52" t="s">
        <v>876</v>
      </c>
      <c r="G280" s="52"/>
      <c r="H280" s="51" t="s">
        <v>45</v>
      </c>
      <c r="I280" s="52" t="s">
        <v>46</v>
      </c>
      <c r="J280" s="52"/>
      <c r="K280" s="35" t="s">
        <v>1053</v>
      </c>
      <c r="L280" s="30"/>
    </row>
    <row r="281" spans="2:12" ht="27" x14ac:dyDescent="0.35">
      <c r="B281" s="45">
        <f t="shared" si="3"/>
        <v>276</v>
      </c>
      <c r="C281" s="125"/>
      <c r="D281" s="125"/>
      <c r="E281" s="125"/>
      <c r="F281" s="52" t="s">
        <v>877</v>
      </c>
      <c r="G281" s="52"/>
      <c r="H281" s="51" t="s">
        <v>45</v>
      </c>
      <c r="I281" s="52" t="s">
        <v>46</v>
      </c>
      <c r="J281" s="52"/>
      <c r="K281" s="35" t="s">
        <v>1053</v>
      </c>
      <c r="L281" s="30"/>
    </row>
    <row r="282" spans="2:12" ht="27" x14ac:dyDescent="0.35">
      <c r="B282" s="45">
        <f t="shared" si="3"/>
        <v>277</v>
      </c>
      <c r="C282" s="125"/>
      <c r="D282" s="125"/>
      <c r="E282" s="125"/>
      <c r="F282" s="52" t="s">
        <v>878</v>
      </c>
      <c r="G282" s="52"/>
      <c r="H282" s="51" t="s">
        <v>45</v>
      </c>
      <c r="I282" s="52" t="s">
        <v>46</v>
      </c>
      <c r="J282" s="52"/>
      <c r="K282" s="35" t="s">
        <v>1053</v>
      </c>
      <c r="L282" s="30"/>
    </row>
    <row r="283" spans="2:12" ht="27" x14ac:dyDescent="0.35">
      <c r="B283" s="45">
        <f t="shared" si="3"/>
        <v>278</v>
      </c>
      <c r="C283" s="125"/>
      <c r="D283" s="125"/>
      <c r="E283" s="125"/>
      <c r="F283" s="52" t="s">
        <v>879</v>
      </c>
      <c r="G283" s="52"/>
      <c r="H283" s="51" t="s">
        <v>45</v>
      </c>
      <c r="I283" s="52" t="s">
        <v>46</v>
      </c>
      <c r="J283" s="52"/>
      <c r="K283" s="35" t="s">
        <v>1053</v>
      </c>
      <c r="L283" s="30"/>
    </row>
    <row r="284" spans="2:12" ht="27" x14ac:dyDescent="0.35">
      <c r="B284" s="45">
        <f t="shared" si="3"/>
        <v>279</v>
      </c>
      <c r="C284" s="125"/>
      <c r="D284" s="125"/>
      <c r="E284" s="125"/>
      <c r="F284" s="52" t="s">
        <v>880</v>
      </c>
      <c r="G284" s="52"/>
      <c r="H284" s="51" t="s">
        <v>45</v>
      </c>
      <c r="I284" s="52" t="s">
        <v>46</v>
      </c>
      <c r="J284" s="52"/>
      <c r="K284" s="35" t="s">
        <v>1053</v>
      </c>
      <c r="L284" s="30"/>
    </row>
    <row r="285" spans="2:12" ht="27" x14ac:dyDescent="0.35">
      <c r="B285" s="45">
        <f t="shared" si="3"/>
        <v>280</v>
      </c>
      <c r="C285" s="125"/>
      <c r="D285" s="125"/>
      <c r="E285" s="125"/>
      <c r="F285" s="52" t="s">
        <v>521</v>
      </c>
      <c r="G285" s="52"/>
      <c r="H285" s="51" t="s">
        <v>45</v>
      </c>
      <c r="I285" s="52" t="s">
        <v>46</v>
      </c>
      <c r="J285" s="52"/>
      <c r="K285" s="35" t="s">
        <v>1053</v>
      </c>
      <c r="L285" s="30"/>
    </row>
    <row r="286" spans="2:12" ht="27" x14ac:dyDescent="0.35">
      <c r="B286" s="45">
        <f t="shared" si="3"/>
        <v>281</v>
      </c>
      <c r="C286" s="125"/>
      <c r="D286" s="125"/>
      <c r="E286" s="125"/>
      <c r="F286" s="52" t="s">
        <v>881</v>
      </c>
      <c r="G286" s="52"/>
      <c r="H286" s="51" t="s">
        <v>45</v>
      </c>
      <c r="I286" s="52" t="s">
        <v>46</v>
      </c>
      <c r="J286" s="52"/>
      <c r="K286" s="35" t="s">
        <v>1053</v>
      </c>
      <c r="L286" s="30"/>
    </row>
    <row r="287" spans="2:12" ht="27" x14ac:dyDescent="0.35">
      <c r="B287" s="45">
        <f t="shared" si="3"/>
        <v>282</v>
      </c>
      <c r="C287" s="125"/>
      <c r="D287" s="125"/>
      <c r="E287" s="125"/>
      <c r="F287" s="52" t="s">
        <v>882</v>
      </c>
      <c r="G287" s="52"/>
      <c r="H287" s="51" t="s">
        <v>45</v>
      </c>
      <c r="I287" s="52" t="s">
        <v>46</v>
      </c>
      <c r="J287" s="52"/>
      <c r="K287" s="35" t="s">
        <v>1053</v>
      </c>
      <c r="L287" s="30"/>
    </row>
    <row r="288" spans="2:12" ht="27" x14ac:dyDescent="0.35">
      <c r="B288" s="45">
        <f t="shared" si="3"/>
        <v>283</v>
      </c>
      <c r="C288" s="125"/>
      <c r="D288" s="125"/>
      <c r="E288" s="125"/>
      <c r="F288" s="52" t="s">
        <v>883</v>
      </c>
      <c r="G288" s="52"/>
      <c r="H288" s="51" t="s">
        <v>45</v>
      </c>
      <c r="I288" s="52" t="s">
        <v>46</v>
      </c>
      <c r="J288" s="52"/>
      <c r="K288" s="35" t="s">
        <v>1053</v>
      </c>
      <c r="L288" s="30"/>
    </row>
    <row r="289" spans="2:12" ht="27" x14ac:dyDescent="0.35">
      <c r="B289" s="45">
        <f t="shared" si="3"/>
        <v>284</v>
      </c>
      <c r="C289" s="125"/>
      <c r="D289" s="125"/>
      <c r="E289" s="125"/>
      <c r="F289" s="52" t="s">
        <v>884</v>
      </c>
      <c r="G289" s="52"/>
      <c r="H289" s="51" t="s">
        <v>45</v>
      </c>
      <c r="I289" s="52" t="s">
        <v>46</v>
      </c>
      <c r="J289" s="52"/>
      <c r="K289" s="35" t="s">
        <v>1053</v>
      </c>
      <c r="L289" s="30"/>
    </row>
    <row r="290" spans="2:12" ht="27" x14ac:dyDescent="0.35">
      <c r="B290" s="45">
        <f t="shared" si="3"/>
        <v>285</v>
      </c>
      <c r="C290" s="125"/>
      <c r="D290" s="125"/>
      <c r="E290" s="125"/>
      <c r="F290" s="52" t="s">
        <v>885</v>
      </c>
      <c r="G290" s="52"/>
      <c r="H290" s="51" t="s">
        <v>45</v>
      </c>
      <c r="I290" s="52" t="s">
        <v>46</v>
      </c>
      <c r="J290" s="52"/>
      <c r="K290" s="35" t="s">
        <v>1053</v>
      </c>
      <c r="L290" s="30"/>
    </row>
    <row r="291" spans="2:12" ht="27" x14ac:dyDescent="0.35">
      <c r="B291" s="45">
        <f t="shared" si="3"/>
        <v>286</v>
      </c>
      <c r="C291" s="125"/>
      <c r="D291" s="125"/>
      <c r="E291" s="124" t="s">
        <v>886</v>
      </c>
      <c r="F291" s="52" t="s">
        <v>873</v>
      </c>
      <c r="G291" s="52"/>
      <c r="H291" s="51" t="s">
        <v>45</v>
      </c>
      <c r="I291" s="52" t="s">
        <v>46</v>
      </c>
      <c r="J291" s="52"/>
      <c r="K291" s="35" t="s">
        <v>1053</v>
      </c>
      <c r="L291" s="30"/>
    </row>
    <row r="292" spans="2:12" ht="27" x14ac:dyDescent="0.35">
      <c r="B292" s="45">
        <f t="shared" si="3"/>
        <v>287</v>
      </c>
      <c r="C292" s="125"/>
      <c r="D292" s="125"/>
      <c r="E292" s="125"/>
      <c r="F292" s="52" t="s">
        <v>874</v>
      </c>
      <c r="G292" s="52"/>
      <c r="H292" s="51" t="s">
        <v>45</v>
      </c>
      <c r="I292" s="52" t="s">
        <v>46</v>
      </c>
      <c r="J292" s="52"/>
      <c r="K292" s="35" t="s">
        <v>1053</v>
      </c>
      <c r="L292" s="30"/>
    </row>
    <row r="293" spans="2:12" ht="27" x14ac:dyDescent="0.35">
      <c r="B293" s="45">
        <f t="shared" si="3"/>
        <v>288</v>
      </c>
      <c r="C293" s="125"/>
      <c r="D293" s="125"/>
      <c r="E293" s="125"/>
      <c r="F293" s="52" t="s">
        <v>875</v>
      </c>
      <c r="G293" s="52"/>
      <c r="H293" s="51" t="s">
        <v>45</v>
      </c>
      <c r="I293" s="52" t="s">
        <v>46</v>
      </c>
      <c r="J293" s="52"/>
      <c r="K293" s="35" t="s">
        <v>1053</v>
      </c>
      <c r="L293" s="30"/>
    </row>
    <row r="294" spans="2:12" ht="27" x14ac:dyDescent="0.35">
      <c r="B294" s="45">
        <f t="shared" si="3"/>
        <v>289</v>
      </c>
      <c r="C294" s="125"/>
      <c r="D294" s="125"/>
      <c r="E294" s="125"/>
      <c r="F294" s="52" t="s">
        <v>876</v>
      </c>
      <c r="G294" s="52"/>
      <c r="H294" s="51" t="s">
        <v>45</v>
      </c>
      <c r="I294" s="52" t="s">
        <v>46</v>
      </c>
      <c r="J294" s="52"/>
      <c r="K294" s="35" t="s">
        <v>1053</v>
      </c>
      <c r="L294" s="30"/>
    </row>
    <row r="295" spans="2:12" ht="27" x14ac:dyDescent="0.35">
      <c r="B295" s="45">
        <f t="shared" si="3"/>
        <v>290</v>
      </c>
      <c r="C295" s="125"/>
      <c r="D295" s="125"/>
      <c r="E295" s="125"/>
      <c r="F295" s="52" t="s">
        <v>877</v>
      </c>
      <c r="G295" s="52"/>
      <c r="H295" s="51" t="s">
        <v>45</v>
      </c>
      <c r="I295" s="52" t="s">
        <v>46</v>
      </c>
      <c r="J295" s="52"/>
      <c r="K295" s="35" t="s">
        <v>1053</v>
      </c>
      <c r="L295" s="30"/>
    </row>
    <row r="296" spans="2:12" ht="27" x14ac:dyDescent="0.35">
      <c r="B296" s="45">
        <f t="shared" si="3"/>
        <v>291</v>
      </c>
      <c r="C296" s="125"/>
      <c r="D296" s="125"/>
      <c r="E296" s="125"/>
      <c r="F296" s="52" t="s">
        <v>878</v>
      </c>
      <c r="G296" s="52"/>
      <c r="H296" s="51" t="s">
        <v>45</v>
      </c>
      <c r="I296" s="52" t="s">
        <v>46</v>
      </c>
      <c r="J296" s="52"/>
      <c r="K296" s="35" t="s">
        <v>1053</v>
      </c>
      <c r="L296" s="30"/>
    </row>
    <row r="297" spans="2:12" ht="27" x14ac:dyDescent="0.35">
      <c r="B297" s="45">
        <f t="shared" si="3"/>
        <v>292</v>
      </c>
      <c r="C297" s="125"/>
      <c r="D297" s="125"/>
      <c r="E297" s="125"/>
      <c r="F297" s="52" t="s">
        <v>879</v>
      </c>
      <c r="G297" s="52"/>
      <c r="H297" s="51" t="s">
        <v>45</v>
      </c>
      <c r="I297" s="52" t="s">
        <v>46</v>
      </c>
      <c r="J297" s="52"/>
      <c r="K297" s="35" t="s">
        <v>1053</v>
      </c>
      <c r="L297" s="30"/>
    </row>
    <row r="298" spans="2:12" ht="27" x14ac:dyDescent="0.35">
      <c r="B298" s="45">
        <f t="shared" si="3"/>
        <v>293</v>
      </c>
      <c r="C298" s="125"/>
      <c r="D298" s="125"/>
      <c r="E298" s="125"/>
      <c r="F298" s="52" t="s">
        <v>880</v>
      </c>
      <c r="G298" s="52"/>
      <c r="H298" s="51" t="s">
        <v>45</v>
      </c>
      <c r="I298" s="52" t="s">
        <v>46</v>
      </c>
      <c r="J298" s="52"/>
      <c r="K298" s="35" t="s">
        <v>1053</v>
      </c>
      <c r="L298" s="30"/>
    </row>
    <row r="299" spans="2:12" ht="27" x14ac:dyDescent="0.35">
      <c r="B299" s="45">
        <f t="shared" si="3"/>
        <v>294</v>
      </c>
      <c r="C299" s="125"/>
      <c r="D299" s="125"/>
      <c r="E299" s="125"/>
      <c r="F299" s="52" t="s">
        <v>521</v>
      </c>
      <c r="G299" s="52"/>
      <c r="H299" s="51" t="s">
        <v>45</v>
      </c>
      <c r="I299" s="52" t="s">
        <v>46</v>
      </c>
      <c r="J299" s="52"/>
      <c r="K299" s="35" t="s">
        <v>1053</v>
      </c>
      <c r="L299" s="30"/>
    </row>
    <row r="300" spans="2:12" ht="27" x14ac:dyDescent="0.35">
      <c r="B300" s="45">
        <f t="shared" si="3"/>
        <v>295</v>
      </c>
      <c r="C300" s="125"/>
      <c r="D300" s="125"/>
      <c r="E300" s="125"/>
      <c r="F300" s="52" t="s">
        <v>881</v>
      </c>
      <c r="G300" s="52"/>
      <c r="H300" s="51" t="s">
        <v>45</v>
      </c>
      <c r="I300" s="52" t="s">
        <v>46</v>
      </c>
      <c r="J300" s="52"/>
      <c r="K300" s="35" t="s">
        <v>1053</v>
      </c>
      <c r="L300" s="30"/>
    </row>
    <row r="301" spans="2:12" ht="27" x14ac:dyDescent="0.35">
      <c r="B301" s="45">
        <f t="shared" si="3"/>
        <v>296</v>
      </c>
      <c r="C301" s="125"/>
      <c r="D301" s="125"/>
      <c r="E301" s="125"/>
      <c r="F301" s="52" t="s">
        <v>882</v>
      </c>
      <c r="G301" s="52"/>
      <c r="H301" s="51" t="s">
        <v>45</v>
      </c>
      <c r="I301" s="52" t="s">
        <v>46</v>
      </c>
      <c r="J301" s="52"/>
      <c r="K301" s="35" t="s">
        <v>1053</v>
      </c>
      <c r="L301" s="30"/>
    </row>
    <row r="302" spans="2:12" ht="27" x14ac:dyDescent="0.35">
      <c r="B302" s="45">
        <f t="shared" si="3"/>
        <v>297</v>
      </c>
      <c r="C302" s="125"/>
      <c r="D302" s="125"/>
      <c r="E302" s="125"/>
      <c r="F302" s="52" t="s">
        <v>883</v>
      </c>
      <c r="G302" s="52"/>
      <c r="H302" s="51" t="s">
        <v>45</v>
      </c>
      <c r="I302" s="52" t="s">
        <v>46</v>
      </c>
      <c r="J302" s="52"/>
      <c r="K302" s="35" t="s">
        <v>1053</v>
      </c>
      <c r="L302" s="30"/>
    </row>
    <row r="303" spans="2:12" ht="27" x14ac:dyDescent="0.35">
      <c r="B303" s="45">
        <f t="shared" si="3"/>
        <v>298</v>
      </c>
      <c r="C303" s="125"/>
      <c r="D303" s="125"/>
      <c r="E303" s="125"/>
      <c r="F303" s="52" t="s">
        <v>884</v>
      </c>
      <c r="G303" s="52"/>
      <c r="H303" s="51" t="s">
        <v>45</v>
      </c>
      <c r="I303" s="52" t="s">
        <v>46</v>
      </c>
      <c r="J303" s="52"/>
      <c r="K303" s="35" t="s">
        <v>1053</v>
      </c>
      <c r="L303" s="30"/>
    </row>
    <row r="304" spans="2:12" ht="27" x14ac:dyDescent="0.35">
      <c r="B304" s="45">
        <f t="shared" si="3"/>
        <v>299</v>
      </c>
      <c r="C304" s="125"/>
      <c r="D304" s="125"/>
      <c r="E304" s="125"/>
      <c r="F304" s="52" t="s">
        <v>885</v>
      </c>
      <c r="G304" s="52"/>
      <c r="H304" s="51" t="s">
        <v>45</v>
      </c>
      <c r="I304" s="52" t="s">
        <v>46</v>
      </c>
      <c r="J304" s="52"/>
      <c r="K304" s="35" t="s">
        <v>1053</v>
      </c>
      <c r="L304" s="30"/>
    </row>
    <row r="305" spans="2:12" ht="27" x14ac:dyDescent="0.35">
      <c r="B305" s="45">
        <f t="shared" si="3"/>
        <v>300</v>
      </c>
      <c r="C305" s="124" t="s">
        <v>469</v>
      </c>
      <c r="D305" s="124" t="s">
        <v>470</v>
      </c>
      <c r="E305" s="124" t="s">
        <v>471</v>
      </c>
      <c r="F305" s="52" t="s">
        <v>472</v>
      </c>
      <c r="G305" s="52"/>
      <c r="H305" s="51" t="s">
        <v>45</v>
      </c>
      <c r="I305" s="52" t="s">
        <v>46</v>
      </c>
      <c r="J305" s="52"/>
      <c r="K305" s="35" t="s">
        <v>780</v>
      </c>
      <c r="L305" s="243" t="s">
        <v>1281</v>
      </c>
    </row>
    <row r="306" spans="2:12" ht="94.5" x14ac:dyDescent="0.35">
      <c r="B306" s="45">
        <f t="shared" si="3"/>
        <v>301</v>
      </c>
      <c r="C306" s="125"/>
      <c r="D306" s="125"/>
      <c r="E306" s="125"/>
      <c r="F306" s="52" t="s">
        <v>473</v>
      </c>
      <c r="G306" s="52"/>
      <c r="H306" s="51" t="s">
        <v>474</v>
      </c>
      <c r="I306" s="52" t="s">
        <v>475</v>
      </c>
      <c r="J306" s="52"/>
      <c r="K306" s="35" t="s">
        <v>475</v>
      </c>
      <c r="L306" s="243" t="s">
        <v>1281</v>
      </c>
    </row>
    <row r="307" spans="2:12" ht="27" x14ac:dyDescent="0.35">
      <c r="B307" s="45">
        <f t="shared" si="3"/>
        <v>302</v>
      </c>
      <c r="C307" s="125"/>
      <c r="D307" s="125"/>
      <c r="E307" s="124" t="s">
        <v>476</v>
      </c>
      <c r="F307" s="52" t="s">
        <v>477</v>
      </c>
      <c r="G307" s="52"/>
      <c r="H307" s="52" t="s">
        <v>1012</v>
      </c>
      <c r="I307" s="52" t="s">
        <v>51</v>
      </c>
      <c r="J307" s="52"/>
      <c r="K307" s="35" t="s">
        <v>51</v>
      </c>
      <c r="L307" s="243" t="s">
        <v>1281</v>
      </c>
    </row>
    <row r="308" spans="2:12" ht="27" x14ac:dyDescent="0.35">
      <c r="B308" s="45">
        <f t="shared" si="3"/>
        <v>303</v>
      </c>
      <c r="C308" s="125"/>
      <c r="D308" s="125"/>
      <c r="E308" s="125"/>
      <c r="F308" s="52" t="s">
        <v>478</v>
      </c>
      <c r="G308" s="52"/>
      <c r="H308" s="52" t="s">
        <v>1012</v>
      </c>
      <c r="I308" s="52" t="s">
        <v>51</v>
      </c>
      <c r="J308" s="52"/>
      <c r="K308" s="35" t="s">
        <v>51</v>
      </c>
      <c r="L308" s="243" t="s">
        <v>1281</v>
      </c>
    </row>
    <row r="309" spans="2:12" ht="27" x14ac:dyDescent="0.35">
      <c r="B309" s="45">
        <f t="shared" si="3"/>
        <v>304</v>
      </c>
      <c r="C309" s="125"/>
      <c r="D309" s="125"/>
      <c r="E309" s="125"/>
      <c r="F309" s="52" t="s">
        <v>479</v>
      </c>
      <c r="G309" s="52"/>
      <c r="H309" s="52" t="s">
        <v>1003</v>
      </c>
      <c r="I309" s="52" t="s">
        <v>51</v>
      </c>
      <c r="J309" s="52"/>
      <c r="K309" s="35" t="s">
        <v>51</v>
      </c>
      <c r="L309" s="243" t="s">
        <v>1281</v>
      </c>
    </row>
    <row r="310" spans="2:12" ht="27" x14ac:dyDescent="0.35">
      <c r="B310" s="45">
        <f t="shared" si="3"/>
        <v>305</v>
      </c>
      <c r="C310" s="125"/>
      <c r="D310" s="125"/>
      <c r="E310" s="125"/>
      <c r="F310" s="52" t="s">
        <v>480</v>
      </c>
      <c r="G310" s="52"/>
      <c r="H310" s="52" t="s">
        <v>1012</v>
      </c>
      <c r="I310" s="52" t="s">
        <v>51</v>
      </c>
      <c r="J310" s="52"/>
      <c r="K310" s="35" t="s">
        <v>51</v>
      </c>
      <c r="L310" s="243" t="s">
        <v>1281</v>
      </c>
    </row>
    <row r="311" spans="2:12" ht="27" x14ac:dyDescent="0.35">
      <c r="B311" s="45">
        <f t="shared" si="3"/>
        <v>306</v>
      </c>
      <c r="C311" s="125"/>
      <c r="D311" s="125"/>
      <c r="E311" s="125"/>
      <c r="F311" s="52" t="s">
        <v>481</v>
      </c>
      <c r="G311" s="52"/>
      <c r="H311" s="52" t="s">
        <v>1012</v>
      </c>
      <c r="I311" s="52" t="s">
        <v>51</v>
      </c>
      <c r="J311" s="52"/>
      <c r="K311" s="35" t="s">
        <v>51</v>
      </c>
      <c r="L311" s="243" t="s">
        <v>1281</v>
      </c>
    </row>
    <row r="312" spans="2:12" ht="27" x14ac:dyDescent="0.35">
      <c r="B312" s="45">
        <f t="shared" si="3"/>
        <v>307</v>
      </c>
      <c r="C312" s="125"/>
      <c r="D312" s="125"/>
      <c r="E312" s="125"/>
      <c r="F312" s="52" t="s">
        <v>482</v>
      </c>
      <c r="G312" s="52"/>
      <c r="H312" s="52" t="s">
        <v>1012</v>
      </c>
      <c r="I312" s="52" t="s">
        <v>51</v>
      </c>
      <c r="J312" s="52"/>
      <c r="K312" s="35" t="s">
        <v>51</v>
      </c>
      <c r="L312" s="243" t="s">
        <v>1281</v>
      </c>
    </row>
    <row r="313" spans="2:12" ht="27" x14ac:dyDescent="0.35">
      <c r="B313" s="45">
        <f t="shared" si="3"/>
        <v>308</v>
      </c>
      <c r="C313" s="124" t="s">
        <v>483</v>
      </c>
      <c r="D313" s="124" t="s">
        <v>484</v>
      </c>
      <c r="E313" s="124"/>
      <c r="F313" s="52" t="s">
        <v>485</v>
      </c>
      <c r="G313" s="52"/>
      <c r="H313" s="51" t="s">
        <v>45</v>
      </c>
      <c r="I313" s="52" t="s">
        <v>46</v>
      </c>
      <c r="J313" s="52"/>
      <c r="K313" s="35" t="s">
        <v>780</v>
      </c>
      <c r="L313" s="243" t="s">
        <v>1281</v>
      </c>
    </row>
    <row r="314" spans="2:12" ht="27" x14ac:dyDescent="0.35">
      <c r="B314" s="45">
        <f t="shared" si="3"/>
        <v>309</v>
      </c>
      <c r="C314" s="125"/>
      <c r="D314" s="125"/>
      <c r="E314" s="125"/>
      <c r="F314" s="52" t="s">
        <v>486</v>
      </c>
      <c r="G314" s="52"/>
      <c r="H314" s="51" t="s">
        <v>107</v>
      </c>
      <c r="I314" s="56">
        <v>0</v>
      </c>
      <c r="J314" s="47" t="s">
        <v>487</v>
      </c>
      <c r="K314" s="35">
        <v>0</v>
      </c>
      <c r="L314" s="243" t="s">
        <v>1281</v>
      </c>
    </row>
    <row r="315" spans="2:12" ht="54" x14ac:dyDescent="0.35">
      <c r="B315" s="45">
        <f t="shared" ref="B315:B323" si="4">ROW() - 5</f>
        <v>310</v>
      </c>
      <c r="C315" s="125"/>
      <c r="D315" s="125"/>
      <c r="E315" s="125"/>
      <c r="F315" s="52" t="s">
        <v>488</v>
      </c>
      <c r="G315" s="52"/>
      <c r="H315" s="51" t="s">
        <v>107</v>
      </c>
      <c r="I315" s="56">
        <v>0</v>
      </c>
      <c r="J315" s="47" t="s">
        <v>489</v>
      </c>
      <c r="K315" s="35">
        <v>0</v>
      </c>
      <c r="L315" s="243" t="s">
        <v>1281</v>
      </c>
    </row>
    <row r="316" spans="2:12" ht="27" x14ac:dyDescent="0.35">
      <c r="B316" s="45">
        <f t="shared" si="4"/>
        <v>311</v>
      </c>
      <c r="C316" s="125"/>
      <c r="D316" s="125"/>
      <c r="E316" s="125"/>
      <c r="F316" s="52" t="s">
        <v>490</v>
      </c>
      <c r="G316" s="52"/>
      <c r="H316" s="51" t="s">
        <v>491</v>
      </c>
      <c r="I316" s="56" t="s">
        <v>492</v>
      </c>
      <c r="J316" s="47" t="s">
        <v>487</v>
      </c>
      <c r="K316" s="35" t="s">
        <v>1157</v>
      </c>
      <c r="L316" s="243" t="s">
        <v>1281</v>
      </c>
    </row>
    <row r="317" spans="2:12" ht="27" x14ac:dyDescent="0.35">
      <c r="B317" s="45">
        <f t="shared" si="4"/>
        <v>312</v>
      </c>
      <c r="C317" s="124" t="s">
        <v>493</v>
      </c>
      <c r="D317" s="124" t="s">
        <v>494</v>
      </c>
      <c r="E317" s="124" t="s">
        <v>495</v>
      </c>
      <c r="F317" s="51" t="s">
        <v>25</v>
      </c>
      <c r="G317" s="51" t="s">
        <v>496</v>
      </c>
      <c r="H317" s="51" t="s">
        <v>30</v>
      </c>
      <c r="I317" s="52"/>
      <c r="J317" s="52"/>
      <c r="K317" s="35" t="s">
        <v>1055</v>
      </c>
      <c r="L317" s="30"/>
    </row>
    <row r="318" spans="2:12" ht="27" x14ac:dyDescent="0.35">
      <c r="B318" s="45">
        <f t="shared" si="4"/>
        <v>313</v>
      </c>
      <c r="C318" s="125"/>
      <c r="D318" s="125"/>
      <c r="E318" s="125"/>
      <c r="F318" s="51" t="s">
        <v>497</v>
      </c>
      <c r="G318" s="51" t="s">
        <v>498</v>
      </c>
      <c r="H318" s="51" t="s">
        <v>1018</v>
      </c>
      <c r="I318" s="52"/>
      <c r="J318" s="52"/>
      <c r="K318" s="35" t="s">
        <v>1054</v>
      </c>
      <c r="L318" s="30"/>
    </row>
    <row r="319" spans="2:12" ht="27" x14ac:dyDescent="0.35">
      <c r="B319" s="45">
        <f t="shared" si="4"/>
        <v>314</v>
      </c>
      <c r="C319" s="125"/>
      <c r="D319" s="125"/>
      <c r="E319" s="125"/>
      <c r="F319" s="51" t="s">
        <v>27</v>
      </c>
      <c r="G319" s="51" t="s">
        <v>499</v>
      </c>
      <c r="H319" s="51" t="s">
        <v>125</v>
      </c>
      <c r="I319" s="52"/>
      <c r="J319" s="52"/>
      <c r="K319" s="35" t="s">
        <v>1054</v>
      </c>
      <c r="L319" s="30"/>
    </row>
    <row r="320" spans="2:12" ht="27" x14ac:dyDescent="0.35">
      <c r="B320" s="45">
        <f t="shared" si="4"/>
        <v>315</v>
      </c>
      <c r="C320" s="125"/>
      <c r="D320" s="125"/>
      <c r="E320" s="125"/>
      <c r="F320" s="53" t="s">
        <v>28</v>
      </c>
      <c r="G320" s="51" t="s">
        <v>500</v>
      </c>
      <c r="H320" s="51" t="s">
        <v>125</v>
      </c>
      <c r="I320" s="52"/>
      <c r="J320" s="52"/>
      <c r="K320" s="35" t="s">
        <v>1054</v>
      </c>
      <c r="L320" s="30"/>
    </row>
    <row r="321" spans="2:12" ht="27" x14ac:dyDescent="0.35">
      <c r="B321" s="45">
        <f t="shared" si="4"/>
        <v>316</v>
      </c>
      <c r="C321" s="124" t="s">
        <v>501</v>
      </c>
      <c r="D321" s="124" t="s">
        <v>502</v>
      </c>
      <c r="E321" s="124" t="s">
        <v>503</v>
      </c>
      <c r="F321" s="51" t="s">
        <v>504</v>
      </c>
      <c r="G321" s="51"/>
      <c r="H321" s="51" t="s">
        <v>45</v>
      </c>
      <c r="I321" s="52" t="s">
        <v>46</v>
      </c>
      <c r="J321" s="52"/>
      <c r="K321" s="35" t="s">
        <v>780</v>
      </c>
      <c r="L321" s="243" t="s">
        <v>1281</v>
      </c>
    </row>
    <row r="322" spans="2:12" ht="40.5" x14ac:dyDescent="0.35">
      <c r="B322" s="45">
        <f t="shared" si="4"/>
        <v>317</v>
      </c>
      <c r="C322" s="125"/>
      <c r="D322" s="125"/>
      <c r="E322" s="124" t="s">
        <v>505</v>
      </c>
      <c r="F322" s="51" t="s">
        <v>505</v>
      </c>
      <c r="G322" s="51" t="s">
        <v>400</v>
      </c>
      <c r="H322" s="51" t="s">
        <v>1019</v>
      </c>
      <c r="I322" s="52" t="s">
        <v>51</v>
      </c>
      <c r="J322" s="52"/>
      <c r="K322" s="35" t="s">
        <v>51</v>
      </c>
      <c r="L322" s="243" t="s">
        <v>1281</v>
      </c>
    </row>
    <row r="323" spans="2:12" ht="67.5" x14ac:dyDescent="0.35">
      <c r="B323" s="45">
        <f t="shared" si="4"/>
        <v>318</v>
      </c>
      <c r="C323" s="54" t="s">
        <v>506</v>
      </c>
      <c r="D323" s="54" t="s">
        <v>507</v>
      </c>
      <c r="E323" s="54" t="s">
        <v>401</v>
      </c>
      <c r="F323" s="51" t="s">
        <v>508</v>
      </c>
      <c r="G323" s="51" t="s">
        <v>509</v>
      </c>
      <c r="H323" s="51" t="s">
        <v>45</v>
      </c>
      <c r="I323" s="52" t="s">
        <v>46</v>
      </c>
      <c r="J323" s="52"/>
      <c r="K323" s="35" t="s">
        <v>780</v>
      </c>
      <c r="L323" s="243" t="s">
        <v>1281</v>
      </c>
    </row>
  </sheetData>
  <mergeCells count="1">
    <mergeCell ref="E235:E236"/>
  </mergeCells>
  <phoneticPr fontId="13"/>
  <hyperlinks>
    <hyperlink ref="A4" location="パラメータ設定一覧!A1" display="パラメータ設定一覧へ" xr:uid="{A3D1B792-8362-41F5-82DB-693FDC10F325}"/>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FEEC-B20F-4B9E-B725-1C6D73134062}">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887</v>
      </c>
    </row>
    <row r="2" spans="1:4" customFormat="1" ht="15" x14ac:dyDescent="0.35"/>
    <row r="3" spans="1:4" customFormat="1" ht="15" x14ac:dyDescent="0.35">
      <c r="A3" s="36" t="s">
        <v>1104</v>
      </c>
    </row>
    <row r="4" spans="1:4" ht="15.75" customHeight="1" x14ac:dyDescent="0.35">
      <c r="B4" s="286" t="s">
        <v>24</v>
      </c>
      <c r="C4" s="15" t="s">
        <v>888</v>
      </c>
      <c r="D4" s="17"/>
    </row>
    <row r="5" spans="1:4" x14ac:dyDescent="0.35">
      <c r="B5" s="287"/>
      <c r="C5" s="138" t="s">
        <v>511</v>
      </c>
      <c r="D5" s="138" t="s">
        <v>512</v>
      </c>
    </row>
    <row r="6" spans="1:4" x14ac:dyDescent="0.35">
      <c r="B6" s="287"/>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2B9C591A-4A63-4336-8C7E-1CD084AE3F16}"/>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B628-418F-47C3-BFC8-D733CD8DEBD4}">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889</v>
      </c>
    </row>
    <row r="2" spans="1:4" customFormat="1" ht="15" x14ac:dyDescent="0.35"/>
    <row r="3" spans="1:4" customFormat="1" ht="15" x14ac:dyDescent="0.35">
      <c r="A3" s="36" t="s">
        <v>1104</v>
      </c>
    </row>
    <row r="4" spans="1:4" ht="15.75" customHeight="1" x14ac:dyDescent="0.35">
      <c r="B4" s="286" t="s">
        <v>24</v>
      </c>
      <c r="C4" s="15" t="s">
        <v>890</v>
      </c>
      <c r="D4" s="17"/>
    </row>
    <row r="5" spans="1:4" x14ac:dyDescent="0.35">
      <c r="B5" s="287"/>
      <c r="C5" s="138" t="s">
        <v>511</v>
      </c>
      <c r="D5" s="138" t="s">
        <v>512</v>
      </c>
    </row>
    <row r="6" spans="1:4" x14ac:dyDescent="0.35">
      <c r="B6" s="287"/>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C585D1D1-7B3C-4D5C-89BE-175F6765A864}"/>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1328-B37C-494E-B139-6975B42809A7}">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891</v>
      </c>
    </row>
    <row r="2" spans="1:4" customFormat="1" ht="15" x14ac:dyDescent="0.35"/>
    <row r="3" spans="1:4" customFormat="1" ht="15" x14ac:dyDescent="0.35">
      <c r="A3" s="36" t="s">
        <v>1104</v>
      </c>
    </row>
    <row r="4" spans="1:4" ht="15.75" customHeight="1" x14ac:dyDescent="0.35">
      <c r="B4" s="286" t="s">
        <v>24</v>
      </c>
      <c r="C4" s="15" t="s">
        <v>892</v>
      </c>
      <c r="D4" s="17"/>
    </row>
    <row r="5" spans="1:4" x14ac:dyDescent="0.35">
      <c r="B5" s="287"/>
      <c r="C5" s="138" t="s">
        <v>511</v>
      </c>
      <c r="D5" s="138" t="s">
        <v>512</v>
      </c>
    </row>
    <row r="6" spans="1:4" x14ac:dyDescent="0.35">
      <c r="B6" s="287"/>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F7BC58CA-6F3A-4641-8A29-42A489812B12}"/>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A1C2-BEDF-4C53-8B12-D5B0AE84D1E3}">
  <sheetPr>
    <pageSetUpPr fitToPage="1"/>
  </sheetPr>
  <dimension ref="A1:D39"/>
  <sheetViews>
    <sheetView showGridLines="0" zoomScaleNormal="100" zoomScaleSheetLayoutView="7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893</v>
      </c>
    </row>
    <row r="2" spans="1:4" customFormat="1" ht="15" x14ac:dyDescent="0.35"/>
    <row r="3" spans="1:4" customFormat="1" ht="15" x14ac:dyDescent="0.35">
      <c r="A3" s="36" t="s">
        <v>1104</v>
      </c>
    </row>
    <row r="4" spans="1:4" ht="15.75" customHeight="1" x14ac:dyDescent="0.35">
      <c r="B4" s="286" t="s">
        <v>24</v>
      </c>
      <c r="C4" s="15" t="s">
        <v>894</v>
      </c>
      <c r="D4" s="17"/>
    </row>
    <row r="5" spans="1:4" x14ac:dyDescent="0.35">
      <c r="B5" s="287"/>
      <c r="C5" s="138" t="s">
        <v>511</v>
      </c>
      <c r="D5" s="138" t="s">
        <v>512</v>
      </c>
    </row>
    <row r="6" spans="1:4" x14ac:dyDescent="0.35">
      <c r="B6" s="287"/>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3BEB2B5F-4244-4D59-8D1A-3509D5741D9F}"/>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D709-572A-4A5E-9F12-AC41A1DEA1C9}">
  <sheetPr>
    <pageSetUpPr fitToPage="1"/>
  </sheetPr>
  <dimension ref="A1:D39"/>
  <sheetViews>
    <sheetView showGridLines="0" zoomScaleNormal="100" zoomScaleSheetLayoutView="70" workbookViewId="0">
      <pane ySplit="6" topLeftCell="A7" activePane="bottomLeft" state="frozen"/>
      <selection pane="bottomLeft" activeCell="C15" sqref="C15"/>
    </sheetView>
  </sheetViews>
  <sheetFormatPr defaultColWidth="8.78515625" defaultRowHeight="13.5" x14ac:dyDescent="0.35"/>
  <cols>
    <col min="1" max="1" width="2.78515625" style="87" customWidth="1"/>
    <col min="2" max="2" width="3.5703125" style="87" bestFit="1" customWidth="1"/>
    <col min="3" max="3" width="23.2109375" style="87" customWidth="1"/>
    <col min="4" max="4" width="27.2109375" style="87" customWidth="1"/>
    <col min="5" max="16384" width="8.78515625" style="87"/>
  </cols>
  <sheetData>
    <row r="1" spans="1:4" customFormat="1" ht="19.5" x14ac:dyDescent="0.35">
      <c r="A1" s="81" t="s">
        <v>895</v>
      </c>
    </row>
    <row r="2" spans="1:4" customFormat="1" ht="15" x14ac:dyDescent="0.35"/>
    <row r="3" spans="1:4" customFormat="1" ht="15" x14ac:dyDescent="0.35">
      <c r="A3" s="36" t="s">
        <v>1104</v>
      </c>
    </row>
    <row r="4" spans="1:4" ht="15.75" customHeight="1" x14ac:dyDescent="0.35">
      <c r="B4" s="286" t="s">
        <v>24</v>
      </c>
      <c r="C4" s="15" t="s">
        <v>510</v>
      </c>
      <c r="D4" s="17"/>
    </row>
    <row r="5" spans="1:4" x14ac:dyDescent="0.35">
      <c r="B5" s="287"/>
      <c r="C5" s="138" t="s">
        <v>511</v>
      </c>
      <c r="D5" s="138" t="s">
        <v>512</v>
      </c>
    </row>
    <row r="6" spans="1:4" x14ac:dyDescent="0.35">
      <c r="B6" s="287"/>
      <c r="C6" s="34" t="s">
        <v>382</v>
      </c>
      <c r="D6" s="34" t="s">
        <v>382</v>
      </c>
    </row>
    <row r="7" spans="1:4" x14ac:dyDescent="0.3">
      <c r="B7" s="136">
        <f>ROW() - 6</f>
        <v>1</v>
      </c>
      <c r="C7" s="137" t="s">
        <v>513</v>
      </c>
      <c r="D7" s="137" t="s">
        <v>514</v>
      </c>
    </row>
    <row r="8" spans="1:4" x14ac:dyDescent="0.3">
      <c r="B8" s="136">
        <f t="shared" ref="B8:B39" si="0">ROW() - 6</f>
        <v>2</v>
      </c>
      <c r="C8" s="136" t="s">
        <v>515</v>
      </c>
      <c r="D8" s="136" t="s">
        <v>413</v>
      </c>
    </row>
    <row r="9" spans="1:4" x14ac:dyDescent="0.3">
      <c r="B9" s="136">
        <f t="shared" si="0"/>
        <v>3</v>
      </c>
      <c r="C9" s="137" t="s">
        <v>516</v>
      </c>
      <c r="D9" s="137"/>
    </row>
    <row r="10" spans="1:4" x14ac:dyDescent="0.3">
      <c r="B10" s="136">
        <f t="shared" si="0"/>
        <v>4</v>
      </c>
      <c r="C10" s="136" t="s">
        <v>517</v>
      </c>
      <c r="D10" s="136"/>
    </row>
    <row r="11" spans="1:4" x14ac:dyDescent="0.3">
      <c r="B11" s="136">
        <f t="shared" si="0"/>
        <v>5</v>
      </c>
      <c r="C11" s="137" t="s">
        <v>518</v>
      </c>
      <c r="D11" s="137"/>
    </row>
    <row r="12" spans="1:4" x14ac:dyDescent="0.3">
      <c r="B12" s="136">
        <f t="shared" si="0"/>
        <v>6</v>
      </c>
      <c r="C12" s="136" t="s">
        <v>519</v>
      </c>
      <c r="D12" s="136"/>
    </row>
    <row r="13" spans="1:4" x14ac:dyDescent="0.3">
      <c r="B13" s="136">
        <f t="shared" si="0"/>
        <v>7</v>
      </c>
      <c r="C13" s="137" t="s">
        <v>520</v>
      </c>
      <c r="D13" s="137"/>
    </row>
    <row r="14" spans="1:4" x14ac:dyDescent="0.3">
      <c r="B14" s="136">
        <f t="shared" si="0"/>
        <v>8</v>
      </c>
      <c r="C14" s="136" t="s">
        <v>521</v>
      </c>
      <c r="D14" s="136"/>
    </row>
    <row r="15" spans="1:4" x14ac:dyDescent="0.3">
      <c r="B15" s="136">
        <f t="shared" si="0"/>
        <v>9</v>
      </c>
      <c r="C15" s="137" t="s">
        <v>522</v>
      </c>
      <c r="D15" s="137"/>
    </row>
    <row r="16" spans="1:4" x14ac:dyDescent="0.3">
      <c r="B16" s="136">
        <f t="shared" si="0"/>
        <v>10</v>
      </c>
      <c r="C16" s="136" t="s">
        <v>315</v>
      </c>
      <c r="D16" s="136"/>
    </row>
    <row r="17" spans="2:4" x14ac:dyDescent="0.3">
      <c r="B17" s="136">
        <f t="shared" si="0"/>
        <v>11</v>
      </c>
      <c r="C17" s="137" t="s">
        <v>523</v>
      </c>
      <c r="D17" s="137"/>
    </row>
    <row r="18" spans="2:4" x14ac:dyDescent="0.3">
      <c r="B18" s="136">
        <f t="shared" si="0"/>
        <v>12</v>
      </c>
      <c r="C18" s="136" t="s">
        <v>524</v>
      </c>
      <c r="D18" s="136"/>
    </row>
    <row r="19" spans="2:4" x14ac:dyDescent="0.3">
      <c r="B19" s="136">
        <f t="shared" si="0"/>
        <v>13</v>
      </c>
      <c r="C19" s="137" t="s">
        <v>525</v>
      </c>
      <c r="D19" s="137"/>
    </row>
    <row r="20" spans="2:4" x14ac:dyDescent="0.3">
      <c r="B20" s="136">
        <f t="shared" si="0"/>
        <v>14</v>
      </c>
      <c r="C20" s="136" t="s">
        <v>526</v>
      </c>
      <c r="D20" s="136"/>
    </row>
    <row r="21" spans="2:4" x14ac:dyDescent="0.3">
      <c r="B21" s="136">
        <f t="shared" si="0"/>
        <v>15</v>
      </c>
      <c r="C21" s="137" t="s">
        <v>527</v>
      </c>
      <c r="D21" s="137"/>
    </row>
    <row r="22" spans="2:4" x14ac:dyDescent="0.3">
      <c r="B22" s="136">
        <f t="shared" si="0"/>
        <v>16</v>
      </c>
      <c r="C22" s="136" t="s">
        <v>528</v>
      </c>
      <c r="D22" s="136"/>
    </row>
    <row r="23" spans="2:4" x14ac:dyDescent="0.3">
      <c r="B23" s="136">
        <f t="shared" si="0"/>
        <v>17</v>
      </c>
      <c r="C23" s="137" t="s">
        <v>529</v>
      </c>
      <c r="D23" s="137"/>
    </row>
    <row r="24" spans="2:4" x14ac:dyDescent="0.3">
      <c r="B24" s="136">
        <f t="shared" si="0"/>
        <v>18</v>
      </c>
      <c r="C24" s="136" t="s">
        <v>530</v>
      </c>
      <c r="D24" s="136"/>
    </row>
    <row r="25" spans="2:4" x14ac:dyDescent="0.3">
      <c r="B25" s="136">
        <f t="shared" si="0"/>
        <v>19</v>
      </c>
      <c r="C25" s="137" t="s">
        <v>531</v>
      </c>
      <c r="D25" s="137"/>
    </row>
    <row r="26" spans="2:4" x14ac:dyDescent="0.3">
      <c r="B26" s="136">
        <f t="shared" si="0"/>
        <v>20</v>
      </c>
      <c r="C26" s="136" t="s">
        <v>532</v>
      </c>
      <c r="D26" s="136"/>
    </row>
    <row r="27" spans="2:4" x14ac:dyDescent="0.3">
      <c r="B27" s="136">
        <f t="shared" si="0"/>
        <v>21</v>
      </c>
      <c r="C27" s="137" t="s">
        <v>533</v>
      </c>
      <c r="D27" s="137"/>
    </row>
    <row r="28" spans="2:4" x14ac:dyDescent="0.3">
      <c r="B28" s="136">
        <f t="shared" si="0"/>
        <v>22</v>
      </c>
      <c r="C28" s="136" t="s">
        <v>534</v>
      </c>
      <c r="D28" s="136"/>
    </row>
    <row r="29" spans="2:4" x14ac:dyDescent="0.3">
      <c r="B29" s="136">
        <f t="shared" si="0"/>
        <v>23</v>
      </c>
      <c r="C29" s="136" t="s">
        <v>535</v>
      </c>
      <c r="D29" s="136"/>
    </row>
    <row r="30" spans="2:4" x14ac:dyDescent="0.3">
      <c r="B30" s="136">
        <f t="shared" si="0"/>
        <v>24</v>
      </c>
      <c r="C30" s="136" t="s">
        <v>536</v>
      </c>
      <c r="D30" s="136"/>
    </row>
    <row r="31" spans="2:4" x14ac:dyDescent="0.3">
      <c r="B31" s="136">
        <f t="shared" si="0"/>
        <v>25</v>
      </c>
      <c r="C31" s="136" t="s">
        <v>537</v>
      </c>
      <c r="D31" s="136"/>
    </row>
    <row r="32" spans="2:4" x14ac:dyDescent="0.3">
      <c r="B32" s="136">
        <f t="shared" si="0"/>
        <v>26</v>
      </c>
      <c r="C32" s="136" t="s">
        <v>538</v>
      </c>
      <c r="D32" s="136"/>
    </row>
    <row r="33" spans="2:4" x14ac:dyDescent="0.3">
      <c r="B33" s="136">
        <f t="shared" si="0"/>
        <v>27</v>
      </c>
      <c r="C33" s="136" t="s">
        <v>539</v>
      </c>
      <c r="D33" s="136"/>
    </row>
    <row r="34" spans="2:4" x14ac:dyDescent="0.3">
      <c r="B34" s="136">
        <f t="shared" si="0"/>
        <v>28</v>
      </c>
      <c r="C34" s="136" t="s">
        <v>540</v>
      </c>
      <c r="D34" s="136"/>
    </row>
    <row r="35" spans="2:4" x14ac:dyDescent="0.3">
      <c r="B35" s="136">
        <f t="shared" si="0"/>
        <v>29</v>
      </c>
      <c r="C35" s="136" t="s">
        <v>286</v>
      </c>
      <c r="D35" s="136"/>
    </row>
    <row r="36" spans="2:4" x14ac:dyDescent="0.3">
      <c r="B36" s="136">
        <f t="shared" si="0"/>
        <v>30</v>
      </c>
      <c r="C36" s="136" t="s">
        <v>541</v>
      </c>
      <c r="D36" s="136"/>
    </row>
    <row r="37" spans="2:4" x14ac:dyDescent="0.3">
      <c r="B37" s="136">
        <f t="shared" si="0"/>
        <v>31</v>
      </c>
      <c r="C37" s="136" t="s">
        <v>542</v>
      </c>
      <c r="D37" s="136"/>
    </row>
    <row r="38" spans="2:4" x14ac:dyDescent="0.3">
      <c r="B38" s="136">
        <f t="shared" si="0"/>
        <v>32</v>
      </c>
      <c r="C38" s="136" t="s">
        <v>543</v>
      </c>
      <c r="D38" s="136"/>
    </row>
    <row r="39" spans="2:4" x14ac:dyDescent="0.3">
      <c r="B39" s="136">
        <f t="shared" si="0"/>
        <v>33</v>
      </c>
      <c r="C39" s="136" t="s">
        <v>544</v>
      </c>
      <c r="D39" s="136"/>
    </row>
  </sheetData>
  <sheetProtection insertRows="0" deleteRows="0" sort="0" autoFilter="0"/>
  <mergeCells count="1">
    <mergeCell ref="B4:B6"/>
  </mergeCells>
  <phoneticPr fontId="13"/>
  <hyperlinks>
    <hyperlink ref="A3" location="パラメータ設定一覧!A1" display="パラメータ設定一覧へ" xr:uid="{444C1025-934C-4007-B682-5E361B29BBCA}"/>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C2BD-9ACA-4083-9EE7-41FD45C0F372}">
  <sheetPr>
    <tabColor rgb="FFFFC000"/>
    <pageSetUpPr fitToPage="1"/>
  </sheetPr>
  <dimension ref="A1:F20"/>
  <sheetViews>
    <sheetView showGridLines="0" zoomScaleNormal="100" zoomScaleSheetLayoutView="70" workbookViewId="0">
      <pane ySplit="6" topLeftCell="A7" activePane="bottomLeft" state="frozen"/>
      <selection activeCell="F37" sqref="F37"/>
      <selection pane="bottomLeft" activeCell="A7" sqref="A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19.35546875" style="87" customWidth="1"/>
    <col min="5" max="5" width="17.640625" style="87" customWidth="1"/>
    <col min="6" max="6" width="16.42578125" style="87" bestFit="1" customWidth="1"/>
    <col min="7" max="7" width="19.78515625" style="87" customWidth="1"/>
    <col min="8" max="8" width="19.640625" style="87" bestFit="1" customWidth="1"/>
    <col min="9" max="9" width="15.2109375" style="87" bestFit="1" customWidth="1"/>
    <col min="10" max="11" width="15.2109375" style="87" customWidth="1"/>
    <col min="12" max="12" width="20.640625" style="87" bestFit="1" customWidth="1"/>
    <col min="13" max="13" width="14.42578125" style="87" bestFit="1" customWidth="1"/>
    <col min="14" max="14" width="11.78515625" style="87" customWidth="1"/>
    <col min="15" max="15" width="8.2109375" style="87" bestFit="1" customWidth="1"/>
    <col min="16" max="16384" width="8.78515625" style="87"/>
  </cols>
  <sheetData>
    <row r="1" spans="1:6" customFormat="1" ht="19.5" x14ac:dyDescent="0.35">
      <c r="A1" s="81" t="s">
        <v>1052</v>
      </c>
    </row>
    <row r="2" spans="1:6" customFormat="1" ht="15" x14ac:dyDescent="0.35"/>
    <row r="3" spans="1:6" customFormat="1" ht="15" x14ac:dyDescent="0.35">
      <c r="A3" s="36" t="s">
        <v>1104</v>
      </c>
    </row>
    <row r="4" spans="1:6" ht="15.75" customHeight="1" x14ac:dyDescent="0.35">
      <c r="B4" s="286" t="s">
        <v>24</v>
      </c>
      <c r="C4" s="15" t="s">
        <v>896</v>
      </c>
      <c r="D4" s="16"/>
      <c r="E4" s="140"/>
    </row>
    <row r="5" spans="1:6" x14ac:dyDescent="0.35">
      <c r="B5" s="287"/>
      <c r="C5" s="138" t="s">
        <v>870</v>
      </c>
      <c r="D5" s="138" t="s">
        <v>897</v>
      </c>
      <c r="E5" s="138" t="s">
        <v>898</v>
      </c>
    </row>
    <row r="6" spans="1:6" x14ac:dyDescent="0.35">
      <c r="B6" s="287"/>
      <c r="C6" s="34" t="s">
        <v>899</v>
      </c>
      <c r="D6" s="34" t="s">
        <v>678</v>
      </c>
      <c r="E6" s="34" t="s">
        <v>678</v>
      </c>
    </row>
    <row r="7" spans="1:6" x14ac:dyDescent="0.3">
      <c r="B7" s="136">
        <f>ROW() - 6</f>
        <v>1</v>
      </c>
      <c r="C7" s="139" t="s">
        <v>900</v>
      </c>
      <c r="D7" s="136" t="s">
        <v>780</v>
      </c>
      <c r="E7" s="136" t="s">
        <v>780</v>
      </c>
    </row>
    <row r="8" spans="1:6" x14ac:dyDescent="0.3">
      <c r="B8" s="136">
        <f t="shared" ref="B8:B20" si="0">ROW() - 6</f>
        <v>2</v>
      </c>
      <c r="C8" s="139" t="s">
        <v>901</v>
      </c>
      <c r="D8" s="136" t="s">
        <v>780</v>
      </c>
      <c r="E8" s="136" t="s">
        <v>780</v>
      </c>
    </row>
    <row r="9" spans="1:6" x14ac:dyDescent="0.3">
      <c r="B9" s="136">
        <f t="shared" si="0"/>
        <v>3</v>
      </c>
      <c r="C9" s="139" t="s">
        <v>875</v>
      </c>
      <c r="D9" s="136" t="s">
        <v>780</v>
      </c>
      <c r="E9" s="136" t="s">
        <v>780</v>
      </c>
    </row>
    <row r="10" spans="1:6" x14ac:dyDescent="0.3">
      <c r="B10" s="136">
        <f t="shared" si="0"/>
        <v>4</v>
      </c>
      <c r="C10" s="139" t="s">
        <v>876</v>
      </c>
      <c r="D10" s="136" t="s">
        <v>780</v>
      </c>
      <c r="E10" s="136" t="s">
        <v>780</v>
      </c>
    </row>
    <row r="11" spans="1:6" x14ac:dyDescent="0.3">
      <c r="B11" s="136">
        <f t="shared" si="0"/>
        <v>5</v>
      </c>
      <c r="C11" s="139" t="s">
        <v>877</v>
      </c>
      <c r="D11" s="136" t="s">
        <v>780</v>
      </c>
      <c r="E11" s="136" t="s">
        <v>780</v>
      </c>
    </row>
    <row r="12" spans="1:6" x14ac:dyDescent="0.3">
      <c r="B12" s="136">
        <f t="shared" si="0"/>
        <v>6</v>
      </c>
      <c r="C12" s="139" t="s">
        <v>878</v>
      </c>
      <c r="D12" s="136" t="s">
        <v>780</v>
      </c>
      <c r="E12" s="136" t="s">
        <v>780</v>
      </c>
    </row>
    <row r="13" spans="1:6" x14ac:dyDescent="0.3">
      <c r="B13" s="136">
        <f t="shared" si="0"/>
        <v>7</v>
      </c>
      <c r="C13" s="139" t="s">
        <v>902</v>
      </c>
      <c r="D13" s="136" t="s">
        <v>780</v>
      </c>
      <c r="E13" s="136" t="s">
        <v>780</v>
      </c>
    </row>
    <row r="14" spans="1:6" x14ac:dyDescent="0.3">
      <c r="B14" s="136">
        <f t="shared" si="0"/>
        <v>8</v>
      </c>
      <c r="C14" s="139" t="s">
        <v>880</v>
      </c>
      <c r="D14" s="136" t="s">
        <v>780</v>
      </c>
      <c r="E14" s="136" t="s">
        <v>780</v>
      </c>
    </row>
    <row r="15" spans="1:6" x14ac:dyDescent="0.3">
      <c r="B15" s="136">
        <f t="shared" si="0"/>
        <v>9</v>
      </c>
      <c r="C15" s="139" t="s">
        <v>521</v>
      </c>
      <c r="D15" s="227" t="s">
        <v>63</v>
      </c>
      <c r="E15" s="136" t="s">
        <v>780</v>
      </c>
      <c r="F15" s="87" t="s">
        <v>1323</v>
      </c>
    </row>
    <row r="16" spans="1:6" x14ac:dyDescent="0.3">
      <c r="B16" s="136">
        <f t="shared" si="0"/>
        <v>10</v>
      </c>
      <c r="C16" s="139" t="s">
        <v>903</v>
      </c>
      <c r="D16" s="227" t="s">
        <v>63</v>
      </c>
      <c r="E16" s="136" t="s">
        <v>780</v>
      </c>
      <c r="F16" s="87" t="s">
        <v>1323</v>
      </c>
    </row>
    <row r="17" spans="2:5" x14ac:dyDescent="0.3">
      <c r="B17" s="136">
        <f t="shared" si="0"/>
        <v>11</v>
      </c>
      <c r="C17" s="139" t="s">
        <v>904</v>
      </c>
      <c r="D17" s="136" t="s">
        <v>780</v>
      </c>
      <c r="E17" s="136" t="s">
        <v>780</v>
      </c>
    </row>
    <row r="18" spans="2:5" x14ac:dyDescent="0.3">
      <c r="B18" s="136">
        <f t="shared" si="0"/>
        <v>12</v>
      </c>
      <c r="C18" s="139" t="s">
        <v>883</v>
      </c>
      <c r="D18" s="136" t="s">
        <v>780</v>
      </c>
      <c r="E18" s="136" t="s">
        <v>780</v>
      </c>
    </row>
    <row r="19" spans="2:5" x14ac:dyDescent="0.3">
      <c r="B19" s="136">
        <f t="shared" si="0"/>
        <v>13</v>
      </c>
      <c r="C19" s="139" t="s">
        <v>905</v>
      </c>
      <c r="D19" s="136" t="s">
        <v>780</v>
      </c>
      <c r="E19" s="136" t="s">
        <v>780</v>
      </c>
    </row>
    <row r="20" spans="2:5" x14ac:dyDescent="0.3">
      <c r="B20" s="136">
        <f t="shared" si="0"/>
        <v>14</v>
      </c>
      <c r="C20" s="139" t="s">
        <v>885</v>
      </c>
      <c r="D20" s="136" t="s">
        <v>780</v>
      </c>
      <c r="E20" s="136" t="s">
        <v>780</v>
      </c>
    </row>
  </sheetData>
  <sheetProtection insertRows="0" deleteRows="0" sort="0" autoFilter="0"/>
  <dataConsolidate/>
  <mergeCells count="1">
    <mergeCell ref="B4:B6"/>
  </mergeCells>
  <phoneticPr fontId="13"/>
  <hyperlinks>
    <hyperlink ref="A3" location="パラメータ設定一覧!A1" display="パラメータ設定一覧へ" xr:uid="{3BA0C99C-224E-42A9-A84E-B63DC5DACB59}"/>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8449-CC61-4F93-BCDD-C9A1B63BD785}">
  <sheetPr>
    <tabColor rgb="FFFFC000"/>
    <pageSetUpPr fitToPage="1"/>
  </sheetPr>
  <dimension ref="A1:H45"/>
  <sheetViews>
    <sheetView showGridLines="0" zoomScaleNormal="100" zoomScaleSheetLayoutView="70" workbookViewId="0">
      <pane ySplit="5" topLeftCell="A6" activePane="bottomLeft" state="frozen"/>
      <selection activeCell="F37" sqref="F37"/>
      <selection pane="bottomLeft" activeCell="A6" sqref="A6"/>
    </sheetView>
  </sheetViews>
  <sheetFormatPr defaultColWidth="8.78515625" defaultRowHeight="13.5" x14ac:dyDescent="0.35"/>
  <cols>
    <col min="1" max="1" width="2.78515625" style="87" customWidth="1"/>
    <col min="2" max="2" width="3.5703125" style="87" bestFit="1" customWidth="1"/>
    <col min="3" max="3" width="26.2109375" style="87" bestFit="1" customWidth="1"/>
    <col min="4" max="6" width="17.78515625" style="87" customWidth="1"/>
    <col min="7" max="7" width="115.2109375" style="87" bestFit="1" customWidth="1"/>
    <col min="8" max="16384" width="8.78515625" style="87"/>
  </cols>
  <sheetData>
    <row r="1" spans="1:7" customFormat="1" ht="19.5" x14ac:dyDescent="0.35">
      <c r="A1" s="81" t="s">
        <v>1056</v>
      </c>
    </row>
    <row r="2" spans="1:7" customFormat="1" ht="15" x14ac:dyDescent="0.35"/>
    <row r="3" spans="1:7" customFormat="1" ht="15" x14ac:dyDescent="0.35">
      <c r="A3" s="36" t="s">
        <v>1104</v>
      </c>
    </row>
    <row r="4" spans="1:7" x14ac:dyDescent="0.35">
      <c r="B4" s="287" t="s">
        <v>24</v>
      </c>
      <c r="C4" s="61" t="s">
        <v>25</v>
      </c>
      <c r="D4" s="32" t="s">
        <v>26</v>
      </c>
      <c r="E4" s="32" t="s">
        <v>27</v>
      </c>
      <c r="F4" s="32" t="s">
        <v>28</v>
      </c>
      <c r="G4" s="288" t="s">
        <v>29</v>
      </c>
    </row>
    <row r="5" spans="1:7" x14ac:dyDescent="0.35">
      <c r="B5" s="287"/>
      <c r="C5" s="33" t="s">
        <v>30</v>
      </c>
      <c r="D5" s="34" t="s">
        <v>1018</v>
      </c>
      <c r="E5" s="34" t="s">
        <v>654</v>
      </c>
      <c r="F5" s="34"/>
      <c r="G5" s="289"/>
    </row>
    <row r="6" spans="1:7" x14ac:dyDescent="0.3">
      <c r="B6" s="141">
        <f t="shared" ref="B6:B45" si="0">ROW() - 5</f>
        <v>1</v>
      </c>
      <c r="C6" s="142" t="s">
        <v>545</v>
      </c>
      <c r="D6" s="142"/>
      <c r="E6" s="142" t="s">
        <v>546</v>
      </c>
      <c r="F6" s="143"/>
      <c r="G6" s="142" t="s">
        <v>547</v>
      </c>
    </row>
    <row r="7" spans="1:7" x14ac:dyDescent="0.3">
      <c r="B7" s="141">
        <f t="shared" si="0"/>
        <v>2</v>
      </c>
      <c r="C7" s="142" t="s">
        <v>548</v>
      </c>
      <c r="D7" s="142"/>
      <c r="E7" s="142" t="s">
        <v>546</v>
      </c>
      <c r="F7" s="143"/>
      <c r="G7" s="142" t="s">
        <v>549</v>
      </c>
    </row>
    <row r="8" spans="1:7" x14ac:dyDescent="0.3">
      <c r="B8" s="141">
        <f t="shared" si="0"/>
        <v>3</v>
      </c>
      <c r="C8" s="142" t="s">
        <v>550</v>
      </c>
      <c r="D8" s="142"/>
      <c r="E8" s="142" t="s">
        <v>546</v>
      </c>
      <c r="F8" s="143"/>
      <c r="G8" s="142" t="s">
        <v>551</v>
      </c>
    </row>
    <row r="9" spans="1:7" x14ac:dyDescent="0.3">
      <c r="B9" s="141">
        <f t="shared" si="0"/>
        <v>4</v>
      </c>
      <c r="C9" s="142" t="s">
        <v>552</v>
      </c>
      <c r="D9" s="142"/>
      <c r="E9" s="142" t="s">
        <v>546</v>
      </c>
      <c r="F9" s="143"/>
      <c r="G9" s="142" t="s">
        <v>553</v>
      </c>
    </row>
    <row r="10" spans="1:7" x14ac:dyDescent="0.3">
      <c r="B10" s="141">
        <f t="shared" si="0"/>
        <v>5</v>
      </c>
      <c r="C10" s="142" t="s">
        <v>554</v>
      </c>
      <c r="D10" s="142"/>
      <c r="E10" s="142" t="s">
        <v>546</v>
      </c>
      <c r="F10" s="143"/>
      <c r="G10" s="142" t="s">
        <v>555</v>
      </c>
    </row>
    <row r="11" spans="1:7" x14ac:dyDescent="0.3">
      <c r="B11" s="141">
        <f t="shared" si="0"/>
        <v>6</v>
      </c>
      <c r="C11" s="142" t="s">
        <v>556</v>
      </c>
      <c r="D11" s="142"/>
      <c r="E11" s="142" t="s">
        <v>546</v>
      </c>
      <c r="F11" s="143"/>
      <c r="G11" s="142" t="s">
        <v>557</v>
      </c>
    </row>
    <row r="12" spans="1:7" x14ac:dyDescent="0.3">
      <c r="B12" s="141">
        <f t="shared" si="0"/>
        <v>7</v>
      </c>
      <c r="C12" s="142" t="s">
        <v>558</v>
      </c>
      <c r="D12" s="142"/>
      <c r="E12" s="142" t="s">
        <v>546</v>
      </c>
      <c r="F12" s="143"/>
      <c r="G12" s="142" t="s">
        <v>559</v>
      </c>
    </row>
    <row r="13" spans="1:7" x14ac:dyDescent="0.3">
      <c r="B13" s="141">
        <f t="shared" si="0"/>
        <v>8</v>
      </c>
      <c r="C13" s="142" t="s">
        <v>560</v>
      </c>
      <c r="D13" s="142"/>
      <c r="E13" s="142" t="s">
        <v>546</v>
      </c>
      <c r="F13" s="143" t="s">
        <v>550</v>
      </c>
      <c r="G13" s="142" t="s">
        <v>561</v>
      </c>
    </row>
    <row r="14" spans="1:7" x14ac:dyDescent="0.3">
      <c r="B14" s="141">
        <f t="shared" si="0"/>
        <v>9</v>
      </c>
      <c r="C14" s="142" t="s">
        <v>562</v>
      </c>
      <c r="D14" s="142"/>
      <c r="E14" s="142" t="s">
        <v>546</v>
      </c>
      <c r="F14" s="143" t="s">
        <v>552</v>
      </c>
      <c r="G14" s="142" t="s">
        <v>563</v>
      </c>
    </row>
    <row r="15" spans="1:7" x14ac:dyDescent="0.3">
      <c r="B15" s="141">
        <f t="shared" si="0"/>
        <v>10</v>
      </c>
      <c r="C15" s="142" t="s">
        <v>564</v>
      </c>
      <c r="D15" s="142"/>
      <c r="E15" s="142" t="s">
        <v>546</v>
      </c>
      <c r="F15" s="142"/>
      <c r="G15" s="142" t="s">
        <v>565</v>
      </c>
    </row>
    <row r="16" spans="1:7" x14ac:dyDescent="0.3">
      <c r="B16" s="141">
        <f t="shared" si="0"/>
        <v>11</v>
      </c>
      <c r="C16" s="142" t="s">
        <v>566</v>
      </c>
      <c r="D16" s="142"/>
      <c r="E16" s="142" t="s">
        <v>546</v>
      </c>
      <c r="F16" s="142"/>
      <c r="G16" s="142" t="s">
        <v>567</v>
      </c>
    </row>
    <row r="17" spans="2:8" x14ac:dyDescent="0.3">
      <c r="B17" s="141">
        <f t="shared" si="0"/>
        <v>12</v>
      </c>
      <c r="C17" s="142" t="s">
        <v>568</v>
      </c>
      <c r="D17" s="142"/>
      <c r="E17" s="142" t="s">
        <v>546</v>
      </c>
      <c r="F17" s="143"/>
      <c r="G17" s="142" t="s">
        <v>569</v>
      </c>
    </row>
    <row r="18" spans="2:8" x14ac:dyDescent="0.3">
      <c r="B18" s="141">
        <f t="shared" si="0"/>
        <v>13</v>
      </c>
      <c r="C18" s="142" t="s">
        <v>570</v>
      </c>
      <c r="D18" s="142"/>
      <c r="E18" s="142" t="s">
        <v>546</v>
      </c>
      <c r="F18" s="143"/>
      <c r="G18" s="142" t="s">
        <v>571</v>
      </c>
    </row>
    <row r="19" spans="2:8" x14ac:dyDescent="0.3">
      <c r="B19" s="141">
        <f t="shared" si="0"/>
        <v>14</v>
      </c>
      <c r="C19" s="142" t="s">
        <v>572</v>
      </c>
      <c r="D19" s="142"/>
      <c r="E19" s="142" t="s">
        <v>546</v>
      </c>
      <c r="F19" s="143"/>
      <c r="G19" s="142" t="s">
        <v>573</v>
      </c>
    </row>
    <row r="20" spans="2:8" x14ac:dyDescent="0.3">
      <c r="B20" s="141">
        <f t="shared" si="0"/>
        <v>15</v>
      </c>
      <c r="C20" s="142" t="s">
        <v>574</v>
      </c>
      <c r="D20" s="142"/>
      <c r="E20" s="142" t="s">
        <v>546</v>
      </c>
      <c r="F20" s="143"/>
      <c r="G20" s="142" t="s">
        <v>575</v>
      </c>
    </row>
    <row r="21" spans="2:8" x14ac:dyDescent="0.3">
      <c r="B21" s="141">
        <f t="shared" si="0"/>
        <v>16</v>
      </c>
      <c r="C21" s="142" t="s">
        <v>576</v>
      </c>
      <c r="D21" s="142"/>
      <c r="E21" s="142" t="s">
        <v>546</v>
      </c>
      <c r="F21" s="143"/>
      <c r="G21" s="142" t="s">
        <v>577</v>
      </c>
    </row>
    <row r="22" spans="2:8" x14ac:dyDescent="0.3">
      <c r="B22" s="244">
        <f t="shared" si="0"/>
        <v>17</v>
      </c>
      <c r="C22" s="245" t="s">
        <v>588</v>
      </c>
      <c r="D22" s="245" t="s">
        <v>1324</v>
      </c>
      <c r="E22" s="245" t="s">
        <v>546</v>
      </c>
      <c r="F22" s="246"/>
      <c r="G22" s="245" t="s">
        <v>589</v>
      </c>
    </row>
    <row r="23" spans="2:8" x14ac:dyDescent="0.3">
      <c r="B23" s="141">
        <f t="shared" si="0"/>
        <v>18</v>
      </c>
      <c r="C23" s="142" t="s">
        <v>590</v>
      </c>
      <c r="D23" s="142"/>
      <c r="E23" s="142" t="s">
        <v>546</v>
      </c>
      <c r="F23" s="143"/>
      <c r="G23" s="142" t="s">
        <v>591</v>
      </c>
    </row>
    <row r="24" spans="2:8" x14ac:dyDescent="0.3">
      <c r="B24" s="141">
        <f t="shared" si="0"/>
        <v>19</v>
      </c>
      <c r="C24" s="142" t="s">
        <v>592</v>
      </c>
      <c r="D24" s="142"/>
      <c r="E24" s="142" t="s">
        <v>546</v>
      </c>
      <c r="F24" s="143"/>
      <c r="G24" s="142" t="s">
        <v>593</v>
      </c>
    </row>
    <row r="25" spans="2:8" x14ac:dyDescent="0.3">
      <c r="B25" s="141">
        <f t="shared" si="0"/>
        <v>20</v>
      </c>
      <c r="C25" s="142" t="s">
        <v>594</v>
      </c>
      <c r="D25" s="142"/>
      <c r="E25" s="142" t="s">
        <v>546</v>
      </c>
      <c r="F25" s="143"/>
      <c r="G25" s="142" t="s">
        <v>595</v>
      </c>
    </row>
    <row r="26" spans="2:8" x14ac:dyDescent="0.3">
      <c r="B26" s="141">
        <f t="shared" si="0"/>
        <v>21</v>
      </c>
      <c r="C26" s="142" t="s">
        <v>596</v>
      </c>
      <c r="D26" s="142"/>
      <c r="E26" s="142" t="s">
        <v>546</v>
      </c>
      <c r="F26" s="143"/>
      <c r="G26" s="142" t="s">
        <v>597</v>
      </c>
    </row>
    <row r="27" spans="2:8" x14ac:dyDescent="0.3">
      <c r="B27" s="141">
        <f t="shared" si="0"/>
        <v>22</v>
      </c>
      <c r="C27" s="142" t="s">
        <v>598</v>
      </c>
      <c r="D27" s="142"/>
      <c r="E27" s="142" t="s">
        <v>546</v>
      </c>
      <c r="F27" s="143"/>
      <c r="G27" s="142" t="s">
        <v>599</v>
      </c>
    </row>
    <row r="28" spans="2:8" x14ac:dyDescent="0.3">
      <c r="B28" s="141">
        <f t="shared" si="0"/>
        <v>23</v>
      </c>
      <c r="C28" s="142" t="s">
        <v>906</v>
      </c>
      <c r="D28" s="142"/>
      <c r="E28" s="142" t="s">
        <v>546</v>
      </c>
      <c r="F28" s="143"/>
      <c r="G28" s="142" t="s">
        <v>907</v>
      </c>
    </row>
    <row r="29" spans="2:8" x14ac:dyDescent="0.3">
      <c r="B29" s="141">
        <f t="shared" si="0"/>
        <v>24</v>
      </c>
      <c r="C29" s="142" t="s">
        <v>600</v>
      </c>
      <c r="D29" s="142"/>
      <c r="E29" s="142" t="s">
        <v>546</v>
      </c>
      <c r="F29" s="143"/>
      <c r="G29" s="142" t="s">
        <v>601</v>
      </c>
    </row>
    <row r="30" spans="2:8" x14ac:dyDescent="0.3">
      <c r="B30" s="244">
        <f t="shared" si="0"/>
        <v>25</v>
      </c>
      <c r="C30" s="245" t="s">
        <v>602</v>
      </c>
      <c r="D30" s="245" t="s">
        <v>1325</v>
      </c>
      <c r="E30" s="245" t="s">
        <v>546</v>
      </c>
      <c r="F30" s="246"/>
      <c r="G30" s="245" t="s">
        <v>603</v>
      </c>
    </row>
    <row r="31" spans="2:8" x14ac:dyDescent="0.3">
      <c r="B31" s="141">
        <f t="shared" si="0"/>
        <v>26</v>
      </c>
      <c r="C31" s="142" t="s">
        <v>604</v>
      </c>
      <c r="D31" s="142"/>
      <c r="E31" s="142" t="s">
        <v>546</v>
      </c>
      <c r="F31" s="143"/>
      <c r="G31" s="142" t="s">
        <v>605</v>
      </c>
    </row>
    <row r="32" spans="2:8" x14ac:dyDescent="0.3">
      <c r="B32" s="144">
        <f t="shared" si="0"/>
        <v>27</v>
      </c>
      <c r="C32" s="142" t="s">
        <v>606</v>
      </c>
      <c r="D32" s="142"/>
      <c r="E32" s="142" t="s">
        <v>546</v>
      </c>
      <c r="F32" s="143" t="s">
        <v>600</v>
      </c>
      <c r="G32" s="142" t="s">
        <v>607</v>
      </c>
      <c r="H32" s="145"/>
    </row>
    <row r="33" spans="2:7" x14ac:dyDescent="0.3">
      <c r="B33" s="244">
        <f t="shared" si="0"/>
        <v>28</v>
      </c>
      <c r="C33" s="245" t="s">
        <v>608</v>
      </c>
      <c r="D33" s="245" t="s">
        <v>1326</v>
      </c>
      <c r="E33" s="245" t="s">
        <v>546</v>
      </c>
      <c r="F33" s="246" t="s">
        <v>602</v>
      </c>
      <c r="G33" s="245" t="s">
        <v>609</v>
      </c>
    </row>
    <row r="34" spans="2:7" x14ac:dyDescent="0.3">
      <c r="B34" s="141">
        <f t="shared" si="0"/>
        <v>29</v>
      </c>
      <c r="C34" s="142" t="s">
        <v>610</v>
      </c>
      <c r="D34" s="142"/>
      <c r="E34" s="142" t="s">
        <v>546</v>
      </c>
      <c r="F34" s="143" t="s">
        <v>604</v>
      </c>
      <c r="G34" s="142" t="s">
        <v>611</v>
      </c>
    </row>
    <row r="35" spans="2:7" x14ac:dyDescent="0.3">
      <c r="B35" s="141">
        <f t="shared" si="0"/>
        <v>30</v>
      </c>
      <c r="C35" s="142" t="s">
        <v>612</v>
      </c>
      <c r="D35" s="142"/>
      <c r="E35" s="142" t="s">
        <v>546</v>
      </c>
      <c r="F35" s="143"/>
      <c r="G35" s="142" t="s">
        <v>613</v>
      </c>
    </row>
    <row r="36" spans="2:7" x14ac:dyDescent="0.3">
      <c r="B36" s="141">
        <f t="shared" si="0"/>
        <v>31</v>
      </c>
      <c r="C36" s="142" t="s">
        <v>614</v>
      </c>
      <c r="D36" s="142"/>
      <c r="E36" s="142" t="s">
        <v>546</v>
      </c>
      <c r="F36" s="143"/>
      <c r="G36" s="142" t="s">
        <v>615</v>
      </c>
    </row>
    <row r="37" spans="2:7" x14ac:dyDescent="0.3">
      <c r="B37" s="141">
        <f t="shared" si="0"/>
        <v>32</v>
      </c>
      <c r="C37" s="142" t="s">
        <v>616</v>
      </c>
      <c r="D37" s="142"/>
      <c r="E37" s="142" t="s">
        <v>546</v>
      </c>
      <c r="F37" s="143"/>
      <c r="G37" s="142" t="s">
        <v>617</v>
      </c>
    </row>
    <row r="38" spans="2:7" x14ac:dyDescent="0.3">
      <c r="B38" s="141">
        <f t="shared" si="0"/>
        <v>33</v>
      </c>
      <c r="C38" s="142" t="s">
        <v>618</v>
      </c>
      <c r="D38" s="142"/>
      <c r="E38" s="142" t="s">
        <v>546</v>
      </c>
      <c r="F38" s="143"/>
      <c r="G38" s="142" t="s">
        <v>619</v>
      </c>
    </row>
    <row r="39" spans="2:7" x14ac:dyDescent="0.3">
      <c r="B39" s="141">
        <f t="shared" si="0"/>
        <v>34</v>
      </c>
      <c r="C39" s="142" t="s">
        <v>620</v>
      </c>
      <c r="D39" s="142"/>
      <c r="E39" s="142" t="s">
        <v>546</v>
      </c>
      <c r="F39" s="143"/>
      <c r="G39" s="142" t="s">
        <v>621</v>
      </c>
    </row>
    <row r="40" spans="2:7" x14ac:dyDescent="0.3">
      <c r="B40" s="141">
        <f t="shared" si="0"/>
        <v>35</v>
      </c>
      <c r="C40" s="142" t="s">
        <v>578</v>
      </c>
      <c r="D40" s="142"/>
      <c r="E40" s="142" t="s">
        <v>546</v>
      </c>
      <c r="F40" s="142"/>
      <c r="G40" s="142" t="s">
        <v>579</v>
      </c>
    </row>
    <row r="41" spans="2:7" x14ac:dyDescent="0.3">
      <c r="B41" s="141">
        <f t="shared" si="0"/>
        <v>36</v>
      </c>
      <c r="C41" s="142" t="s">
        <v>586</v>
      </c>
      <c r="D41" s="142"/>
      <c r="E41" s="142" t="s">
        <v>546</v>
      </c>
      <c r="F41" s="142"/>
      <c r="G41" s="142" t="s">
        <v>587</v>
      </c>
    </row>
    <row r="42" spans="2:7" x14ac:dyDescent="0.3">
      <c r="B42" s="141">
        <f t="shared" si="0"/>
        <v>37</v>
      </c>
      <c r="C42" s="142" t="s">
        <v>580</v>
      </c>
      <c r="D42" s="142"/>
      <c r="E42" s="142" t="s">
        <v>546</v>
      </c>
      <c r="F42" s="142"/>
      <c r="G42" s="142" t="s">
        <v>581</v>
      </c>
    </row>
    <row r="43" spans="2:7" x14ac:dyDescent="0.3">
      <c r="B43" s="141">
        <f t="shared" si="0"/>
        <v>38</v>
      </c>
      <c r="C43" s="142" t="s">
        <v>582</v>
      </c>
      <c r="D43" s="142"/>
      <c r="E43" s="142" t="s">
        <v>546</v>
      </c>
      <c r="F43" s="143"/>
      <c r="G43" s="142" t="s">
        <v>583</v>
      </c>
    </row>
    <row r="44" spans="2:7" x14ac:dyDescent="0.3">
      <c r="B44" s="141">
        <f t="shared" si="0"/>
        <v>39</v>
      </c>
      <c r="C44" s="142" t="s">
        <v>584</v>
      </c>
      <c r="D44" s="142"/>
      <c r="E44" s="142" t="s">
        <v>546</v>
      </c>
      <c r="F44" s="143"/>
      <c r="G44" s="142" t="s">
        <v>585</v>
      </c>
    </row>
    <row r="45" spans="2:7" x14ac:dyDescent="0.3">
      <c r="B45" s="141">
        <f t="shared" si="0"/>
        <v>40</v>
      </c>
      <c r="C45" s="142" t="s">
        <v>622</v>
      </c>
      <c r="D45" s="142"/>
      <c r="E45" s="142" t="s">
        <v>546</v>
      </c>
      <c r="F45" s="143"/>
      <c r="G45" s="142" t="s">
        <v>623</v>
      </c>
    </row>
  </sheetData>
  <sheetProtection sort="0" autoFilter="0"/>
  <mergeCells count="2">
    <mergeCell ref="B4:B5"/>
    <mergeCell ref="G4:G5"/>
  </mergeCells>
  <phoneticPr fontId="13"/>
  <hyperlinks>
    <hyperlink ref="A3" location="パラメータ設定一覧!A1" display="パラメータ設定一覧へ" xr:uid="{8ADFC616-984E-427B-92A3-EDB24994B7FD}"/>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34E4-BC12-47EE-9DFA-A98B28A2CA79}">
  <sheetPr>
    <pageSetUpPr fitToPage="1"/>
  </sheetPr>
  <dimension ref="A1:L21"/>
  <sheetViews>
    <sheetView showGridLines="0"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96" t="s">
        <v>11</v>
      </c>
    </row>
    <row r="2" spans="1:12" customFormat="1" ht="15" x14ac:dyDescent="0.35">
      <c r="B2" t="s">
        <v>957</v>
      </c>
    </row>
    <row r="3" spans="1:12" customFormat="1" ht="15" x14ac:dyDescent="0.35">
      <c r="B3" t="s">
        <v>958</v>
      </c>
    </row>
    <row r="4" spans="1:12" customFormat="1" ht="15" x14ac:dyDescent="0.35">
      <c r="A4" s="36" t="s">
        <v>1104</v>
      </c>
    </row>
    <row r="5" spans="1:12" x14ac:dyDescent="0.35">
      <c r="B5" s="37" t="s">
        <v>24</v>
      </c>
      <c r="C5" s="37" t="s">
        <v>31</v>
      </c>
      <c r="D5" s="37" t="s">
        <v>32</v>
      </c>
      <c r="E5" s="37" t="s">
        <v>33</v>
      </c>
      <c r="F5" s="44" t="s">
        <v>34</v>
      </c>
      <c r="G5" s="44" t="s">
        <v>788</v>
      </c>
      <c r="H5" s="37" t="s">
        <v>36</v>
      </c>
      <c r="I5" s="37" t="s">
        <v>37</v>
      </c>
      <c r="J5" s="37" t="s">
        <v>38</v>
      </c>
      <c r="K5" s="38" t="s">
        <v>39</v>
      </c>
      <c r="L5" s="38" t="s">
        <v>40</v>
      </c>
    </row>
    <row r="6" spans="1:12" x14ac:dyDescent="0.35">
      <c r="B6" s="45">
        <f>ROW() - 5</f>
        <v>1</v>
      </c>
      <c r="C6" s="39" t="s">
        <v>644</v>
      </c>
      <c r="D6" s="39"/>
      <c r="E6" s="39"/>
      <c r="F6" s="46" t="s">
        <v>934</v>
      </c>
      <c r="G6" s="46"/>
      <c r="H6" s="46" t="s">
        <v>382</v>
      </c>
      <c r="I6" s="47" t="s">
        <v>51</v>
      </c>
      <c r="J6" s="47"/>
      <c r="K6" s="30" t="s">
        <v>939</v>
      </c>
      <c r="L6" s="31"/>
    </row>
    <row r="7" spans="1:12" x14ac:dyDescent="0.35">
      <c r="B7" s="45">
        <f t="shared" ref="B7:B21" si="0">ROW() - 5</f>
        <v>2</v>
      </c>
      <c r="C7" s="43"/>
      <c r="D7" s="12"/>
      <c r="E7" s="93"/>
      <c r="F7" s="64" t="s">
        <v>630</v>
      </c>
      <c r="G7" s="46"/>
      <c r="H7" s="46" t="s">
        <v>382</v>
      </c>
      <c r="I7" s="146" t="s">
        <v>51</v>
      </c>
      <c r="J7" s="47"/>
      <c r="K7" s="30" t="s">
        <v>939</v>
      </c>
      <c r="L7" s="31"/>
    </row>
    <row r="8" spans="1:12" ht="94.5" x14ac:dyDescent="0.35">
      <c r="B8" s="45">
        <f t="shared" si="0"/>
        <v>3</v>
      </c>
      <c r="C8" s="42" t="s">
        <v>379</v>
      </c>
      <c r="D8" s="42"/>
      <c r="E8" s="42"/>
      <c r="F8" s="64" t="s">
        <v>520</v>
      </c>
      <c r="G8" s="46"/>
      <c r="H8" s="91" t="s">
        <v>940</v>
      </c>
      <c r="I8" s="147" t="s">
        <v>941</v>
      </c>
      <c r="J8" s="47"/>
      <c r="K8" s="30" t="s">
        <v>939</v>
      </c>
      <c r="L8" s="31"/>
    </row>
    <row r="9" spans="1:12" x14ac:dyDescent="0.35">
      <c r="B9" s="45">
        <f t="shared" si="0"/>
        <v>4</v>
      </c>
      <c r="C9" s="42"/>
      <c r="D9" s="42"/>
      <c r="E9" s="42"/>
      <c r="F9" s="64" t="s">
        <v>942</v>
      </c>
      <c r="G9" s="64"/>
      <c r="H9" s="7" t="s">
        <v>678</v>
      </c>
      <c r="I9" s="147" t="s">
        <v>47</v>
      </c>
      <c r="J9" s="47"/>
      <c r="K9" s="30" t="s">
        <v>939</v>
      </c>
      <c r="L9" s="31"/>
    </row>
    <row r="10" spans="1:12" x14ac:dyDescent="0.35">
      <c r="B10" s="45">
        <f t="shared" si="0"/>
        <v>5</v>
      </c>
      <c r="C10" s="92"/>
      <c r="D10" s="92"/>
      <c r="E10" s="92"/>
      <c r="F10" s="64" t="s">
        <v>943</v>
      </c>
      <c r="G10" s="46"/>
      <c r="H10" s="7" t="s">
        <v>107</v>
      </c>
      <c r="I10" s="148">
        <v>0</v>
      </c>
      <c r="J10" s="47"/>
      <c r="K10" s="30" t="s">
        <v>939</v>
      </c>
      <c r="L10" s="31"/>
    </row>
    <row r="11" spans="1:12" x14ac:dyDescent="0.35">
      <c r="B11" s="45">
        <f t="shared" si="0"/>
        <v>6</v>
      </c>
      <c r="C11" s="42"/>
      <c r="D11" s="42"/>
      <c r="F11" s="48" t="s">
        <v>938</v>
      </c>
      <c r="G11" s="48"/>
      <c r="H11" s="7" t="s">
        <v>107</v>
      </c>
      <c r="I11" s="149">
        <v>0</v>
      </c>
      <c r="J11" s="41"/>
      <c r="K11" s="30" t="s">
        <v>939</v>
      </c>
      <c r="L11" s="31"/>
    </row>
    <row r="12" spans="1:12" x14ac:dyDescent="0.35">
      <c r="B12" s="45">
        <f t="shared" si="0"/>
        <v>7</v>
      </c>
      <c r="C12" s="92"/>
      <c r="D12" s="92"/>
      <c r="E12" s="92"/>
      <c r="F12" s="64" t="s">
        <v>522</v>
      </c>
      <c r="G12" s="46"/>
      <c r="H12" s="7" t="s">
        <v>656</v>
      </c>
      <c r="I12" s="146" t="s">
        <v>51</v>
      </c>
      <c r="J12" s="47"/>
      <c r="K12" s="30" t="s">
        <v>939</v>
      </c>
      <c r="L12" s="31"/>
    </row>
    <row r="13" spans="1:12" x14ac:dyDescent="0.35">
      <c r="B13" s="45">
        <f t="shared" si="0"/>
        <v>8</v>
      </c>
      <c r="C13" s="92"/>
      <c r="D13" s="92"/>
      <c r="E13" s="92"/>
      <c r="F13" s="64" t="s">
        <v>628</v>
      </c>
      <c r="G13" s="46"/>
      <c r="H13" s="7" t="s">
        <v>944</v>
      </c>
      <c r="I13" s="146" t="s">
        <v>51</v>
      </c>
      <c r="J13" s="47"/>
      <c r="K13" s="30" t="s">
        <v>939</v>
      </c>
      <c r="L13" s="31"/>
    </row>
    <row r="14" spans="1:12" x14ac:dyDescent="0.35">
      <c r="B14" s="45">
        <f t="shared" si="0"/>
        <v>9</v>
      </c>
      <c r="C14" s="42"/>
      <c r="D14" s="42"/>
      <c r="E14" s="42"/>
      <c r="F14" s="46" t="s">
        <v>945</v>
      </c>
      <c r="G14" s="46"/>
      <c r="H14" s="7" t="s">
        <v>107</v>
      </c>
      <c r="I14" s="148">
        <v>0</v>
      </c>
      <c r="J14" s="47"/>
      <c r="K14" s="30" t="s">
        <v>939</v>
      </c>
      <c r="L14" s="31"/>
    </row>
    <row r="15" spans="1:12" x14ac:dyDescent="0.35">
      <c r="B15" s="45">
        <f t="shared" si="0"/>
        <v>10</v>
      </c>
      <c r="C15" s="92"/>
      <c r="D15" s="92"/>
      <c r="E15" s="92"/>
      <c r="F15" s="64" t="s">
        <v>946</v>
      </c>
      <c r="G15" s="46"/>
      <c r="H15" s="7"/>
      <c r="I15" s="146" t="s">
        <v>51</v>
      </c>
      <c r="J15" s="47"/>
      <c r="K15" s="30" t="s">
        <v>939</v>
      </c>
      <c r="L15" s="31"/>
    </row>
    <row r="16" spans="1:12" x14ac:dyDescent="0.35">
      <c r="B16" s="45">
        <f t="shared" si="0"/>
        <v>11</v>
      </c>
      <c r="C16" s="42"/>
      <c r="D16" s="42"/>
      <c r="E16" s="42"/>
      <c r="F16" s="64" t="s">
        <v>947</v>
      </c>
      <c r="G16" s="46"/>
      <c r="H16" s="7" t="s">
        <v>678</v>
      </c>
      <c r="I16" s="146" t="s">
        <v>47</v>
      </c>
      <c r="J16" s="47"/>
      <c r="K16" s="30" t="s">
        <v>939</v>
      </c>
      <c r="L16" s="31"/>
    </row>
    <row r="17" spans="2:12" ht="40.5" x14ac:dyDescent="0.35">
      <c r="B17" s="45">
        <f t="shared" si="0"/>
        <v>12</v>
      </c>
      <c r="C17" s="42"/>
      <c r="D17" s="42"/>
      <c r="E17" s="42"/>
      <c r="F17" s="46" t="s">
        <v>777</v>
      </c>
      <c r="H17" s="7" t="s">
        <v>993</v>
      </c>
      <c r="I17" s="147" t="s">
        <v>948</v>
      </c>
      <c r="J17" s="47"/>
      <c r="K17" s="30" t="s">
        <v>939</v>
      </c>
      <c r="L17" s="31"/>
    </row>
    <row r="18" spans="2:12" ht="27" x14ac:dyDescent="0.35">
      <c r="B18" s="45">
        <f t="shared" si="0"/>
        <v>13</v>
      </c>
      <c r="C18" s="92"/>
      <c r="D18" s="92"/>
      <c r="E18" s="92"/>
      <c r="F18" s="64" t="s">
        <v>949</v>
      </c>
      <c r="G18" s="46"/>
      <c r="H18" s="7" t="s">
        <v>995</v>
      </c>
      <c r="I18" s="146" t="s">
        <v>51</v>
      </c>
      <c r="J18" s="47" t="s">
        <v>994</v>
      </c>
      <c r="K18" s="30" t="s">
        <v>939</v>
      </c>
      <c r="L18" s="31"/>
    </row>
    <row r="19" spans="2:12" x14ac:dyDescent="0.35">
      <c r="B19" s="45">
        <f t="shared" si="0"/>
        <v>14</v>
      </c>
      <c r="C19" s="39" t="s">
        <v>732</v>
      </c>
      <c r="D19" s="39"/>
      <c r="E19" s="39"/>
      <c r="F19" s="64" t="s">
        <v>950</v>
      </c>
      <c r="G19" s="46"/>
      <c r="H19" s="7" t="s">
        <v>678</v>
      </c>
      <c r="I19" s="146" t="s">
        <v>47</v>
      </c>
      <c r="J19" s="47"/>
      <c r="K19" s="30" t="s">
        <v>939</v>
      </c>
      <c r="L19" s="31"/>
    </row>
    <row r="20" spans="2:12" x14ac:dyDescent="0.35">
      <c r="B20" s="45">
        <f t="shared" si="0"/>
        <v>15</v>
      </c>
      <c r="C20" s="42"/>
      <c r="D20" s="42"/>
      <c r="E20" s="42"/>
      <c r="F20" s="46" t="s">
        <v>729</v>
      </c>
      <c r="G20" s="46"/>
      <c r="H20" s="7" t="s">
        <v>378</v>
      </c>
      <c r="I20" s="146" t="s">
        <v>51</v>
      </c>
      <c r="J20" s="47"/>
      <c r="K20" s="30" t="s">
        <v>939</v>
      </c>
      <c r="L20" s="31"/>
    </row>
    <row r="21" spans="2:12" x14ac:dyDescent="0.35">
      <c r="B21" s="45">
        <f t="shared" si="0"/>
        <v>16</v>
      </c>
      <c r="C21" s="43"/>
      <c r="D21" s="43"/>
      <c r="E21" s="43"/>
      <c r="F21" s="46" t="s">
        <v>951</v>
      </c>
      <c r="G21" s="46"/>
      <c r="H21" s="7"/>
      <c r="I21" s="146" t="s">
        <v>778</v>
      </c>
      <c r="J21" s="47"/>
      <c r="K21" s="30" t="s">
        <v>939</v>
      </c>
      <c r="L21" s="31"/>
    </row>
  </sheetData>
  <phoneticPr fontId="13"/>
  <hyperlinks>
    <hyperlink ref="A4" location="パラメータ設定一覧!A1" display="パラメータ設定一覧へ" xr:uid="{A7BD230B-C5C5-489D-BA88-622FEB65815A}"/>
  </hyperlinks>
  <pageMargins left="0.70866141732283472" right="0.70866141732283472" top="0.74803149606299213" bottom="0.74803149606299213" header="0.31496062992125984" footer="0.31496062992125984"/>
  <pageSetup paperSize="9" scale="33"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BE294-B05D-4CFA-BAB4-0D7C1D13F0D9}">
  <sheetPr>
    <pageSetUpPr fitToPage="1"/>
  </sheetPr>
  <dimension ref="A1:R56"/>
  <sheetViews>
    <sheetView showGridLines="0" zoomScaleNormal="100" zoomScaleSheetLayoutView="70" workbookViewId="0">
      <pane xSplit="4" ySplit="6" topLeftCell="E7" activePane="bottomRight" state="frozen"/>
      <selection pane="topRight"/>
      <selection pane="bottomLeft"/>
      <selection pane="bottomRight" activeCell="A3" sqref="A3"/>
    </sheetView>
  </sheetViews>
  <sheetFormatPr defaultColWidth="8.78515625" defaultRowHeight="13.5" x14ac:dyDescent="0.35"/>
  <cols>
    <col min="1" max="1" width="3.2109375" style="87" customWidth="1"/>
    <col min="2" max="2" width="5.78515625" style="87" customWidth="1"/>
    <col min="3" max="3" width="17.2109375" style="87" customWidth="1"/>
    <col min="4" max="4" width="21.2109375" style="87" bestFit="1" customWidth="1"/>
    <col min="5" max="5" width="21" style="87" customWidth="1"/>
    <col min="6" max="6" width="21.2109375" style="87" customWidth="1"/>
    <col min="7" max="7" width="8.78515625" style="87"/>
    <col min="8" max="8" width="9.640625" style="87"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8" customFormat="1" ht="19.5" x14ac:dyDescent="0.35">
      <c r="A1" s="96" t="s">
        <v>952</v>
      </c>
    </row>
    <row r="2" spans="1:18" customFormat="1" ht="15" x14ac:dyDescent="0.35"/>
    <row r="3" spans="1:18" customFormat="1" ht="15" x14ac:dyDescent="0.35">
      <c r="A3" s="36" t="s">
        <v>1104</v>
      </c>
    </row>
    <row r="4" spans="1:18" ht="15.75" customHeight="1" x14ac:dyDescent="0.35">
      <c r="B4" s="286" t="s">
        <v>24</v>
      </c>
      <c r="C4" s="15" t="s">
        <v>644</v>
      </c>
      <c r="D4" s="16"/>
      <c r="E4" s="15" t="s">
        <v>379</v>
      </c>
      <c r="F4" s="16"/>
      <c r="G4" s="16"/>
      <c r="H4" s="16"/>
      <c r="I4" s="16"/>
      <c r="J4" s="16"/>
      <c r="K4" s="16"/>
      <c r="L4" s="16"/>
      <c r="M4" s="16"/>
      <c r="N4" s="16"/>
      <c r="O4" s="17"/>
      <c r="P4" s="15" t="s">
        <v>953</v>
      </c>
      <c r="Q4" s="16"/>
      <c r="R4" s="17"/>
    </row>
    <row r="5" spans="1:18" x14ac:dyDescent="0.35">
      <c r="B5" s="287"/>
      <c r="C5" s="138" t="s">
        <v>934</v>
      </c>
      <c r="D5" s="138" t="s">
        <v>630</v>
      </c>
      <c r="E5" s="138" t="s">
        <v>520</v>
      </c>
      <c r="F5" s="138" t="s">
        <v>942</v>
      </c>
      <c r="G5" s="138" t="s">
        <v>954</v>
      </c>
      <c r="H5" s="138" t="s">
        <v>938</v>
      </c>
      <c r="I5" s="138" t="s">
        <v>522</v>
      </c>
      <c r="J5" s="138" t="s">
        <v>628</v>
      </c>
      <c r="K5" s="138" t="s">
        <v>945</v>
      </c>
      <c r="L5" s="138" t="s">
        <v>946</v>
      </c>
      <c r="M5" s="138" t="s">
        <v>947</v>
      </c>
      <c r="N5" s="138" t="s">
        <v>777</v>
      </c>
      <c r="O5" s="138" t="s">
        <v>949</v>
      </c>
      <c r="P5" s="32" t="s">
        <v>955</v>
      </c>
      <c r="Q5" s="32" t="s">
        <v>729</v>
      </c>
      <c r="R5" s="32" t="s">
        <v>951</v>
      </c>
    </row>
    <row r="6" spans="1:18" ht="94.5" x14ac:dyDescent="0.35">
      <c r="B6" s="287"/>
      <c r="C6" s="34" t="s">
        <v>382</v>
      </c>
      <c r="D6" s="34" t="s">
        <v>382</v>
      </c>
      <c r="E6" s="34" t="s">
        <v>940</v>
      </c>
      <c r="F6" s="34" t="s">
        <v>678</v>
      </c>
      <c r="G6" s="34" t="s">
        <v>107</v>
      </c>
      <c r="H6" s="34" t="s">
        <v>107</v>
      </c>
      <c r="I6" s="34" t="s">
        <v>656</v>
      </c>
      <c r="J6" s="34" t="s">
        <v>944</v>
      </c>
      <c r="K6" s="34" t="s">
        <v>107</v>
      </c>
      <c r="L6" s="34" t="s">
        <v>107</v>
      </c>
      <c r="M6" s="34" t="s">
        <v>107</v>
      </c>
      <c r="N6" s="34" t="s">
        <v>993</v>
      </c>
      <c r="O6" s="34" t="s">
        <v>995</v>
      </c>
      <c r="P6" s="34" t="s">
        <v>678</v>
      </c>
      <c r="Q6" s="34" t="s">
        <v>378</v>
      </c>
      <c r="R6" s="34" t="s">
        <v>956</v>
      </c>
    </row>
    <row r="7" spans="1:18" x14ac:dyDescent="0.3">
      <c r="B7" s="136">
        <f>ROW() - 6</f>
        <v>1</v>
      </c>
      <c r="C7" s="150" t="s">
        <v>1273</v>
      </c>
      <c r="D7" s="150" t="s">
        <v>1211</v>
      </c>
      <c r="E7" s="150" t="s">
        <v>941</v>
      </c>
      <c r="F7" s="151"/>
      <c r="G7" s="151" t="s">
        <v>1119</v>
      </c>
      <c r="H7" s="151" t="s">
        <v>1119</v>
      </c>
      <c r="I7" s="150"/>
      <c r="J7" s="150"/>
      <c r="K7" s="152"/>
      <c r="L7" s="151"/>
      <c r="M7" s="150"/>
      <c r="N7" s="151" t="s">
        <v>948</v>
      </c>
      <c r="O7" s="151"/>
      <c r="P7" s="151"/>
      <c r="Q7" s="150"/>
      <c r="R7" s="153"/>
    </row>
    <row r="8" spans="1:18" x14ac:dyDescent="0.3">
      <c r="B8" s="136">
        <f t="shared" ref="B8:B56" si="0">ROW() - 6</f>
        <v>2</v>
      </c>
      <c r="C8" s="150" t="s">
        <v>1212</v>
      </c>
      <c r="D8" s="150" t="s">
        <v>1213</v>
      </c>
      <c r="E8" s="150" t="s">
        <v>1214</v>
      </c>
      <c r="F8" s="151"/>
      <c r="G8" s="151" t="s">
        <v>1119</v>
      </c>
      <c r="H8" s="151" t="s">
        <v>1119</v>
      </c>
      <c r="I8" s="150"/>
      <c r="J8" s="150" t="s">
        <v>1215</v>
      </c>
      <c r="K8" s="152">
        <v>15</v>
      </c>
      <c r="L8" s="151">
        <v>1</v>
      </c>
      <c r="M8" s="150"/>
      <c r="N8" s="151" t="s">
        <v>1216</v>
      </c>
      <c r="O8" s="151"/>
      <c r="P8" s="151"/>
      <c r="Q8" s="150"/>
      <c r="R8" s="153"/>
    </row>
    <row r="9" spans="1:18" x14ac:dyDescent="0.3">
      <c r="B9" s="136">
        <f t="shared" si="0"/>
        <v>3</v>
      </c>
      <c r="C9" s="150" t="s">
        <v>1217</v>
      </c>
      <c r="D9" s="150" t="s">
        <v>1218</v>
      </c>
      <c r="E9" s="150" t="s">
        <v>1214</v>
      </c>
      <c r="F9" s="151"/>
      <c r="G9" s="151" t="s">
        <v>1119</v>
      </c>
      <c r="H9" s="151" t="s">
        <v>1119</v>
      </c>
      <c r="I9" s="150"/>
      <c r="J9" s="150" t="s">
        <v>1215</v>
      </c>
      <c r="K9" s="152">
        <v>25</v>
      </c>
      <c r="L9" s="151">
        <v>1</v>
      </c>
      <c r="M9" s="150"/>
      <c r="N9" s="151" t="s">
        <v>1216</v>
      </c>
      <c r="O9" s="151"/>
      <c r="P9" s="151"/>
      <c r="Q9" s="150"/>
      <c r="R9" s="153"/>
    </row>
    <row r="10" spans="1:18" x14ac:dyDescent="0.3">
      <c r="B10" s="136">
        <f t="shared" si="0"/>
        <v>4</v>
      </c>
      <c r="C10" s="150" t="s">
        <v>1219</v>
      </c>
      <c r="D10" s="150" t="s">
        <v>1220</v>
      </c>
      <c r="E10" s="150" t="s">
        <v>1214</v>
      </c>
      <c r="F10" s="151"/>
      <c r="G10" s="151" t="s">
        <v>1221</v>
      </c>
      <c r="H10" s="151" t="s">
        <v>1119</v>
      </c>
      <c r="I10" s="150"/>
      <c r="J10" s="150" t="s">
        <v>1222</v>
      </c>
      <c r="K10" s="152">
        <v>20</v>
      </c>
      <c r="L10" s="151">
        <v>1</v>
      </c>
      <c r="M10" s="150"/>
      <c r="N10" s="151" t="s">
        <v>1216</v>
      </c>
      <c r="O10" s="151"/>
      <c r="P10" s="151"/>
      <c r="Q10" s="150"/>
      <c r="R10" s="153"/>
    </row>
    <row r="11" spans="1:18" x14ac:dyDescent="0.3">
      <c r="B11" s="136">
        <f t="shared" si="0"/>
        <v>5</v>
      </c>
      <c r="C11" s="150" t="s">
        <v>1223</v>
      </c>
      <c r="D11" s="150" t="s">
        <v>1224</v>
      </c>
      <c r="E11" s="150" t="s">
        <v>1225</v>
      </c>
      <c r="F11" s="151"/>
      <c r="G11" s="151" t="s">
        <v>1221</v>
      </c>
      <c r="H11" s="151" t="s">
        <v>1119</v>
      </c>
      <c r="I11" s="150"/>
      <c r="J11" s="150" t="s">
        <v>1226</v>
      </c>
      <c r="K11" s="152"/>
      <c r="L11" s="151"/>
      <c r="M11" s="150"/>
      <c r="N11" s="151" t="s">
        <v>1216</v>
      </c>
      <c r="O11" s="151"/>
      <c r="P11" s="151"/>
      <c r="Q11" s="150"/>
      <c r="R11" s="153"/>
    </row>
    <row r="12" spans="1:18" x14ac:dyDescent="0.3">
      <c r="B12" s="136">
        <f t="shared" si="0"/>
        <v>6</v>
      </c>
      <c r="C12" s="150" t="s">
        <v>1227</v>
      </c>
      <c r="D12" s="150" t="s">
        <v>1228</v>
      </c>
      <c r="E12" s="150" t="s">
        <v>1225</v>
      </c>
      <c r="F12" s="151"/>
      <c r="G12" s="151" t="s">
        <v>1221</v>
      </c>
      <c r="H12" s="151" t="s">
        <v>1119</v>
      </c>
      <c r="I12" s="150"/>
      <c r="J12" s="150" t="s">
        <v>1215</v>
      </c>
      <c r="K12" s="152"/>
      <c r="L12" s="151"/>
      <c r="M12" s="150"/>
      <c r="N12" s="151" t="s">
        <v>1216</v>
      </c>
      <c r="O12" s="151"/>
      <c r="P12" s="151"/>
      <c r="Q12" s="150"/>
      <c r="R12" s="153"/>
    </row>
    <row r="13" spans="1:18" x14ac:dyDescent="0.3">
      <c r="B13" s="136">
        <f t="shared" si="0"/>
        <v>7</v>
      </c>
      <c r="C13" s="150" t="s">
        <v>1229</v>
      </c>
      <c r="D13" s="150" t="s">
        <v>1230</v>
      </c>
      <c r="E13" s="150" t="s">
        <v>1225</v>
      </c>
      <c r="F13" s="151"/>
      <c r="G13" s="151" t="s">
        <v>1231</v>
      </c>
      <c r="H13" s="151" t="s">
        <v>1119</v>
      </c>
      <c r="I13" s="150"/>
      <c r="J13" s="150" t="s">
        <v>1215</v>
      </c>
      <c r="K13" s="152"/>
      <c r="L13" s="151"/>
      <c r="M13" s="150"/>
      <c r="N13" s="151" t="s">
        <v>1216</v>
      </c>
      <c r="O13" s="151"/>
      <c r="P13" s="151"/>
      <c r="Q13" s="150"/>
      <c r="R13" s="153"/>
    </row>
    <row r="14" spans="1:18" x14ac:dyDescent="0.3">
      <c r="B14" s="136">
        <f t="shared" si="0"/>
        <v>8</v>
      </c>
      <c r="C14" s="150" t="s">
        <v>1232</v>
      </c>
      <c r="D14" s="150" t="s">
        <v>1233</v>
      </c>
      <c r="E14" s="150" t="s">
        <v>1225</v>
      </c>
      <c r="F14" s="151"/>
      <c r="G14" s="151" t="s">
        <v>1234</v>
      </c>
      <c r="H14" s="151" t="s">
        <v>1119</v>
      </c>
      <c r="I14" s="150"/>
      <c r="J14" s="150" t="s">
        <v>1215</v>
      </c>
      <c r="K14" s="152"/>
      <c r="L14" s="151"/>
      <c r="M14" s="150"/>
      <c r="N14" s="151" t="s">
        <v>1216</v>
      </c>
      <c r="O14" s="151"/>
      <c r="P14" s="151"/>
      <c r="Q14" s="150"/>
      <c r="R14" s="153"/>
    </row>
    <row r="15" spans="1:18" x14ac:dyDescent="0.3">
      <c r="B15" s="136">
        <f t="shared" si="0"/>
        <v>9</v>
      </c>
      <c r="C15" s="150" t="s">
        <v>1235</v>
      </c>
      <c r="D15" s="150" t="s">
        <v>1236</v>
      </c>
      <c r="E15" s="150" t="s">
        <v>1225</v>
      </c>
      <c r="F15" s="151"/>
      <c r="G15" s="151" t="s">
        <v>1221</v>
      </c>
      <c r="H15" s="151" t="s">
        <v>1119</v>
      </c>
      <c r="I15" s="150"/>
      <c r="J15" s="150" t="s">
        <v>1222</v>
      </c>
      <c r="K15" s="152"/>
      <c r="L15" s="151"/>
      <c r="M15" s="150"/>
      <c r="N15" s="151" t="s">
        <v>948</v>
      </c>
      <c r="O15" s="151"/>
      <c r="P15" s="151"/>
      <c r="Q15" s="150"/>
      <c r="R15" s="153"/>
    </row>
    <row r="16" spans="1:18" x14ac:dyDescent="0.3">
      <c r="B16" s="136">
        <f t="shared" si="0"/>
        <v>10</v>
      </c>
      <c r="C16" s="150" t="s">
        <v>1237</v>
      </c>
      <c r="D16" s="150" t="s">
        <v>1238</v>
      </c>
      <c r="E16" s="150" t="s">
        <v>941</v>
      </c>
      <c r="F16" s="151"/>
      <c r="G16" s="151" t="s">
        <v>1119</v>
      </c>
      <c r="H16" s="151" t="s">
        <v>1119</v>
      </c>
      <c r="I16" s="150"/>
      <c r="J16" s="150"/>
      <c r="K16" s="152"/>
      <c r="L16" s="151"/>
      <c r="M16" s="150"/>
      <c r="N16" s="151" t="s">
        <v>948</v>
      </c>
      <c r="O16" s="151"/>
      <c r="P16" s="151"/>
      <c r="Q16" s="150"/>
      <c r="R16" s="153"/>
    </row>
    <row r="17" spans="2:18" x14ac:dyDescent="0.3">
      <c r="B17" s="136">
        <f t="shared" si="0"/>
        <v>11</v>
      </c>
      <c r="C17" s="150" t="s">
        <v>1239</v>
      </c>
      <c r="D17" s="150" t="s">
        <v>1240</v>
      </c>
      <c r="E17" s="150" t="s">
        <v>941</v>
      </c>
      <c r="F17" s="151"/>
      <c r="G17" s="151" t="s">
        <v>1119</v>
      </c>
      <c r="H17" s="151" t="s">
        <v>1241</v>
      </c>
      <c r="I17" s="150"/>
      <c r="J17" s="150"/>
      <c r="K17" s="152"/>
      <c r="L17" s="151"/>
      <c r="M17" s="150"/>
      <c r="N17" s="151" t="s">
        <v>1216</v>
      </c>
      <c r="O17" s="151"/>
      <c r="P17" s="151"/>
      <c r="Q17" s="150"/>
      <c r="R17" s="153"/>
    </row>
    <row r="18" spans="2:18" x14ac:dyDescent="0.3">
      <c r="B18" s="136">
        <f t="shared" si="0"/>
        <v>12</v>
      </c>
      <c r="C18" s="150" t="s">
        <v>1242</v>
      </c>
      <c r="D18" s="150" t="s">
        <v>1243</v>
      </c>
      <c r="E18" s="150" t="s">
        <v>941</v>
      </c>
      <c r="F18" s="151"/>
      <c r="G18" s="151" t="s">
        <v>1119</v>
      </c>
      <c r="H18" s="151" t="s">
        <v>1244</v>
      </c>
      <c r="I18" s="150"/>
      <c r="J18" s="150"/>
      <c r="K18" s="152"/>
      <c r="L18" s="151"/>
      <c r="M18" s="150"/>
      <c r="N18" s="151" t="s">
        <v>1216</v>
      </c>
      <c r="O18" s="151"/>
      <c r="P18" s="151"/>
      <c r="Q18" s="150"/>
      <c r="R18" s="153"/>
    </row>
    <row r="19" spans="2:18" x14ac:dyDescent="0.3">
      <c r="B19" s="136">
        <f t="shared" si="0"/>
        <v>13</v>
      </c>
      <c r="C19" s="150" t="s">
        <v>1245</v>
      </c>
      <c r="D19" s="150" t="s">
        <v>1246</v>
      </c>
      <c r="E19" s="150" t="s">
        <v>941</v>
      </c>
      <c r="F19" s="151"/>
      <c r="G19" s="151" t="s">
        <v>1119</v>
      </c>
      <c r="H19" s="151" t="s">
        <v>1247</v>
      </c>
      <c r="I19" s="150"/>
      <c r="J19" s="150"/>
      <c r="K19" s="152"/>
      <c r="L19" s="151"/>
      <c r="M19" s="150"/>
      <c r="N19" s="151" t="s">
        <v>1216</v>
      </c>
      <c r="O19" s="151"/>
      <c r="P19" s="151"/>
      <c r="Q19" s="150"/>
      <c r="R19" s="153"/>
    </row>
    <row r="20" spans="2:18" x14ac:dyDescent="0.3">
      <c r="B20" s="136">
        <f t="shared" si="0"/>
        <v>14</v>
      </c>
      <c r="C20" s="150" t="s">
        <v>1248</v>
      </c>
      <c r="D20" s="150" t="s">
        <v>1249</v>
      </c>
      <c r="E20" s="150" t="s">
        <v>941</v>
      </c>
      <c r="F20" s="151"/>
      <c r="G20" s="151" t="s">
        <v>1119</v>
      </c>
      <c r="H20" s="151" t="s">
        <v>1250</v>
      </c>
      <c r="I20" s="150"/>
      <c r="J20" s="150"/>
      <c r="K20" s="152"/>
      <c r="L20" s="151"/>
      <c r="M20" s="150"/>
      <c r="N20" s="151" t="s">
        <v>1216</v>
      </c>
      <c r="O20" s="151"/>
      <c r="P20" s="151"/>
      <c r="Q20" s="150"/>
      <c r="R20" s="153"/>
    </row>
    <row r="21" spans="2:18" x14ac:dyDescent="0.3">
      <c r="B21" s="136">
        <f t="shared" si="0"/>
        <v>15</v>
      </c>
      <c r="C21" s="150" t="s">
        <v>1251</v>
      </c>
      <c r="D21" s="150" t="s">
        <v>1252</v>
      </c>
      <c r="E21" s="150" t="s">
        <v>941</v>
      </c>
      <c r="F21" s="151"/>
      <c r="G21" s="151" t="s">
        <v>1119</v>
      </c>
      <c r="H21" s="151" t="s">
        <v>1253</v>
      </c>
      <c r="I21" s="150"/>
      <c r="J21" s="150"/>
      <c r="K21" s="152"/>
      <c r="L21" s="151"/>
      <c r="M21" s="150"/>
      <c r="N21" s="151" t="s">
        <v>1216</v>
      </c>
      <c r="O21" s="151"/>
      <c r="P21" s="151"/>
      <c r="Q21" s="150"/>
      <c r="R21" s="153"/>
    </row>
    <row r="22" spans="2:18" x14ac:dyDescent="0.3">
      <c r="B22" s="136">
        <f t="shared" si="0"/>
        <v>16</v>
      </c>
      <c r="C22" s="150" t="s">
        <v>1254</v>
      </c>
      <c r="D22" s="150" t="s">
        <v>1255</v>
      </c>
      <c r="E22" s="150" t="s">
        <v>1225</v>
      </c>
      <c r="F22" s="151"/>
      <c r="G22" s="151" t="s">
        <v>1221</v>
      </c>
      <c r="H22" s="151" t="s">
        <v>1119</v>
      </c>
      <c r="I22" s="150"/>
      <c r="J22" s="150" t="s">
        <v>1256</v>
      </c>
      <c r="K22" s="152"/>
      <c r="L22" s="151"/>
      <c r="M22" s="150"/>
      <c r="N22" s="151" t="s">
        <v>1257</v>
      </c>
      <c r="O22" s="151"/>
      <c r="P22" s="151"/>
      <c r="Q22" s="150"/>
      <c r="R22" s="153"/>
    </row>
    <row r="23" spans="2:18" x14ac:dyDescent="0.3">
      <c r="B23" s="136">
        <f t="shared" si="0"/>
        <v>17</v>
      </c>
      <c r="C23" s="150" t="s">
        <v>1258</v>
      </c>
      <c r="D23" s="150" t="s">
        <v>1259</v>
      </c>
      <c r="E23" s="150" t="s">
        <v>1214</v>
      </c>
      <c r="F23" s="151"/>
      <c r="G23" s="151" t="s">
        <v>1119</v>
      </c>
      <c r="H23" s="151" t="s">
        <v>1119</v>
      </c>
      <c r="I23" s="150"/>
      <c r="J23" s="150" t="s">
        <v>1222</v>
      </c>
      <c r="K23" s="152">
        <v>10</v>
      </c>
      <c r="L23" s="151">
        <v>1</v>
      </c>
      <c r="M23" s="150"/>
      <c r="N23" s="151" t="s">
        <v>1257</v>
      </c>
      <c r="O23" s="151"/>
      <c r="P23" s="151"/>
      <c r="Q23" s="150"/>
      <c r="R23" s="153"/>
    </row>
    <row r="24" spans="2:18" x14ac:dyDescent="0.3">
      <c r="B24" s="136">
        <f t="shared" si="0"/>
        <v>18</v>
      </c>
      <c r="C24" s="150" t="s">
        <v>1260</v>
      </c>
      <c r="D24" s="150" t="s">
        <v>1261</v>
      </c>
      <c r="E24" s="150" t="s">
        <v>1214</v>
      </c>
      <c r="F24" s="151"/>
      <c r="G24" s="151" t="s">
        <v>1221</v>
      </c>
      <c r="H24" s="151" t="s">
        <v>1119</v>
      </c>
      <c r="I24" s="150"/>
      <c r="J24" s="150" t="s">
        <v>1215</v>
      </c>
      <c r="K24" s="152">
        <v>20</v>
      </c>
      <c r="L24" s="151">
        <v>1</v>
      </c>
      <c r="M24" s="150"/>
      <c r="N24" s="151" t="s">
        <v>1257</v>
      </c>
      <c r="O24" s="151"/>
      <c r="P24" s="151"/>
      <c r="Q24" s="150"/>
      <c r="R24" s="153"/>
    </row>
    <row r="25" spans="2:18" x14ac:dyDescent="0.3">
      <c r="B25" s="136">
        <f t="shared" si="0"/>
        <v>19</v>
      </c>
      <c r="C25" s="150" t="s">
        <v>1262</v>
      </c>
      <c r="D25" s="150" t="s">
        <v>1263</v>
      </c>
      <c r="E25" s="150" t="s">
        <v>1214</v>
      </c>
      <c r="F25" s="151"/>
      <c r="G25" s="151" t="s">
        <v>1231</v>
      </c>
      <c r="H25" s="151" t="s">
        <v>1119</v>
      </c>
      <c r="I25" s="150"/>
      <c r="J25" s="150" t="s">
        <v>1222</v>
      </c>
      <c r="K25" s="152">
        <v>20</v>
      </c>
      <c r="L25" s="151">
        <v>2</v>
      </c>
      <c r="M25" s="150"/>
      <c r="N25" s="151" t="s">
        <v>1257</v>
      </c>
      <c r="O25" s="151"/>
      <c r="P25" s="151"/>
      <c r="Q25" s="150"/>
      <c r="R25" s="153"/>
    </row>
    <row r="26" spans="2:18" x14ac:dyDescent="0.3">
      <c r="B26" s="136">
        <f t="shared" si="0"/>
        <v>20</v>
      </c>
      <c r="C26" s="150" t="s">
        <v>1264</v>
      </c>
      <c r="D26" s="150" t="s">
        <v>1265</v>
      </c>
      <c r="E26" s="150" t="s">
        <v>1214</v>
      </c>
      <c r="F26" s="151"/>
      <c r="G26" s="151" t="s">
        <v>1234</v>
      </c>
      <c r="H26" s="151" t="s">
        <v>1119</v>
      </c>
      <c r="I26" s="150"/>
      <c r="J26" s="150" t="s">
        <v>1266</v>
      </c>
      <c r="K26" s="152">
        <v>20</v>
      </c>
      <c r="L26" s="151">
        <v>3</v>
      </c>
      <c r="M26" s="150"/>
      <c r="N26" s="151" t="s">
        <v>1257</v>
      </c>
      <c r="O26" s="151"/>
      <c r="P26" s="151"/>
      <c r="Q26" s="150"/>
      <c r="R26" s="153"/>
    </row>
    <row r="27" spans="2:18" x14ac:dyDescent="0.3">
      <c r="B27" s="136">
        <f t="shared" si="0"/>
        <v>21</v>
      </c>
      <c r="C27" s="150" t="s">
        <v>1267</v>
      </c>
      <c r="D27" s="150" t="s">
        <v>1268</v>
      </c>
      <c r="E27" s="150" t="s">
        <v>1214</v>
      </c>
      <c r="F27" s="151"/>
      <c r="G27" s="151" t="s">
        <v>1221</v>
      </c>
      <c r="H27" s="151" t="s">
        <v>1119</v>
      </c>
      <c r="I27" s="150"/>
      <c r="J27" s="150" t="s">
        <v>1222</v>
      </c>
      <c r="K27" s="152">
        <v>20</v>
      </c>
      <c r="L27" s="151">
        <v>1</v>
      </c>
      <c r="M27" s="150"/>
      <c r="N27" s="151" t="s">
        <v>1257</v>
      </c>
      <c r="O27" s="151"/>
      <c r="P27" s="151"/>
      <c r="Q27" s="150"/>
      <c r="R27" s="153"/>
    </row>
    <row r="28" spans="2:18" x14ac:dyDescent="0.3">
      <c r="B28" s="136">
        <f t="shared" si="0"/>
        <v>22</v>
      </c>
      <c r="C28" s="150" t="s">
        <v>1269</v>
      </c>
      <c r="D28" s="150" t="s">
        <v>1270</v>
      </c>
      <c r="E28" s="150" t="s">
        <v>1214</v>
      </c>
      <c r="F28" s="151"/>
      <c r="G28" s="151" t="s">
        <v>1231</v>
      </c>
      <c r="H28" s="151" t="s">
        <v>1119</v>
      </c>
      <c r="I28" s="150"/>
      <c r="J28" s="150" t="s">
        <v>1266</v>
      </c>
      <c r="K28" s="152">
        <v>20</v>
      </c>
      <c r="L28" s="151">
        <v>2</v>
      </c>
      <c r="M28" s="150"/>
      <c r="N28" s="151" t="s">
        <v>1257</v>
      </c>
      <c r="O28" s="151"/>
      <c r="P28" s="151"/>
      <c r="Q28" s="150"/>
      <c r="R28" s="153"/>
    </row>
    <row r="29" spans="2:18" x14ac:dyDescent="0.3">
      <c r="B29" s="136">
        <f t="shared" si="0"/>
        <v>23</v>
      </c>
      <c r="C29" s="150" t="s">
        <v>1271</v>
      </c>
      <c r="D29" s="150" t="s">
        <v>1272</v>
      </c>
      <c r="E29" s="150" t="s">
        <v>1214</v>
      </c>
      <c r="F29" s="151"/>
      <c r="G29" s="151" t="s">
        <v>1119</v>
      </c>
      <c r="H29" s="151" t="s">
        <v>1119</v>
      </c>
      <c r="I29" s="150"/>
      <c r="J29" s="150" t="s">
        <v>1222</v>
      </c>
      <c r="K29" s="152">
        <v>20</v>
      </c>
      <c r="L29" s="151">
        <v>1</v>
      </c>
      <c r="M29" s="150"/>
      <c r="N29" s="151" t="s">
        <v>1257</v>
      </c>
      <c r="O29" s="151"/>
      <c r="P29" s="151"/>
      <c r="Q29" s="150"/>
      <c r="R29" s="153"/>
    </row>
    <row r="30" spans="2:18" x14ac:dyDescent="0.3">
      <c r="B30" s="136">
        <f t="shared" si="0"/>
        <v>24</v>
      </c>
      <c r="C30" s="150"/>
      <c r="D30" s="150"/>
      <c r="E30" s="150"/>
      <c r="F30" s="151"/>
      <c r="G30" s="151"/>
      <c r="H30" s="151"/>
      <c r="I30" s="150"/>
      <c r="J30" s="150"/>
      <c r="K30" s="152"/>
      <c r="L30" s="151"/>
      <c r="M30" s="150"/>
      <c r="N30" s="151"/>
      <c r="O30" s="151"/>
      <c r="P30" s="151"/>
      <c r="Q30" s="150"/>
      <c r="R30" s="153"/>
    </row>
    <row r="31" spans="2:18" x14ac:dyDescent="0.3">
      <c r="B31" s="136">
        <f t="shared" si="0"/>
        <v>25</v>
      </c>
      <c r="C31" s="150"/>
      <c r="D31" s="150"/>
      <c r="E31" s="150"/>
      <c r="F31" s="151"/>
      <c r="G31" s="151"/>
      <c r="H31" s="151"/>
      <c r="I31" s="150"/>
      <c r="J31" s="150"/>
      <c r="K31" s="152"/>
      <c r="L31" s="151"/>
      <c r="M31" s="150"/>
      <c r="N31" s="151"/>
      <c r="O31" s="151"/>
      <c r="P31" s="151"/>
      <c r="Q31" s="150"/>
      <c r="R31" s="153"/>
    </row>
    <row r="32" spans="2:18" x14ac:dyDescent="0.3">
      <c r="B32" s="136">
        <f t="shared" si="0"/>
        <v>26</v>
      </c>
      <c r="C32" s="150"/>
      <c r="D32" s="150"/>
      <c r="E32" s="150"/>
      <c r="F32" s="151"/>
      <c r="G32" s="151"/>
      <c r="H32" s="151"/>
      <c r="I32" s="150"/>
      <c r="J32" s="150"/>
      <c r="K32" s="152"/>
      <c r="L32" s="151"/>
      <c r="M32" s="150"/>
      <c r="N32" s="151"/>
      <c r="O32" s="151"/>
      <c r="P32" s="151"/>
      <c r="Q32" s="150"/>
      <c r="R32" s="153"/>
    </row>
    <row r="33" spans="2:18" x14ac:dyDescent="0.3">
      <c r="B33" s="136">
        <f t="shared" si="0"/>
        <v>27</v>
      </c>
      <c r="C33" s="150"/>
      <c r="D33" s="150"/>
      <c r="E33" s="150"/>
      <c r="F33" s="151"/>
      <c r="G33" s="151"/>
      <c r="H33" s="151"/>
      <c r="I33" s="150"/>
      <c r="J33" s="150"/>
      <c r="K33" s="152"/>
      <c r="L33" s="151"/>
      <c r="M33" s="150"/>
      <c r="N33" s="151"/>
      <c r="O33" s="151"/>
      <c r="P33" s="151"/>
      <c r="Q33" s="150"/>
      <c r="R33" s="153"/>
    </row>
    <row r="34" spans="2:18" x14ac:dyDescent="0.3">
      <c r="B34" s="136">
        <f t="shared" si="0"/>
        <v>28</v>
      </c>
      <c r="C34" s="150"/>
      <c r="D34" s="150"/>
      <c r="E34" s="150"/>
      <c r="F34" s="151"/>
      <c r="G34" s="151"/>
      <c r="H34" s="151"/>
      <c r="I34" s="150"/>
      <c r="J34" s="150"/>
      <c r="K34" s="152"/>
      <c r="L34" s="151"/>
      <c r="M34" s="150"/>
      <c r="N34" s="151"/>
      <c r="O34" s="151"/>
      <c r="P34" s="151"/>
      <c r="Q34" s="150"/>
      <c r="R34" s="153"/>
    </row>
    <row r="35" spans="2:18" x14ac:dyDescent="0.3">
      <c r="B35" s="136">
        <f t="shared" si="0"/>
        <v>29</v>
      </c>
      <c r="C35" s="150"/>
      <c r="D35" s="150"/>
      <c r="E35" s="150"/>
      <c r="F35" s="151"/>
      <c r="G35" s="151"/>
      <c r="H35" s="151"/>
      <c r="I35" s="150"/>
      <c r="J35" s="150"/>
      <c r="K35" s="152"/>
      <c r="L35" s="151"/>
      <c r="M35" s="150"/>
      <c r="N35" s="151"/>
      <c r="O35" s="151"/>
      <c r="P35" s="151"/>
      <c r="Q35" s="150"/>
      <c r="R35" s="153"/>
    </row>
    <row r="36" spans="2:18" x14ac:dyDescent="0.3">
      <c r="B36" s="136">
        <f t="shared" si="0"/>
        <v>30</v>
      </c>
      <c r="C36" s="150"/>
      <c r="D36" s="150"/>
      <c r="E36" s="150"/>
      <c r="F36" s="151"/>
      <c r="G36" s="151"/>
      <c r="H36" s="151"/>
      <c r="I36" s="150"/>
      <c r="J36" s="150"/>
      <c r="K36" s="152"/>
      <c r="L36" s="151"/>
      <c r="M36" s="150"/>
      <c r="N36" s="151"/>
      <c r="O36" s="151"/>
      <c r="P36" s="151"/>
      <c r="Q36" s="150"/>
      <c r="R36" s="153"/>
    </row>
    <row r="37" spans="2:18" x14ac:dyDescent="0.3">
      <c r="B37" s="136">
        <f t="shared" si="0"/>
        <v>31</v>
      </c>
      <c r="C37" s="150"/>
      <c r="D37" s="150"/>
      <c r="E37" s="150"/>
      <c r="F37" s="151"/>
      <c r="G37" s="151"/>
      <c r="H37" s="151"/>
      <c r="I37" s="150"/>
      <c r="J37" s="150"/>
      <c r="K37" s="152"/>
      <c r="L37" s="151"/>
      <c r="M37" s="150"/>
      <c r="N37" s="151"/>
      <c r="O37" s="151"/>
      <c r="P37" s="151"/>
      <c r="Q37" s="150"/>
      <c r="R37" s="153"/>
    </row>
    <row r="38" spans="2:18" x14ac:dyDescent="0.3">
      <c r="B38" s="136">
        <f t="shared" si="0"/>
        <v>32</v>
      </c>
      <c r="C38" s="150"/>
      <c r="D38" s="150"/>
      <c r="E38" s="150"/>
      <c r="F38" s="151"/>
      <c r="G38" s="151"/>
      <c r="H38" s="151"/>
      <c r="I38" s="150"/>
      <c r="J38" s="150"/>
      <c r="K38" s="152"/>
      <c r="L38" s="151"/>
      <c r="M38" s="150"/>
      <c r="N38" s="151"/>
      <c r="O38" s="151"/>
      <c r="P38" s="151"/>
      <c r="Q38" s="150"/>
      <c r="R38" s="153"/>
    </row>
    <row r="39" spans="2:18" x14ac:dyDescent="0.3">
      <c r="B39" s="136">
        <f t="shared" si="0"/>
        <v>33</v>
      </c>
      <c r="C39" s="150"/>
      <c r="D39" s="150"/>
      <c r="E39" s="150"/>
      <c r="F39" s="151"/>
      <c r="G39" s="151"/>
      <c r="H39" s="151"/>
      <c r="I39" s="150"/>
      <c r="J39" s="150"/>
      <c r="K39" s="152"/>
      <c r="L39" s="151"/>
      <c r="M39" s="150"/>
      <c r="N39" s="151"/>
      <c r="O39" s="151"/>
      <c r="P39" s="151"/>
      <c r="Q39" s="150"/>
      <c r="R39" s="153"/>
    </row>
    <row r="40" spans="2:18" x14ac:dyDescent="0.3">
      <c r="B40" s="136">
        <f t="shared" si="0"/>
        <v>34</v>
      </c>
      <c r="C40" s="150"/>
      <c r="D40" s="150"/>
      <c r="E40" s="150"/>
      <c r="F40" s="151"/>
      <c r="G40" s="151"/>
      <c r="H40" s="151"/>
      <c r="I40" s="150"/>
      <c r="J40" s="150"/>
      <c r="K40" s="152"/>
      <c r="L40" s="151"/>
      <c r="M40" s="150"/>
      <c r="N40" s="151"/>
      <c r="O40" s="151"/>
      <c r="P40" s="151"/>
      <c r="Q40" s="150"/>
      <c r="R40" s="153"/>
    </row>
    <row r="41" spans="2:18" x14ac:dyDescent="0.3">
      <c r="B41" s="136">
        <f t="shared" si="0"/>
        <v>35</v>
      </c>
      <c r="C41" s="150"/>
      <c r="D41" s="150"/>
      <c r="E41" s="150"/>
      <c r="F41" s="151"/>
      <c r="G41" s="151"/>
      <c r="H41" s="151"/>
      <c r="I41" s="150"/>
      <c r="J41" s="150"/>
      <c r="K41" s="152"/>
      <c r="L41" s="151"/>
      <c r="M41" s="150"/>
      <c r="N41" s="151"/>
      <c r="O41" s="151"/>
      <c r="P41" s="151"/>
      <c r="Q41" s="150"/>
      <c r="R41" s="153"/>
    </row>
    <row r="42" spans="2:18" x14ac:dyDescent="0.3">
      <c r="B42" s="136">
        <f t="shared" si="0"/>
        <v>36</v>
      </c>
      <c r="C42" s="150"/>
      <c r="D42" s="150"/>
      <c r="E42" s="150"/>
      <c r="F42" s="151"/>
      <c r="G42" s="151"/>
      <c r="H42" s="151"/>
      <c r="I42" s="150"/>
      <c r="J42" s="150"/>
      <c r="K42" s="152"/>
      <c r="L42" s="151"/>
      <c r="M42" s="150"/>
      <c r="N42" s="151"/>
      <c r="O42" s="151"/>
      <c r="P42" s="151"/>
      <c r="Q42" s="150"/>
      <c r="R42" s="153"/>
    </row>
    <row r="43" spans="2:18" x14ac:dyDescent="0.3">
      <c r="B43" s="136">
        <f t="shared" si="0"/>
        <v>37</v>
      </c>
      <c r="C43" s="153"/>
      <c r="D43" s="153"/>
      <c r="E43" s="150"/>
      <c r="F43" s="151"/>
      <c r="G43" s="151"/>
      <c r="H43" s="151"/>
      <c r="I43" s="153"/>
      <c r="J43" s="150"/>
      <c r="K43" s="152"/>
      <c r="L43" s="153"/>
      <c r="M43" s="150"/>
      <c r="N43" s="151"/>
      <c r="O43" s="151"/>
      <c r="P43" s="151"/>
      <c r="Q43" s="153"/>
      <c r="R43" s="153"/>
    </row>
    <row r="44" spans="2:18" x14ac:dyDescent="0.3">
      <c r="B44" s="136">
        <f t="shared" si="0"/>
        <v>38</v>
      </c>
      <c r="C44" s="153"/>
      <c r="D44" s="153"/>
      <c r="E44" s="150"/>
      <c r="F44" s="151"/>
      <c r="G44" s="151"/>
      <c r="H44" s="151"/>
      <c r="I44" s="153"/>
      <c r="J44" s="150"/>
      <c r="K44" s="152"/>
      <c r="L44" s="153"/>
      <c r="M44" s="150"/>
      <c r="N44" s="151"/>
      <c r="O44" s="151"/>
      <c r="P44" s="151"/>
      <c r="Q44" s="153"/>
      <c r="R44" s="153"/>
    </row>
    <row r="45" spans="2:18" x14ac:dyDescent="0.3">
      <c r="B45" s="136">
        <f t="shared" si="0"/>
        <v>39</v>
      </c>
      <c r="C45" s="153"/>
      <c r="D45" s="153"/>
      <c r="E45" s="150"/>
      <c r="F45" s="151"/>
      <c r="G45" s="151"/>
      <c r="H45" s="151"/>
      <c r="I45" s="153"/>
      <c r="J45" s="150"/>
      <c r="K45" s="152"/>
      <c r="L45" s="153"/>
      <c r="M45" s="150"/>
      <c r="N45" s="151"/>
      <c r="O45" s="151"/>
      <c r="P45" s="151"/>
      <c r="Q45" s="153"/>
      <c r="R45" s="153"/>
    </row>
    <row r="46" spans="2:18" x14ac:dyDescent="0.3">
      <c r="B46" s="136">
        <f t="shared" si="0"/>
        <v>40</v>
      </c>
      <c r="C46" s="153"/>
      <c r="D46" s="153"/>
      <c r="E46" s="150"/>
      <c r="F46" s="151"/>
      <c r="G46" s="151"/>
      <c r="H46" s="151"/>
      <c r="I46" s="153"/>
      <c r="J46" s="150"/>
      <c r="K46" s="152"/>
      <c r="L46" s="153"/>
      <c r="M46" s="150"/>
      <c r="N46" s="151"/>
      <c r="O46" s="151"/>
      <c r="P46" s="151"/>
      <c r="Q46" s="153"/>
      <c r="R46" s="153"/>
    </row>
    <row r="47" spans="2:18" x14ac:dyDescent="0.3">
      <c r="B47" s="136">
        <f t="shared" si="0"/>
        <v>41</v>
      </c>
      <c r="C47" s="153"/>
      <c r="D47" s="153"/>
      <c r="E47" s="150"/>
      <c r="F47" s="151"/>
      <c r="G47" s="151"/>
      <c r="H47" s="151"/>
      <c r="I47" s="153"/>
      <c r="J47" s="150"/>
      <c r="K47" s="152"/>
      <c r="L47" s="153"/>
      <c r="M47" s="150"/>
      <c r="N47" s="151"/>
      <c r="O47" s="151"/>
      <c r="P47" s="151"/>
      <c r="Q47" s="153"/>
      <c r="R47" s="153"/>
    </row>
    <row r="48" spans="2:18" x14ac:dyDescent="0.3">
      <c r="B48" s="136">
        <f t="shared" si="0"/>
        <v>42</v>
      </c>
      <c r="C48" s="153"/>
      <c r="D48" s="153"/>
      <c r="E48" s="150"/>
      <c r="F48" s="151"/>
      <c r="G48" s="151"/>
      <c r="H48" s="151"/>
      <c r="I48" s="153"/>
      <c r="J48" s="150"/>
      <c r="K48" s="152"/>
      <c r="L48" s="153"/>
      <c r="M48" s="150"/>
      <c r="N48" s="151"/>
      <c r="O48" s="151"/>
      <c r="P48" s="151"/>
      <c r="Q48" s="153"/>
      <c r="R48" s="153"/>
    </row>
    <row r="49" spans="2:18" x14ac:dyDescent="0.3">
      <c r="B49" s="136">
        <f t="shared" si="0"/>
        <v>43</v>
      </c>
      <c r="C49" s="153"/>
      <c r="D49" s="153"/>
      <c r="E49" s="150"/>
      <c r="F49" s="151"/>
      <c r="G49" s="151"/>
      <c r="H49" s="151"/>
      <c r="I49" s="153"/>
      <c r="J49" s="150"/>
      <c r="K49" s="152"/>
      <c r="L49" s="153"/>
      <c r="M49" s="150"/>
      <c r="N49" s="151"/>
      <c r="O49" s="151"/>
      <c r="P49" s="151"/>
      <c r="Q49" s="153"/>
      <c r="R49" s="153"/>
    </row>
    <row r="50" spans="2:18" x14ac:dyDescent="0.3">
      <c r="B50" s="136">
        <f t="shared" si="0"/>
        <v>44</v>
      </c>
      <c r="C50" s="153"/>
      <c r="D50" s="153"/>
      <c r="E50" s="150"/>
      <c r="F50" s="151"/>
      <c r="G50" s="151"/>
      <c r="H50" s="151"/>
      <c r="I50" s="153"/>
      <c r="J50" s="150"/>
      <c r="K50" s="152"/>
      <c r="L50" s="153"/>
      <c r="M50" s="150"/>
      <c r="N50" s="151"/>
      <c r="O50" s="151"/>
      <c r="P50" s="151"/>
      <c r="Q50" s="153"/>
      <c r="R50" s="153"/>
    </row>
    <row r="51" spans="2:18" x14ac:dyDescent="0.3">
      <c r="B51" s="136">
        <f t="shared" si="0"/>
        <v>45</v>
      </c>
      <c r="C51" s="153"/>
      <c r="D51" s="153"/>
      <c r="E51" s="150"/>
      <c r="F51" s="151"/>
      <c r="G51" s="151"/>
      <c r="H51" s="151"/>
      <c r="I51" s="153"/>
      <c r="J51" s="150"/>
      <c r="K51" s="152"/>
      <c r="L51" s="153"/>
      <c r="M51" s="150"/>
      <c r="N51" s="151"/>
      <c r="O51" s="151"/>
      <c r="P51" s="151"/>
      <c r="Q51" s="153"/>
      <c r="R51" s="153"/>
    </row>
    <row r="52" spans="2:18" x14ac:dyDescent="0.3">
      <c r="B52" s="136">
        <f t="shared" si="0"/>
        <v>46</v>
      </c>
      <c r="C52" s="153"/>
      <c r="D52" s="153"/>
      <c r="E52" s="150"/>
      <c r="F52" s="151"/>
      <c r="G52" s="151"/>
      <c r="H52" s="151"/>
      <c r="I52" s="153"/>
      <c r="J52" s="150"/>
      <c r="K52" s="152"/>
      <c r="L52" s="153"/>
      <c r="M52" s="150"/>
      <c r="N52" s="151"/>
      <c r="O52" s="151"/>
      <c r="P52" s="151"/>
      <c r="Q52" s="153"/>
      <c r="R52" s="153"/>
    </row>
    <row r="53" spans="2:18" x14ac:dyDescent="0.3">
      <c r="B53" s="136">
        <f t="shared" si="0"/>
        <v>47</v>
      </c>
      <c r="C53" s="153"/>
      <c r="D53" s="153"/>
      <c r="E53" s="150"/>
      <c r="F53" s="151"/>
      <c r="G53" s="151"/>
      <c r="H53" s="151"/>
      <c r="I53" s="153"/>
      <c r="J53" s="150"/>
      <c r="K53" s="152"/>
      <c r="L53" s="153"/>
      <c r="M53" s="150"/>
      <c r="N53" s="151"/>
      <c r="O53" s="151"/>
      <c r="P53" s="151"/>
      <c r="Q53" s="153"/>
      <c r="R53" s="153"/>
    </row>
    <row r="54" spans="2:18" x14ac:dyDescent="0.3">
      <c r="B54" s="136">
        <f t="shared" si="0"/>
        <v>48</v>
      </c>
      <c r="C54" s="153"/>
      <c r="D54" s="153"/>
      <c r="E54" s="150"/>
      <c r="F54" s="151"/>
      <c r="G54" s="151"/>
      <c r="H54" s="151"/>
      <c r="I54" s="153"/>
      <c r="J54" s="150"/>
      <c r="K54" s="152"/>
      <c r="L54" s="153"/>
      <c r="M54" s="150"/>
      <c r="N54" s="151"/>
      <c r="O54" s="151"/>
      <c r="P54" s="151"/>
      <c r="Q54" s="153"/>
      <c r="R54" s="153"/>
    </row>
    <row r="55" spans="2:18" x14ac:dyDescent="0.3">
      <c r="B55" s="136">
        <f t="shared" si="0"/>
        <v>49</v>
      </c>
      <c r="C55" s="153"/>
      <c r="D55" s="153"/>
      <c r="E55" s="150"/>
      <c r="F55" s="151"/>
      <c r="G55" s="151"/>
      <c r="H55" s="151"/>
      <c r="I55" s="153"/>
      <c r="J55" s="150"/>
      <c r="K55" s="152"/>
      <c r="L55" s="153"/>
      <c r="M55" s="150"/>
      <c r="N55" s="151"/>
      <c r="O55" s="151"/>
      <c r="P55" s="151"/>
      <c r="Q55" s="153"/>
      <c r="R55" s="153"/>
    </row>
    <row r="56" spans="2:18" x14ac:dyDescent="0.3">
      <c r="B56" s="136">
        <f t="shared" si="0"/>
        <v>50</v>
      </c>
      <c r="C56" s="153"/>
      <c r="D56" s="153"/>
      <c r="E56" s="150"/>
      <c r="F56" s="151"/>
      <c r="G56" s="151"/>
      <c r="H56" s="151"/>
      <c r="I56" s="153"/>
      <c r="J56" s="150"/>
      <c r="K56" s="152"/>
      <c r="L56" s="153"/>
      <c r="M56" s="150"/>
      <c r="N56" s="151"/>
      <c r="O56" s="151"/>
      <c r="P56" s="151"/>
      <c r="Q56" s="153"/>
      <c r="R56" s="153"/>
    </row>
  </sheetData>
  <sheetProtection insertRows="0" deleteRows="0" sort="0" autoFilter="0"/>
  <mergeCells count="1">
    <mergeCell ref="B4:B6"/>
  </mergeCells>
  <phoneticPr fontId="13"/>
  <conditionalFormatting sqref="F7:F56">
    <cfRule type="expression" dxfId="4" priority="3">
      <formula>$E7&lt;&gt;"代金引換払い"</formula>
    </cfRule>
  </conditionalFormatting>
  <conditionalFormatting sqref="K7:K56">
    <cfRule type="expression" dxfId="3" priority="2">
      <formula>$E7&lt;&gt;"締日"</formula>
    </cfRule>
  </conditionalFormatting>
  <conditionalFormatting sqref="O7:O56">
    <cfRule type="expression" dxfId="2" priority="1">
      <formula>$F7&lt;&gt;"はい"</formula>
    </cfRule>
  </conditionalFormatting>
  <hyperlinks>
    <hyperlink ref="A3" location="パラメータ設定一覧!A1" display="パラメータ設定一覧へ" xr:uid="{3895D63B-0938-4FCD-9343-E2BFDCB3B4FB}"/>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1"/>
  <dimension ref="A1:L10"/>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0.5703125" style="87" customWidth="1"/>
    <col min="13" max="16384" width="8.78515625" style="87"/>
  </cols>
  <sheetData>
    <row r="1" spans="1:12" customFormat="1" ht="19.5" x14ac:dyDescent="0.35">
      <c r="A1" s="1" t="s">
        <v>624</v>
      </c>
    </row>
    <row r="2" spans="1:12" customFormat="1" ht="15" x14ac:dyDescent="0.35">
      <c r="B2" t="s">
        <v>625</v>
      </c>
    </row>
    <row r="3" spans="1:12" customFormat="1" ht="15" x14ac:dyDescent="0.35">
      <c r="B3" t="s">
        <v>626</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627</v>
      </c>
      <c r="D6" s="39"/>
      <c r="E6" s="39"/>
      <c r="F6" s="46" t="s">
        <v>628</v>
      </c>
      <c r="G6" s="46"/>
      <c r="H6" s="46" t="s">
        <v>382</v>
      </c>
      <c r="I6" s="47" t="s">
        <v>51</v>
      </c>
      <c r="J6" s="47"/>
      <c r="K6" s="30" t="s">
        <v>629</v>
      </c>
      <c r="L6" s="31"/>
    </row>
    <row r="7" spans="1:12" x14ac:dyDescent="0.35">
      <c r="B7" s="45">
        <f t="shared" ref="B7:B10" si="0">ROW() - 5</f>
        <v>2</v>
      </c>
      <c r="C7" s="43"/>
      <c r="D7" s="12"/>
      <c r="E7" s="93"/>
      <c r="F7" s="64" t="s">
        <v>630</v>
      </c>
      <c r="G7" s="46"/>
      <c r="H7" s="46" t="s">
        <v>382</v>
      </c>
      <c r="I7" s="146" t="s">
        <v>51</v>
      </c>
      <c r="J7" s="47"/>
      <c r="K7" s="30" t="s">
        <v>629</v>
      </c>
      <c r="L7" s="31"/>
    </row>
    <row r="8" spans="1:12" ht="27" x14ac:dyDescent="0.35">
      <c r="B8" s="45">
        <f t="shared" si="0"/>
        <v>3</v>
      </c>
      <c r="C8" s="42" t="s">
        <v>631</v>
      </c>
      <c r="D8" s="42"/>
      <c r="E8" s="42"/>
      <c r="F8" s="64" t="s">
        <v>632</v>
      </c>
      <c r="G8" s="46" t="s">
        <v>633</v>
      </c>
      <c r="H8" s="91" t="s">
        <v>634</v>
      </c>
      <c r="I8" s="147" t="s">
        <v>635</v>
      </c>
      <c r="J8" s="47"/>
      <c r="K8" s="30" t="s">
        <v>629</v>
      </c>
      <c r="L8" s="31"/>
    </row>
    <row r="9" spans="1:12" ht="94.5" x14ac:dyDescent="0.35">
      <c r="B9" s="45">
        <f t="shared" si="0"/>
        <v>4</v>
      </c>
      <c r="C9" s="42"/>
      <c r="D9" s="42"/>
      <c r="F9" s="48" t="s">
        <v>636</v>
      </c>
      <c r="G9" s="48" t="s">
        <v>637</v>
      </c>
      <c r="H9" s="7" t="s">
        <v>474</v>
      </c>
      <c r="I9" s="13" t="s">
        <v>51</v>
      </c>
      <c r="J9" s="41"/>
      <c r="K9" s="30" t="s">
        <v>629</v>
      </c>
      <c r="L9" s="31"/>
    </row>
    <row r="10" spans="1:12" ht="27" x14ac:dyDescent="0.35">
      <c r="B10" s="45">
        <f t="shared" si="0"/>
        <v>5</v>
      </c>
      <c r="C10" s="43"/>
      <c r="D10" s="43"/>
      <c r="E10" s="43"/>
      <c r="F10" s="46" t="s">
        <v>638</v>
      </c>
      <c r="G10" s="46" t="s">
        <v>639</v>
      </c>
      <c r="H10" s="14" t="s">
        <v>107</v>
      </c>
      <c r="I10" s="13" t="s">
        <v>51</v>
      </c>
      <c r="J10" s="47"/>
      <c r="K10" s="30" t="s">
        <v>629</v>
      </c>
      <c r="L10" s="31"/>
    </row>
  </sheetData>
  <phoneticPr fontId="13"/>
  <hyperlinks>
    <hyperlink ref="A4" location="パラメータ設定一覧!A1" display="パラメータ設定一覧へ" xr:uid="{58E92FD7-A2B6-48A9-AB20-BAFB6F322F7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2"/>
  <dimension ref="A1:G37"/>
  <sheetViews>
    <sheetView showGridLines="0" zoomScaleNormal="100" workbookViewId="0">
      <pane ySplit="6" topLeftCell="A7" activePane="bottomLeft" state="frozen"/>
      <selection pane="bottomLeft" activeCell="A3" sqref="A3"/>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8.2109375" style="87" customWidth="1"/>
    <col min="5" max="5" width="17.640625" style="87" customWidth="1"/>
    <col min="6" max="6" width="15.640625" style="87" customWidth="1"/>
    <col min="7" max="7" width="14.2109375" style="87" customWidth="1"/>
    <col min="8" max="8" width="16.78515625" style="87"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7" customFormat="1" ht="19.5" x14ac:dyDescent="0.35">
      <c r="A1" s="1" t="s">
        <v>640</v>
      </c>
    </row>
    <row r="2" spans="1:7" customFormat="1" ht="15" x14ac:dyDescent="0.35"/>
    <row r="3" spans="1:7" customFormat="1" ht="15" x14ac:dyDescent="0.35">
      <c r="A3" s="36" t="s">
        <v>1104</v>
      </c>
    </row>
    <row r="4" spans="1:7" ht="15.75" customHeight="1" x14ac:dyDescent="0.35">
      <c r="B4" s="286" t="s">
        <v>24</v>
      </c>
      <c r="C4" s="15" t="s">
        <v>641</v>
      </c>
      <c r="D4" s="17"/>
      <c r="E4" s="15" t="s">
        <v>631</v>
      </c>
      <c r="F4" s="16"/>
      <c r="G4" s="17"/>
    </row>
    <row r="5" spans="1:7" x14ac:dyDescent="0.35">
      <c r="B5" s="287"/>
      <c r="C5" s="138" t="s">
        <v>628</v>
      </c>
      <c r="D5" s="138" t="s">
        <v>630</v>
      </c>
      <c r="E5" s="32" t="s">
        <v>632</v>
      </c>
      <c r="F5" s="32" t="s">
        <v>636</v>
      </c>
      <c r="G5" s="32" t="s">
        <v>638</v>
      </c>
    </row>
    <row r="6" spans="1:7" ht="94.5" x14ac:dyDescent="0.35">
      <c r="B6" s="287"/>
      <c r="C6" s="34" t="s">
        <v>382</v>
      </c>
      <c r="D6" s="34" t="s">
        <v>382</v>
      </c>
      <c r="E6" s="34" t="s">
        <v>634</v>
      </c>
      <c r="F6" s="34" t="s">
        <v>474</v>
      </c>
      <c r="G6" s="34" t="s">
        <v>107</v>
      </c>
    </row>
    <row r="7" spans="1:7" x14ac:dyDescent="0.3">
      <c r="B7" s="136">
        <f>ROW() - 6</f>
        <v>1</v>
      </c>
      <c r="C7" s="154" t="s">
        <v>1177</v>
      </c>
      <c r="D7" s="154" t="s">
        <v>1177</v>
      </c>
      <c r="E7" s="155" t="s">
        <v>711</v>
      </c>
      <c r="F7" s="155"/>
      <c r="G7" s="154">
        <v>1</v>
      </c>
    </row>
    <row r="8" spans="1:7" x14ac:dyDescent="0.3">
      <c r="B8" s="136">
        <f t="shared" ref="B8:B37" si="0">ROW() - 6</f>
        <v>2</v>
      </c>
      <c r="C8" s="156" t="s">
        <v>1188</v>
      </c>
      <c r="D8" s="156" t="s">
        <v>1188</v>
      </c>
      <c r="E8" s="155" t="s">
        <v>711</v>
      </c>
      <c r="F8" s="155"/>
      <c r="G8" s="154">
        <v>2</v>
      </c>
    </row>
    <row r="9" spans="1:7" x14ac:dyDescent="0.3">
      <c r="B9" s="136">
        <f t="shared" si="0"/>
        <v>3</v>
      </c>
      <c r="C9" s="156" t="s">
        <v>1190</v>
      </c>
      <c r="D9" s="156" t="s">
        <v>1190</v>
      </c>
      <c r="E9" s="155" t="s">
        <v>711</v>
      </c>
      <c r="F9" s="155"/>
      <c r="G9" s="154">
        <v>3</v>
      </c>
    </row>
    <row r="10" spans="1:7" x14ac:dyDescent="0.3">
      <c r="B10" s="136">
        <f t="shared" si="0"/>
        <v>4</v>
      </c>
      <c r="C10" s="157" t="s">
        <v>1191</v>
      </c>
      <c r="D10" s="157" t="s">
        <v>1191</v>
      </c>
      <c r="E10" s="155" t="s">
        <v>711</v>
      </c>
      <c r="F10" s="155"/>
      <c r="G10" s="158">
        <v>4</v>
      </c>
    </row>
    <row r="11" spans="1:7" x14ac:dyDescent="0.3">
      <c r="B11" s="136">
        <f t="shared" si="0"/>
        <v>5</v>
      </c>
      <c r="C11" s="157" t="s">
        <v>1192</v>
      </c>
      <c r="D11" s="136" t="s">
        <v>1192</v>
      </c>
      <c r="E11" s="155" t="s">
        <v>711</v>
      </c>
      <c r="F11" s="155"/>
      <c r="G11" s="154">
        <v>5</v>
      </c>
    </row>
    <row r="12" spans="1:7" x14ac:dyDescent="0.3">
      <c r="B12" s="136">
        <f t="shared" si="0"/>
        <v>6</v>
      </c>
      <c r="C12" s="157" t="s">
        <v>1193</v>
      </c>
      <c r="D12" s="136" t="s">
        <v>1193</v>
      </c>
      <c r="E12" s="155" t="s">
        <v>711</v>
      </c>
      <c r="F12" s="155"/>
      <c r="G12" s="154">
        <v>6</v>
      </c>
    </row>
    <row r="13" spans="1:7" x14ac:dyDescent="0.3">
      <c r="B13" s="136">
        <f t="shared" si="0"/>
        <v>7</v>
      </c>
      <c r="C13" s="157" t="s">
        <v>1194</v>
      </c>
      <c r="D13" s="136" t="s">
        <v>1194</v>
      </c>
      <c r="E13" s="155" t="s">
        <v>711</v>
      </c>
      <c r="F13" s="155"/>
      <c r="G13" s="158">
        <v>7</v>
      </c>
    </row>
    <row r="14" spans="1:7" x14ac:dyDescent="0.3">
      <c r="B14" s="136">
        <f t="shared" si="0"/>
        <v>8</v>
      </c>
      <c r="C14" s="157" t="s">
        <v>1195</v>
      </c>
      <c r="D14" s="136" t="s">
        <v>1195</v>
      </c>
      <c r="E14" s="155" t="s">
        <v>711</v>
      </c>
      <c r="F14" s="155"/>
      <c r="G14" s="154">
        <v>8</v>
      </c>
    </row>
    <row r="15" spans="1:7" x14ac:dyDescent="0.3">
      <c r="B15" s="136">
        <f t="shared" si="0"/>
        <v>9</v>
      </c>
      <c r="C15" s="157" t="s">
        <v>1196</v>
      </c>
      <c r="D15" s="136" t="s">
        <v>1196</v>
      </c>
      <c r="E15" s="155" t="s">
        <v>711</v>
      </c>
      <c r="F15" s="155"/>
      <c r="G15" s="154">
        <v>9</v>
      </c>
    </row>
    <row r="16" spans="1:7" x14ac:dyDescent="0.3">
      <c r="B16" s="136">
        <f t="shared" si="0"/>
        <v>10</v>
      </c>
      <c r="C16" s="157" t="s">
        <v>1167</v>
      </c>
      <c r="D16" s="136" t="s">
        <v>1167</v>
      </c>
      <c r="E16" s="155" t="s">
        <v>711</v>
      </c>
      <c r="F16" s="155"/>
      <c r="G16" s="158">
        <v>10</v>
      </c>
    </row>
    <row r="17" spans="2:7" x14ac:dyDescent="0.3">
      <c r="B17" s="136">
        <f t="shared" si="0"/>
        <v>11</v>
      </c>
      <c r="C17" s="157" t="s">
        <v>1168</v>
      </c>
      <c r="D17" s="136" t="s">
        <v>1168</v>
      </c>
      <c r="E17" s="155" t="s">
        <v>711</v>
      </c>
      <c r="F17" s="155"/>
      <c r="G17" s="158">
        <v>11</v>
      </c>
    </row>
    <row r="18" spans="2:7" x14ac:dyDescent="0.3">
      <c r="B18" s="136">
        <f t="shared" si="0"/>
        <v>12</v>
      </c>
      <c r="C18" s="157" t="s">
        <v>1169</v>
      </c>
      <c r="D18" s="136" t="s">
        <v>1169</v>
      </c>
      <c r="E18" s="155" t="s">
        <v>711</v>
      </c>
      <c r="F18" s="155"/>
      <c r="G18" s="158">
        <v>12</v>
      </c>
    </row>
    <row r="19" spans="2:7" x14ac:dyDescent="0.3">
      <c r="B19" s="136">
        <f t="shared" si="0"/>
        <v>13</v>
      </c>
      <c r="C19" s="157" t="s">
        <v>1170</v>
      </c>
      <c r="D19" s="136" t="s">
        <v>1170</v>
      </c>
      <c r="E19" s="155" t="s">
        <v>711</v>
      </c>
      <c r="F19" s="155"/>
      <c r="G19" s="158">
        <v>13</v>
      </c>
    </row>
    <row r="20" spans="2:7" x14ac:dyDescent="0.3">
      <c r="B20" s="136">
        <f t="shared" si="0"/>
        <v>14</v>
      </c>
      <c r="C20" s="157" t="s">
        <v>1171</v>
      </c>
      <c r="D20" s="136" t="s">
        <v>1171</v>
      </c>
      <c r="E20" s="155" t="s">
        <v>711</v>
      </c>
      <c r="F20" s="155"/>
      <c r="G20" s="158">
        <v>14</v>
      </c>
    </row>
    <row r="21" spans="2:7" x14ac:dyDescent="0.3">
      <c r="B21" s="136">
        <f t="shared" si="0"/>
        <v>15</v>
      </c>
      <c r="C21" s="157" t="s">
        <v>1172</v>
      </c>
      <c r="D21" s="136" t="s">
        <v>1172</v>
      </c>
      <c r="E21" s="155" t="s">
        <v>711</v>
      </c>
      <c r="F21" s="155"/>
      <c r="G21" s="158">
        <v>15</v>
      </c>
    </row>
    <row r="22" spans="2:7" x14ac:dyDescent="0.3">
      <c r="B22" s="136">
        <f t="shared" si="0"/>
        <v>16</v>
      </c>
      <c r="C22" s="157" t="s">
        <v>1173</v>
      </c>
      <c r="D22" s="136" t="s">
        <v>1173</v>
      </c>
      <c r="E22" s="155" t="s">
        <v>711</v>
      </c>
      <c r="F22" s="155"/>
      <c r="G22" s="158">
        <v>16</v>
      </c>
    </row>
    <row r="23" spans="2:7" x14ac:dyDescent="0.3">
      <c r="B23" s="136">
        <f t="shared" si="0"/>
        <v>17</v>
      </c>
      <c r="C23" s="157" t="s">
        <v>1174</v>
      </c>
      <c r="D23" s="136" t="s">
        <v>1174</v>
      </c>
      <c r="E23" s="155" t="s">
        <v>711</v>
      </c>
      <c r="F23" s="155"/>
      <c r="G23" s="158">
        <v>17</v>
      </c>
    </row>
    <row r="24" spans="2:7" x14ac:dyDescent="0.3">
      <c r="B24" s="136">
        <f t="shared" si="0"/>
        <v>18</v>
      </c>
      <c r="C24" s="157" t="s">
        <v>1175</v>
      </c>
      <c r="D24" s="136" t="s">
        <v>1175</v>
      </c>
      <c r="E24" s="155" t="s">
        <v>711</v>
      </c>
      <c r="F24" s="155"/>
      <c r="G24" s="158">
        <v>18</v>
      </c>
    </row>
    <row r="25" spans="2:7" x14ac:dyDescent="0.3">
      <c r="B25" s="136">
        <f t="shared" si="0"/>
        <v>19</v>
      </c>
      <c r="C25" s="157" t="s">
        <v>1176</v>
      </c>
      <c r="D25" s="136" t="s">
        <v>1176</v>
      </c>
      <c r="E25" s="155" t="s">
        <v>711</v>
      </c>
      <c r="F25" s="155"/>
      <c r="G25" s="158">
        <v>19</v>
      </c>
    </row>
    <row r="26" spans="2:7" x14ac:dyDescent="0.3">
      <c r="B26" s="136">
        <f t="shared" si="0"/>
        <v>20</v>
      </c>
      <c r="C26" s="157" t="s">
        <v>1178</v>
      </c>
      <c r="D26" s="136" t="s">
        <v>1178</v>
      </c>
      <c r="E26" s="155" t="s">
        <v>711</v>
      </c>
      <c r="F26" s="155"/>
      <c r="G26" s="158">
        <v>20</v>
      </c>
    </row>
    <row r="27" spans="2:7" x14ac:dyDescent="0.3">
      <c r="B27" s="136">
        <f t="shared" si="0"/>
        <v>21</v>
      </c>
      <c r="C27" s="157" t="s">
        <v>1179</v>
      </c>
      <c r="D27" s="136" t="s">
        <v>1179</v>
      </c>
      <c r="E27" s="155" t="s">
        <v>711</v>
      </c>
      <c r="F27" s="155"/>
      <c r="G27" s="158">
        <v>21</v>
      </c>
    </row>
    <row r="28" spans="2:7" x14ac:dyDescent="0.3">
      <c r="B28" s="136">
        <f t="shared" si="0"/>
        <v>22</v>
      </c>
      <c r="C28" s="157" t="s">
        <v>1180</v>
      </c>
      <c r="D28" s="136" t="s">
        <v>1180</v>
      </c>
      <c r="E28" s="155" t="s">
        <v>711</v>
      </c>
      <c r="F28" s="155"/>
      <c r="G28" s="158">
        <v>22</v>
      </c>
    </row>
    <row r="29" spans="2:7" x14ac:dyDescent="0.3">
      <c r="B29" s="136">
        <f t="shared" si="0"/>
        <v>23</v>
      </c>
      <c r="C29" s="157" t="s">
        <v>1181</v>
      </c>
      <c r="D29" s="136" t="s">
        <v>1181</v>
      </c>
      <c r="E29" s="155" t="s">
        <v>711</v>
      </c>
      <c r="F29" s="155"/>
      <c r="G29" s="158">
        <v>23</v>
      </c>
    </row>
    <row r="30" spans="2:7" x14ac:dyDescent="0.3">
      <c r="B30" s="136">
        <f t="shared" si="0"/>
        <v>24</v>
      </c>
      <c r="C30" s="157" t="s">
        <v>1182</v>
      </c>
      <c r="D30" s="136" t="s">
        <v>1182</v>
      </c>
      <c r="E30" s="155" t="s">
        <v>711</v>
      </c>
      <c r="F30" s="155"/>
      <c r="G30" s="158">
        <v>24</v>
      </c>
    </row>
    <row r="31" spans="2:7" x14ac:dyDescent="0.3">
      <c r="B31" s="136">
        <f t="shared" si="0"/>
        <v>25</v>
      </c>
      <c r="C31" s="157" t="s">
        <v>1183</v>
      </c>
      <c r="D31" s="136" t="s">
        <v>1183</v>
      </c>
      <c r="E31" s="155" t="s">
        <v>711</v>
      </c>
      <c r="F31" s="155"/>
      <c r="G31" s="158">
        <v>25</v>
      </c>
    </row>
    <row r="32" spans="2:7" x14ac:dyDescent="0.3">
      <c r="B32" s="136">
        <f t="shared" si="0"/>
        <v>26</v>
      </c>
      <c r="C32" s="157" t="s">
        <v>1184</v>
      </c>
      <c r="D32" s="136" t="s">
        <v>1184</v>
      </c>
      <c r="E32" s="155" t="s">
        <v>711</v>
      </c>
      <c r="F32" s="155"/>
      <c r="G32" s="158">
        <v>26</v>
      </c>
    </row>
    <row r="33" spans="2:7" x14ac:dyDescent="0.3">
      <c r="B33" s="136">
        <f t="shared" si="0"/>
        <v>27</v>
      </c>
      <c r="C33" s="157" t="s">
        <v>1185</v>
      </c>
      <c r="D33" s="136" t="s">
        <v>1185</v>
      </c>
      <c r="E33" s="155" t="s">
        <v>711</v>
      </c>
      <c r="F33" s="155"/>
      <c r="G33" s="158">
        <v>27</v>
      </c>
    </row>
    <row r="34" spans="2:7" x14ac:dyDescent="0.3">
      <c r="B34" s="136">
        <f t="shared" si="0"/>
        <v>28</v>
      </c>
      <c r="C34" s="157" t="s">
        <v>1186</v>
      </c>
      <c r="D34" s="136" t="s">
        <v>1186</v>
      </c>
      <c r="E34" s="155" t="s">
        <v>711</v>
      </c>
      <c r="F34" s="155"/>
      <c r="G34" s="158">
        <v>28</v>
      </c>
    </row>
    <row r="35" spans="2:7" x14ac:dyDescent="0.3">
      <c r="B35" s="136">
        <f t="shared" si="0"/>
        <v>29</v>
      </c>
      <c r="C35" s="157" t="s">
        <v>1187</v>
      </c>
      <c r="D35" s="136" t="s">
        <v>1187</v>
      </c>
      <c r="E35" s="155" t="s">
        <v>711</v>
      </c>
      <c r="F35" s="155"/>
      <c r="G35" s="158">
        <v>29</v>
      </c>
    </row>
    <row r="36" spans="2:7" x14ac:dyDescent="0.3">
      <c r="B36" s="136">
        <f t="shared" si="0"/>
        <v>30</v>
      </c>
      <c r="C36" s="157" t="s">
        <v>1189</v>
      </c>
      <c r="D36" s="136" t="s">
        <v>1189</v>
      </c>
      <c r="E36" s="155" t="s">
        <v>711</v>
      </c>
      <c r="F36" s="155"/>
      <c r="G36" s="158">
        <v>30</v>
      </c>
    </row>
    <row r="37" spans="2:7" x14ac:dyDescent="0.3">
      <c r="B37" s="136">
        <f t="shared" si="0"/>
        <v>31</v>
      </c>
      <c r="C37" s="157" t="s">
        <v>1197</v>
      </c>
      <c r="D37" s="136" t="s">
        <v>1197</v>
      </c>
      <c r="E37" s="155" t="s">
        <v>711</v>
      </c>
      <c r="F37" s="155"/>
      <c r="G37" s="158">
        <v>31</v>
      </c>
    </row>
  </sheetData>
  <sheetProtection insertRows="0" deleteRows="0" sort="0" autoFilter="0"/>
  <mergeCells count="1">
    <mergeCell ref="B4:B6"/>
  </mergeCells>
  <phoneticPr fontId="13"/>
  <conditionalFormatting sqref="F7:F37">
    <cfRule type="expression" dxfId="1" priority="1">
      <formula>$E7="月"</formula>
    </cfRule>
  </conditionalFormatting>
  <conditionalFormatting sqref="G7:G37">
    <cfRule type="expression" dxfId="0" priority="2">
      <formula>$E7="週"</formula>
    </cfRule>
  </conditionalFormatting>
  <hyperlinks>
    <hyperlink ref="A3" location="パラメータ設定一覧!A1" display="パラメータ設定一覧へ" xr:uid="{FC850593-1F76-427D-8546-3EF043A3C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7"/>
  <dimension ref="A1:L1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18.2109375" style="87" customWidth="1"/>
    <col min="12" max="12" width="25.640625" style="87" customWidth="1"/>
    <col min="13" max="16384" width="8.78515625" style="87"/>
  </cols>
  <sheetData>
    <row r="1" spans="1:12" customFormat="1" ht="19.5" x14ac:dyDescent="0.35">
      <c r="A1" s="1" t="s">
        <v>14</v>
      </c>
    </row>
    <row r="2" spans="1:12" customFormat="1" ht="15" x14ac:dyDescent="0.35">
      <c r="B2" t="s">
        <v>642</v>
      </c>
    </row>
    <row r="3" spans="1:12" customFormat="1" ht="15" x14ac:dyDescent="0.35">
      <c r="B3" t="s">
        <v>643</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644</v>
      </c>
      <c r="D6" s="39"/>
      <c r="E6" s="39"/>
      <c r="F6" s="46" t="s">
        <v>645</v>
      </c>
      <c r="G6" s="46"/>
      <c r="H6" s="46" t="s">
        <v>382</v>
      </c>
      <c r="I6" s="47" t="s">
        <v>51</v>
      </c>
      <c r="J6" s="47"/>
      <c r="K6" s="30" t="s">
        <v>646</v>
      </c>
      <c r="L6" s="31"/>
    </row>
    <row r="7" spans="1:12" x14ac:dyDescent="0.35">
      <c r="B7" s="45">
        <f t="shared" ref="B7:B13" si="0">ROW() - 5</f>
        <v>2</v>
      </c>
      <c r="C7" s="42"/>
      <c r="D7" s="63"/>
      <c r="E7" s="90"/>
      <c r="F7" s="64" t="s">
        <v>630</v>
      </c>
      <c r="G7" s="46"/>
      <c r="H7" s="46" t="s">
        <v>382</v>
      </c>
      <c r="I7" s="146" t="s">
        <v>51</v>
      </c>
      <c r="J7" s="47"/>
      <c r="K7" s="30" t="s">
        <v>983</v>
      </c>
      <c r="L7" s="31"/>
    </row>
    <row r="8" spans="1:12" x14ac:dyDescent="0.35">
      <c r="B8" s="45">
        <f t="shared" si="0"/>
        <v>3</v>
      </c>
      <c r="C8" s="42"/>
      <c r="D8" s="42"/>
      <c r="E8" s="42"/>
      <c r="F8" s="64" t="s">
        <v>647</v>
      </c>
      <c r="G8" s="46"/>
      <c r="H8" s="91" t="s">
        <v>648</v>
      </c>
      <c r="I8" s="147" t="s">
        <v>51</v>
      </c>
      <c r="J8" s="47"/>
      <c r="K8" s="30" t="s">
        <v>646</v>
      </c>
      <c r="L8" s="31"/>
    </row>
    <row r="9" spans="1:12" ht="27" x14ac:dyDescent="0.35">
      <c r="B9" s="45">
        <f t="shared" si="0"/>
        <v>4</v>
      </c>
      <c r="C9" s="42"/>
      <c r="D9" s="42"/>
      <c r="F9" s="48" t="s">
        <v>649</v>
      </c>
      <c r="G9" s="48" t="s">
        <v>650</v>
      </c>
      <c r="H9" s="7" t="s">
        <v>651</v>
      </c>
      <c r="I9" s="147" t="s">
        <v>51</v>
      </c>
      <c r="J9" s="41"/>
      <c r="K9" s="30" t="s">
        <v>983</v>
      </c>
      <c r="L9" s="31"/>
    </row>
    <row r="10" spans="1:12" x14ac:dyDescent="0.35">
      <c r="B10" s="45">
        <f t="shared" si="0"/>
        <v>5</v>
      </c>
      <c r="C10" s="42"/>
      <c r="D10" s="42"/>
      <c r="E10" s="42"/>
      <c r="F10" s="46" t="s">
        <v>984</v>
      </c>
      <c r="G10" s="46" t="s">
        <v>848</v>
      </c>
      <c r="H10" s="7" t="s">
        <v>985</v>
      </c>
      <c r="I10" s="147" t="s">
        <v>51</v>
      </c>
      <c r="J10" s="47"/>
      <c r="K10" s="30" t="s">
        <v>646</v>
      </c>
      <c r="L10" s="31"/>
    </row>
    <row r="11" spans="1:12" x14ac:dyDescent="0.35">
      <c r="B11" s="45">
        <f t="shared" si="0"/>
        <v>6</v>
      </c>
      <c r="C11" s="42"/>
      <c r="D11" s="42"/>
      <c r="E11" s="42"/>
      <c r="F11" s="46" t="s">
        <v>652</v>
      </c>
      <c r="G11" s="46"/>
      <c r="H11" s="7" t="s">
        <v>653</v>
      </c>
      <c r="I11" s="147" t="s">
        <v>51</v>
      </c>
      <c r="J11" s="47"/>
      <c r="K11" s="30" t="s">
        <v>646</v>
      </c>
      <c r="L11" s="31"/>
    </row>
    <row r="12" spans="1:12" x14ac:dyDescent="0.35">
      <c r="B12" s="45">
        <f t="shared" si="0"/>
        <v>7</v>
      </c>
      <c r="C12" s="42"/>
      <c r="D12" s="42"/>
      <c r="E12" s="42"/>
      <c r="F12" s="46" t="s">
        <v>535</v>
      </c>
      <c r="G12" s="46"/>
      <c r="H12" s="7" t="s">
        <v>654</v>
      </c>
      <c r="I12" s="147" t="s">
        <v>51</v>
      </c>
      <c r="J12" s="47"/>
      <c r="K12" s="30" t="s">
        <v>983</v>
      </c>
      <c r="L12" s="31"/>
    </row>
    <row r="13" spans="1:12" x14ac:dyDescent="0.35">
      <c r="B13" s="45">
        <f t="shared" si="0"/>
        <v>8</v>
      </c>
      <c r="C13" s="43"/>
      <c r="D13" s="43"/>
      <c r="E13" s="43"/>
      <c r="F13" s="46" t="s">
        <v>655</v>
      </c>
      <c r="G13" s="46"/>
      <c r="H13" s="7" t="s">
        <v>656</v>
      </c>
      <c r="I13" s="146" t="s">
        <v>51</v>
      </c>
      <c r="J13" s="47"/>
      <c r="K13" s="30" t="s">
        <v>646</v>
      </c>
      <c r="L13" s="31"/>
    </row>
  </sheetData>
  <phoneticPr fontId="13"/>
  <hyperlinks>
    <hyperlink ref="A4" location="パラメータ設定一覧!A1" display="パラメータ設定一覧へ" xr:uid="{A624DE5D-C4F0-4370-ADD3-7C92DE49174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8"/>
  <dimension ref="A1:J8"/>
  <sheetViews>
    <sheetView showGridLines="0" zoomScaleNormal="100" workbookViewId="0">
      <pane ySplit="6" topLeftCell="A7" activePane="bottomLeft" state="frozen"/>
      <selection pane="bottomLeft" activeCell="C7" sqref="C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23.78515625" style="87" customWidth="1"/>
    <col min="5" max="5" width="22.35546875" style="87" customWidth="1"/>
    <col min="6" max="6" width="24.42578125" style="87" bestFit="1" customWidth="1"/>
    <col min="7" max="7" width="24.42578125" style="87" customWidth="1"/>
    <col min="8" max="8" width="20.2109375" style="87" customWidth="1"/>
    <col min="9" max="9" width="15.78515625" style="87" customWidth="1"/>
    <col min="10" max="10" width="19.640625" style="87" bestFit="1" customWidth="1"/>
    <col min="11" max="16384" width="8.78515625" style="87"/>
  </cols>
  <sheetData>
    <row r="1" spans="1:10" customFormat="1" ht="19.5" x14ac:dyDescent="0.35">
      <c r="A1" s="1" t="s">
        <v>657</v>
      </c>
    </row>
    <row r="2" spans="1:10" customFormat="1" ht="15" x14ac:dyDescent="0.35"/>
    <row r="3" spans="1:10" customFormat="1" ht="15" x14ac:dyDescent="0.35">
      <c r="A3" s="36" t="s">
        <v>1104</v>
      </c>
    </row>
    <row r="4" spans="1:10" ht="15.75" customHeight="1" x14ac:dyDescent="0.35">
      <c r="B4" s="287" t="s">
        <v>24</v>
      </c>
      <c r="C4" s="128" t="s">
        <v>645</v>
      </c>
      <c r="D4" s="129"/>
      <c r="E4" s="129"/>
      <c r="F4" s="129"/>
      <c r="G4" s="129"/>
      <c r="H4" s="129"/>
      <c r="I4" s="129"/>
      <c r="J4" s="8"/>
    </row>
    <row r="5" spans="1:10" x14ac:dyDescent="0.35">
      <c r="B5" s="287"/>
      <c r="C5" s="10" t="s">
        <v>645</v>
      </c>
      <c r="D5" s="11" t="s">
        <v>630</v>
      </c>
      <c r="E5" s="11" t="s">
        <v>647</v>
      </c>
      <c r="F5" s="32" t="s">
        <v>649</v>
      </c>
      <c r="G5" s="32" t="s">
        <v>984</v>
      </c>
      <c r="H5" s="10" t="s">
        <v>652</v>
      </c>
      <c r="I5" s="10" t="s">
        <v>535</v>
      </c>
      <c r="J5" s="10" t="s">
        <v>655</v>
      </c>
    </row>
    <row r="6" spans="1:10" ht="27" x14ac:dyDescent="0.35">
      <c r="B6" s="287"/>
      <c r="C6" s="34" t="s">
        <v>382</v>
      </c>
      <c r="D6" s="34" t="s">
        <v>382</v>
      </c>
      <c r="E6" s="34" t="s">
        <v>648</v>
      </c>
      <c r="F6" s="34" t="s">
        <v>651</v>
      </c>
      <c r="G6" s="34" t="s">
        <v>985</v>
      </c>
      <c r="H6" s="34" t="s">
        <v>653</v>
      </c>
      <c r="I6" s="34" t="s">
        <v>654</v>
      </c>
      <c r="J6" s="34" t="s">
        <v>656</v>
      </c>
    </row>
    <row r="7" spans="1:10" x14ac:dyDescent="0.3">
      <c r="B7" s="136">
        <f>ROW() - 6</f>
        <v>1</v>
      </c>
      <c r="C7" s="159" t="s">
        <v>1159</v>
      </c>
      <c r="D7" s="151" t="s">
        <v>1160</v>
      </c>
      <c r="E7" s="153" t="s">
        <v>52</v>
      </c>
      <c r="F7" s="153" t="s">
        <v>52</v>
      </c>
      <c r="G7" s="153" t="s">
        <v>52</v>
      </c>
      <c r="H7" s="153" t="s">
        <v>52</v>
      </c>
      <c r="I7" s="153" t="s">
        <v>546</v>
      </c>
      <c r="J7" s="153" t="s">
        <v>52</v>
      </c>
    </row>
    <row r="8" spans="1:10" x14ac:dyDescent="0.3">
      <c r="B8" s="136">
        <f t="shared" ref="B8" si="0">ROW() - 6</f>
        <v>2</v>
      </c>
      <c r="C8" s="159" t="s">
        <v>1162</v>
      </c>
      <c r="D8" s="151" t="s">
        <v>1163</v>
      </c>
      <c r="E8" s="153" t="s">
        <v>52</v>
      </c>
      <c r="F8" s="153" t="s">
        <v>52</v>
      </c>
      <c r="G8" s="153" t="s">
        <v>52</v>
      </c>
      <c r="H8" s="153" t="s">
        <v>52</v>
      </c>
      <c r="I8" s="153" t="s">
        <v>546</v>
      </c>
      <c r="J8" s="153" t="s">
        <v>52</v>
      </c>
    </row>
  </sheetData>
  <sheetProtection insertRows="0" deleteRows="0" sort="0" autoFilter="0"/>
  <mergeCells count="1">
    <mergeCell ref="B4:B6"/>
  </mergeCells>
  <phoneticPr fontId="13"/>
  <hyperlinks>
    <hyperlink ref="A3" location="パラメータ設定一覧!A1" display="パラメータ設定一覧へ" xr:uid="{4DA863EB-4B4B-44F4-BAC2-32F7F6A2CDA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dimension ref="A1:L20"/>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35546875" style="87" bestFit="1" customWidth="1"/>
    <col min="3" max="3" width="16.78515625" style="87" customWidth="1"/>
    <col min="4" max="4" width="19.2109375" style="87" customWidth="1"/>
    <col min="5" max="5" width="8.78515625" style="87" bestFit="1" customWidth="1"/>
    <col min="6" max="6" width="21" style="87" customWidth="1"/>
    <col min="7" max="7" width="44.640625" style="87" customWidth="1"/>
    <col min="8" max="8" width="27.5703125" style="87" customWidth="1"/>
    <col min="9" max="9" width="17.42578125" style="87" customWidth="1"/>
    <col min="10" max="10" width="22.42578125" style="87" customWidth="1"/>
    <col min="11" max="11" width="33.92578125" style="87" customWidth="1"/>
    <col min="12" max="12" width="19.35546875" style="87" customWidth="1"/>
    <col min="13" max="16384" width="8.78515625" style="87"/>
  </cols>
  <sheetData>
    <row r="1" spans="1:12" customFormat="1" ht="19.5" x14ac:dyDescent="0.35">
      <c r="A1" s="1" t="s">
        <v>658</v>
      </c>
    </row>
    <row r="2" spans="1:12" customFormat="1" ht="15" x14ac:dyDescent="0.35">
      <c r="B2" t="s">
        <v>659</v>
      </c>
    </row>
    <row r="3" spans="1:12" customFormat="1" ht="15" x14ac:dyDescent="0.35">
      <c r="B3" t="s">
        <v>660</v>
      </c>
    </row>
    <row r="4" spans="1:12" customFormat="1" ht="15" x14ac:dyDescent="0.35">
      <c r="A4" s="36" t="s">
        <v>1104</v>
      </c>
    </row>
    <row r="5" spans="1:12" x14ac:dyDescent="0.35">
      <c r="B5" s="37" t="s">
        <v>24</v>
      </c>
      <c r="C5" s="37" t="s">
        <v>31</v>
      </c>
      <c r="D5" s="37" t="s">
        <v>32</v>
      </c>
      <c r="E5" s="37" t="s">
        <v>33</v>
      </c>
      <c r="F5" s="44" t="s">
        <v>34</v>
      </c>
      <c r="G5" s="44" t="s">
        <v>35</v>
      </c>
      <c r="H5" s="37" t="s">
        <v>36</v>
      </c>
      <c r="I5" s="37" t="s">
        <v>37</v>
      </c>
      <c r="J5" s="37" t="s">
        <v>38</v>
      </c>
      <c r="K5" s="38" t="s">
        <v>39</v>
      </c>
      <c r="L5" s="38" t="s">
        <v>40</v>
      </c>
    </row>
    <row r="6" spans="1:12" x14ac:dyDescent="0.35">
      <c r="B6" s="45">
        <f>ROW() - 5</f>
        <v>1</v>
      </c>
      <c r="C6" s="39" t="s">
        <v>644</v>
      </c>
      <c r="D6" s="39"/>
      <c r="E6" s="39"/>
      <c r="F6" s="46" t="s">
        <v>538</v>
      </c>
      <c r="G6" s="46"/>
      <c r="H6" s="46" t="s">
        <v>382</v>
      </c>
      <c r="I6" s="47" t="s">
        <v>51</v>
      </c>
      <c r="J6" s="47"/>
      <c r="K6" s="30" t="s">
        <v>661</v>
      </c>
      <c r="L6" s="31"/>
    </row>
    <row r="7" spans="1:12" x14ac:dyDescent="0.35">
      <c r="B7" s="45">
        <f t="shared" ref="B7:B20" si="0">ROW() - 5</f>
        <v>2</v>
      </c>
      <c r="C7" s="42"/>
      <c r="D7" s="63"/>
      <c r="E7" s="90"/>
      <c r="F7" s="64" t="s">
        <v>630</v>
      </c>
      <c r="G7" s="46"/>
      <c r="H7" s="46" t="s">
        <v>382</v>
      </c>
      <c r="I7" s="91" t="s">
        <v>51</v>
      </c>
      <c r="J7" s="47"/>
      <c r="K7" s="30" t="s">
        <v>986</v>
      </c>
      <c r="L7" s="31"/>
    </row>
    <row r="8" spans="1:12" ht="40.5" x14ac:dyDescent="0.35">
      <c r="B8" s="45">
        <f t="shared" si="0"/>
        <v>3</v>
      </c>
      <c r="C8" s="39" t="s">
        <v>379</v>
      </c>
      <c r="D8" s="39"/>
      <c r="E8" s="39"/>
      <c r="F8" s="46" t="s">
        <v>662</v>
      </c>
      <c r="G8" s="46"/>
      <c r="H8" s="91" t="s">
        <v>663</v>
      </c>
      <c r="I8" s="62" t="s">
        <v>664</v>
      </c>
      <c r="J8" s="47"/>
      <c r="K8" s="30" t="s">
        <v>665</v>
      </c>
      <c r="L8" s="31"/>
    </row>
    <row r="9" spans="1:12" x14ac:dyDescent="0.35">
      <c r="B9" s="45">
        <f t="shared" si="0"/>
        <v>4</v>
      </c>
      <c r="C9" s="42"/>
      <c r="D9" s="42"/>
      <c r="F9" s="48" t="s">
        <v>666</v>
      </c>
      <c r="G9" s="48"/>
      <c r="H9" s="48" t="s">
        <v>667</v>
      </c>
      <c r="I9" s="47" t="s">
        <v>51</v>
      </c>
      <c r="J9" s="41"/>
      <c r="K9" s="30" t="s">
        <v>665</v>
      </c>
      <c r="L9" s="31"/>
    </row>
    <row r="10" spans="1:12" ht="26.15" customHeight="1" x14ac:dyDescent="0.35">
      <c r="B10" s="45">
        <f t="shared" si="0"/>
        <v>5</v>
      </c>
      <c r="C10" s="42"/>
      <c r="D10" s="42"/>
      <c r="E10" s="42"/>
      <c r="F10" s="46" t="s">
        <v>668</v>
      </c>
      <c r="G10" s="46"/>
      <c r="H10" s="46" t="s">
        <v>992</v>
      </c>
      <c r="I10" s="47" t="s">
        <v>51</v>
      </c>
      <c r="J10" s="47"/>
      <c r="K10" s="30" t="s">
        <v>665</v>
      </c>
      <c r="L10" s="31"/>
    </row>
    <row r="11" spans="1:12" x14ac:dyDescent="0.35">
      <c r="B11" s="45">
        <f t="shared" si="0"/>
        <v>6</v>
      </c>
      <c r="C11" s="42"/>
      <c r="D11" s="42"/>
      <c r="E11" s="42"/>
      <c r="F11" s="46" t="s">
        <v>673</v>
      </c>
      <c r="G11" s="46"/>
      <c r="H11" s="46" t="s">
        <v>992</v>
      </c>
      <c r="I11" s="47" t="s">
        <v>51</v>
      </c>
      <c r="J11" s="47"/>
      <c r="K11" s="30" t="s">
        <v>665</v>
      </c>
      <c r="L11" s="31"/>
    </row>
    <row r="12" spans="1:12" x14ac:dyDescent="0.35">
      <c r="B12" s="45">
        <f t="shared" si="0"/>
        <v>7</v>
      </c>
      <c r="C12" s="42"/>
      <c r="D12" s="42"/>
      <c r="E12" s="42"/>
      <c r="F12" s="46" t="s">
        <v>669</v>
      </c>
      <c r="G12" s="46"/>
      <c r="H12" s="46" t="s">
        <v>992</v>
      </c>
      <c r="I12" s="47" t="s">
        <v>51</v>
      </c>
      <c r="J12" s="47"/>
      <c r="K12" s="30" t="s">
        <v>665</v>
      </c>
      <c r="L12" s="31"/>
    </row>
    <row r="13" spans="1:12" x14ac:dyDescent="0.35">
      <c r="B13" s="45">
        <f t="shared" si="0"/>
        <v>8</v>
      </c>
      <c r="C13" s="42"/>
      <c r="D13" s="42"/>
      <c r="E13" s="42"/>
      <c r="F13" s="46" t="s">
        <v>687</v>
      </c>
      <c r="G13" s="46"/>
      <c r="H13" s="46" t="s">
        <v>992</v>
      </c>
      <c r="I13" s="47" t="s">
        <v>51</v>
      </c>
      <c r="J13" s="47"/>
      <c r="K13" s="30" t="s">
        <v>665</v>
      </c>
      <c r="L13" s="31"/>
    </row>
    <row r="14" spans="1:12" x14ac:dyDescent="0.35">
      <c r="B14" s="45">
        <f t="shared" si="0"/>
        <v>9</v>
      </c>
      <c r="C14" s="42"/>
      <c r="D14" s="42"/>
      <c r="E14" s="42"/>
      <c r="F14" s="46" t="s">
        <v>670</v>
      </c>
      <c r="G14" s="46"/>
      <c r="H14" s="46" t="s">
        <v>992</v>
      </c>
      <c r="I14" s="47" t="s">
        <v>51</v>
      </c>
      <c r="J14" s="47"/>
      <c r="K14" s="30" t="s">
        <v>665</v>
      </c>
      <c r="L14" s="31"/>
    </row>
    <row r="15" spans="1:12" x14ac:dyDescent="0.35">
      <c r="B15" s="45">
        <f t="shared" si="0"/>
        <v>10</v>
      </c>
      <c r="C15" s="42"/>
      <c r="D15" s="42"/>
      <c r="E15" s="42"/>
      <c r="F15" s="46" t="s">
        <v>674</v>
      </c>
      <c r="G15" s="46"/>
      <c r="H15" s="46" t="s">
        <v>675</v>
      </c>
      <c r="I15" s="47" t="s">
        <v>51</v>
      </c>
      <c r="J15" s="47"/>
      <c r="K15" s="30" t="s">
        <v>665</v>
      </c>
      <c r="L15" s="31"/>
    </row>
    <row r="16" spans="1:12" x14ac:dyDescent="0.35">
      <c r="B16" s="45">
        <f t="shared" si="0"/>
        <v>11</v>
      </c>
      <c r="C16" s="42"/>
      <c r="D16" s="42"/>
      <c r="F16" s="46" t="s">
        <v>671</v>
      </c>
      <c r="G16" s="46" t="s">
        <v>400</v>
      </c>
      <c r="H16" s="46" t="s">
        <v>672</v>
      </c>
      <c r="I16" s="47" t="s">
        <v>51</v>
      </c>
      <c r="J16" s="47"/>
      <c r="K16" s="30" t="s">
        <v>665</v>
      </c>
      <c r="L16" s="31"/>
    </row>
    <row r="17" spans="2:12" x14ac:dyDescent="0.35">
      <c r="B17" s="45">
        <f t="shared" si="0"/>
        <v>12</v>
      </c>
      <c r="C17" s="39" t="s">
        <v>676</v>
      </c>
      <c r="D17" s="39"/>
      <c r="E17" s="39"/>
      <c r="F17" s="46" t="s">
        <v>677</v>
      </c>
      <c r="G17" s="46"/>
      <c r="H17" s="46" t="s">
        <v>678</v>
      </c>
      <c r="I17" s="47" t="s">
        <v>63</v>
      </c>
      <c r="J17" s="47"/>
      <c r="K17" s="30" t="s">
        <v>661</v>
      </c>
      <c r="L17" s="31"/>
    </row>
    <row r="18" spans="2:12" x14ac:dyDescent="0.35">
      <c r="B18" s="45">
        <f t="shared" si="0"/>
        <v>13</v>
      </c>
      <c r="C18" s="42"/>
      <c r="D18" s="42"/>
      <c r="E18" s="42"/>
      <c r="F18" s="46" t="s">
        <v>679</v>
      </c>
      <c r="G18" s="46"/>
      <c r="H18" s="46" t="s">
        <v>678</v>
      </c>
      <c r="I18" s="47" t="s">
        <v>63</v>
      </c>
      <c r="J18" s="47"/>
      <c r="K18" s="30" t="s">
        <v>661</v>
      </c>
      <c r="L18" s="31"/>
    </row>
    <row r="19" spans="2:12" x14ac:dyDescent="0.35">
      <c r="B19" s="45">
        <f t="shared" si="0"/>
        <v>14</v>
      </c>
      <c r="C19" s="42"/>
      <c r="D19" s="42"/>
      <c r="E19" s="42"/>
      <c r="F19" s="46" t="s">
        <v>680</v>
      </c>
      <c r="G19" s="46"/>
      <c r="H19" s="46" t="s">
        <v>678</v>
      </c>
      <c r="I19" s="47" t="s">
        <v>63</v>
      </c>
      <c r="J19" s="47"/>
      <c r="K19" s="30" t="s">
        <v>986</v>
      </c>
      <c r="L19" s="31"/>
    </row>
    <row r="20" spans="2:12" x14ac:dyDescent="0.35">
      <c r="B20" s="45">
        <f t="shared" si="0"/>
        <v>15</v>
      </c>
      <c r="C20" s="43"/>
      <c r="D20" s="43"/>
      <c r="E20" s="43"/>
      <c r="F20" s="46" t="s">
        <v>684</v>
      </c>
      <c r="G20" s="46"/>
      <c r="H20" s="46" t="s">
        <v>681</v>
      </c>
      <c r="I20" s="47" t="s">
        <v>51</v>
      </c>
      <c r="J20" s="47"/>
      <c r="K20" s="30" t="s">
        <v>661</v>
      </c>
      <c r="L20" s="31"/>
    </row>
  </sheetData>
  <phoneticPr fontId="13"/>
  <hyperlinks>
    <hyperlink ref="A4" location="パラメータ設定一覧!A1" display="パラメータ設定一覧へ" xr:uid="{5F3ED630-C192-409D-8E75-EB1A42F5BE3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6">
    <tabColor rgb="FFFFC000"/>
  </sheetPr>
  <dimension ref="A1:I10"/>
  <sheetViews>
    <sheetView showGridLines="0" zoomScaleNormal="100" workbookViewId="0">
      <pane xSplit="4" ySplit="6" topLeftCell="E7"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87" customWidth="1"/>
    <col min="2" max="2" width="3.5703125" style="87" bestFit="1" customWidth="1"/>
    <col min="3" max="3" width="13.0703125" style="87" customWidth="1"/>
    <col min="4" max="4" width="33.78515625" style="87" bestFit="1" customWidth="1"/>
    <col min="5" max="5" width="12.78515625" style="87" bestFit="1" customWidth="1"/>
    <col min="6" max="7" width="8.2109375" style="87" bestFit="1" customWidth="1"/>
    <col min="8" max="8" width="9.5703125" style="87" customWidth="1"/>
    <col min="9" max="16384" width="8.78515625" style="87"/>
  </cols>
  <sheetData>
    <row r="1" spans="1:9" customFormat="1" ht="19.5" x14ac:dyDescent="0.35">
      <c r="A1" s="1" t="s">
        <v>682</v>
      </c>
    </row>
    <row r="2" spans="1:9" customFormat="1" ht="15" x14ac:dyDescent="0.35"/>
    <row r="3" spans="1:9" customFormat="1" ht="15" x14ac:dyDescent="0.35">
      <c r="A3" s="36" t="s">
        <v>1104</v>
      </c>
    </row>
    <row r="4" spans="1:9" ht="15.75" customHeight="1" x14ac:dyDescent="0.35">
      <c r="B4" s="286" t="s">
        <v>24</v>
      </c>
      <c r="C4" s="15" t="s">
        <v>644</v>
      </c>
      <c r="D4" s="17"/>
      <c r="E4" s="15" t="s">
        <v>683</v>
      </c>
      <c r="F4" s="16"/>
      <c r="G4" s="16"/>
      <c r="H4" s="17"/>
    </row>
    <row r="5" spans="1:9" x14ac:dyDescent="0.35">
      <c r="B5" s="287"/>
      <c r="C5" s="138" t="s">
        <v>538</v>
      </c>
      <c r="D5" s="138" t="s">
        <v>630</v>
      </c>
      <c r="E5" s="32" t="s">
        <v>677</v>
      </c>
      <c r="F5" s="32" t="s">
        <v>679</v>
      </c>
      <c r="G5" s="32" t="s">
        <v>680</v>
      </c>
      <c r="H5" s="32" t="s">
        <v>684</v>
      </c>
    </row>
    <row r="6" spans="1:9" ht="40.5" x14ac:dyDescent="0.35">
      <c r="B6" s="287"/>
      <c r="C6" s="34" t="s">
        <v>382</v>
      </c>
      <c r="D6" s="34" t="s">
        <v>382</v>
      </c>
      <c r="E6" s="34" t="s">
        <v>791</v>
      </c>
      <c r="F6" s="34" t="s">
        <v>791</v>
      </c>
      <c r="G6" s="34" t="s">
        <v>791</v>
      </c>
      <c r="H6" s="34" t="s">
        <v>681</v>
      </c>
    </row>
    <row r="7" spans="1:9" x14ac:dyDescent="0.3">
      <c r="B7" s="136">
        <f>ROW() - 6</f>
        <v>1</v>
      </c>
      <c r="C7" s="160" t="s">
        <v>1164</v>
      </c>
      <c r="D7" s="161" t="s">
        <v>302</v>
      </c>
      <c r="E7" s="153" t="s">
        <v>63</v>
      </c>
      <c r="F7" s="153" t="s">
        <v>63</v>
      </c>
      <c r="G7" s="153" t="s">
        <v>63</v>
      </c>
      <c r="H7" s="153" t="s">
        <v>52</v>
      </c>
    </row>
    <row r="8" spans="1:9" x14ac:dyDescent="0.3">
      <c r="B8" s="136">
        <f>ROW() - 6</f>
        <v>2</v>
      </c>
      <c r="C8" s="160" t="s">
        <v>1200</v>
      </c>
      <c r="D8" s="160" t="s">
        <v>1199</v>
      </c>
      <c r="E8" s="153" t="s">
        <v>63</v>
      </c>
      <c r="F8" s="153" t="s">
        <v>63</v>
      </c>
      <c r="G8" s="153" t="s">
        <v>63</v>
      </c>
      <c r="H8" s="153" t="s">
        <v>52</v>
      </c>
    </row>
    <row r="9" spans="1:9" x14ac:dyDescent="0.3">
      <c r="B9" s="227">
        <f>ROW() - 6</f>
        <v>3</v>
      </c>
      <c r="C9" s="228" t="s">
        <v>1277</v>
      </c>
      <c r="D9" s="229" t="s">
        <v>1278</v>
      </c>
      <c r="E9" s="230" t="s">
        <v>63</v>
      </c>
      <c r="F9" s="230" t="s">
        <v>63</v>
      </c>
      <c r="G9" s="230" t="s">
        <v>63</v>
      </c>
      <c r="H9" s="230" t="s">
        <v>52</v>
      </c>
      <c r="I9" s="134" t="s">
        <v>1279</v>
      </c>
    </row>
    <row r="10" spans="1:9" x14ac:dyDescent="0.3">
      <c r="B10" s="151">
        <f>ROW() - 6</f>
        <v>4</v>
      </c>
      <c r="C10" s="160" t="s">
        <v>1327</v>
      </c>
      <c r="D10" s="161" t="s">
        <v>1329</v>
      </c>
      <c r="E10" s="153" t="s">
        <v>63</v>
      </c>
      <c r="F10" s="153" t="s">
        <v>63</v>
      </c>
      <c r="G10" s="153" t="s">
        <v>63</v>
      </c>
      <c r="H10" s="153" t="s">
        <v>52</v>
      </c>
      <c r="I10" s="134" t="s">
        <v>1328</v>
      </c>
    </row>
  </sheetData>
  <sheetProtection insertRows="0" deleteRows="0" sort="0" autoFilter="0"/>
  <mergeCells count="1">
    <mergeCell ref="B4:B6"/>
  </mergeCells>
  <phoneticPr fontId="13"/>
  <hyperlinks>
    <hyperlink ref="A3" location="パラメータ設定一覧!A1" display="パラメータ設定一覧へ" xr:uid="{9F51912E-D98C-4475-8171-29124F30E95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M11"/>
  <sheetViews>
    <sheetView showGridLines="0" zoomScaleNormal="100" workbookViewId="0">
      <pane xSplit="3" ySplit="6" topLeftCell="D7" activePane="bottomRight" state="frozen"/>
      <selection activeCell="A5" sqref="A5"/>
      <selection pane="topRight" activeCell="A5" sqref="A5"/>
      <selection pane="bottomLeft" activeCell="A5" sqref="A5"/>
      <selection pane="bottomRight" activeCell="D7" sqref="D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12.78515625" style="87" customWidth="1"/>
    <col min="5" max="5" width="24" style="87" bestFit="1" customWidth="1"/>
    <col min="6" max="6" width="18.2109375" style="87" customWidth="1"/>
    <col min="7" max="7" width="16.42578125" style="87" bestFit="1" customWidth="1"/>
    <col min="8" max="8" width="19.640625" style="87" bestFit="1" customWidth="1"/>
    <col min="9" max="9" width="20.640625" style="87" bestFit="1" customWidth="1"/>
    <col min="10" max="10" width="16.78515625" style="87" customWidth="1"/>
    <col min="11" max="11" width="19.78515625" style="87" customWidth="1"/>
    <col min="12" max="12" width="17.78515625" style="87" customWidth="1"/>
    <col min="13" max="16384" width="8.78515625" style="87"/>
  </cols>
  <sheetData>
    <row r="1" spans="1:13" customFormat="1" ht="19.5" x14ac:dyDescent="0.35">
      <c r="A1" s="1" t="s">
        <v>685</v>
      </c>
    </row>
    <row r="2" spans="1:13" customFormat="1" ht="15" x14ac:dyDescent="0.35"/>
    <row r="3" spans="1:13" customFormat="1" ht="15" x14ac:dyDescent="0.35">
      <c r="A3" s="36" t="s">
        <v>1104</v>
      </c>
    </row>
    <row r="4" spans="1:13" ht="15.75" customHeight="1" x14ac:dyDescent="0.35">
      <c r="B4" s="287" t="s">
        <v>24</v>
      </c>
      <c r="C4" s="15" t="s">
        <v>644</v>
      </c>
      <c r="D4" s="15" t="s">
        <v>686</v>
      </c>
      <c r="E4" s="16"/>
      <c r="F4" s="16"/>
      <c r="G4" s="16"/>
      <c r="H4" s="16"/>
      <c r="I4" s="16"/>
      <c r="J4" s="16"/>
      <c r="K4" s="16"/>
      <c r="L4" s="17"/>
    </row>
    <row r="5" spans="1:13" x14ac:dyDescent="0.35">
      <c r="B5" s="287"/>
      <c r="C5" s="32" t="s">
        <v>538</v>
      </c>
      <c r="D5" s="138" t="s">
        <v>662</v>
      </c>
      <c r="E5" s="138" t="s">
        <v>666</v>
      </c>
      <c r="F5" s="138" t="s">
        <v>668</v>
      </c>
      <c r="G5" s="138" t="s">
        <v>987</v>
      </c>
      <c r="H5" s="138" t="s">
        <v>989</v>
      </c>
      <c r="I5" s="138" t="s">
        <v>991</v>
      </c>
      <c r="J5" s="138" t="s">
        <v>333</v>
      </c>
      <c r="K5" s="138" t="s">
        <v>988</v>
      </c>
      <c r="L5" s="138" t="s">
        <v>990</v>
      </c>
    </row>
    <row r="6" spans="1:13" ht="40.5" x14ac:dyDescent="0.35">
      <c r="B6" s="287"/>
      <c r="C6" s="34" t="s">
        <v>382</v>
      </c>
      <c r="D6" s="34" t="s">
        <v>663</v>
      </c>
      <c r="E6" s="34" t="s">
        <v>667</v>
      </c>
      <c r="F6" s="34" t="s">
        <v>992</v>
      </c>
      <c r="G6" s="34" t="s">
        <v>992</v>
      </c>
      <c r="H6" s="34" t="s">
        <v>992</v>
      </c>
      <c r="I6" s="34" t="s">
        <v>672</v>
      </c>
      <c r="J6" s="34" t="s">
        <v>992</v>
      </c>
      <c r="K6" s="34" t="s">
        <v>992</v>
      </c>
      <c r="L6" s="34" t="s">
        <v>675</v>
      </c>
    </row>
    <row r="7" spans="1:13" x14ac:dyDescent="0.3">
      <c r="B7" s="211">
        <v>1</v>
      </c>
      <c r="C7" s="164" t="s">
        <v>1164</v>
      </c>
      <c r="D7" s="161" t="s">
        <v>1165</v>
      </c>
      <c r="E7" s="161" t="s">
        <v>1158</v>
      </c>
      <c r="F7" s="162" t="s">
        <v>1166</v>
      </c>
      <c r="G7" s="153" t="s">
        <v>52</v>
      </c>
      <c r="H7" s="153" t="s">
        <v>52</v>
      </c>
      <c r="I7" s="153" t="s">
        <v>52</v>
      </c>
      <c r="J7" s="153" t="s">
        <v>52</v>
      </c>
      <c r="K7" s="153" t="s">
        <v>52</v>
      </c>
      <c r="L7" s="153" t="s">
        <v>52</v>
      </c>
    </row>
    <row r="8" spans="1:13" x14ac:dyDescent="0.3">
      <c r="B8" s="212"/>
      <c r="C8" s="163"/>
      <c r="D8" s="213" t="s">
        <v>1165</v>
      </c>
      <c r="E8" s="213" t="s">
        <v>1161</v>
      </c>
      <c r="F8" s="162" t="s">
        <v>1330</v>
      </c>
      <c r="G8" s="153" t="s">
        <v>52</v>
      </c>
      <c r="H8" s="153" t="s">
        <v>52</v>
      </c>
      <c r="I8" s="153" t="s">
        <v>52</v>
      </c>
      <c r="J8" s="153" t="s">
        <v>52</v>
      </c>
      <c r="K8" s="153" t="s">
        <v>52</v>
      </c>
      <c r="L8" s="153" t="s">
        <v>52</v>
      </c>
    </row>
    <row r="9" spans="1:13" x14ac:dyDescent="0.3">
      <c r="B9" s="214">
        <v>2</v>
      </c>
      <c r="C9" s="160" t="s">
        <v>1200</v>
      </c>
      <c r="D9" s="161" t="s">
        <v>67</v>
      </c>
      <c r="E9" s="161" t="s">
        <v>52</v>
      </c>
      <c r="F9" s="162" t="s">
        <v>1201</v>
      </c>
      <c r="G9" s="153" t="s">
        <v>52</v>
      </c>
      <c r="H9" s="153" t="s">
        <v>52</v>
      </c>
      <c r="I9" s="153" t="s">
        <v>52</v>
      </c>
      <c r="J9" s="153" t="s">
        <v>52</v>
      </c>
      <c r="K9" s="153" t="s">
        <v>52</v>
      </c>
      <c r="L9" s="153" t="s">
        <v>52</v>
      </c>
    </row>
    <row r="10" spans="1:13" x14ac:dyDescent="0.3">
      <c r="B10" s="231">
        <v>3</v>
      </c>
      <c r="C10" s="227" t="s">
        <v>1277</v>
      </c>
      <c r="D10" s="229" t="s">
        <v>67</v>
      </c>
      <c r="E10" s="230" t="s">
        <v>52</v>
      </c>
      <c r="F10" s="232" t="s">
        <v>1280</v>
      </c>
      <c r="G10" s="230" t="s">
        <v>52</v>
      </c>
      <c r="H10" s="230" t="s">
        <v>52</v>
      </c>
      <c r="I10" s="230" t="s">
        <v>52</v>
      </c>
      <c r="J10" s="230" t="s">
        <v>52</v>
      </c>
      <c r="K10" s="230" t="s">
        <v>52</v>
      </c>
      <c r="L10" s="230" t="s">
        <v>52</v>
      </c>
      <c r="M10" s="134" t="s">
        <v>1279</v>
      </c>
    </row>
    <row r="11" spans="1:13" x14ac:dyDescent="0.3">
      <c r="B11" s="214">
        <v>4</v>
      </c>
      <c r="C11" s="151" t="s">
        <v>1327</v>
      </c>
      <c r="D11" s="161" t="s">
        <v>67</v>
      </c>
      <c r="E11" s="153" t="s">
        <v>52</v>
      </c>
      <c r="F11" s="247" t="s">
        <v>1330</v>
      </c>
      <c r="G11" s="153" t="s">
        <v>52</v>
      </c>
      <c r="H11" s="153" t="s">
        <v>52</v>
      </c>
      <c r="I11" s="153" t="s">
        <v>52</v>
      </c>
      <c r="J11" s="153" t="s">
        <v>52</v>
      </c>
      <c r="K11" s="153" t="s">
        <v>52</v>
      </c>
      <c r="L11" s="153" t="s">
        <v>52</v>
      </c>
      <c r="M11" s="134" t="s">
        <v>1328</v>
      </c>
    </row>
  </sheetData>
  <sheetProtection insertRows="0" deleteRows="0" sort="0" autoFilter="0"/>
  <mergeCells count="1">
    <mergeCell ref="B4:B6"/>
  </mergeCells>
  <phoneticPr fontId="13"/>
  <hyperlinks>
    <hyperlink ref="A3" location="パラメータ設定一覧!A1" display="パラメータ設定一覧へ" xr:uid="{B64CD76A-03DD-4800-90D1-C3A25085C2B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35546875" style="87" bestFit="1" customWidth="1"/>
    <col min="3" max="3" width="17" style="87" customWidth="1"/>
    <col min="4" max="4" width="21.35546875" style="87" customWidth="1"/>
    <col min="5" max="5" width="12.78515625" style="87" customWidth="1"/>
    <col min="6" max="6" width="21.35546875" style="87" customWidth="1"/>
    <col min="7" max="7" width="47.2109375" style="87" customWidth="1"/>
    <col min="8" max="8" width="24.42578125" style="87" customWidth="1"/>
    <col min="9" max="9" width="15.640625" style="87" customWidth="1"/>
    <col min="10" max="10" width="34.78515625" style="87" customWidth="1"/>
    <col min="11" max="11" width="18.2109375" style="87" customWidth="1"/>
    <col min="12" max="12" width="13.2109375" style="87" customWidth="1"/>
    <col min="13" max="16384" width="8.78515625" style="87"/>
  </cols>
  <sheetData>
    <row r="1" spans="1:12" customFormat="1" ht="19.5" x14ac:dyDescent="0.35">
      <c r="A1" s="2" t="s">
        <v>688</v>
      </c>
    </row>
    <row r="2" spans="1:12" customFormat="1" ht="19.5" x14ac:dyDescent="0.35">
      <c r="A2" s="2"/>
      <c r="B2" t="s">
        <v>689</v>
      </c>
    </row>
    <row r="3" spans="1:12" customFormat="1" ht="15" x14ac:dyDescent="0.35">
      <c r="B3" t="s">
        <v>690</v>
      </c>
    </row>
    <row r="4" spans="1:12" customFormat="1" ht="15" x14ac:dyDescent="0.35">
      <c r="A4" s="36" t="s">
        <v>1104</v>
      </c>
    </row>
    <row r="5" spans="1:12" x14ac:dyDescent="0.35">
      <c r="B5" s="37" t="s">
        <v>24</v>
      </c>
      <c r="C5" s="3" t="s">
        <v>31</v>
      </c>
      <c r="D5" s="3" t="s">
        <v>32</v>
      </c>
      <c r="E5" s="3" t="s">
        <v>33</v>
      </c>
      <c r="F5" s="4" t="s">
        <v>34</v>
      </c>
      <c r="G5" s="4" t="s">
        <v>35</v>
      </c>
      <c r="H5" s="3" t="s">
        <v>36</v>
      </c>
      <c r="I5" s="3" t="s">
        <v>37</v>
      </c>
      <c r="J5" s="37" t="s">
        <v>38</v>
      </c>
      <c r="K5" s="38" t="s">
        <v>39</v>
      </c>
      <c r="L5" s="38" t="s">
        <v>40</v>
      </c>
    </row>
    <row r="6" spans="1:12" ht="27" x14ac:dyDescent="0.35">
      <c r="B6" s="18">
        <f>ROW() - 5</f>
        <v>1</v>
      </c>
      <c r="C6" s="39"/>
      <c r="D6" s="39"/>
      <c r="E6" s="39" t="s">
        <v>20</v>
      </c>
      <c r="F6" s="41" t="s">
        <v>20</v>
      </c>
      <c r="G6" s="41"/>
      <c r="H6" s="41" t="s">
        <v>382</v>
      </c>
      <c r="I6" s="41" t="s">
        <v>12</v>
      </c>
      <c r="J6" s="47"/>
      <c r="K6" s="30" t="s">
        <v>691</v>
      </c>
      <c r="L6" s="31"/>
    </row>
    <row r="7" spans="1:12" ht="31.5" customHeight="1" x14ac:dyDescent="0.35">
      <c r="B7" s="18">
        <f t="shared" ref="B7:B21" si="0">ROW() - 5</f>
        <v>2</v>
      </c>
      <c r="C7" s="42"/>
      <c r="D7" s="42"/>
      <c r="E7" s="42"/>
      <c r="F7" s="42" t="s">
        <v>692</v>
      </c>
      <c r="G7" s="42" t="s">
        <v>693</v>
      </c>
      <c r="H7" s="42" t="s">
        <v>678</v>
      </c>
      <c r="I7" s="42" t="s">
        <v>47</v>
      </c>
      <c r="J7" s="49"/>
      <c r="K7" s="30" t="s">
        <v>691</v>
      </c>
      <c r="L7" s="31"/>
    </row>
    <row r="8" spans="1:12" ht="31.5" customHeight="1" x14ac:dyDescent="0.35">
      <c r="B8" s="18">
        <f t="shared" si="0"/>
        <v>3</v>
      </c>
      <c r="C8" s="42"/>
      <c r="D8" s="42"/>
      <c r="E8" s="42"/>
      <c r="F8" s="41" t="s">
        <v>694</v>
      </c>
      <c r="G8" s="41" t="s">
        <v>695</v>
      </c>
      <c r="H8" s="41" t="s">
        <v>696</v>
      </c>
      <c r="I8" s="41" t="s">
        <v>12</v>
      </c>
      <c r="J8" s="47" t="s">
        <v>697</v>
      </c>
      <c r="K8" s="30" t="s">
        <v>691</v>
      </c>
      <c r="L8" s="31"/>
    </row>
    <row r="9" spans="1:12" ht="27" x14ac:dyDescent="0.35">
      <c r="B9" s="18">
        <f t="shared" si="0"/>
        <v>4</v>
      </c>
      <c r="C9" s="42"/>
      <c r="D9" s="42"/>
      <c r="E9" s="42"/>
      <c r="F9" s="41" t="s">
        <v>630</v>
      </c>
      <c r="G9" s="41"/>
      <c r="H9" s="41" t="s">
        <v>382</v>
      </c>
      <c r="I9" s="41" t="s">
        <v>12</v>
      </c>
      <c r="J9" s="47"/>
      <c r="K9" s="30" t="s">
        <v>691</v>
      </c>
      <c r="L9" s="31"/>
    </row>
    <row r="10" spans="1:12" ht="27" x14ac:dyDescent="0.35">
      <c r="B10" s="18">
        <f t="shared" si="0"/>
        <v>5</v>
      </c>
      <c r="C10" s="39" t="s">
        <v>698</v>
      </c>
      <c r="D10" s="39"/>
      <c r="E10" s="39"/>
      <c r="F10" s="41" t="s">
        <v>475</v>
      </c>
      <c r="G10" s="41"/>
      <c r="H10" s="41" t="s">
        <v>699</v>
      </c>
      <c r="I10" s="41" t="s">
        <v>546</v>
      </c>
      <c r="J10" s="47"/>
      <c r="K10" s="30" t="s">
        <v>691</v>
      </c>
      <c r="L10" s="31"/>
    </row>
    <row r="11" spans="1:12" ht="27" x14ac:dyDescent="0.35">
      <c r="B11" s="18">
        <f t="shared" si="0"/>
        <v>6</v>
      </c>
      <c r="C11" s="42"/>
      <c r="D11" s="42"/>
      <c r="E11" s="42"/>
      <c r="F11" s="41" t="s">
        <v>700</v>
      </c>
      <c r="G11" s="41"/>
      <c r="H11" s="41" t="s">
        <v>699</v>
      </c>
      <c r="I11" s="41" t="s">
        <v>546</v>
      </c>
      <c r="J11" s="47"/>
      <c r="K11" s="30" t="s">
        <v>691</v>
      </c>
      <c r="L11" s="31"/>
    </row>
    <row r="12" spans="1:12" ht="27" x14ac:dyDescent="0.35">
      <c r="B12" s="18">
        <f t="shared" si="0"/>
        <v>7</v>
      </c>
      <c r="C12" s="42"/>
      <c r="D12" s="42"/>
      <c r="E12" s="42"/>
      <c r="F12" s="41" t="s">
        <v>701</v>
      </c>
      <c r="G12" s="41"/>
      <c r="H12" s="41" t="s">
        <v>699</v>
      </c>
      <c r="I12" s="41" t="s">
        <v>546</v>
      </c>
      <c r="J12" s="47"/>
      <c r="K12" s="30" t="s">
        <v>691</v>
      </c>
      <c r="L12" s="31"/>
    </row>
    <row r="13" spans="1:12" ht="27" x14ac:dyDescent="0.35">
      <c r="B13" s="18">
        <f t="shared" si="0"/>
        <v>8</v>
      </c>
      <c r="C13" s="42"/>
      <c r="D13" s="42"/>
      <c r="E13" s="42"/>
      <c r="F13" s="41" t="s">
        <v>702</v>
      </c>
      <c r="G13" s="41"/>
      <c r="H13" s="41" t="s">
        <v>699</v>
      </c>
      <c r="I13" s="41" t="s">
        <v>546</v>
      </c>
      <c r="J13" s="47"/>
      <c r="K13" s="30" t="s">
        <v>691</v>
      </c>
      <c r="L13" s="31"/>
    </row>
    <row r="14" spans="1:12" ht="27" x14ac:dyDescent="0.35">
      <c r="B14" s="18">
        <f t="shared" si="0"/>
        <v>9</v>
      </c>
      <c r="C14" s="42"/>
      <c r="D14" s="42"/>
      <c r="E14" s="42"/>
      <c r="F14" s="41" t="s">
        <v>703</v>
      </c>
      <c r="G14" s="41"/>
      <c r="H14" s="41" t="s">
        <v>699</v>
      </c>
      <c r="I14" s="41" t="s">
        <v>546</v>
      </c>
      <c r="J14" s="47"/>
      <c r="K14" s="30" t="s">
        <v>691</v>
      </c>
      <c r="L14" s="31"/>
    </row>
    <row r="15" spans="1:12" ht="27" x14ac:dyDescent="0.35">
      <c r="B15" s="18">
        <f t="shared" si="0"/>
        <v>10</v>
      </c>
      <c r="C15" s="42"/>
      <c r="D15" s="42"/>
      <c r="E15" s="42"/>
      <c r="F15" s="41" t="s">
        <v>704</v>
      </c>
      <c r="G15" s="41"/>
      <c r="H15" s="41" t="s">
        <v>699</v>
      </c>
      <c r="I15" s="41" t="s">
        <v>546</v>
      </c>
      <c r="J15" s="47"/>
      <c r="K15" s="30" t="s">
        <v>691</v>
      </c>
      <c r="L15" s="31"/>
    </row>
    <row r="16" spans="1:12" ht="27" x14ac:dyDescent="0.35">
      <c r="B16" s="18">
        <f t="shared" si="0"/>
        <v>11</v>
      </c>
      <c r="C16" s="42"/>
      <c r="D16" s="42"/>
      <c r="E16" s="42"/>
      <c r="F16" s="41" t="s">
        <v>705</v>
      </c>
      <c r="G16" s="43"/>
      <c r="H16" s="41" t="s">
        <v>699</v>
      </c>
      <c r="I16" s="41" t="s">
        <v>546</v>
      </c>
      <c r="J16" s="50"/>
      <c r="K16" s="30" t="s">
        <v>691</v>
      </c>
      <c r="L16" s="20"/>
    </row>
    <row r="17" spans="2:12" ht="40.5" x14ac:dyDescent="0.35">
      <c r="B17" s="18">
        <f t="shared" si="0"/>
        <v>12</v>
      </c>
      <c r="C17" s="39" t="s">
        <v>706</v>
      </c>
      <c r="D17" s="39"/>
      <c r="E17" s="39"/>
      <c r="F17" s="43" t="s">
        <v>707</v>
      </c>
      <c r="G17" s="43" t="s">
        <v>708</v>
      </c>
      <c r="H17" s="43" t="s">
        <v>707</v>
      </c>
      <c r="I17" s="43" t="s">
        <v>12</v>
      </c>
      <c r="J17" s="50"/>
      <c r="K17" s="19" t="s">
        <v>709</v>
      </c>
      <c r="L17" s="20"/>
    </row>
    <row r="18" spans="2:12" ht="40.5" x14ac:dyDescent="0.35">
      <c r="B18" s="18">
        <f t="shared" si="0"/>
        <v>13</v>
      </c>
      <c r="C18" s="42"/>
      <c r="D18" s="42"/>
      <c r="E18" s="42"/>
      <c r="F18" s="43" t="s">
        <v>710</v>
      </c>
      <c r="G18" s="43"/>
      <c r="H18" s="43" t="s">
        <v>636</v>
      </c>
      <c r="I18" s="43" t="s">
        <v>475</v>
      </c>
      <c r="J18" s="50"/>
      <c r="K18" s="19" t="s">
        <v>709</v>
      </c>
      <c r="L18" s="20"/>
    </row>
    <row r="19" spans="2:12" ht="40.5" x14ac:dyDescent="0.35">
      <c r="B19" s="18">
        <f t="shared" si="0"/>
        <v>14</v>
      </c>
      <c r="C19" s="42"/>
      <c r="D19" s="42"/>
      <c r="E19" s="42"/>
      <c r="F19" s="41" t="s">
        <v>711</v>
      </c>
      <c r="G19" s="41"/>
      <c r="H19" s="41" t="s">
        <v>711</v>
      </c>
      <c r="I19" s="41" t="s">
        <v>712</v>
      </c>
      <c r="J19" s="50" t="s">
        <v>713</v>
      </c>
      <c r="K19" s="19" t="s">
        <v>709</v>
      </c>
      <c r="L19" s="31"/>
    </row>
    <row r="20" spans="2:12" ht="54" x14ac:dyDescent="0.35">
      <c r="B20" s="18">
        <f t="shared" si="0"/>
        <v>15</v>
      </c>
      <c r="C20" s="42"/>
      <c r="D20" s="42"/>
      <c r="E20" s="42"/>
      <c r="F20" s="41" t="s">
        <v>387</v>
      </c>
      <c r="G20" s="41" t="s">
        <v>714</v>
      </c>
      <c r="H20" s="41" t="s">
        <v>715</v>
      </c>
      <c r="I20" s="41" t="s">
        <v>716</v>
      </c>
      <c r="J20" s="47"/>
      <c r="K20" s="19" t="s">
        <v>709</v>
      </c>
      <c r="L20" s="31"/>
    </row>
    <row r="21" spans="2:12" ht="40.5" x14ac:dyDescent="0.35">
      <c r="B21" s="45">
        <f t="shared" si="0"/>
        <v>16</v>
      </c>
      <c r="C21" s="43"/>
      <c r="D21" s="43"/>
      <c r="E21" s="43"/>
      <c r="F21" s="41" t="s">
        <v>630</v>
      </c>
      <c r="G21" s="41"/>
      <c r="H21" s="41" t="s">
        <v>382</v>
      </c>
      <c r="I21" s="41" t="s">
        <v>12</v>
      </c>
      <c r="J21" s="47"/>
      <c r="K21" s="30" t="s">
        <v>709</v>
      </c>
      <c r="L21" s="31"/>
    </row>
    <row r="22" spans="2:12" x14ac:dyDescent="0.35">
      <c r="J22" s="91"/>
    </row>
    <row r="23" spans="2:12" x14ac:dyDescent="0.35">
      <c r="J23" s="91"/>
    </row>
    <row r="26" spans="2:12" x14ac:dyDescent="0.35">
      <c r="H26" s="91"/>
    </row>
  </sheetData>
  <phoneticPr fontId="13"/>
  <hyperlinks>
    <hyperlink ref="A4" location="パラメータ設定一覧!A1" display="パラメータ設定一覧へ" xr:uid="{BB73DF99-2816-44CE-8CD3-CE0B60EE34C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2"/>
  <sheetViews>
    <sheetView showGridLines="0" zoomScaleNormal="100" workbookViewId="0">
      <pane xSplit="3" ySplit="6" topLeftCell="D7" activePane="bottomRight" state="frozen"/>
      <selection pane="topRight"/>
      <selection pane="bottomLeft"/>
      <selection pane="bottomRight" activeCell="D7" sqref="D7"/>
    </sheetView>
  </sheetViews>
  <sheetFormatPr defaultColWidth="8.78515625" defaultRowHeight="13.5" x14ac:dyDescent="0.35"/>
  <cols>
    <col min="1" max="1" width="2.78515625" style="87" customWidth="1"/>
    <col min="2" max="2" width="3.5703125" style="87" bestFit="1" customWidth="1"/>
    <col min="3" max="3" width="18.78515625" style="87" customWidth="1"/>
    <col min="4" max="4" width="19.5703125" style="87" customWidth="1"/>
    <col min="5" max="13" width="20.2109375" style="87" customWidth="1"/>
    <col min="14" max="16384" width="8.78515625" style="87"/>
  </cols>
  <sheetData>
    <row r="1" spans="1:13" customFormat="1" ht="19.5" x14ac:dyDescent="0.35">
      <c r="A1" s="2" t="s">
        <v>717</v>
      </c>
    </row>
    <row r="2" spans="1:13" customFormat="1" ht="15" x14ac:dyDescent="0.35"/>
    <row r="3" spans="1:13" customFormat="1" ht="15" x14ac:dyDescent="0.35">
      <c r="A3" s="36" t="s">
        <v>1104</v>
      </c>
    </row>
    <row r="4" spans="1:13" ht="15.75" customHeight="1" x14ac:dyDescent="0.35">
      <c r="B4" s="287" t="s">
        <v>24</v>
      </c>
      <c r="C4" s="290" t="s">
        <v>20</v>
      </c>
      <c r="D4" s="291"/>
      <c r="E4" s="129"/>
      <c r="F4" s="8"/>
      <c r="G4" s="129" t="s">
        <v>698</v>
      </c>
      <c r="H4" s="129"/>
      <c r="I4" s="129"/>
      <c r="J4" s="129"/>
      <c r="K4" s="129"/>
      <c r="L4" s="129"/>
      <c r="M4" s="8"/>
    </row>
    <row r="5" spans="1:13" x14ac:dyDescent="0.35">
      <c r="B5" s="287"/>
      <c r="C5" s="32" t="s">
        <v>20</v>
      </c>
      <c r="D5" s="32" t="s">
        <v>692</v>
      </c>
      <c r="E5" s="32" t="s">
        <v>694</v>
      </c>
      <c r="F5" s="32" t="s">
        <v>630</v>
      </c>
      <c r="G5" s="32" t="s">
        <v>475</v>
      </c>
      <c r="H5" s="32" t="s">
        <v>700</v>
      </c>
      <c r="I5" s="32" t="s">
        <v>701</v>
      </c>
      <c r="J5" s="32" t="s">
        <v>702</v>
      </c>
      <c r="K5" s="32" t="s">
        <v>703</v>
      </c>
      <c r="L5" s="32" t="s">
        <v>704</v>
      </c>
      <c r="M5" s="32" t="s">
        <v>705</v>
      </c>
    </row>
    <row r="6" spans="1:13" ht="14.25" customHeight="1" x14ac:dyDescent="0.35">
      <c r="B6" s="287"/>
      <c r="C6" s="34" t="s">
        <v>382</v>
      </c>
      <c r="D6" s="34" t="s">
        <v>678</v>
      </c>
      <c r="E6" s="34" t="s">
        <v>696</v>
      </c>
      <c r="F6" s="34" t="s">
        <v>382</v>
      </c>
      <c r="G6" s="34" t="s">
        <v>699</v>
      </c>
      <c r="H6" s="34" t="s">
        <v>699</v>
      </c>
      <c r="I6" s="34" t="s">
        <v>699</v>
      </c>
      <c r="J6" s="34" t="s">
        <v>699</v>
      </c>
      <c r="K6" s="34" t="s">
        <v>699</v>
      </c>
      <c r="L6" s="34" t="s">
        <v>699</v>
      </c>
      <c r="M6" s="34" t="s">
        <v>699</v>
      </c>
    </row>
    <row r="7" spans="1:13" ht="13.5" customHeight="1" x14ac:dyDescent="0.3">
      <c r="B7" s="136">
        <f>ROW() - 6</f>
        <v>1</v>
      </c>
      <c r="C7" s="136" t="s">
        <v>1110</v>
      </c>
      <c r="D7" s="136" t="s">
        <v>63</v>
      </c>
      <c r="E7" s="136" t="s">
        <v>1112</v>
      </c>
      <c r="F7" s="136" t="s">
        <v>1111</v>
      </c>
      <c r="G7" s="136" t="s">
        <v>1113</v>
      </c>
      <c r="H7" s="136" t="s">
        <v>1113</v>
      </c>
      <c r="I7" s="136" t="s">
        <v>1113</v>
      </c>
      <c r="J7" s="136" t="s">
        <v>1113</v>
      </c>
      <c r="K7" s="136" t="s">
        <v>1113</v>
      </c>
      <c r="L7" s="136" t="s">
        <v>1114</v>
      </c>
      <c r="M7" s="136" t="s">
        <v>1114</v>
      </c>
    </row>
    <row r="8" spans="1:13" x14ac:dyDescent="0.3">
      <c r="B8" s="136">
        <f t="shared" ref="B8:B11" si="0">ROW() - 6</f>
        <v>2</v>
      </c>
      <c r="C8" s="136"/>
      <c r="D8" s="136"/>
      <c r="E8" s="136"/>
      <c r="F8" s="136"/>
      <c r="G8" s="136"/>
      <c r="H8" s="136"/>
      <c r="I8" s="136"/>
      <c r="J8" s="136"/>
      <c r="K8" s="136"/>
      <c r="L8" s="136"/>
      <c r="M8" s="136"/>
    </row>
    <row r="9" spans="1:13" x14ac:dyDescent="0.3">
      <c r="B9" s="136">
        <f t="shared" si="0"/>
        <v>3</v>
      </c>
      <c r="C9" s="136"/>
      <c r="D9" s="136"/>
      <c r="E9" s="136"/>
      <c r="F9" s="136"/>
      <c r="G9" s="136"/>
      <c r="H9" s="136"/>
      <c r="I9" s="136"/>
      <c r="J9" s="136"/>
      <c r="K9" s="136"/>
      <c r="L9" s="136"/>
      <c r="M9" s="136"/>
    </row>
    <row r="10" spans="1:13" x14ac:dyDescent="0.3">
      <c r="B10" s="136">
        <f t="shared" si="0"/>
        <v>4</v>
      </c>
      <c r="C10" s="136"/>
      <c r="D10" s="136"/>
      <c r="E10" s="136"/>
      <c r="F10" s="136"/>
      <c r="G10" s="136"/>
      <c r="H10" s="136"/>
      <c r="I10" s="136"/>
      <c r="J10" s="136"/>
      <c r="K10" s="136"/>
      <c r="L10" s="136"/>
      <c r="M10" s="136"/>
    </row>
    <row r="11" spans="1:13" x14ac:dyDescent="0.3">
      <c r="B11" s="136">
        <f t="shared" si="0"/>
        <v>5</v>
      </c>
      <c r="C11" s="136"/>
      <c r="D11" s="136"/>
      <c r="E11" s="136"/>
      <c r="F11" s="136"/>
      <c r="G11" s="136"/>
      <c r="H11" s="136"/>
      <c r="I11" s="136"/>
      <c r="J11" s="136"/>
      <c r="K11" s="136"/>
      <c r="L11" s="136"/>
      <c r="M11" s="136"/>
    </row>
    <row r="12" spans="1:13" x14ac:dyDescent="0.35">
      <c r="E12" s="165"/>
      <c r="F12" s="165"/>
      <c r="G12" s="165"/>
      <c r="H12" s="165"/>
      <c r="I12" s="165"/>
      <c r="J12" s="165"/>
      <c r="K12" s="165"/>
      <c r="L12" s="165"/>
      <c r="M12" s="165"/>
    </row>
  </sheetData>
  <sheetProtection insertRows="0" deleteRows="0" sort="0" autoFilter="0"/>
  <mergeCells count="2">
    <mergeCell ref="B4:B6"/>
    <mergeCell ref="C4:D4"/>
  </mergeCells>
  <phoneticPr fontId="13"/>
  <hyperlinks>
    <hyperlink ref="A3" location="パラメータ設定一覧!A1" display="パラメータ設定一覧へ" xr:uid="{9FCFA27F-BD7B-47D0-8A04-0DBDC05302C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5192-D8BB-4F8C-BE09-4AD53607293A}">
  <sheetPr>
    <pageSetUpPr fitToPage="1"/>
  </sheetPr>
  <dimension ref="A1:L50"/>
  <sheetViews>
    <sheetView showGridLines="0" zoomScaleNormal="100" zoomScaleSheetLayoutView="55"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35546875" style="87" bestFit="1" customWidth="1"/>
    <col min="3" max="3" width="17" style="87" customWidth="1"/>
    <col min="4" max="4" width="21.35546875" style="87" customWidth="1"/>
    <col min="5" max="5" width="12.78515625" style="87" customWidth="1"/>
    <col min="6" max="6" width="21.35546875" style="87" customWidth="1"/>
    <col min="7" max="7" width="47.2109375" style="87" customWidth="1"/>
    <col min="8" max="8" width="27.78515625" style="87" customWidth="1"/>
    <col min="9" max="9" width="15.640625" style="87" customWidth="1"/>
    <col min="10" max="10" width="34.78515625" style="87" customWidth="1"/>
    <col min="11" max="11" width="18.2109375" style="87" customWidth="1"/>
    <col min="12" max="12" width="13.2109375" style="87" customWidth="1"/>
    <col min="13" max="16384" width="8.78515625" style="87"/>
  </cols>
  <sheetData>
    <row r="1" spans="1:12" customFormat="1" ht="19.5" x14ac:dyDescent="0.35">
      <c r="A1" s="96" t="s">
        <v>22</v>
      </c>
    </row>
    <row r="2" spans="1:12" customFormat="1" ht="19.5" x14ac:dyDescent="0.35">
      <c r="A2" s="96"/>
      <c r="B2" t="s">
        <v>718</v>
      </c>
    </row>
    <row r="3" spans="1:12" customFormat="1" ht="15" x14ac:dyDescent="0.35">
      <c r="B3" t="s">
        <v>719</v>
      </c>
    </row>
    <row r="4" spans="1:12" customFormat="1" ht="15" x14ac:dyDescent="0.35">
      <c r="A4" s="36" t="s">
        <v>1104</v>
      </c>
    </row>
    <row r="5" spans="1:12" x14ac:dyDescent="0.35">
      <c r="B5" s="37" t="s">
        <v>24</v>
      </c>
      <c r="C5" s="3" t="s">
        <v>31</v>
      </c>
      <c r="D5" s="3" t="s">
        <v>32</v>
      </c>
      <c r="E5" s="3" t="s">
        <v>33</v>
      </c>
      <c r="F5" s="4" t="s">
        <v>34</v>
      </c>
      <c r="G5" s="4" t="s">
        <v>788</v>
      </c>
      <c r="H5" s="3" t="s">
        <v>36</v>
      </c>
      <c r="I5" s="3" t="s">
        <v>37</v>
      </c>
      <c r="J5" s="37" t="s">
        <v>38</v>
      </c>
      <c r="K5" s="38" t="s">
        <v>39</v>
      </c>
      <c r="L5" s="38" t="s">
        <v>40</v>
      </c>
    </row>
    <row r="6" spans="1:12" x14ac:dyDescent="0.35">
      <c r="B6" s="18">
        <f>ROW() - 5</f>
        <v>1</v>
      </c>
      <c r="C6" s="39"/>
      <c r="D6" s="39"/>
      <c r="E6" s="39" t="s">
        <v>520</v>
      </c>
      <c r="F6" s="41" t="s">
        <v>520</v>
      </c>
      <c r="G6" s="41"/>
      <c r="H6" s="41" t="s">
        <v>382</v>
      </c>
      <c r="I6" s="41" t="s">
        <v>12</v>
      </c>
      <c r="J6" s="47"/>
      <c r="K6" s="19" t="s">
        <v>720</v>
      </c>
      <c r="L6" s="31"/>
    </row>
    <row r="7" spans="1:12" ht="67.5" x14ac:dyDescent="0.35">
      <c r="B7" s="18">
        <f t="shared" ref="B7:B50" si="0">ROW() - 5</f>
        <v>2</v>
      </c>
      <c r="C7" s="42"/>
      <c r="D7" s="42"/>
      <c r="E7" s="42"/>
      <c r="F7" s="42" t="s">
        <v>721</v>
      </c>
      <c r="G7" s="42" t="s">
        <v>722</v>
      </c>
      <c r="H7" s="42" t="s">
        <v>723</v>
      </c>
      <c r="I7" s="42" t="s">
        <v>218</v>
      </c>
      <c r="J7" s="49"/>
      <c r="K7" s="19" t="s">
        <v>720</v>
      </c>
      <c r="L7" s="31"/>
    </row>
    <row r="8" spans="1:12" ht="31.5" customHeight="1" x14ac:dyDescent="0.35">
      <c r="B8" s="18">
        <f t="shared" si="0"/>
        <v>3</v>
      </c>
      <c r="C8" s="42"/>
      <c r="D8" s="42"/>
      <c r="E8" s="42"/>
      <c r="F8" s="41" t="s">
        <v>630</v>
      </c>
      <c r="G8" s="41"/>
      <c r="H8" s="41" t="s">
        <v>382</v>
      </c>
      <c r="I8" s="41" t="s">
        <v>12</v>
      </c>
      <c r="J8" s="47"/>
      <c r="K8" s="19" t="s">
        <v>720</v>
      </c>
      <c r="L8" s="31"/>
    </row>
    <row r="9" spans="1:12" ht="27" x14ac:dyDescent="0.35">
      <c r="B9" s="18">
        <f t="shared" si="0"/>
        <v>4</v>
      </c>
      <c r="C9" s="42"/>
      <c r="D9" s="42"/>
      <c r="E9" s="42"/>
      <c r="F9" s="41" t="s">
        <v>724</v>
      </c>
      <c r="G9" s="41" t="s">
        <v>725</v>
      </c>
      <c r="H9" s="41" t="s">
        <v>107</v>
      </c>
      <c r="I9" s="41">
        <v>0</v>
      </c>
      <c r="J9" s="47"/>
      <c r="K9" s="19" t="s">
        <v>720</v>
      </c>
      <c r="L9" s="31"/>
    </row>
    <row r="10" spans="1:12" ht="67.5" x14ac:dyDescent="0.35">
      <c r="B10" s="18">
        <f t="shared" si="0"/>
        <v>5</v>
      </c>
      <c r="C10" s="42"/>
      <c r="D10" s="42"/>
      <c r="E10" s="42"/>
      <c r="F10" s="41" t="s">
        <v>726</v>
      </c>
      <c r="G10" s="41" t="s">
        <v>727</v>
      </c>
      <c r="H10" s="41" t="s">
        <v>728</v>
      </c>
      <c r="I10" s="41" t="s">
        <v>59</v>
      </c>
      <c r="J10" s="47"/>
      <c r="K10" s="19" t="s">
        <v>720</v>
      </c>
      <c r="L10" s="31"/>
    </row>
    <row r="11" spans="1:12" ht="81" x14ac:dyDescent="0.35">
      <c r="B11" s="18">
        <f t="shared" si="0"/>
        <v>6</v>
      </c>
      <c r="C11" s="43"/>
      <c r="D11" s="43"/>
      <c r="E11" s="42"/>
      <c r="F11" s="41" t="s">
        <v>729</v>
      </c>
      <c r="G11" s="41" t="s">
        <v>730</v>
      </c>
      <c r="H11" s="41" t="s">
        <v>731</v>
      </c>
      <c r="I11" s="41" t="s">
        <v>732</v>
      </c>
      <c r="J11" s="47"/>
      <c r="K11" s="19" t="s">
        <v>720</v>
      </c>
      <c r="L11" s="31"/>
    </row>
    <row r="12" spans="1:12" x14ac:dyDescent="0.35">
      <c r="B12" s="18">
        <f t="shared" si="0"/>
        <v>7</v>
      </c>
      <c r="C12" s="42" t="s">
        <v>302</v>
      </c>
      <c r="D12" s="42"/>
      <c r="E12" s="39" t="s">
        <v>733</v>
      </c>
      <c r="F12" s="41" t="s">
        <v>734</v>
      </c>
      <c r="G12" s="41"/>
      <c r="H12" s="41" t="s">
        <v>107</v>
      </c>
      <c r="I12" s="41">
        <v>0</v>
      </c>
      <c r="J12" s="47"/>
      <c r="K12" s="19" t="s">
        <v>720</v>
      </c>
      <c r="L12" s="31"/>
    </row>
    <row r="13" spans="1:12" x14ac:dyDescent="0.35">
      <c r="B13" s="18">
        <f t="shared" si="0"/>
        <v>8</v>
      </c>
      <c r="C13" s="42"/>
      <c r="D13" s="42"/>
      <c r="E13" s="42"/>
      <c r="F13" s="41" t="s">
        <v>444</v>
      </c>
      <c r="G13" s="41"/>
      <c r="H13" s="41" t="s">
        <v>107</v>
      </c>
      <c r="I13" s="41">
        <v>0</v>
      </c>
      <c r="J13" s="47"/>
      <c r="K13" s="19" t="s">
        <v>720</v>
      </c>
      <c r="L13" s="31"/>
    </row>
    <row r="14" spans="1:12" x14ac:dyDescent="0.35">
      <c r="B14" s="18">
        <f t="shared" si="0"/>
        <v>9</v>
      </c>
      <c r="C14" s="42"/>
      <c r="D14" s="42"/>
      <c r="E14" s="42"/>
      <c r="F14" s="41" t="s">
        <v>707</v>
      </c>
      <c r="G14" s="41" t="s">
        <v>735</v>
      </c>
      <c r="H14" s="41"/>
      <c r="I14" s="41" t="s">
        <v>12</v>
      </c>
      <c r="J14" s="47"/>
      <c r="K14" s="19" t="s">
        <v>720</v>
      </c>
      <c r="L14" s="31"/>
    </row>
    <row r="15" spans="1:12" ht="81" x14ac:dyDescent="0.35">
      <c r="B15" s="18">
        <f t="shared" si="0"/>
        <v>10</v>
      </c>
      <c r="C15" s="42"/>
      <c r="D15" s="42"/>
      <c r="E15" s="39" t="s">
        <v>406</v>
      </c>
      <c r="F15" s="41" t="s">
        <v>736</v>
      </c>
      <c r="G15" s="41" t="s">
        <v>737</v>
      </c>
      <c r="H15" s="41" t="s">
        <v>738</v>
      </c>
      <c r="I15" s="41" t="s">
        <v>739</v>
      </c>
      <c r="J15" s="47"/>
      <c r="K15" s="19" t="s">
        <v>720</v>
      </c>
      <c r="L15" s="31"/>
    </row>
    <row r="16" spans="1:12" x14ac:dyDescent="0.35">
      <c r="B16" s="18">
        <f t="shared" si="0"/>
        <v>11</v>
      </c>
      <c r="C16" s="42"/>
      <c r="D16" s="42"/>
      <c r="E16" s="42"/>
      <c r="F16" s="41" t="s">
        <v>740</v>
      </c>
      <c r="G16" s="43"/>
      <c r="H16" s="41" t="s">
        <v>992</v>
      </c>
      <c r="I16" s="41" t="s">
        <v>12</v>
      </c>
      <c r="J16" s="50"/>
      <c r="K16" s="19" t="s">
        <v>720</v>
      </c>
      <c r="L16" s="20"/>
    </row>
    <row r="17" spans="2:12" ht="27" x14ac:dyDescent="0.35">
      <c r="B17" s="18">
        <f t="shared" si="0"/>
        <v>12</v>
      </c>
      <c r="C17" s="42"/>
      <c r="D17" s="42"/>
      <c r="E17" s="42"/>
      <c r="F17" s="43" t="s">
        <v>741</v>
      </c>
      <c r="G17" s="43" t="s">
        <v>742</v>
      </c>
      <c r="H17" s="43" t="s">
        <v>1020</v>
      </c>
      <c r="I17" s="43" t="s">
        <v>12</v>
      </c>
      <c r="J17" s="50"/>
      <c r="K17" s="19" t="s">
        <v>720</v>
      </c>
      <c r="L17" s="20"/>
    </row>
    <row r="18" spans="2:12" ht="27" x14ac:dyDescent="0.35">
      <c r="B18" s="18">
        <f t="shared" si="0"/>
        <v>13</v>
      </c>
      <c r="C18" s="42"/>
      <c r="D18" s="42"/>
      <c r="E18" s="42"/>
      <c r="F18" s="43" t="s">
        <v>743</v>
      </c>
      <c r="G18" s="43" t="s">
        <v>744</v>
      </c>
      <c r="H18" s="43" t="s">
        <v>678</v>
      </c>
      <c r="I18" s="43" t="s">
        <v>47</v>
      </c>
      <c r="J18" s="50"/>
      <c r="K18" s="19" t="s">
        <v>720</v>
      </c>
      <c r="L18" s="20"/>
    </row>
    <row r="19" spans="2:12" x14ac:dyDescent="0.35">
      <c r="B19" s="18">
        <f t="shared" si="0"/>
        <v>14</v>
      </c>
      <c r="C19" s="42"/>
      <c r="D19" s="42"/>
      <c r="E19" s="42"/>
      <c r="F19" s="41" t="s">
        <v>745</v>
      </c>
      <c r="G19" s="41"/>
      <c r="H19" s="41"/>
      <c r="I19" s="41" t="s">
        <v>12</v>
      </c>
      <c r="J19" s="50"/>
      <c r="K19" s="19" t="s">
        <v>720</v>
      </c>
      <c r="L19" s="31"/>
    </row>
    <row r="20" spans="2:12" x14ac:dyDescent="0.35">
      <c r="B20" s="18">
        <f t="shared" si="0"/>
        <v>15</v>
      </c>
      <c r="C20" s="42"/>
      <c r="D20" s="42"/>
      <c r="E20" s="41" t="s">
        <v>746</v>
      </c>
      <c r="F20" s="41" t="s">
        <v>747</v>
      </c>
      <c r="G20" s="41"/>
      <c r="H20" s="41" t="s">
        <v>678</v>
      </c>
      <c r="I20" s="41" t="s">
        <v>47</v>
      </c>
      <c r="J20" s="47"/>
      <c r="K20" s="19" t="s">
        <v>720</v>
      </c>
      <c r="L20" s="31"/>
    </row>
    <row r="21" spans="2:12" ht="175.5" x14ac:dyDescent="0.35">
      <c r="B21" s="45">
        <f t="shared" si="0"/>
        <v>16</v>
      </c>
      <c r="C21" s="42"/>
      <c r="D21" s="42"/>
      <c r="E21" s="39" t="s">
        <v>748</v>
      </c>
      <c r="F21" s="41" t="s">
        <v>749</v>
      </c>
      <c r="G21" s="41" t="s">
        <v>750</v>
      </c>
      <c r="H21" s="41" t="s">
        <v>751</v>
      </c>
      <c r="I21" s="41" t="s">
        <v>752</v>
      </c>
      <c r="J21" s="47"/>
      <c r="K21" s="19" t="s">
        <v>720</v>
      </c>
      <c r="L21" s="31"/>
    </row>
    <row r="22" spans="2:12" ht="27" x14ac:dyDescent="0.35">
      <c r="B22" s="45">
        <f t="shared" si="0"/>
        <v>17</v>
      </c>
      <c r="C22" s="42"/>
      <c r="D22" s="42"/>
      <c r="E22" s="39" t="s">
        <v>963</v>
      </c>
      <c r="F22" s="43" t="s">
        <v>964</v>
      </c>
      <c r="G22" s="43" t="s">
        <v>965</v>
      </c>
      <c r="H22" s="43" t="s">
        <v>1062</v>
      </c>
      <c r="I22" s="41" t="s">
        <v>12</v>
      </c>
      <c r="J22" s="50"/>
      <c r="K22" s="19" t="s">
        <v>720</v>
      </c>
      <c r="L22" s="20"/>
    </row>
    <row r="23" spans="2:12" ht="27" x14ac:dyDescent="0.35">
      <c r="B23" s="45">
        <f t="shared" si="0"/>
        <v>18</v>
      </c>
      <c r="C23" s="42"/>
      <c r="D23" s="42"/>
      <c r="E23" s="42"/>
      <c r="F23" s="43" t="s">
        <v>966</v>
      </c>
      <c r="G23" s="43" t="s">
        <v>967</v>
      </c>
      <c r="H23" s="43" t="s">
        <v>1063</v>
      </c>
      <c r="I23" s="41" t="s">
        <v>12</v>
      </c>
      <c r="J23" s="50"/>
      <c r="K23" s="19" t="s">
        <v>720</v>
      </c>
      <c r="L23" s="20"/>
    </row>
    <row r="24" spans="2:12" ht="27" x14ac:dyDescent="0.35">
      <c r="B24" s="45">
        <f t="shared" si="0"/>
        <v>19</v>
      </c>
      <c r="C24" s="42"/>
      <c r="D24" s="42"/>
      <c r="E24" s="42"/>
      <c r="F24" s="43" t="s">
        <v>1064</v>
      </c>
      <c r="G24" s="43" t="s">
        <v>969</v>
      </c>
      <c r="H24" s="43" t="s">
        <v>1065</v>
      </c>
      <c r="I24" s="41" t="s">
        <v>12</v>
      </c>
      <c r="J24" s="50"/>
      <c r="K24" s="19" t="s">
        <v>720</v>
      </c>
      <c r="L24" s="20"/>
    </row>
    <row r="25" spans="2:12" ht="27" x14ac:dyDescent="0.35">
      <c r="B25" s="45">
        <f t="shared" si="0"/>
        <v>20</v>
      </c>
      <c r="C25" s="42"/>
      <c r="D25" s="42"/>
      <c r="E25" s="43"/>
      <c r="F25" s="43" t="s">
        <v>1066</v>
      </c>
      <c r="G25" s="43" t="s">
        <v>971</v>
      </c>
      <c r="H25" s="43" t="s">
        <v>1067</v>
      </c>
      <c r="I25" s="41" t="s">
        <v>12</v>
      </c>
      <c r="J25" s="50"/>
      <c r="K25" s="19" t="s">
        <v>720</v>
      </c>
      <c r="L25" s="20"/>
    </row>
    <row r="26" spans="2:12" ht="27" x14ac:dyDescent="0.35">
      <c r="B26" s="18">
        <f t="shared" si="0"/>
        <v>21</v>
      </c>
      <c r="C26" s="43"/>
      <c r="D26" s="43"/>
      <c r="E26" s="41" t="s">
        <v>753</v>
      </c>
      <c r="F26" s="43" t="s">
        <v>754</v>
      </c>
      <c r="G26" s="43" t="s">
        <v>755</v>
      </c>
      <c r="H26" s="43" t="s">
        <v>678</v>
      </c>
      <c r="I26" s="43" t="s">
        <v>47</v>
      </c>
      <c r="J26" s="50"/>
      <c r="K26" s="19" t="s">
        <v>720</v>
      </c>
      <c r="L26" s="20"/>
    </row>
    <row r="27" spans="2:12" ht="27" x14ac:dyDescent="0.35">
      <c r="B27" s="18">
        <f t="shared" si="0"/>
        <v>22</v>
      </c>
      <c r="C27" s="42" t="s">
        <v>763</v>
      </c>
      <c r="D27" s="42"/>
      <c r="E27" s="42" t="s">
        <v>972</v>
      </c>
      <c r="F27" s="43" t="s">
        <v>511</v>
      </c>
      <c r="G27" s="43"/>
      <c r="H27" s="43"/>
      <c r="I27" s="43" t="s">
        <v>12</v>
      </c>
      <c r="J27" s="50" t="s">
        <v>973</v>
      </c>
      <c r="K27" s="19" t="s">
        <v>974</v>
      </c>
      <c r="L27" s="20"/>
    </row>
    <row r="28" spans="2:12" ht="27" x14ac:dyDescent="0.35">
      <c r="B28" s="18">
        <f t="shared" si="0"/>
        <v>23</v>
      </c>
      <c r="C28" s="42"/>
      <c r="D28" s="42"/>
      <c r="E28" s="43"/>
      <c r="F28" s="41" t="s">
        <v>512</v>
      </c>
      <c r="G28" s="41"/>
      <c r="H28" s="41"/>
      <c r="I28" s="41" t="s">
        <v>12</v>
      </c>
      <c r="J28" s="50" t="s">
        <v>973</v>
      </c>
      <c r="K28" s="19" t="s">
        <v>974</v>
      </c>
      <c r="L28" s="31"/>
    </row>
    <row r="29" spans="2:12" ht="27" x14ac:dyDescent="0.35">
      <c r="B29" s="18">
        <f t="shared" si="0"/>
        <v>24</v>
      </c>
      <c r="C29" s="42"/>
      <c r="D29" s="42"/>
      <c r="E29" s="42" t="s">
        <v>975</v>
      </c>
      <c r="F29" s="43" t="s">
        <v>511</v>
      </c>
      <c r="G29" s="41"/>
      <c r="H29" s="41"/>
      <c r="I29" s="41" t="s">
        <v>12</v>
      </c>
      <c r="J29" s="50" t="s">
        <v>973</v>
      </c>
      <c r="K29" s="19" t="s">
        <v>974</v>
      </c>
      <c r="L29" s="31"/>
    </row>
    <row r="30" spans="2:12" ht="27" x14ac:dyDescent="0.35">
      <c r="B30" s="45">
        <f t="shared" si="0"/>
        <v>25</v>
      </c>
      <c r="C30" s="42"/>
      <c r="D30" s="42"/>
      <c r="E30" s="43"/>
      <c r="F30" s="41" t="s">
        <v>512</v>
      </c>
      <c r="G30" s="41"/>
      <c r="H30" s="41"/>
      <c r="I30" s="41" t="s">
        <v>12</v>
      </c>
      <c r="J30" s="50" t="s">
        <v>973</v>
      </c>
      <c r="K30" s="19" t="s">
        <v>974</v>
      </c>
      <c r="L30" s="31"/>
    </row>
    <row r="31" spans="2:12" ht="27" x14ac:dyDescent="0.35">
      <c r="B31" s="18">
        <f t="shared" si="0"/>
        <v>26</v>
      </c>
      <c r="C31" s="42"/>
      <c r="D31" s="42"/>
      <c r="E31" s="42" t="s">
        <v>976</v>
      </c>
      <c r="F31" s="43" t="s">
        <v>511</v>
      </c>
      <c r="G31" s="43"/>
      <c r="H31" s="43"/>
      <c r="I31" s="43" t="s">
        <v>12</v>
      </c>
      <c r="J31" s="50" t="s">
        <v>973</v>
      </c>
      <c r="K31" s="19" t="s">
        <v>974</v>
      </c>
      <c r="L31" s="20"/>
    </row>
    <row r="32" spans="2:12" ht="27" x14ac:dyDescent="0.35">
      <c r="B32" s="18">
        <f t="shared" si="0"/>
        <v>27</v>
      </c>
      <c r="C32" s="42"/>
      <c r="D32" s="42"/>
      <c r="E32" s="43"/>
      <c r="F32" s="41" t="s">
        <v>512</v>
      </c>
      <c r="G32" s="43"/>
      <c r="H32" s="43"/>
      <c r="I32" s="43" t="s">
        <v>12</v>
      </c>
      <c r="J32" s="50" t="s">
        <v>973</v>
      </c>
      <c r="K32" s="19" t="s">
        <v>974</v>
      </c>
      <c r="L32" s="20"/>
    </row>
    <row r="33" spans="2:12" ht="27" x14ac:dyDescent="0.35">
      <c r="B33" s="18">
        <f t="shared" si="0"/>
        <v>28</v>
      </c>
      <c r="C33" s="42"/>
      <c r="D33" s="42"/>
      <c r="E33" s="42" t="s">
        <v>977</v>
      </c>
      <c r="F33" s="43" t="s">
        <v>511</v>
      </c>
      <c r="G33" s="41"/>
      <c r="H33" s="41"/>
      <c r="I33" s="41" t="s">
        <v>12</v>
      </c>
      <c r="J33" s="50" t="s">
        <v>973</v>
      </c>
      <c r="K33" s="19" t="s">
        <v>974</v>
      </c>
      <c r="L33" s="31"/>
    </row>
    <row r="34" spans="2:12" ht="27" x14ac:dyDescent="0.35">
      <c r="B34" s="18">
        <f t="shared" si="0"/>
        <v>29</v>
      </c>
      <c r="C34" s="42"/>
      <c r="D34" s="42"/>
      <c r="E34" s="43"/>
      <c r="F34" s="41" t="s">
        <v>512</v>
      </c>
      <c r="G34" s="41"/>
      <c r="H34" s="41"/>
      <c r="I34" s="41" t="s">
        <v>12</v>
      </c>
      <c r="J34" s="50" t="s">
        <v>973</v>
      </c>
      <c r="K34" s="19" t="s">
        <v>974</v>
      </c>
      <c r="L34" s="31"/>
    </row>
    <row r="35" spans="2:12" ht="27" x14ac:dyDescent="0.35">
      <c r="B35" s="45">
        <f t="shared" si="0"/>
        <v>30</v>
      </c>
      <c r="C35" s="42"/>
      <c r="D35" s="42"/>
      <c r="E35" s="42" t="s">
        <v>756</v>
      </c>
      <c r="F35" s="41" t="s">
        <v>757</v>
      </c>
      <c r="G35" s="41"/>
      <c r="H35" s="41" t="s">
        <v>678</v>
      </c>
      <c r="I35" s="41" t="s">
        <v>47</v>
      </c>
      <c r="J35" s="47"/>
      <c r="K35" s="19" t="s">
        <v>720</v>
      </c>
      <c r="L35" s="31"/>
    </row>
    <row r="36" spans="2:12" ht="27" x14ac:dyDescent="0.35">
      <c r="B36" s="18"/>
      <c r="C36" s="42"/>
      <c r="D36" s="42"/>
      <c r="E36" s="42"/>
      <c r="F36" s="43" t="s">
        <v>758</v>
      </c>
      <c r="G36" s="43" t="s">
        <v>759</v>
      </c>
      <c r="H36" s="43" t="s">
        <v>678</v>
      </c>
      <c r="I36" s="43" t="s">
        <v>47</v>
      </c>
      <c r="J36" s="50"/>
      <c r="K36" s="19" t="s">
        <v>720</v>
      </c>
      <c r="L36" s="20"/>
    </row>
    <row r="37" spans="2:12" ht="31.5" customHeight="1" x14ac:dyDescent="0.35">
      <c r="B37" s="18">
        <f t="shared" si="0"/>
        <v>32</v>
      </c>
      <c r="C37" s="42"/>
      <c r="D37" s="42"/>
      <c r="E37" s="42"/>
      <c r="F37" s="43" t="s">
        <v>760</v>
      </c>
      <c r="G37" s="43" t="s">
        <v>761</v>
      </c>
      <c r="H37" s="43" t="s">
        <v>1021</v>
      </c>
      <c r="I37" s="43" t="s">
        <v>12</v>
      </c>
      <c r="J37" s="50"/>
      <c r="K37" s="19" t="s">
        <v>720</v>
      </c>
      <c r="L37" s="20"/>
    </row>
    <row r="38" spans="2:12" x14ac:dyDescent="0.35">
      <c r="B38" s="18">
        <f t="shared" si="0"/>
        <v>33</v>
      </c>
      <c r="C38" s="42"/>
      <c r="D38" s="42"/>
      <c r="E38" s="39" t="s">
        <v>763</v>
      </c>
      <c r="F38" s="43" t="s">
        <v>764</v>
      </c>
      <c r="G38" s="43"/>
      <c r="H38" s="43" t="s">
        <v>678</v>
      </c>
      <c r="I38" s="43" t="s">
        <v>47</v>
      </c>
      <c r="J38" s="50"/>
      <c r="K38" s="19" t="s">
        <v>720</v>
      </c>
      <c r="L38" s="20"/>
    </row>
    <row r="39" spans="2:12" x14ac:dyDescent="0.35">
      <c r="B39" s="18">
        <f t="shared" si="0"/>
        <v>34</v>
      </c>
      <c r="C39" s="42"/>
      <c r="D39" s="42"/>
      <c r="E39" s="42"/>
      <c r="F39" s="41" t="s">
        <v>765</v>
      </c>
      <c r="G39" s="41"/>
      <c r="H39" s="41" t="s">
        <v>678</v>
      </c>
      <c r="I39" s="41" t="s">
        <v>47</v>
      </c>
      <c r="J39" s="50"/>
      <c r="K39" s="19" t="s">
        <v>720</v>
      </c>
      <c r="L39" s="31"/>
    </row>
    <row r="40" spans="2:12" ht="27" x14ac:dyDescent="0.35">
      <c r="B40" s="18">
        <f t="shared" si="0"/>
        <v>35</v>
      </c>
      <c r="C40" s="42"/>
      <c r="D40" s="42"/>
      <c r="E40" s="42"/>
      <c r="F40" s="41" t="s">
        <v>766</v>
      </c>
      <c r="G40" s="41"/>
      <c r="H40" s="41"/>
      <c r="I40" s="41" t="s">
        <v>12</v>
      </c>
      <c r="J40" s="47"/>
      <c r="K40" s="19" t="s">
        <v>720</v>
      </c>
      <c r="L40" s="31"/>
    </row>
    <row r="41" spans="2:12" ht="27" x14ac:dyDescent="0.35">
      <c r="B41" s="45">
        <f t="shared" si="0"/>
        <v>36</v>
      </c>
      <c r="C41" s="42"/>
      <c r="D41" s="42"/>
      <c r="E41" s="42"/>
      <c r="F41" s="41" t="s">
        <v>767</v>
      </c>
      <c r="G41" s="41" t="s">
        <v>400</v>
      </c>
      <c r="H41" s="41"/>
      <c r="I41" s="41" t="s">
        <v>12</v>
      </c>
      <c r="J41" s="47"/>
      <c r="K41" s="19" t="s">
        <v>720</v>
      </c>
      <c r="L41" s="31"/>
    </row>
    <row r="42" spans="2:12" x14ac:dyDescent="0.35">
      <c r="B42" s="18">
        <f t="shared" si="0"/>
        <v>37</v>
      </c>
      <c r="C42" s="42"/>
      <c r="D42" s="42"/>
      <c r="E42" s="42"/>
      <c r="F42" s="43" t="s">
        <v>768</v>
      </c>
      <c r="G42" s="43"/>
      <c r="H42" s="43" t="s">
        <v>1021</v>
      </c>
      <c r="I42" s="43" t="s">
        <v>12</v>
      </c>
      <c r="J42" s="50"/>
      <c r="K42" s="19" t="s">
        <v>720</v>
      </c>
      <c r="L42" s="20"/>
    </row>
    <row r="43" spans="2:12" x14ac:dyDescent="0.35">
      <c r="B43" s="18">
        <f t="shared" si="0"/>
        <v>38</v>
      </c>
      <c r="C43" s="42"/>
      <c r="D43" s="42"/>
      <c r="E43" s="42"/>
      <c r="F43" s="43" t="s">
        <v>769</v>
      </c>
      <c r="G43" s="43"/>
      <c r="H43" s="43" t="s">
        <v>1021</v>
      </c>
      <c r="I43" s="43" t="s">
        <v>12</v>
      </c>
      <c r="J43" s="50"/>
      <c r="K43" s="19" t="s">
        <v>720</v>
      </c>
      <c r="L43" s="20"/>
    </row>
    <row r="44" spans="2:12" ht="27" x14ac:dyDescent="0.35">
      <c r="B44" s="18">
        <f t="shared" si="0"/>
        <v>39</v>
      </c>
      <c r="C44" s="42"/>
      <c r="D44" s="42"/>
      <c r="E44" s="42"/>
      <c r="F44" s="41" t="s">
        <v>770</v>
      </c>
      <c r="G44" s="41" t="s">
        <v>771</v>
      </c>
      <c r="H44" s="43" t="s">
        <v>1021</v>
      </c>
      <c r="I44" s="43" t="s">
        <v>12</v>
      </c>
      <c r="J44" s="50"/>
      <c r="K44" s="19" t="s">
        <v>720</v>
      </c>
      <c r="L44" s="31"/>
    </row>
    <row r="45" spans="2:12" x14ac:dyDescent="0.35">
      <c r="B45" s="18">
        <f t="shared" si="0"/>
        <v>40</v>
      </c>
      <c r="C45" s="42"/>
      <c r="D45" s="42"/>
      <c r="E45" s="42"/>
      <c r="F45" s="41" t="s">
        <v>772</v>
      </c>
      <c r="G45" s="41"/>
      <c r="H45" s="43" t="s">
        <v>1021</v>
      </c>
      <c r="I45" s="43" t="s">
        <v>12</v>
      </c>
      <c r="J45" s="47"/>
      <c r="K45" s="19" t="s">
        <v>720</v>
      </c>
      <c r="L45" s="31"/>
    </row>
    <row r="46" spans="2:12" ht="27" x14ac:dyDescent="0.35">
      <c r="B46" s="45">
        <f t="shared" si="0"/>
        <v>41</v>
      </c>
      <c r="C46" s="39" t="s">
        <v>978</v>
      </c>
      <c r="D46" s="39"/>
      <c r="E46" s="39"/>
      <c r="F46" s="41" t="s">
        <v>937</v>
      </c>
      <c r="G46" s="41"/>
      <c r="H46" s="41" t="s">
        <v>699</v>
      </c>
      <c r="I46" s="41" t="s">
        <v>12</v>
      </c>
      <c r="J46" s="47"/>
      <c r="K46" s="19" t="s">
        <v>979</v>
      </c>
      <c r="L46" s="31"/>
    </row>
    <row r="47" spans="2:12" ht="27" x14ac:dyDescent="0.35">
      <c r="B47" s="45">
        <f t="shared" si="0"/>
        <v>42</v>
      </c>
      <c r="C47" s="42"/>
      <c r="D47" s="42"/>
      <c r="E47" s="43"/>
      <c r="F47" s="43" t="s">
        <v>630</v>
      </c>
      <c r="G47" s="43"/>
      <c r="H47" s="43"/>
      <c r="I47" s="43" t="s">
        <v>12</v>
      </c>
      <c r="J47" s="50"/>
      <c r="K47" s="19" t="s">
        <v>979</v>
      </c>
      <c r="L47" s="20"/>
    </row>
    <row r="48" spans="2:12" ht="27" x14ac:dyDescent="0.35">
      <c r="B48" s="45">
        <f t="shared" si="0"/>
        <v>43</v>
      </c>
      <c r="C48" s="43"/>
      <c r="D48" s="43"/>
      <c r="E48" s="41" t="s">
        <v>315</v>
      </c>
      <c r="F48" s="41" t="s">
        <v>980</v>
      </c>
      <c r="G48" s="43" t="s">
        <v>848</v>
      </c>
      <c r="H48" s="43" t="s">
        <v>1098</v>
      </c>
      <c r="I48" s="43" t="s">
        <v>12</v>
      </c>
      <c r="J48" s="50"/>
      <c r="K48" s="19" t="s">
        <v>979</v>
      </c>
      <c r="L48" s="20"/>
    </row>
    <row r="49" spans="2:12" ht="27" x14ac:dyDescent="0.35">
      <c r="B49" s="99">
        <f t="shared" si="0"/>
        <v>44</v>
      </c>
      <c r="C49" s="42" t="s">
        <v>981</v>
      </c>
      <c r="D49" s="42"/>
      <c r="E49" s="42"/>
      <c r="F49" s="43" t="s">
        <v>937</v>
      </c>
      <c r="G49" s="43"/>
      <c r="H49" s="41" t="s">
        <v>699</v>
      </c>
      <c r="I49" s="41" t="s">
        <v>12</v>
      </c>
      <c r="J49" s="50"/>
      <c r="K49" s="19" t="s">
        <v>982</v>
      </c>
      <c r="L49" s="20"/>
    </row>
    <row r="50" spans="2:12" ht="27" x14ac:dyDescent="0.35">
      <c r="B50" s="45">
        <f t="shared" si="0"/>
        <v>45</v>
      </c>
      <c r="C50" s="43"/>
      <c r="D50" s="43"/>
      <c r="E50" s="43"/>
      <c r="F50" s="41" t="s">
        <v>630</v>
      </c>
      <c r="G50" s="41"/>
      <c r="H50" s="41"/>
      <c r="I50" s="41" t="s">
        <v>12</v>
      </c>
      <c r="J50" s="50"/>
      <c r="K50" s="30" t="s">
        <v>982</v>
      </c>
      <c r="L50" s="31"/>
    </row>
  </sheetData>
  <phoneticPr fontId="13"/>
  <hyperlinks>
    <hyperlink ref="A4" location="パラメータ設定一覧!A1" display="パラメータ設定一覧へ" xr:uid="{645968EA-59E8-4C9D-B2FB-CC6678531787}"/>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17"/>
  <sheetViews>
    <sheetView showGridLines="0" zoomScaleNormal="10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31" width="19.5703125" style="87" customWidth="1"/>
    <col min="32" max="32" width="22.78515625" style="87" bestFit="1" customWidth="1"/>
    <col min="33" max="34" width="19.5703125" style="87" customWidth="1"/>
    <col min="35" max="16384" width="8.78515625" style="87"/>
  </cols>
  <sheetData>
    <row r="1" spans="1:34" customFormat="1" ht="19.5" x14ac:dyDescent="0.35">
      <c r="A1" s="2" t="s">
        <v>773</v>
      </c>
    </row>
    <row r="2" spans="1:34" customFormat="1" ht="15" x14ac:dyDescent="0.35"/>
    <row r="3" spans="1:34" customFormat="1" ht="15" x14ac:dyDescent="0.35">
      <c r="A3" s="36" t="s">
        <v>1104</v>
      </c>
    </row>
    <row r="4" spans="1:34" ht="15.75" customHeight="1" x14ac:dyDescent="0.35">
      <c r="B4" s="287" t="s">
        <v>24</v>
      </c>
      <c r="C4" s="290" t="s">
        <v>520</v>
      </c>
      <c r="D4" s="291"/>
      <c r="E4" s="127"/>
      <c r="F4" s="127"/>
      <c r="G4" s="127"/>
      <c r="H4" s="127"/>
      <c r="I4" s="24" t="s">
        <v>302</v>
      </c>
      <c r="J4" s="127"/>
      <c r="K4" s="127"/>
      <c r="L4" s="127"/>
      <c r="M4" s="127"/>
      <c r="N4" s="127"/>
      <c r="O4" s="127"/>
      <c r="P4" s="127"/>
      <c r="Q4" s="127"/>
      <c r="R4" s="127"/>
      <c r="S4" s="127"/>
      <c r="T4" s="127"/>
      <c r="U4" s="127"/>
      <c r="V4" s="127"/>
      <c r="W4" s="25"/>
      <c r="X4" s="127" t="s">
        <v>763</v>
      </c>
      <c r="Y4" s="127"/>
      <c r="Z4" s="127"/>
      <c r="AA4" s="127"/>
      <c r="AB4" s="127"/>
      <c r="AC4" s="127"/>
      <c r="AD4" s="127"/>
      <c r="AE4" s="127"/>
      <c r="AF4" s="127"/>
      <c r="AG4" s="127"/>
      <c r="AH4" s="25"/>
    </row>
    <row r="5" spans="1:34" x14ac:dyDescent="0.35">
      <c r="B5" s="287"/>
      <c r="C5" s="130"/>
      <c r="D5" s="131"/>
      <c r="E5" s="131"/>
      <c r="F5" s="131"/>
      <c r="G5" s="131"/>
      <c r="H5" s="9"/>
      <c r="I5" s="16" t="s">
        <v>733</v>
      </c>
      <c r="J5" s="16"/>
      <c r="K5" s="16"/>
      <c r="L5" s="15" t="s">
        <v>406</v>
      </c>
      <c r="M5" s="16"/>
      <c r="N5" s="16"/>
      <c r="O5" s="16"/>
      <c r="P5" s="16"/>
      <c r="Q5" s="15" t="s">
        <v>746</v>
      </c>
      <c r="R5" s="15" t="s">
        <v>321</v>
      </c>
      <c r="S5" s="15" t="s">
        <v>1061</v>
      </c>
      <c r="T5" s="16"/>
      <c r="U5" s="16"/>
      <c r="V5" s="17"/>
      <c r="W5" s="126" t="s">
        <v>753</v>
      </c>
      <c r="X5" s="16" t="s">
        <v>756</v>
      </c>
      <c r="Y5" s="16"/>
      <c r="Z5" s="17"/>
      <c r="AA5" s="16" t="s">
        <v>763</v>
      </c>
      <c r="AB5" s="16"/>
      <c r="AC5" s="16"/>
      <c r="AD5" s="16"/>
      <c r="AE5" s="16"/>
      <c r="AF5" s="16"/>
      <c r="AG5" s="16"/>
      <c r="AH5" s="17"/>
    </row>
    <row r="6" spans="1:34" ht="27" x14ac:dyDescent="0.35">
      <c r="B6" s="287"/>
      <c r="C6" s="32" t="s">
        <v>520</v>
      </c>
      <c r="D6" s="32" t="s">
        <v>721</v>
      </c>
      <c r="E6" s="32" t="s">
        <v>630</v>
      </c>
      <c r="F6" s="32" t="s">
        <v>724</v>
      </c>
      <c r="G6" s="32" t="s">
        <v>726</v>
      </c>
      <c r="H6" s="32" t="s">
        <v>729</v>
      </c>
      <c r="I6" s="32" t="s">
        <v>734</v>
      </c>
      <c r="J6" s="32" t="s">
        <v>444</v>
      </c>
      <c r="K6" s="32" t="s">
        <v>707</v>
      </c>
      <c r="L6" s="32" t="s">
        <v>736</v>
      </c>
      <c r="M6" s="32" t="s">
        <v>740</v>
      </c>
      <c r="N6" s="32" t="s">
        <v>741</v>
      </c>
      <c r="O6" s="32" t="s">
        <v>743</v>
      </c>
      <c r="P6" s="32" t="s">
        <v>745</v>
      </c>
      <c r="Q6" s="32" t="s">
        <v>747</v>
      </c>
      <c r="R6" s="32" t="s">
        <v>749</v>
      </c>
      <c r="S6" s="32" t="s">
        <v>964</v>
      </c>
      <c r="T6" s="32" t="s">
        <v>966</v>
      </c>
      <c r="U6" s="32" t="s">
        <v>968</v>
      </c>
      <c r="V6" s="32" t="s">
        <v>970</v>
      </c>
      <c r="W6" s="32" t="s">
        <v>774</v>
      </c>
      <c r="X6" s="23" t="s">
        <v>775</v>
      </c>
      <c r="Y6" s="32" t="s">
        <v>776</v>
      </c>
      <c r="Z6" s="32" t="s">
        <v>760</v>
      </c>
      <c r="AA6" s="32" t="s">
        <v>764</v>
      </c>
      <c r="AB6" s="32" t="s">
        <v>765</v>
      </c>
      <c r="AC6" s="32" t="s">
        <v>766</v>
      </c>
      <c r="AD6" s="32" t="s">
        <v>767</v>
      </c>
      <c r="AE6" s="32" t="s">
        <v>768</v>
      </c>
      <c r="AF6" s="32" t="s">
        <v>769</v>
      </c>
      <c r="AG6" s="32" t="s">
        <v>770</v>
      </c>
      <c r="AH6" s="32" t="s">
        <v>772</v>
      </c>
    </row>
    <row r="7" spans="1:34" ht="81" x14ac:dyDescent="0.35">
      <c r="B7" s="287"/>
      <c r="C7" s="34" t="s">
        <v>382</v>
      </c>
      <c r="D7" s="34" t="s">
        <v>723</v>
      </c>
      <c r="E7" s="34" t="s">
        <v>382</v>
      </c>
      <c r="F7" s="34" t="s">
        <v>107</v>
      </c>
      <c r="G7" s="34" t="s">
        <v>728</v>
      </c>
      <c r="H7" s="34" t="s">
        <v>731</v>
      </c>
      <c r="I7" s="34" t="s">
        <v>107</v>
      </c>
      <c r="J7" s="34" t="s">
        <v>107</v>
      </c>
      <c r="K7" s="34"/>
      <c r="L7" s="34" t="s">
        <v>738</v>
      </c>
      <c r="M7" s="34" t="s">
        <v>992</v>
      </c>
      <c r="N7" s="34" t="s">
        <v>1020</v>
      </c>
      <c r="O7" s="34" t="s">
        <v>678</v>
      </c>
      <c r="P7" s="34"/>
      <c r="Q7" s="34" t="s">
        <v>678</v>
      </c>
      <c r="R7" s="34" t="s">
        <v>751</v>
      </c>
      <c r="S7" s="34" t="s">
        <v>1062</v>
      </c>
      <c r="T7" s="34" t="s">
        <v>1063</v>
      </c>
      <c r="U7" s="34" t="s">
        <v>1065</v>
      </c>
      <c r="V7" s="34" t="s">
        <v>1067</v>
      </c>
      <c r="W7" s="34" t="s">
        <v>678</v>
      </c>
      <c r="X7" s="34" t="s">
        <v>678</v>
      </c>
      <c r="Y7" s="34" t="s">
        <v>678</v>
      </c>
      <c r="Z7" s="34" t="s">
        <v>762</v>
      </c>
      <c r="AA7" s="34" t="s">
        <v>678</v>
      </c>
      <c r="AB7" s="34" t="s">
        <v>678</v>
      </c>
      <c r="AC7" s="34"/>
      <c r="AD7" s="34"/>
      <c r="AE7" s="34"/>
      <c r="AF7" s="34"/>
      <c r="AG7" s="34"/>
      <c r="AH7" s="34"/>
    </row>
    <row r="8" spans="1:34" x14ac:dyDescent="0.3">
      <c r="B8" s="136">
        <f t="shared" ref="B8:B17" si="0">ROW() - 7</f>
        <v>1</v>
      </c>
      <c r="C8" s="161"/>
      <c r="D8" s="161"/>
      <c r="E8" s="136"/>
      <c r="F8" s="158"/>
      <c r="G8" s="136"/>
      <c r="H8" s="136"/>
      <c r="I8" s="158"/>
      <c r="J8" s="158"/>
      <c r="K8" s="136"/>
      <c r="L8" s="136"/>
      <c r="M8" s="136"/>
      <c r="N8" s="136"/>
      <c r="O8" s="136"/>
      <c r="P8" s="136"/>
      <c r="Q8" s="136"/>
      <c r="R8" s="136"/>
      <c r="S8" s="136"/>
      <c r="T8" s="136"/>
      <c r="U8" s="136"/>
      <c r="V8" s="136"/>
      <c r="W8" s="136"/>
      <c r="X8" s="136"/>
      <c r="Y8" s="136"/>
      <c r="Z8" s="136"/>
      <c r="AA8" s="136"/>
      <c r="AB8" s="136"/>
      <c r="AC8" s="136"/>
      <c r="AD8" s="136"/>
      <c r="AE8" s="136"/>
      <c r="AF8" s="136"/>
      <c r="AG8" s="136"/>
      <c r="AH8" s="136"/>
    </row>
    <row r="9" spans="1:34" x14ac:dyDescent="0.3">
      <c r="B9" s="136">
        <f t="shared" si="0"/>
        <v>2</v>
      </c>
      <c r="C9" s="161"/>
      <c r="D9" s="161"/>
      <c r="E9" s="136"/>
      <c r="F9" s="158"/>
      <c r="G9" s="136"/>
      <c r="H9" s="136"/>
      <c r="I9" s="158"/>
      <c r="J9" s="158"/>
      <c r="K9" s="136"/>
      <c r="L9" s="136"/>
      <c r="M9" s="136"/>
      <c r="N9" s="136"/>
      <c r="O9" s="136"/>
      <c r="P9" s="136"/>
      <c r="Q9" s="136"/>
      <c r="R9" s="136"/>
      <c r="S9" s="136"/>
      <c r="T9" s="136"/>
      <c r="U9" s="136"/>
      <c r="V9" s="136"/>
      <c r="W9" s="136"/>
      <c r="X9" s="136"/>
      <c r="Y9" s="136"/>
      <c r="Z9" s="136"/>
      <c r="AA9" s="136"/>
      <c r="AB9" s="136"/>
      <c r="AC9" s="136"/>
      <c r="AD9" s="136"/>
      <c r="AE9" s="136"/>
      <c r="AF9" s="136"/>
      <c r="AG9" s="136"/>
      <c r="AH9" s="136"/>
    </row>
    <row r="10" spans="1:34" x14ac:dyDescent="0.3">
      <c r="B10" s="136">
        <f t="shared" si="0"/>
        <v>3</v>
      </c>
      <c r="C10" s="161"/>
      <c r="D10" s="161"/>
      <c r="E10" s="136"/>
      <c r="F10" s="158"/>
      <c r="G10" s="136"/>
      <c r="H10" s="136"/>
      <c r="I10" s="158"/>
      <c r="J10" s="158"/>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row>
    <row r="11" spans="1:34" x14ac:dyDescent="0.3">
      <c r="B11" s="136">
        <f t="shared" si="0"/>
        <v>4</v>
      </c>
      <c r="C11" s="161"/>
      <c r="D11" s="161"/>
      <c r="E11" s="136"/>
      <c r="F11" s="158"/>
      <c r="G11" s="136"/>
      <c r="H11" s="136"/>
      <c r="I11" s="158"/>
      <c r="J11" s="158"/>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row>
    <row r="12" spans="1:34" x14ac:dyDescent="0.3">
      <c r="B12" s="136">
        <f t="shared" si="0"/>
        <v>5</v>
      </c>
      <c r="C12" s="161"/>
      <c r="D12" s="161"/>
      <c r="E12" s="136"/>
      <c r="F12" s="158"/>
      <c r="G12" s="136"/>
      <c r="H12" s="136"/>
      <c r="I12" s="158"/>
      <c r="J12" s="158"/>
      <c r="K12" s="136"/>
      <c r="L12" s="136"/>
      <c r="M12" s="136"/>
      <c r="N12" s="136"/>
      <c r="O12" s="136"/>
      <c r="P12" s="136"/>
      <c r="Q12" s="136"/>
      <c r="R12" s="136"/>
      <c r="S12" s="136"/>
      <c r="T12" s="136"/>
      <c r="U12" s="136"/>
      <c r="V12" s="136"/>
      <c r="W12" s="136"/>
      <c r="X12" s="136"/>
      <c r="Y12" s="136"/>
      <c r="Z12" s="136"/>
      <c r="AA12" s="136"/>
      <c r="AB12" s="136"/>
      <c r="AC12" s="136"/>
      <c r="AD12" s="136"/>
      <c r="AE12" s="136"/>
      <c r="AF12" s="136"/>
      <c r="AG12" s="136"/>
      <c r="AH12" s="136"/>
    </row>
    <row r="13" spans="1:34" x14ac:dyDescent="0.3">
      <c r="B13" s="136">
        <f t="shared" si="0"/>
        <v>6</v>
      </c>
      <c r="C13" s="136"/>
      <c r="D13" s="136"/>
      <c r="E13" s="136"/>
      <c r="F13" s="136"/>
      <c r="G13" s="136"/>
      <c r="H13" s="136"/>
      <c r="I13" s="136"/>
      <c r="J13" s="136"/>
      <c r="K13" s="136"/>
      <c r="L13" s="136"/>
      <c r="M13" s="151"/>
      <c r="N13" s="136"/>
      <c r="O13" s="136"/>
      <c r="P13" s="136"/>
      <c r="Q13" s="136"/>
      <c r="R13" s="136"/>
      <c r="S13" s="136"/>
      <c r="T13" s="136"/>
      <c r="U13" s="136"/>
      <c r="V13" s="136"/>
      <c r="W13" s="136"/>
      <c r="X13" s="136"/>
      <c r="Y13" s="136"/>
      <c r="Z13" s="136"/>
      <c r="AA13" s="136"/>
      <c r="AB13" s="136"/>
      <c r="AC13" s="136"/>
      <c r="AD13" s="136"/>
      <c r="AE13" s="136"/>
      <c r="AF13" s="136"/>
      <c r="AG13" s="136"/>
      <c r="AH13" s="136"/>
    </row>
    <row r="14" spans="1:34" x14ac:dyDescent="0.3">
      <c r="B14" s="136">
        <f t="shared" si="0"/>
        <v>7</v>
      </c>
      <c r="C14" s="136"/>
      <c r="D14" s="136"/>
      <c r="E14" s="136"/>
      <c r="F14" s="136"/>
      <c r="G14" s="136"/>
      <c r="H14" s="136"/>
      <c r="I14" s="136"/>
      <c r="J14" s="136"/>
      <c r="K14" s="136"/>
      <c r="L14" s="136"/>
      <c r="M14" s="151"/>
      <c r="N14" s="136"/>
      <c r="O14" s="136"/>
      <c r="P14" s="136"/>
      <c r="Q14" s="136"/>
      <c r="R14" s="136"/>
      <c r="S14" s="136"/>
      <c r="T14" s="136"/>
      <c r="U14" s="136"/>
      <c r="V14" s="136"/>
      <c r="W14" s="136"/>
      <c r="X14" s="136"/>
      <c r="Y14" s="136"/>
      <c r="Z14" s="136"/>
      <c r="AA14" s="136"/>
      <c r="AB14" s="136"/>
      <c r="AC14" s="136"/>
      <c r="AD14" s="136"/>
      <c r="AE14" s="136"/>
      <c r="AF14" s="136"/>
      <c r="AG14" s="136"/>
      <c r="AH14" s="136"/>
    </row>
    <row r="15" spans="1:34" x14ac:dyDescent="0.3">
      <c r="B15" s="136">
        <f t="shared" si="0"/>
        <v>8</v>
      </c>
      <c r="C15" s="136"/>
      <c r="D15" s="136"/>
      <c r="E15" s="136"/>
      <c r="F15" s="136"/>
      <c r="G15" s="136"/>
      <c r="H15" s="136"/>
      <c r="I15" s="136"/>
      <c r="J15" s="136"/>
      <c r="K15" s="136"/>
      <c r="L15" s="136"/>
      <c r="M15" s="151"/>
      <c r="N15" s="136"/>
      <c r="O15" s="136"/>
      <c r="P15" s="136"/>
      <c r="Q15" s="136"/>
      <c r="R15" s="136"/>
      <c r="S15" s="136"/>
      <c r="T15" s="136"/>
      <c r="U15" s="136"/>
      <c r="V15" s="136"/>
      <c r="W15" s="136"/>
      <c r="X15" s="136"/>
      <c r="Y15" s="136"/>
      <c r="Z15" s="136"/>
      <c r="AA15" s="136"/>
      <c r="AB15" s="136"/>
      <c r="AC15" s="136"/>
      <c r="AD15" s="136"/>
      <c r="AE15" s="136"/>
      <c r="AF15" s="136"/>
      <c r="AG15" s="136"/>
      <c r="AH15" s="136"/>
    </row>
    <row r="16" spans="1:34" x14ac:dyDescent="0.3">
      <c r="B16" s="136">
        <f t="shared" si="0"/>
        <v>9</v>
      </c>
      <c r="C16" s="136"/>
      <c r="D16" s="136"/>
      <c r="E16" s="136"/>
      <c r="F16" s="136"/>
      <c r="G16" s="136"/>
      <c r="H16" s="136"/>
      <c r="I16" s="136"/>
      <c r="J16" s="136"/>
      <c r="K16" s="136"/>
      <c r="L16" s="136"/>
      <c r="M16" s="151"/>
      <c r="N16" s="136"/>
      <c r="O16" s="136"/>
      <c r="P16" s="136"/>
      <c r="Q16" s="136"/>
      <c r="R16" s="136"/>
      <c r="S16" s="136"/>
      <c r="T16" s="136"/>
      <c r="U16" s="136"/>
      <c r="V16" s="136"/>
      <c r="W16" s="136"/>
      <c r="X16" s="136"/>
      <c r="Y16" s="136"/>
      <c r="Z16" s="136"/>
      <c r="AA16" s="136"/>
      <c r="AB16" s="136"/>
      <c r="AC16" s="136"/>
      <c r="AD16" s="136"/>
      <c r="AE16" s="136"/>
      <c r="AF16" s="136"/>
      <c r="AG16" s="136"/>
      <c r="AH16" s="136"/>
    </row>
    <row r="17" spans="2:34" x14ac:dyDescent="0.3">
      <c r="B17" s="136">
        <f t="shared" si="0"/>
        <v>10</v>
      </c>
      <c r="C17" s="136"/>
      <c r="D17" s="136"/>
      <c r="E17" s="136"/>
      <c r="F17" s="136"/>
      <c r="G17" s="136"/>
      <c r="H17" s="136"/>
      <c r="I17" s="136"/>
      <c r="J17" s="136"/>
      <c r="K17" s="136"/>
      <c r="L17" s="136"/>
      <c r="M17" s="151"/>
      <c r="N17" s="136"/>
      <c r="O17" s="136"/>
      <c r="P17" s="136"/>
      <c r="Q17" s="136"/>
      <c r="R17" s="136"/>
      <c r="S17" s="136"/>
      <c r="T17" s="136"/>
      <c r="U17" s="136"/>
      <c r="V17" s="136"/>
      <c r="W17" s="136"/>
      <c r="X17" s="136"/>
      <c r="Y17" s="136"/>
      <c r="Z17" s="136"/>
      <c r="AA17" s="136"/>
      <c r="AB17" s="136"/>
      <c r="AC17" s="136"/>
      <c r="AD17" s="136"/>
      <c r="AE17" s="136"/>
      <c r="AF17" s="136"/>
      <c r="AG17" s="136"/>
      <c r="AH17" s="136"/>
    </row>
  </sheetData>
  <sheetProtection insertRows="0" deleteRows="0" sort="0" autoFilter="0"/>
  <mergeCells count="2">
    <mergeCell ref="B4:B7"/>
    <mergeCell ref="C4:D4"/>
  </mergeCells>
  <phoneticPr fontId="13"/>
  <hyperlinks>
    <hyperlink ref="A3" location="パラメータ設定一覧!A1" display="パラメータ設定一覧へ" xr:uid="{505E55D3-3AE7-4E5E-8A74-B50C55E207E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0CB0-817B-4580-A74E-10FDF212C2D7}">
  <sheetPr>
    <pageSetUpPr fitToPage="1"/>
  </sheetPr>
  <dimension ref="A1:K276"/>
  <sheetViews>
    <sheetView showGridLines="0" zoomScaleNormal="100" zoomScaleSheetLayoutView="70" workbookViewId="0">
      <pane xSplit="3" ySplit="6" topLeftCell="D7" activePane="bottomRight" state="frozen"/>
      <selection pane="topRight" activeCell="D1" sqref="D1"/>
      <selection pane="bottomLeft" activeCell="A7" sqref="A7"/>
      <selection pane="bottomRight" activeCell="D7" sqref="D7"/>
    </sheetView>
  </sheetViews>
  <sheetFormatPr defaultColWidth="8.78515625" defaultRowHeight="13.5" x14ac:dyDescent="0.35"/>
  <cols>
    <col min="1" max="1" width="2.78515625" style="87" customWidth="1"/>
    <col min="2" max="2" width="3.5703125" style="87" bestFit="1" customWidth="1"/>
    <col min="3" max="3" width="17.2109375" style="87" customWidth="1"/>
    <col min="4" max="4" width="28.42578125" style="87" bestFit="1" customWidth="1"/>
    <col min="5" max="5" width="28.2109375" style="87" customWidth="1"/>
    <col min="6" max="6" width="22.2109375" style="87" bestFit="1" customWidth="1"/>
    <col min="7" max="7" width="19.78515625" style="87" customWidth="1"/>
    <col min="8" max="8" width="20.5703125" style="87" customWidth="1"/>
    <col min="9" max="11" width="19.78515625" style="87" customWidth="1"/>
    <col min="12" max="16384" width="8.78515625" style="87"/>
  </cols>
  <sheetData>
    <row r="1" spans="1:11" customFormat="1" ht="19.5" x14ac:dyDescent="0.35">
      <c r="A1" s="108" t="s">
        <v>1068</v>
      </c>
    </row>
    <row r="2" spans="1:11" customFormat="1" ht="15" x14ac:dyDescent="0.35"/>
    <row r="3" spans="1:11" customFormat="1" ht="15" x14ac:dyDescent="0.35">
      <c r="A3" s="36" t="s">
        <v>1104</v>
      </c>
    </row>
    <row r="4" spans="1:11" x14ac:dyDescent="0.35">
      <c r="B4" s="295" t="s">
        <v>24</v>
      </c>
      <c r="C4" s="109" t="s">
        <v>520</v>
      </c>
      <c r="D4" s="129" t="s">
        <v>1069</v>
      </c>
      <c r="E4" s="129"/>
      <c r="F4" s="194" t="s">
        <v>1070</v>
      </c>
      <c r="G4" s="129"/>
      <c r="H4" s="194" t="s">
        <v>1071</v>
      </c>
      <c r="I4" s="129"/>
      <c r="J4" s="194" t="s">
        <v>936</v>
      </c>
      <c r="K4" s="8"/>
    </row>
    <row r="5" spans="1:11" x14ac:dyDescent="0.35">
      <c r="B5" s="296"/>
      <c r="C5" s="110" t="s">
        <v>520</v>
      </c>
      <c r="D5" s="23" t="s">
        <v>511</v>
      </c>
      <c r="E5" s="111" t="s">
        <v>512</v>
      </c>
      <c r="F5" s="112" t="s">
        <v>511</v>
      </c>
      <c r="G5" s="111" t="s">
        <v>512</v>
      </c>
      <c r="H5" s="112" t="s">
        <v>511</v>
      </c>
      <c r="I5" s="111" t="s">
        <v>512</v>
      </c>
      <c r="J5" s="112" t="s">
        <v>511</v>
      </c>
      <c r="K5" s="32" t="s">
        <v>512</v>
      </c>
    </row>
    <row r="6" spans="1:11" x14ac:dyDescent="0.35">
      <c r="B6" s="297"/>
      <c r="C6" s="113" t="s">
        <v>382</v>
      </c>
      <c r="D6" s="114" t="s">
        <v>1072</v>
      </c>
      <c r="E6" s="115" t="s">
        <v>1072</v>
      </c>
      <c r="F6" s="116" t="s">
        <v>1072</v>
      </c>
      <c r="G6" s="115" t="s">
        <v>1072</v>
      </c>
      <c r="H6" s="116" t="s">
        <v>1072</v>
      </c>
      <c r="I6" s="115" t="s">
        <v>1072</v>
      </c>
      <c r="J6" s="116" t="s">
        <v>1072</v>
      </c>
      <c r="K6" s="34" t="s">
        <v>1072</v>
      </c>
    </row>
    <row r="7" spans="1:11" x14ac:dyDescent="0.3">
      <c r="B7" s="292">
        <f>ROW() - 6</f>
        <v>1</v>
      </c>
      <c r="C7" s="166"/>
      <c r="D7" s="167" t="s">
        <v>1073</v>
      </c>
      <c r="E7" s="168"/>
      <c r="F7" s="169" t="s">
        <v>1074</v>
      </c>
      <c r="G7" s="170" t="s">
        <v>1075</v>
      </c>
      <c r="H7" s="167" t="s">
        <v>1076</v>
      </c>
      <c r="I7" s="168"/>
      <c r="J7" s="167"/>
      <c r="K7" s="136"/>
    </row>
    <row r="8" spans="1:11" ht="27" x14ac:dyDescent="0.3">
      <c r="B8" s="293"/>
      <c r="C8" s="171"/>
      <c r="D8" s="172" t="s">
        <v>1077</v>
      </c>
      <c r="E8" s="168"/>
      <c r="F8" s="169" t="s">
        <v>1078</v>
      </c>
      <c r="G8" s="170"/>
      <c r="H8" s="173" t="s">
        <v>1079</v>
      </c>
      <c r="I8" s="168"/>
      <c r="J8" s="167"/>
      <c r="K8" s="136"/>
    </row>
    <row r="9" spans="1:11" x14ac:dyDescent="0.3">
      <c r="B9" s="293"/>
      <c r="C9" s="171"/>
      <c r="D9" s="172" t="s">
        <v>1080</v>
      </c>
      <c r="E9" s="168"/>
      <c r="F9" s="169" t="s">
        <v>1081</v>
      </c>
      <c r="G9" s="170"/>
      <c r="H9" s="173" t="s">
        <v>1082</v>
      </c>
      <c r="I9" s="168"/>
      <c r="J9" s="167"/>
      <c r="K9" s="136"/>
    </row>
    <row r="10" spans="1:11" x14ac:dyDescent="0.3">
      <c r="B10" s="293"/>
      <c r="C10" s="171"/>
      <c r="D10" s="172" t="s">
        <v>1082</v>
      </c>
      <c r="E10" s="168"/>
      <c r="F10" s="174"/>
      <c r="G10" s="175"/>
      <c r="H10" s="174"/>
      <c r="I10" s="175"/>
      <c r="J10" s="167"/>
      <c r="K10" s="136"/>
    </row>
    <row r="11" spans="1:11" x14ac:dyDescent="0.3">
      <c r="B11" s="293"/>
      <c r="C11" s="171"/>
      <c r="D11" s="172" t="s">
        <v>1083</v>
      </c>
      <c r="E11" s="168"/>
      <c r="F11" s="176"/>
      <c r="G11" s="177"/>
      <c r="H11" s="176"/>
      <c r="I11" s="177"/>
      <c r="J11" s="167"/>
      <c r="K11" s="136"/>
    </row>
    <row r="12" spans="1:11" x14ac:dyDescent="0.3">
      <c r="B12" s="293"/>
      <c r="C12" s="171"/>
      <c r="D12" s="172" t="s">
        <v>1084</v>
      </c>
      <c r="E12" s="168"/>
      <c r="F12" s="176"/>
      <c r="G12" s="177"/>
      <c r="H12" s="176"/>
      <c r="I12" s="177"/>
      <c r="J12" s="167"/>
      <c r="K12" s="136"/>
    </row>
    <row r="13" spans="1:11" x14ac:dyDescent="0.3">
      <c r="B13" s="293"/>
      <c r="C13" s="171"/>
      <c r="D13" s="172" t="s">
        <v>1085</v>
      </c>
      <c r="E13" s="168"/>
      <c r="F13" s="176"/>
      <c r="G13" s="177"/>
      <c r="H13" s="176"/>
      <c r="I13" s="177"/>
      <c r="J13" s="167"/>
      <c r="K13" s="136"/>
    </row>
    <row r="14" spans="1:11" x14ac:dyDescent="0.3">
      <c r="B14" s="293"/>
      <c r="C14" s="171"/>
      <c r="D14" s="172" t="s">
        <v>1086</v>
      </c>
      <c r="E14" s="168"/>
      <c r="F14" s="176"/>
      <c r="G14" s="177"/>
      <c r="H14" s="176"/>
      <c r="I14" s="177"/>
      <c r="J14" s="167"/>
      <c r="K14" s="136"/>
    </row>
    <row r="15" spans="1:11" ht="27" x14ac:dyDescent="0.3">
      <c r="B15" s="293"/>
      <c r="C15" s="171"/>
      <c r="D15" s="178" t="s">
        <v>1087</v>
      </c>
      <c r="E15" s="168"/>
      <c r="F15" s="176"/>
      <c r="G15" s="177"/>
      <c r="H15" s="176"/>
      <c r="I15" s="177"/>
      <c r="J15" s="167"/>
      <c r="K15" s="136"/>
    </row>
    <row r="16" spans="1:11" ht="14" thickBot="1" x14ac:dyDescent="0.35">
      <c r="B16" s="294"/>
      <c r="C16" s="179"/>
      <c r="D16" s="180" t="s">
        <v>1088</v>
      </c>
      <c r="E16" s="181"/>
      <c r="F16" s="182"/>
      <c r="G16" s="183"/>
      <c r="H16" s="182"/>
      <c r="I16" s="183"/>
      <c r="J16" s="184"/>
      <c r="K16" s="185"/>
    </row>
    <row r="17" spans="2:11" x14ac:dyDescent="0.3">
      <c r="B17" s="292">
        <f>B7+1</f>
        <v>2</v>
      </c>
      <c r="C17" s="186"/>
      <c r="D17" s="187" t="s">
        <v>1073</v>
      </c>
      <c r="E17" s="188"/>
      <c r="F17" s="167" t="s">
        <v>1089</v>
      </c>
      <c r="G17" s="168" t="s">
        <v>1075</v>
      </c>
      <c r="H17" s="167" t="s">
        <v>1076</v>
      </c>
      <c r="I17" s="168"/>
      <c r="J17" s="189"/>
      <c r="K17" s="190"/>
    </row>
    <row r="18" spans="2:11" ht="27" x14ac:dyDescent="0.3">
      <c r="B18" s="293"/>
      <c r="C18" s="171"/>
      <c r="D18" s="172" t="s">
        <v>1077</v>
      </c>
      <c r="E18" s="168"/>
      <c r="F18" s="167" t="s">
        <v>1078</v>
      </c>
      <c r="G18" s="168"/>
      <c r="H18" s="173" t="s">
        <v>1079</v>
      </c>
      <c r="I18" s="168"/>
      <c r="J18" s="167"/>
      <c r="K18" s="136"/>
    </row>
    <row r="19" spans="2:11" x14ac:dyDescent="0.3">
      <c r="B19" s="293"/>
      <c r="C19" s="171"/>
      <c r="D19" s="172" t="s">
        <v>1080</v>
      </c>
      <c r="E19" s="168"/>
      <c r="F19" s="167" t="s">
        <v>1081</v>
      </c>
      <c r="G19" s="168"/>
      <c r="H19" s="173" t="s">
        <v>1082</v>
      </c>
      <c r="I19" s="168"/>
      <c r="J19" s="167"/>
      <c r="K19" s="136"/>
    </row>
    <row r="20" spans="2:11" x14ac:dyDescent="0.3">
      <c r="B20" s="293"/>
      <c r="C20" s="171"/>
      <c r="D20" s="172" t="s">
        <v>1082</v>
      </c>
      <c r="E20" s="168"/>
      <c r="F20" s="174"/>
      <c r="G20" s="175"/>
      <c r="H20" s="174"/>
      <c r="I20" s="175"/>
      <c r="J20" s="167"/>
      <c r="K20" s="136"/>
    </row>
    <row r="21" spans="2:11" x14ac:dyDescent="0.3">
      <c r="B21" s="293"/>
      <c r="C21" s="171"/>
      <c r="D21" s="172" t="s">
        <v>1083</v>
      </c>
      <c r="E21" s="168"/>
      <c r="F21" s="176"/>
      <c r="G21" s="177"/>
      <c r="H21" s="176"/>
      <c r="I21" s="177"/>
      <c r="J21" s="167"/>
      <c r="K21" s="136"/>
    </row>
    <row r="22" spans="2:11" x14ac:dyDescent="0.3">
      <c r="B22" s="293"/>
      <c r="C22" s="171"/>
      <c r="D22" s="172" t="s">
        <v>1084</v>
      </c>
      <c r="E22" s="168"/>
      <c r="F22" s="176"/>
      <c r="G22" s="177"/>
      <c r="H22" s="176"/>
      <c r="I22" s="177"/>
      <c r="J22" s="167"/>
      <c r="K22" s="136"/>
    </row>
    <row r="23" spans="2:11" x14ac:dyDescent="0.3">
      <c r="B23" s="293"/>
      <c r="C23" s="171"/>
      <c r="D23" s="172" t="s">
        <v>1085</v>
      </c>
      <c r="E23" s="168"/>
      <c r="F23" s="176"/>
      <c r="G23" s="177"/>
      <c r="H23" s="176"/>
      <c r="I23" s="177"/>
      <c r="J23" s="167"/>
      <c r="K23" s="136"/>
    </row>
    <row r="24" spans="2:11" x14ac:dyDescent="0.3">
      <c r="B24" s="293"/>
      <c r="C24" s="171"/>
      <c r="D24" s="172" t="s">
        <v>1086</v>
      </c>
      <c r="E24" s="168"/>
      <c r="F24" s="176"/>
      <c r="G24" s="177"/>
      <c r="H24" s="176"/>
      <c r="I24" s="177"/>
      <c r="J24" s="167"/>
      <c r="K24" s="136"/>
    </row>
    <row r="25" spans="2:11" ht="27" x14ac:dyDescent="0.3">
      <c r="B25" s="293"/>
      <c r="C25" s="171"/>
      <c r="D25" s="178" t="s">
        <v>1087</v>
      </c>
      <c r="E25" s="168"/>
      <c r="F25" s="176"/>
      <c r="G25" s="177"/>
      <c r="H25" s="176"/>
      <c r="I25" s="177"/>
      <c r="J25" s="167"/>
      <c r="K25" s="136"/>
    </row>
    <row r="26" spans="2:11" ht="14" thickBot="1" x14ac:dyDescent="0.35">
      <c r="B26" s="294"/>
      <c r="C26" s="179"/>
      <c r="D26" s="184" t="s">
        <v>1088</v>
      </c>
      <c r="E26" s="181"/>
      <c r="F26" s="182"/>
      <c r="G26" s="183"/>
      <c r="H26" s="182"/>
      <c r="I26" s="183"/>
      <c r="J26" s="184"/>
      <c r="K26" s="185"/>
    </row>
    <row r="27" spans="2:11" x14ac:dyDescent="0.3">
      <c r="B27" s="292">
        <f t="shared" ref="B27" si="0">B17+1</f>
        <v>3</v>
      </c>
      <c r="C27" s="191"/>
      <c r="D27" s="187" t="s">
        <v>1073</v>
      </c>
      <c r="E27" s="188"/>
      <c r="F27" s="167" t="s">
        <v>1089</v>
      </c>
      <c r="G27" s="168" t="s">
        <v>1075</v>
      </c>
      <c r="H27" s="167" t="s">
        <v>1076</v>
      </c>
      <c r="I27" s="168"/>
      <c r="J27" s="189"/>
      <c r="K27" s="190"/>
    </row>
    <row r="28" spans="2:11" ht="27" x14ac:dyDescent="0.3">
      <c r="B28" s="293"/>
      <c r="C28" s="171"/>
      <c r="D28" s="172" t="s">
        <v>1077</v>
      </c>
      <c r="E28" s="168"/>
      <c r="F28" s="167" t="s">
        <v>1078</v>
      </c>
      <c r="G28" s="168"/>
      <c r="H28" s="173" t="s">
        <v>1079</v>
      </c>
      <c r="I28" s="168"/>
      <c r="J28" s="167"/>
      <c r="K28" s="136"/>
    </row>
    <row r="29" spans="2:11" x14ac:dyDescent="0.3">
      <c r="B29" s="293"/>
      <c r="C29" s="171"/>
      <c r="D29" s="172" t="s">
        <v>1080</v>
      </c>
      <c r="E29" s="168"/>
      <c r="F29" s="167" t="s">
        <v>1081</v>
      </c>
      <c r="G29" s="168"/>
      <c r="H29" s="173" t="s">
        <v>1082</v>
      </c>
      <c r="I29" s="168"/>
      <c r="J29" s="167"/>
      <c r="K29" s="136"/>
    </row>
    <row r="30" spans="2:11" x14ac:dyDescent="0.3">
      <c r="B30" s="293"/>
      <c r="C30" s="171"/>
      <c r="D30" s="172" t="s">
        <v>1082</v>
      </c>
      <c r="E30" s="168"/>
      <c r="F30" s="174"/>
      <c r="G30" s="175"/>
      <c r="H30" s="174"/>
      <c r="I30" s="175"/>
      <c r="J30" s="167"/>
      <c r="K30" s="136"/>
    </row>
    <row r="31" spans="2:11" x14ac:dyDescent="0.3">
      <c r="B31" s="293"/>
      <c r="C31" s="171"/>
      <c r="D31" s="172" t="s">
        <v>1083</v>
      </c>
      <c r="E31" s="168"/>
      <c r="F31" s="176"/>
      <c r="G31" s="177"/>
      <c r="H31" s="176"/>
      <c r="I31" s="177"/>
      <c r="J31" s="167"/>
      <c r="K31" s="136"/>
    </row>
    <row r="32" spans="2:11" x14ac:dyDescent="0.3">
      <c r="B32" s="293"/>
      <c r="C32" s="171"/>
      <c r="D32" s="172" t="s">
        <v>1084</v>
      </c>
      <c r="E32" s="168"/>
      <c r="F32" s="176"/>
      <c r="G32" s="177"/>
      <c r="H32" s="176"/>
      <c r="I32" s="177"/>
      <c r="J32" s="167"/>
      <c r="K32" s="136"/>
    </row>
    <row r="33" spans="2:11" x14ac:dyDescent="0.3">
      <c r="B33" s="293"/>
      <c r="C33" s="171"/>
      <c r="D33" s="172" t="s">
        <v>1085</v>
      </c>
      <c r="E33" s="168"/>
      <c r="F33" s="176"/>
      <c r="G33" s="177"/>
      <c r="H33" s="176"/>
      <c r="I33" s="177"/>
      <c r="J33" s="167"/>
      <c r="K33" s="136"/>
    </row>
    <row r="34" spans="2:11" x14ac:dyDescent="0.3">
      <c r="B34" s="293"/>
      <c r="C34" s="171"/>
      <c r="D34" s="172" t="s">
        <v>1086</v>
      </c>
      <c r="E34" s="168"/>
      <c r="F34" s="176"/>
      <c r="G34" s="177"/>
      <c r="H34" s="176"/>
      <c r="I34" s="177"/>
      <c r="J34" s="167"/>
      <c r="K34" s="136"/>
    </row>
    <row r="35" spans="2:11" ht="27" x14ac:dyDescent="0.3">
      <c r="B35" s="293"/>
      <c r="C35" s="171"/>
      <c r="D35" s="178" t="s">
        <v>1087</v>
      </c>
      <c r="E35" s="168"/>
      <c r="F35" s="176"/>
      <c r="G35" s="177"/>
      <c r="H35" s="176"/>
      <c r="I35" s="177"/>
      <c r="J35" s="167"/>
      <c r="K35" s="136"/>
    </row>
    <row r="36" spans="2:11" ht="14" thickBot="1" x14ac:dyDescent="0.35">
      <c r="B36" s="294"/>
      <c r="C36" s="179"/>
      <c r="D36" s="172" t="s">
        <v>1088</v>
      </c>
      <c r="E36" s="168"/>
      <c r="F36" s="182"/>
      <c r="G36" s="183"/>
      <c r="H36" s="182"/>
      <c r="I36" s="183"/>
      <c r="J36" s="167"/>
      <c r="K36" s="136"/>
    </row>
    <row r="37" spans="2:11" x14ac:dyDescent="0.3">
      <c r="B37" s="292">
        <f t="shared" ref="B37" si="1">B27+1</f>
        <v>4</v>
      </c>
      <c r="C37" s="186"/>
      <c r="D37" s="172" t="s">
        <v>1073</v>
      </c>
      <c r="E37" s="168"/>
      <c r="F37" s="167" t="s">
        <v>1089</v>
      </c>
      <c r="G37" s="168" t="s">
        <v>1075</v>
      </c>
      <c r="H37" s="167" t="s">
        <v>1076</v>
      </c>
      <c r="I37" s="168"/>
      <c r="J37" s="167"/>
      <c r="K37" s="136"/>
    </row>
    <row r="38" spans="2:11" ht="27" x14ac:dyDescent="0.3">
      <c r="B38" s="293"/>
      <c r="C38" s="171"/>
      <c r="D38" s="172" t="s">
        <v>1077</v>
      </c>
      <c r="E38" s="168"/>
      <c r="F38" s="167" t="s">
        <v>1078</v>
      </c>
      <c r="G38" s="168"/>
      <c r="H38" s="173" t="s">
        <v>1079</v>
      </c>
      <c r="I38" s="168"/>
      <c r="J38" s="167"/>
      <c r="K38" s="136"/>
    </row>
    <row r="39" spans="2:11" x14ac:dyDescent="0.3">
      <c r="B39" s="293"/>
      <c r="C39" s="171"/>
      <c r="D39" s="172" t="s">
        <v>1080</v>
      </c>
      <c r="E39" s="168"/>
      <c r="F39" s="167" t="s">
        <v>1081</v>
      </c>
      <c r="G39" s="168"/>
      <c r="H39" s="173" t="s">
        <v>1082</v>
      </c>
      <c r="I39" s="168"/>
      <c r="J39" s="167"/>
      <c r="K39" s="136"/>
    </row>
    <row r="40" spans="2:11" x14ac:dyDescent="0.3">
      <c r="B40" s="293"/>
      <c r="C40" s="171"/>
      <c r="D40" s="172" t="s">
        <v>1082</v>
      </c>
      <c r="E40" s="168"/>
      <c r="F40" s="174"/>
      <c r="G40" s="175"/>
      <c r="H40" s="174"/>
      <c r="I40" s="175"/>
      <c r="J40" s="167"/>
      <c r="K40" s="136"/>
    </row>
    <row r="41" spans="2:11" x14ac:dyDescent="0.3">
      <c r="B41" s="293"/>
      <c r="C41" s="171"/>
      <c r="D41" s="172" t="s">
        <v>1083</v>
      </c>
      <c r="E41" s="168"/>
      <c r="F41" s="176"/>
      <c r="G41" s="177"/>
      <c r="H41" s="176"/>
      <c r="I41" s="177"/>
      <c r="J41" s="167"/>
      <c r="K41" s="136"/>
    </row>
    <row r="42" spans="2:11" x14ac:dyDescent="0.3">
      <c r="B42" s="293"/>
      <c r="C42" s="171"/>
      <c r="D42" s="172" t="s">
        <v>1084</v>
      </c>
      <c r="E42" s="168"/>
      <c r="F42" s="176"/>
      <c r="G42" s="177"/>
      <c r="H42" s="176"/>
      <c r="I42" s="177"/>
      <c r="J42" s="167"/>
      <c r="K42" s="136"/>
    </row>
    <row r="43" spans="2:11" x14ac:dyDescent="0.3">
      <c r="B43" s="293"/>
      <c r="C43" s="171"/>
      <c r="D43" s="172" t="s">
        <v>1085</v>
      </c>
      <c r="E43" s="168"/>
      <c r="F43" s="176"/>
      <c r="G43" s="177"/>
      <c r="H43" s="176"/>
      <c r="I43" s="177"/>
      <c r="J43" s="167"/>
      <c r="K43" s="136"/>
    </row>
    <row r="44" spans="2:11" x14ac:dyDescent="0.3">
      <c r="B44" s="293"/>
      <c r="C44" s="171"/>
      <c r="D44" s="172" t="s">
        <v>1086</v>
      </c>
      <c r="E44" s="168"/>
      <c r="F44" s="176"/>
      <c r="G44" s="177"/>
      <c r="H44" s="176"/>
      <c r="I44" s="177"/>
      <c r="J44" s="167"/>
      <c r="K44" s="136"/>
    </row>
    <row r="45" spans="2:11" ht="27" x14ac:dyDescent="0.3">
      <c r="B45" s="293"/>
      <c r="C45" s="171"/>
      <c r="D45" s="178" t="s">
        <v>1087</v>
      </c>
      <c r="E45" s="168"/>
      <c r="F45" s="176"/>
      <c r="G45" s="177"/>
      <c r="H45" s="176"/>
      <c r="I45" s="177"/>
      <c r="J45" s="167"/>
      <c r="K45" s="136"/>
    </row>
    <row r="46" spans="2:11" ht="14" thickBot="1" x14ac:dyDescent="0.35">
      <c r="B46" s="294"/>
      <c r="C46" s="179"/>
      <c r="D46" s="180" t="s">
        <v>1088</v>
      </c>
      <c r="E46" s="181"/>
      <c r="F46" s="182"/>
      <c r="G46" s="183"/>
      <c r="H46" s="182"/>
      <c r="I46" s="183"/>
      <c r="J46" s="184"/>
      <c r="K46" s="185"/>
    </row>
    <row r="47" spans="2:11" x14ac:dyDescent="0.3">
      <c r="B47" s="292">
        <f t="shared" ref="B47" si="2">B37+1</f>
        <v>5</v>
      </c>
      <c r="C47" s="186"/>
      <c r="D47" s="187" t="s">
        <v>1073</v>
      </c>
      <c r="E47" s="188"/>
      <c r="F47" s="167" t="s">
        <v>1089</v>
      </c>
      <c r="G47" s="168" t="s">
        <v>1075</v>
      </c>
      <c r="H47" s="167" t="s">
        <v>1076</v>
      </c>
      <c r="I47" s="168"/>
      <c r="J47" s="189"/>
      <c r="K47" s="190"/>
    </row>
    <row r="48" spans="2:11" ht="27" x14ac:dyDescent="0.3">
      <c r="B48" s="293"/>
      <c r="C48" s="171"/>
      <c r="D48" s="172" t="s">
        <v>1077</v>
      </c>
      <c r="E48" s="168"/>
      <c r="F48" s="167" t="s">
        <v>1078</v>
      </c>
      <c r="G48" s="168"/>
      <c r="H48" s="173" t="s">
        <v>1079</v>
      </c>
      <c r="I48" s="168"/>
      <c r="J48" s="167"/>
      <c r="K48" s="136"/>
    </row>
    <row r="49" spans="2:11" x14ac:dyDescent="0.3">
      <c r="B49" s="293"/>
      <c r="C49" s="171"/>
      <c r="D49" s="172" t="s">
        <v>1080</v>
      </c>
      <c r="E49" s="168"/>
      <c r="F49" s="167" t="s">
        <v>1081</v>
      </c>
      <c r="G49" s="168"/>
      <c r="H49" s="173" t="s">
        <v>1082</v>
      </c>
      <c r="I49" s="168"/>
      <c r="J49" s="167"/>
      <c r="K49" s="136"/>
    </row>
    <row r="50" spans="2:11" x14ac:dyDescent="0.3">
      <c r="B50" s="293"/>
      <c r="C50" s="171"/>
      <c r="D50" s="172" t="s">
        <v>1082</v>
      </c>
      <c r="E50" s="168"/>
      <c r="F50" s="174"/>
      <c r="G50" s="175"/>
      <c r="H50" s="174"/>
      <c r="I50" s="175"/>
      <c r="J50" s="167"/>
      <c r="K50" s="136"/>
    </row>
    <row r="51" spans="2:11" x14ac:dyDescent="0.3">
      <c r="B51" s="293"/>
      <c r="C51" s="171"/>
      <c r="D51" s="172" t="s">
        <v>1083</v>
      </c>
      <c r="E51" s="168"/>
      <c r="F51" s="176"/>
      <c r="G51" s="177"/>
      <c r="H51" s="176"/>
      <c r="I51" s="177"/>
      <c r="J51" s="167"/>
      <c r="K51" s="136"/>
    </row>
    <row r="52" spans="2:11" x14ac:dyDescent="0.3">
      <c r="B52" s="293"/>
      <c r="C52" s="171"/>
      <c r="D52" s="172" t="s">
        <v>1084</v>
      </c>
      <c r="E52" s="168"/>
      <c r="F52" s="176"/>
      <c r="G52" s="177"/>
      <c r="H52" s="176"/>
      <c r="I52" s="177"/>
      <c r="J52" s="167"/>
      <c r="K52" s="136"/>
    </row>
    <row r="53" spans="2:11" x14ac:dyDescent="0.3">
      <c r="B53" s="293"/>
      <c r="C53" s="171"/>
      <c r="D53" s="172" t="s">
        <v>1085</v>
      </c>
      <c r="E53" s="168"/>
      <c r="F53" s="176"/>
      <c r="G53" s="177"/>
      <c r="H53" s="176"/>
      <c r="I53" s="177"/>
      <c r="J53" s="167"/>
      <c r="K53" s="136"/>
    </row>
    <row r="54" spans="2:11" x14ac:dyDescent="0.3">
      <c r="B54" s="293"/>
      <c r="C54" s="171"/>
      <c r="D54" s="172" t="s">
        <v>1086</v>
      </c>
      <c r="E54" s="168"/>
      <c r="F54" s="176"/>
      <c r="G54" s="177"/>
      <c r="H54" s="176"/>
      <c r="I54" s="177"/>
      <c r="J54" s="167"/>
      <c r="K54" s="136"/>
    </row>
    <row r="55" spans="2:11" ht="27" x14ac:dyDescent="0.3">
      <c r="B55" s="293"/>
      <c r="C55" s="171"/>
      <c r="D55" s="178" t="s">
        <v>1087</v>
      </c>
      <c r="E55" s="168"/>
      <c r="F55" s="176"/>
      <c r="G55" s="177"/>
      <c r="H55" s="176"/>
      <c r="I55" s="177"/>
      <c r="J55" s="167"/>
      <c r="K55" s="136"/>
    </row>
    <row r="56" spans="2:11" ht="14" thickBot="1" x14ac:dyDescent="0.35">
      <c r="B56" s="294"/>
      <c r="C56" s="179"/>
      <c r="D56" s="180" t="s">
        <v>1088</v>
      </c>
      <c r="E56" s="181"/>
      <c r="F56" s="182"/>
      <c r="G56" s="183"/>
      <c r="H56" s="182"/>
      <c r="I56" s="183"/>
      <c r="J56" s="184"/>
      <c r="K56" s="185"/>
    </row>
    <row r="57" spans="2:11" x14ac:dyDescent="0.3">
      <c r="B57" s="292">
        <f t="shared" ref="B57" si="3">B47+1</f>
        <v>6</v>
      </c>
      <c r="C57" s="186"/>
      <c r="D57" s="187" t="s">
        <v>1073</v>
      </c>
      <c r="E57" s="188"/>
      <c r="F57" s="167" t="s">
        <v>1089</v>
      </c>
      <c r="G57" s="168" t="s">
        <v>1075</v>
      </c>
      <c r="H57" s="167" t="s">
        <v>1076</v>
      </c>
      <c r="I57" s="168"/>
      <c r="J57" s="189"/>
      <c r="K57" s="190"/>
    </row>
    <row r="58" spans="2:11" ht="27" x14ac:dyDescent="0.3">
      <c r="B58" s="293"/>
      <c r="C58" s="171"/>
      <c r="D58" s="172" t="s">
        <v>1077</v>
      </c>
      <c r="E58" s="168"/>
      <c r="F58" s="167" t="s">
        <v>1078</v>
      </c>
      <c r="G58" s="168"/>
      <c r="H58" s="173" t="s">
        <v>1079</v>
      </c>
      <c r="I58" s="168"/>
      <c r="J58" s="167"/>
      <c r="K58" s="136"/>
    </row>
    <row r="59" spans="2:11" x14ac:dyDescent="0.3">
      <c r="B59" s="293"/>
      <c r="C59" s="171"/>
      <c r="D59" s="172" t="s">
        <v>1080</v>
      </c>
      <c r="E59" s="168"/>
      <c r="F59" s="167" t="s">
        <v>1081</v>
      </c>
      <c r="G59" s="168"/>
      <c r="H59" s="173" t="s">
        <v>1082</v>
      </c>
      <c r="I59" s="168"/>
      <c r="J59" s="167"/>
      <c r="K59" s="136"/>
    </row>
    <row r="60" spans="2:11" x14ac:dyDescent="0.3">
      <c r="B60" s="293"/>
      <c r="C60" s="171"/>
      <c r="D60" s="172" t="s">
        <v>1082</v>
      </c>
      <c r="E60" s="168"/>
      <c r="F60" s="174"/>
      <c r="G60" s="175"/>
      <c r="H60" s="174"/>
      <c r="I60" s="175"/>
      <c r="J60" s="167"/>
      <c r="K60" s="136"/>
    </row>
    <row r="61" spans="2:11" x14ac:dyDescent="0.3">
      <c r="B61" s="293"/>
      <c r="C61" s="171"/>
      <c r="D61" s="172" t="s">
        <v>1083</v>
      </c>
      <c r="E61" s="168"/>
      <c r="F61" s="176"/>
      <c r="G61" s="177"/>
      <c r="H61" s="176"/>
      <c r="I61" s="177"/>
      <c r="J61" s="167"/>
      <c r="K61" s="136"/>
    </row>
    <row r="62" spans="2:11" x14ac:dyDescent="0.3">
      <c r="B62" s="293"/>
      <c r="C62" s="171"/>
      <c r="D62" s="172" t="s">
        <v>1084</v>
      </c>
      <c r="E62" s="168"/>
      <c r="F62" s="176"/>
      <c r="G62" s="177"/>
      <c r="H62" s="176"/>
      <c r="I62" s="177"/>
      <c r="J62" s="167"/>
      <c r="K62" s="136"/>
    </row>
    <row r="63" spans="2:11" x14ac:dyDescent="0.3">
      <c r="B63" s="293"/>
      <c r="C63" s="171"/>
      <c r="D63" s="172" t="s">
        <v>1085</v>
      </c>
      <c r="E63" s="168"/>
      <c r="F63" s="176"/>
      <c r="G63" s="177"/>
      <c r="H63" s="176"/>
      <c r="I63" s="177"/>
      <c r="J63" s="167"/>
      <c r="K63" s="136"/>
    </row>
    <row r="64" spans="2:11" x14ac:dyDescent="0.3">
      <c r="B64" s="293"/>
      <c r="C64" s="171"/>
      <c r="D64" s="172" t="s">
        <v>1086</v>
      </c>
      <c r="E64" s="168"/>
      <c r="F64" s="176"/>
      <c r="G64" s="177"/>
      <c r="H64" s="176"/>
      <c r="I64" s="177"/>
      <c r="J64" s="167"/>
      <c r="K64" s="136"/>
    </row>
    <row r="65" spans="2:11" ht="27" x14ac:dyDescent="0.3">
      <c r="B65" s="293"/>
      <c r="C65" s="171"/>
      <c r="D65" s="178" t="s">
        <v>1087</v>
      </c>
      <c r="E65" s="168"/>
      <c r="F65" s="176"/>
      <c r="G65" s="177"/>
      <c r="H65" s="176"/>
      <c r="I65" s="177"/>
      <c r="J65" s="167"/>
      <c r="K65" s="136"/>
    </row>
    <row r="66" spans="2:11" ht="14" thickBot="1" x14ac:dyDescent="0.35">
      <c r="B66" s="294"/>
      <c r="C66" s="179"/>
      <c r="D66" s="180" t="s">
        <v>1088</v>
      </c>
      <c r="E66" s="181"/>
      <c r="F66" s="182"/>
      <c r="G66" s="183"/>
      <c r="H66" s="182"/>
      <c r="I66" s="183"/>
      <c r="J66" s="184"/>
      <c r="K66" s="185"/>
    </row>
    <row r="67" spans="2:11" x14ac:dyDescent="0.3">
      <c r="B67" s="292">
        <f t="shared" ref="B67" si="4">B57+1</f>
        <v>7</v>
      </c>
      <c r="C67" s="186"/>
      <c r="D67" s="187" t="s">
        <v>1073</v>
      </c>
      <c r="E67" s="188"/>
      <c r="F67" s="167" t="s">
        <v>1089</v>
      </c>
      <c r="G67" s="168" t="s">
        <v>1075</v>
      </c>
      <c r="H67" s="167" t="s">
        <v>1076</v>
      </c>
      <c r="I67" s="168"/>
      <c r="J67" s="189"/>
      <c r="K67" s="190"/>
    </row>
    <row r="68" spans="2:11" ht="27" x14ac:dyDescent="0.3">
      <c r="B68" s="293"/>
      <c r="C68" s="171"/>
      <c r="D68" s="172" t="s">
        <v>1077</v>
      </c>
      <c r="E68" s="168"/>
      <c r="F68" s="167" t="s">
        <v>1078</v>
      </c>
      <c r="G68" s="168"/>
      <c r="H68" s="173" t="s">
        <v>1079</v>
      </c>
      <c r="I68" s="168"/>
      <c r="J68" s="167"/>
      <c r="K68" s="136"/>
    </row>
    <row r="69" spans="2:11" x14ac:dyDescent="0.3">
      <c r="B69" s="293"/>
      <c r="C69" s="171"/>
      <c r="D69" s="172" t="s">
        <v>1080</v>
      </c>
      <c r="E69" s="168"/>
      <c r="F69" s="167" t="s">
        <v>1081</v>
      </c>
      <c r="G69" s="168"/>
      <c r="H69" s="173" t="s">
        <v>1082</v>
      </c>
      <c r="I69" s="168"/>
      <c r="J69" s="167"/>
      <c r="K69" s="136"/>
    </row>
    <row r="70" spans="2:11" x14ac:dyDescent="0.3">
      <c r="B70" s="293"/>
      <c r="C70" s="171"/>
      <c r="D70" s="172" t="s">
        <v>1082</v>
      </c>
      <c r="E70" s="168"/>
      <c r="F70" s="174"/>
      <c r="G70" s="175"/>
      <c r="H70" s="174"/>
      <c r="I70" s="175"/>
      <c r="J70" s="167"/>
      <c r="K70" s="136"/>
    </row>
    <row r="71" spans="2:11" x14ac:dyDescent="0.3">
      <c r="B71" s="293"/>
      <c r="C71" s="171"/>
      <c r="D71" s="172" t="s">
        <v>1083</v>
      </c>
      <c r="E71" s="168"/>
      <c r="F71" s="176"/>
      <c r="G71" s="177"/>
      <c r="H71" s="176"/>
      <c r="I71" s="177"/>
      <c r="J71" s="167"/>
      <c r="K71" s="136"/>
    </row>
    <row r="72" spans="2:11" x14ac:dyDescent="0.3">
      <c r="B72" s="293"/>
      <c r="C72" s="171"/>
      <c r="D72" s="172" t="s">
        <v>1084</v>
      </c>
      <c r="E72" s="168"/>
      <c r="F72" s="176"/>
      <c r="G72" s="177"/>
      <c r="H72" s="176"/>
      <c r="I72" s="177"/>
      <c r="J72" s="167"/>
      <c r="K72" s="136"/>
    </row>
    <row r="73" spans="2:11" x14ac:dyDescent="0.3">
      <c r="B73" s="293"/>
      <c r="C73" s="171"/>
      <c r="D73" s="172" t="s">
        <v>1085</v>
      </c>
      <c r="E73" s="168"/>
      <c r="F73" s="176"/>
      <c r="G73" s="177"/>
      <c r="H73" s="176"/>
      <c r="I73" s="177"/>
      <c r="J73" s="167"/>
      <c r="K73" s="136"/>
    </row>
    <row r="74" spans="2:11" x14ac:dyDescent="0.3">
      <c r="B74" s="293"/>
      <c r="C74" s="171"/>
      <c r="D74" s="172" t="s">
        <v>1086</v>
      </c>
      <c r="E74" s="168"/>
      <c r="F74" s="176"/>
      <c r="G74" s="177"/>
      <c r="H74" s="176"/>
      <c r="I74" s="177"/>
      <c r="J74" s="167"/>
      <c r="K74" s="136"/>
    </row>
    <row r="75" spans="2:11" ht="27" x14ac:dyDescent="0.3">
      <c r="B75" s="293"/>
      <c r="C75" s="171"/>
      <c r="D75" s="178" t="s">
        <v>1087</v>
      </c>
      <c r="E75" s="168"/>
      <c r="F75" s="176"/>
      <c r="G75" s="177"/>
      <c r="H75" s="176"/>
      <c r="I75" s="177"/>
      <c r="J75" s="167"/>
      <c r="K75" s="136"/>
    </row>
    <row r="76" spans="2:11" ht="14" thickBot="1" x14ac:dyDescent="0.35">
      <c r="B76" s="294"/>
      <c r="C76" s="179"/>
      <c r="D76" s="180" t="s">
        <v>1088</v>
      </c>
      <c r="E76" s="181"/>
      <c r="F76" s="182"/>
      <c r="G76" s="183"/>
      <c r="H76" s="182"/>
      <c r="I76" s="183"/>
      <c r="J76" s="184"/>
      <c r="K76" s="185"/>
    </row>
    <row r="77" spans="2:11" x14ac:dyDescent="0.3">
      <c r="B77" s="292">
        <f t="shared" ref="B77" si="5">B67+1</f>
        <v>8</v>
      </c>
      <c r="C77" s="186"/>
      <c r="D77" s="187" t="s">
        <v>1073</v>
      </c>
      <c r="E77" s="188"/>
      <c r="F77" s="167" t="s">
        <v>1089</v>
      </c>
      <c r="G77" s="168" t="s">
        <v>1075</v>
      </c>
      <c r="H77" s="167" t="s">
        <v>1076</v>
      </c>
      <c r="I77" s="168"/>
      <c r="J77" s="189"/>
      <c r="K77" s="190"/>
    </row>
    <row r="78" spans="2:11" ht="27" x14ac:dyDescent="0.3">
      <c r="B78" s="293"/>
      <c r="C78" s="171"/>
      <c r="D78" s="172" t="s">
        <v>1077</v>
      </c>
      <c r="E78" s="168"/>
      <c r="F78" s="167" t="s">
        <v>1078</v>
      </c>
      <c r="G78" s="168"/>
      <c r="H78" s="173" t="s">
        <v>1079</v>
      </c>
      <c r="I78" s="168"/>
      <c r="J78" s="167"/>
      <c r="K78" s="136"/>
    </row>
    <row r="79" spans="2:11" x14ac:dyDescent="0.3">
      <c r="B79" s="293"/>
      <c r="C79" s="171"/>
      <c r="D79" s="172" t="s">
        <v>1080</v>
      </c>
      <c r="E79" s="168"/>
      <c r="F79" s="167" t="s">
        <v>1081</v>
      </c>
      <c r="G79" s="168"/>
      <c r="H79" s="173" t="s">
        <v>1082</v>
      </c>
      <c r="I79" s="168"/>
      <c r="J79" s="167"/>
      <c r="K79" s="136"/>
    </row>
    <row r="80" spans="2:11" x14ac:dyDescent="0.3">
      <c r="B80" s="293"/>
      <c r="C80" s="171"/>
      <c r="D80" s="172" t="s">
        <v>1082</v>
      </c>
      <c r="E80" s="168"/>
      <c r="F80" s="174"/>
      <c r="G80" s="175"/>
      <c r="H80" s="174"/>
      <c r="I80" s="175"/>
      <c r="J80" s="167"/>
      <c r="K80" s="136"/>
    </row>
    <row r="81" spans="2:11" x14ac:dyDescent="0.3">
      <c r="B81" s="293"/>
      <c r="C81" s="171"/>
      <c r="D81" s="172" t="s">
        <v>1083</v>
      </c>
      <c r="E81" s="168"/>
      <c r="F81" s="176"/>
      <c r="G81" s="177"/>
      <c r="H81" s="176"/>
      <c r="I81" s="177"/>
      <c r="J81" s="167"/>
      <c r="K81" s="136"/>
    </row>
    <row r="82" spans="2:11" x14ac:dyDescent="0.3">
      <c r="B82" s="293"/>
      <c r="C82" s="171"/>
      <c r="D82" s="172" t="s">
        <v>1084</v>
      </c>
      <c r="E82" s="168"/>
      <c r="F82" s="176"/>
      <c r="G82" s="177"/>
      <c r="H82" s="176"/>
      <c r="I82" s="177"/>
      <c r="J82" s="167"/>
      <c r="K82" s="136"/>
    </row>
    <row r="83" spans="2:11" x14ac:dyDescent="0.3">
      <c r="B83" s="293"/>
      <c r="C83" s="171"/>
      <c r="D83" s="172" t="s">
        <v>1085</v>
      </c>
      <c r="E83" s="168"/>
      <c r="F83" s="176"/>
      <c r="G83" s="177"/>
      <c r="H83" s="176"/>
      <c r="I83" s="177"/>
      <c r="J83" s="167"/>
      <c r="K83" s="136"/>
    </row>
    <row r="84" spans="2:11" x14ac:dyDescent="0.3">
      <c r="B84" s="293"/>
      <c r="C84" s="171"/>
      <c r="D84" s="172" t="s">
        <v>1086</v>
      </c>
      <c r="E84" s="168"/>
      <c r="F84" s="176"/>
      <c r="G84" s="177"/>
      <c r="H84" s="176"/>
      <c r="I84" s="177"/>
      <c r="J84" s="167"/>
      <c r="K84" s="136"/>
    </row>
    <row r="85" spans="2:11" ht="27" x14ac:dyDescent="0.3">
      <c r="B85" s="293"/>
      <c r="C85" s="171"/>
      <c r="D85" s="178" t="s">
        <v>1087</v>
      </c>
      <c r="E85" s="168"/>
      <c r="F85" s="176"/>
      <c r="G85" s="177"/>
      <c r="H85" s="176"/>
      <c r="I85" s="177"/>
      <c r="J85" s="167"/>
      <c r="K85" s="136"/>
    </row>
    <row r="86" spans="2:11" ht="14" thickBot="1" x14ac:dyDescent="0.35">
      <c r="B86" s="294"/>
      <c r="C86" s="179"/>
      <c r="D86" s="180" t="s">
        <v>1088</v>
      </c>
      <c r="E86" s="181"/>
      <c r="F86" s="182"/>
      <c r="G86" s="183"/>
      <c r="H86" s="182"/>
      <c r="I86" s="183"/>
      <c r="J86" s="184"/>
      <c r="K86" s="185"/>
    </row>
    <row r="87" spans="2:11" x14ac:dyDescent="0.3">
      <c r="B87" s="292">
        <f t="shared" ref="B87" si="6">B77+1</f>
        <v>9</v>
      </c>
      <c r="C87" s="186"/>
      <c r="D87" s="187" t="s">
        <v>1073</v>
      </c>
      <c r="E87" s="188"/>
      <c r="F87" s="167" t="s">
        <v>1089</v>
      </c>
      <c r="G87" s="168" t="s">
        <v>1075</v>
      </c>
      <c r="H87" s="167" t="s">
        <v>1076</v>
      </c>
      <c r="I87" s="168"/>
      <c r="J87" s="189"/>
      <c r="K87" s="190"/>
    </row>
    <row r="88" spans="2:11" ht="27" x14ac:dyDescent="0.3">
      <c r="B88" s="293"/>
      <c r="C88" s="171"/>
      <c r="D88" s="172" t="s">
        <v>1077</v>
      </c>
      <c r="E88" s="168"/>
      <c r="F88" s="167" t="s">
        <v>1078</v>
      </c>
      <c r="G88" s="168"/>
      <c r="H88" s="173" t="s">
        <v>1079</v>
      </c>
      <c r="I88" s="168"/>
      <c r="J88" s="167"/>
      <c r="K88" s="136"/>
    </row>
    <row r="89" spans="2:11" x14ac:dyDescent="0.3">
      <c r="B89" s="293"/>
      <c r="C89" s="171"/>
      <c r="D89" s="172" t="s">
        <v>1080</v>
      </c>
      <c r="E89" s="168"/>
      <c r="F89" s="167" t="s">
        <v>1081</v>
      </c>
      <c r="G89" s="168"/>
      <c r="H89" s="173" t="s">
        <v>1082</v>
      </c>
      <c r="I89" s="168"/>
      <c r="J89" s="167"/>
      <c r="K89" s="136"/>
    </row>
    <row r="90" spans="2:11" x14ac:dyDescent="0.3">
      <c r="B90" s="293"/>
      <c r="C90" s="171"/>
      <c r="D90" s="172" t="s">
        <v>1082</v>
      </c>
      <c r="E90" s="168"/>
      <c r="F90" s="174"/>
      <c r="G90" s="175"/>
      <c r="H90" s="174"/>
      <c r="I90" s="175"/>
      <c r="J90" s="167"/>
      <c r="K90" s="136"/>
    </row>
    <row r="91" spans="2:11" x14ac:dyDescent="0.3">
      <c r="B91" s="293"/>
      <c r="C91" s="171"/>
      <c r="D91" s="172" t="s">
        <v>1083</v>
      </c>
      <c r="E91" s="168"/>
      <c r="F91" s="176"/>
      <c r="G91" s="177"/>
      <c r="H91" s="176"/>
      <c r="I91" s="177"/>
      <c r="J91" s="167"/>
      <c r="K91" s="136"/>
    </row>
    <row r="92" spans="2:11" x14ac:dyDescent="0.3">
      <c r="B92" s="293"/>
      <c r="C92" s="171"/>
      <c r="D92" s="172" t="s">
        <v>1084</v>
      </c>
      <c r="E92" s="168"/>
      <c r="F92" s="176"/>
      <c r="G92" s="177"/>
      <c r="H92" s="176"/>
      <c r="I92" s="177"/>
      <c r="J92" s="167"/>
      <c r="K92" s="136"/>
    </row>
    <row r="93" spans="2:11" x14ac:dyDescent="0.3">
      <c r="B93" s="293"/>
      <c r="C93" s="171"/>
      <c r="D93" s="172" t="s">
        <v>1085</v>
      </c>
      <c r="E93" s="168"/>
      <c r="F93" s="176"/>
      <c r="G93" s="177"/>
      <c r="H93" s="176"/>
      <c r="I93" s="177"/>
      <c r="J93" s="167"/>
      <c r="K93" s="136"/>
    </row>
    <row r="94" spans="2:11" x14ac:dyDescent="0.3">
      <c r="B94" s="293"/>
      <c r="C94" s="171"/>
      <c r="D94" s="172" t="s">
        <v>1086</v>
      </c>
      <c r="E94" s="168"/>
      <c r="F94" s="176"/>
      <c r="G94" s="177"/>
      <c r="H94" s="176"/>
      <c r="I94" s="177"/>
      <c r="J94" s="167"/>
      <c r="K94" s="136"/>
    </row>
    <row r="95" spans="2:11" ht="27" x14ac:dyDescent="0.3">
      <c r="B95" s="293"/>
      <c r="C95" s="171"/>
      <c r="D95" s="178" t="s">
        <v>1087</v>
      </c>
      <c r="E95" s="168"/>
      <c r="F95" s="176"/>
      <c r="G95" s="177"/>
      <c r="H95" s="176"/>
      <c r="I95" s="177"/>
      <c r="J95" s="167"/>
      <c r="K95" s="136"/>
    </row>
    <row r="96" spans="2:11" ht="14" thickBot="1" x14ac:dyDescent="0.35">
      <c r="B96" s="294"/>
      <c r="C96" s="179"/>
      <c r="D96" s="180" t="s">
        <v>1088</v>
      </c>
      <c r="E96" s="181"/>
      <c r="F96" s="182"/>
      <c r="G96" s="183"/>
      <c r="H96" s="182"/>
      <c r="I96" s="183"/>
      <c r="J96" s="184"/>
      <c r="K96" s="185"/>
    </row>
    <row r="97" spans="2:11" x14ac:dyDescent="0.3">
      <c r="B97" s="292">
        <f t="shared" ref="B97" si="7">B87+1</f>
        <v>10</v>
      </c>
      <c r="C97" s="186"/>
      <c r="D97" s="187" t="s">
        <v>1073</v>
      </c>
      <c r="E97" s="188"/>
      <c r="F97" s="167" t="s">
        <v>1089</v>
      </c>
      <c r="G97" s="168" t="s">
        <v>1075</v>
      </c>
      <c r="H97" s="167" t="s">
        <v>1076</v>
      </c>
      <c r="I97" s="168"/>
      <c r="J97" s="189"/>
      <c r="K97" s="190"/>
    </row>
    <row r="98" spans="2:11" ht="27" x14ac:dyDescent="0.3">
      <c r="B98" s="293"/>
      <c r="C98" s="171"/>
      <c r="D98" s="172" t="s">
        <v>1077</v>
      </c>
      <c r="E98" s="168"/>
      <c r="F98" s="167" t="s">
        <v>1078</v>
      </c>
      <c r="G98" s="168"/>
      <c r="H98" s="173" t="s">
        <v>1079</v>
      </c>
      <c r="I98" s="168"/>
      <c r="J98" s="167"/>
      <c r="K98" s="136"/>
    </row>
    <row r="99" spans="2:11" x14ac:dyDescent="0.3">
      <c r="B99" s="293"/>
      <c r="C99" s="171"/>
      <c r="D99" s="172" t="s">
        <v>1080</v>
      </c>
      <c r="E99" s="168"/>
      <c r="F99" s="167" t="s">
        <v>1081</v>
      </c>
      <c r="G99" s="168"/>
      <c r="H99" s="173" t="s">
        <v>1082</v>
      </c>
      <c r="I99" s="168"/>
      <c r="J99" s="167"/>
      <c r="K99" s="136"/>
    </row>
    <row r="100" spans="2:11" x14ac:dyDescent="0.3">
      <c r="B100" s="293"/>
      <c r="C100" s="171"/>
      <c r="D100" s="172" t="s">
        <v>1082</v>
      </c>
      <c r="E100" s="168"/>
      <c r="F100" s="174"/>
      <c r="G100" s="175"/>
      <c r="H100" s="174"/>
      <c r="I100" s="175"/>
      <c r="J100" s="167"/>
      <c r="K100" s="136"/>
    </row>
    <row r="101" spans="2:11" x14ac:dyDescent="0.3">
      <c r="B101" s="293"/>
      <c r="C101" s="171"/>
      <c r="D101" s="172" t="s">
        <v>1083</v>
      </c>
      <c r="E101" s="168"/>
      <c r="F101" s="176"/>
      <c r="G101" s="177"/>
      <c r="H101" s="176"/>
      <c r="I101" s="177"/>
      <c r="J101" s="167"/>
      <c r="K101" s="136"/>
    </row>
    <row r="102" spans="2:11" x14ac:dyDescent="0.3">
      <c r="B102" s="293"/>
      <c r="C102" s="171"/>
      <c r="D102" s="172" t="s">
        <v>1084</v>
      </c>
      <c r="E102" s="168"/>
      <c r="F102" s="176"/>
      <c r="G102" s="177"/>
      <c r="H102" s="176"/>
      <c r="I102" s="177"/>
      <c r="J102" s="167"/>
      <c r="K102" s="136"/>
    </row>
    <row r="103" spans="2:11" x14ac:dyDescent="0.3">
      <c r="B103" s="293"/>
      <c r="C103" s="171"/>
      <c r="D103" s="172" t="s">
        <v>1085</v>
      </c>
      <c r="E103" s="168"/>
      <c r="F103" s="176"/>
      <c r="G103" s="177"/>
      <c r="H103" s="176"/>
      <c r="I103" s="177"/>
      <c r="J103" s="167"/>
      <c r="K103" s="136"/>
    </row>
    <row r="104" spans="2:11" x14ac:dyDescent="0.3">
      <c r="B104" s="293"/>
      <c r="C104" s="171"/>
      <c r="D104" s="172" t="s">
        <v>1086</v>
      </c>
      <c r="E104" s="168"/>
      <c r="F104" s="176"/>
      <c r="G104" s="177"/>
      <c r="H104" s="176"/>
      <c r="I104" s="177"/>
      <c r="J104" s="167"/>
      <c r="K104" s="136"/>
    </row>
    <row r="105" spans="2:11" ht="27" x14ac:dyDescent="0.3">
      <c r="B105" s="293"/>
      <c r="C105" s="171"/>
      <c r="D105" s="178" t="s">
        <v>1087</v>
      </c>
      <c r="E105" s="168"/>
      <c r="F105" s="176"/>
      <c r="G105" s="177"/>
      <c r="H105" s="176"/>
      <c r="I105" s="177"/>
      <c r="J105" s="167"/>
      <c r="K105" s="136"/>
    </row>
    <row r="106" spans="2:11" ht="14" thickBot="1" x14ac:dyDescent="0.35">
      <c r="B106" s="294"/>
      <c r="C106" s="179"/>
      <c r="D106" s="180" t="s">
        <v>1088</v>
      </c>
      <c r="E106" s="181"/>
      <c r="F106" s="182"/>
      <c r="G106" s="183"/>
      <c r="H106" s="182"/>
      <c r="I106" s="183"/>
      <c r="J106" s="184"/>
      <c r="K106" s="185"/>
    </row>
    <row r="107" spans="2:11" x14ac:dyDescent="0.3">
      <c r="B107" s="292">
        <f t="shared" ref="B107" si="8">B97+1</f>
        <v>11</v>
      </c>
      <c r="C107" s="186"/>
      <c r="D107" s="187" t="s">
        <v>1073</v>
      </c>
      <c r="E107" s="188"/>
      <c r="F107" s="167" t="s">
        <v>1089</v>
      </c>
      <c r="G107" s="168" t="s">
        <v>1075</v>
      </c>
      <c r="H107" s="167" t="s">
        <v>1076</v>
      </c>
      <c r="I107" s="168"/>
      <c r="J107" s="189"/>
      <c r="K107" s="190"/>
    </row>
    <row r="108" spans="2:11" ht="27" x14ac:dyDescent="0.3">
      <c r="B108" s="293"/>
      <c r="C108" s="171"/>
      <c r="D108" s="172" t="s">
        <v>1077</v>
      </c>
      <c r="E108" s="168"/>
      <c r="F108" s="167" t="s">
        <v>1078</v>
      </c>
      <c r="G108" s="168"/>
      <c r="H108" s="173" t="s">
        <v>1079</v>
      </c>
      <c r="I108" s="168"/>
      <c r="J108" s="167"/>
      <c r="K108" s="136"/>
    </row>
    <row r="109" spans="2:11" x14ac:dyDescent="0.3">
      <c r="B109" s="293"/>
      <c r="C109" s="171"/>
      <c r="D109" s="172" t="s">
        <v>1080</v>
      </c>
      <c r="E109" s="168"/>
      <c r="F109" s="167" t="s">
        <v>1081</v>
      </c>
      <c r="G109" s="168"/>
      <c r="H109" s="173" t="s">
        <v>1082</v>
      </c>
      <c r="I109" s="168"/>
      <c r="J109" s="167"/>
      <c r="K109" s="136"/>
    </row>
    <row r="110" spans="2:11" x14ac:dyDescent="0.3">
      <c r="B110" s="293"/>
      <c r="C110" s="171"/>
      <c r="D110" s="172" t="s">
        <v>1082</v>
      </c>
      <c r="E110" s="168"/>
      <c r="F110" s="174"/>
      <c r="G110" s="175"/>
      <c r="H110" s="174"/>
      <c r="I110" s="175"/>
      <c r="J110" s="167"/>
      <c r="K110" s="136"/>
    </row>
    <row r="111" spans="2:11" x14ac:dyDescent="0.3">
      <c r="B111" s="293"/>
      <c r="C111" s="171"/>
      <c r="D111" s="172" t="s">
        <v>1083</v>
      </c>
      <c r="E111" s="168"/>
      <c r="F111" s="176"/>
      <c r="G111" s="177"/>
      <c r="H111" s="176"/>
      <c r="I111" s="177"/>
      <c r="J111" s="167"/>
      <c r="K111" s="136"/>
    </row>
    <row r="112" spans="2:11" x14ac:dyDescent="0.3">
      <c r="B112" s="293"/>
      <c r="C112" s="171"/>
      <c r="D112" s="172" t="s">
        <v>1084</v>
      </c>
      <c r="E112" s="168"/>
      <c r="F112" s="176"/>
      <c r="G112" s="177"/>
      <c r="H112" s="176"/>
      <c r="I112" s="177"/>
      <c r="J112" s="167"/>
      <c r="K112" s="136"/>
    </row>
    <row r="113" spans="2:11" x14ac:dyDescent="0.3">
      <c r="B113" s="293"/>
      <c r="C113" s="171"/>
      <c r="D113" s="172" t="s">
        <v>1085</v>
      </c>
      <c r="E113" s="168"/>
      <c r="F113" s="176"/>
      <c r="G113" s="177"/>
      <c r="H113" s="176"/>
      <c r="I113" s="177"/>
      <c r="J113" s="167"/>
      <c r="K113" s="136"/>
    </row>
    <row r="114" spans="2:11" x14ac:dyDescent="0.3">
      <c r="B114" s="293"/>
      <c r="C114" s="171"/>
      <c r="D114" s="172" t="s">
        <v>1086</v>
      </c>
      <c r="E114" s="168"/>
      <c r="F114" s="176"/>
      <c r="G114" s="177"/>
      <c r="H114" s="176"/>
      <c r="I114" s="177"/>
      <c r="J114" s="167"/>
      <c r="K114" s="136"/>
    </row>
    <row r="115" spans="2:11" ht="27" x14ac:dyDescent="0.3">
      <c r="B115" s="293"/>
      <c r="C115" s="171"/>
      <c r="D115" s="178" t="s">
        <v>1087</v>
      </c>
      <c r="E115" s="168"/>
      <c r="F115" s="176"/>
      <c r="G115" s="177"/>
      <c r="H115" s="176"/>
      <c r="I115" s="177"/>
      <c r="J115" s="167"/>
      <c r="K115" s="136"/>
    </row>
    <row r="116" spans="2:11" ht="14" thickBot="1" x14ac:dyDescent="0.35">
      <c r="B116" s="294"/>
      <c r="C116" s="179"/>
      <c r="D116" s="180" t="s">
        <v>1088</v>
      </c>
      <c r="E116" s="181"/>
      <c r="F116" s="182"/>
      <c r="G116" s="183"/>
      <c r="H116" s="182"/>
      <c r="I116" s="183"/>
      <c r="J116" s="184"/>
      <c r="K116" s="185"/>
    </row>
    <row r="117" spans="2:11" x14ac:dyDescent="0.3">
      <c r="B117" s="292">
        <f t="shared" ref="B117" si="9">B107+1</f>
        <v>12</v>
      </c>
      <c r="C117" s="186"/>
      <c r="D117" s="187" t="s">
        <v>1073</v>
      </c>
      <c r="E117" s="188"/>
      <c r="F117" s="167" t="s">
        <v>1089</v>
      </c>
      <c r="G117" s="168" t="s">
        <v>1075</v>
      </c>
      <c r="H117" s="167" t="s">
        <v>1076</v>
      </c>
      <c r="I117" s="168"/>
      <c r="J117" s="189"/>
      <c r="K117" s="190"/>
    </row>
    <row r="118" spans="2:11" ht="27" x14ac:dyDescent="0.3">
      <c r="B118" s="293"/>
      <c r="C118" s="171"/>
      <c r="D118" s="172" t="s">
        <v>1077</v>
      </c>
      <c r="E118" s="168"/>
      <c r="F118" s="167" t="s">
        <v>1078</v>
      </c>
      <c r="G118" s="168"/>
      <c r="H118" s="173" t="s">
        <v>1079</v>
      </c>
      <c r="I118" s="168"/>
      <c r="J118" s="167"/>
      <c r="K118" s="136"/>
    </row>
    <row r="119" spans="2:11" x14ac:dyDescent="0.3">
      <c r="B119" s="293"/>
      <c r="C119" s="171"/>
      <c r="D119" s="172" t="s">
        <v>1080</v>
      </c>
      <c r="E119" s="168"/>
      <c r="F119" s="167" t="s">
        <v>1081</v>
      </c>
      <c r="G119" s="168"/>
      <c r="H119" s="173" t="s">
        <v>1082</v>
      </c>
      <c r="I119" s="168"/>
      <c r="J119" s="167"/>
      <c r="K119" s="136"/>
    </row>
    <row r="120" spans="2:11" x14ac:dyDescent="0.3">
      <c r="B120" s="293"/>
      <c r="C120" s="171"/>
      <c r="D120" s="172" t="s">
        <v>1082</v>
      </c>
      <c r="E120" s="168"/>
      <c r="F120" s="174"/>
      <c r="G120" s="175"/>
      <c r="H120" s="174"/>
      <c r="I120" s="175"/>
      <c r="J120" s="167"/>
      <c r="K120" s="136"/>
    </row>
    <row r="121" spans="2:11" x14ac:dyDescent="0.3">
      <c r="B121" s="293"/>
      <c r="C121" s="171"/>
      <c r="D121" s="172" t="s">
        <v>1083</v>
      </c>
      <c r="E121" s="168"/>
      <c r="F121" s="176"/>
      <c r="G121" s="177"/>
      <c r="H121" s="176"/>
      <c r="I121" s="177"/>
      <c r="J121" s="167"/>
      <c r="K121" s="136"/>
    </row>
    <row r="122" spans="2:11" x14ac:dyDescent="0.3">
      <c r="B122" s="293"/>
      <c r="C122" s="171"/>
      <c r="D122" s="172" t="s">
        <v>1084</v>
      </c>
      <c r="E122" s="168"/>
      <c r="F122" s="176"/>
      <c r="G122" s="177"/>
      <c r="H122" s="176"/>
      <c r="I122" s="177"/>
      <c r="J122" s="167"/>
      <c r="K122" s="136"/>
    </row>
    <row r="123" spans="2:11" x14ac:dyDescent="0.3">
      <c r="B123" s="293"/>
      <c r="C123" s="171"/>
      <c r="D123" s="172" t="s">
        <v>1085</v>
      </c>
      <c r="E123" s="168"/>
      <c r="F123" s="176"/>
      <c r="G123" s="177"/>
      <c r="H123" s="176"/>
      <c r="I123" s="177"/>
      <c r="J123" s="167"/>
      <c r="K123" s="136"/>
    </row>
    <row r="124" spans="2:11" x14ac:dyDescent="0.3">
      <c r="B124" s="293"/>
      <c r="C124" s="171"/>
      <c r="D124" s="172" t="s">
        <v>1086</v>
      </c>
      <c r="E124" s="168"/>
      <c r="F124" s="176"/>
      <c r="G124" s="177"/>
      <c r="H124" s="176"/>
      <c r="I124" s="177"/>
      <c r="J124" s="167"/>
      <c r="K124" s="136"/>
    </row>
    <row r="125" spans="2:11" ht="27" x14ac:dyDescent="0.3">
      <c r="B125" s="293"/>
      <c r="C125" s="171"/>
      <c r="D125" s="178" t="s">
        <v>1087</v>
      </c>
      <c r="E125" s="168"/>
      <c r="F125" s="176"/>
      <c r="G125" s="177"/>
      <c r="H125" s="176"/>
      <c r="I125" s="177"/>
      <c r="J125" s="167"/>
      <c r="K125" s="136"/>
    </row>
    <row r="126" spans="2:11" ht="14" thickBot="1" x14ac:dyDescent="0.35">
      <c r="B126" s="294"/>
      <c r="C126" s="179"/>
      <c r="D126" s="180" t="s">
        <v>1088</v>
      </c>
      <c r="E126" s="181"/>
      <c r="F126" s="182"/>
      <c r="G126" s="183"/>
      <c r="H126" s="182"/>
      <c r="I126" s="183"/>
      <c r="J126" s="184"/>
      <c r="K126" s="185"/>
    </row>
    <row r="127" spans="2:11" x14ac:dyDescent="0.3">
      <c r="B127" s="292">
        <f t="shared" ref="B127:B187" si="10">B117+1</f>
        <v>13</v>
      </c>
      <c r="C127" s="186"/>
      <c r="D127" s="187" t="s">
        <v>1073</v>
      </c>
      <c r="E127" s="188"/>
      <c r="F127" s="167" t="s">
        <v>1089</v>
      </c>
      <c r="G127" s="168" t="s">
        <v>1075</v>
      </c>
      <c r="H127" s="167" t="s">
        <v>1076</v>
      </c>
      <c r="I127" s="168"/>
      <c r="J127" s="189"/>
      <c r="K127" s="190"/>
    </row>
    <row r="128" spans="2:11" ht="27" x14ac:dyDescent="0.3">
      <c r="B128" s="293"/>
      <c r="C128" s="171"/>
      <c r="D128" s="172" t="s">
        <v>1077</v>
      </c>
      <c r="E128" s="168"/>
      <c r="F128" s="167" t="s">
        <v>1078</v>
      </c>
      <c r="G128" s="168"/>
      <c r="H128" s="173" t="s">
        <v>1079</v>
      </c>
      <c r="I128" s="168"/>
      <c r="J128" s="167"/>
      <c r="K128" s="136"/>
    </row>
    <row r="129" spans="2:11" x14ac:dyDescent="0.3">
      <c r="B129" s="293"/>
      <c r="C129" s="171"/>
      <c r="D129" s="172" t="s">
        <v>1080</v>
      </c>
      <c r="E129" s="168"/>
      <c r="F129" s="167" t="s">
        <v>1081</v>
      </c>
      <c r="G129" s="168"/>
      <c r="H129" s="173" t="s">
        <v>1082</v>
      </c>
      <c r="I129" s="168"/>
      <c r="J129" s="167"/>
      <c r="K129" s="136"/>
    </row>
    <row r="130" spans="2:11" x14ac:dyDescent="0.3">
      <c r="B130" s="293"/>
      <c r="C130" s="171"/>
      <c r="D130" s="172" t="s">
        <v>1082</v>
      </c>
      <c r="E130" s="168"/>
      <c r="F130" s="174"/>
      <c r="G130" s="175"/>
      <c r="H130" s="174"/>
      <c r="I130" s="175"/>
      <c r="J130" s="167"/>
      <c r="K130" s="136"/>
    </row>
    <row r="131" spans="2:11" x14ac:dyDescent="0.3">
      <c r="B131" s="293"/>
      <c r="C131" s="171"/>
      <c r="D131" s="172" t="s">
        <v>1083</v>
      </c>
      <c r="E131" s="168"/>
      <c r="F131" s="176"/>
      <c r="G131" s="177"/>
      <c r="H131" s="176"/>
      <c r="I131" s="177"/>
      <c r="J131" s="167"/>
      <c r="K131" s="136"/>
    </row>
    <row r="132" spans="2:11" x14ac:dyDescent="0.3">
      <c r="B132" s="293"/>
      <c r="C132" s="171"/>
      <c r="D132" s="172" t="s">
        <v>1084</v>
      </c>
      <c r="E132" s="168"/>
      <c r="F132" s="176"/>
      <c r="G132" s="177"/>
      <c r="H132" s="176"/>
      <c r="I132" s="177"/>
      <c r="J132" s="167"/>
      <c r="K132" s="136"/>
    </row>
    <row r="133" spans="2:11" x14ac:dyDescent="0.3">
      <c r="B133" s="293"/>
      <c r="C133" s="171"/>
      <c r="D133" s="172" t="s">
        <v>1085</v>
      </c>
      <c r="E133" s="168"/>
      <c r="F133" s="176"/>
      <c r="G133" s="177"/>
      <c r="H133" s="176"/>
      <c r="I133" s="177"/>
      <c r="J133" s="167"/>
      <c r="K133" s="136"/>
    </row>
    <row r="134" spans="2:11" x14ac:dyDescent="0.3">
      <c r="B134" s="293"/>
      <c r="C134" s="171"/>
      <c r="D134" s="172" t="s">
        <v>1086</v>
      </c>
      <c r="E134" s="168"/>
      <c r="F134" s="176"/>
      <c r="G134" s="177"/>
      <c r="H134" s="176"/>
      <c r="I134" s="177"/>
      <c r="J134" s="167"/>
      <c r="K134" s="136"/>
    </row>
    <row r="135" spans="2:11" ht="27" x14ac:dyDescent="0.3">
      <c r="B135" s="293"/>
      <c r="C135" s="171"/>
      <c r="D135" s="178" t="s">
        <v>1087</v>
      </c>
      <c r="E135" s="168"/>
      <c r="F135" s="176"/>
      <c r="G135" s="177"/>
      <c r="H135" s="176"/>
      <c r="I135" s="177"/>
      <c r="J135" s="167"/>
      <c r="K135" s="136"/>
    </row>
    <row r="136" spans="2:11" ht="14" thickBot="1" x14ac:dyDescent="0.35">
      <c r="B136" s="294"/>
      <c r="C136" s="179"/>
      <c r="D136" s="180" t="s">
        <v>1088</v>
      </c>
      <c r="E136" s="181"/>
      <c r="F136" s="182"/>
      <c r="G136" s="183"/>
      <c r="H136" s="182"/>
      <c r="I136" s="183"/>
      <c r="J136" s="184"/>
      <c r="K136" s="185"/>
    </row>
    <row r="137" spans="2:11" x14ac:dyDescent="0.3">
      <c r="B137" s="292">
        <f t="shared" si="10"/>
        <v>14</v>
      </c>
      <c r="C137" s="186"/>
      <c r="D137" s="187" t="s">
        <v>1073</v>
      </c>
      <c r="E137" s="188"/>
      <c r="F137" s="167" t="s">
        <v>1089</v>
      </c>
      <c r="G137" s="168" t="s">
        <v>1075</v>
      </c>
      <c r="H137" s="167" t="s">
        <v>1076</v>
      </c>
      <c r="I137" s="168"/>
      <c r="J137" s="189"/>
      <c r="K137" s="190"/>
    </row>
    <row r="138" spans="2:11" ht="27" x14ac:dyDescent="0.3">
      <c r="B138" s="293"/>
      <c r="C138" s="171"/>
      <c r="D138" s="172" t="s">
        <v>1077</v>
      </c>
      <c r="E138" s="168"/>
      <c r="F138" s="167" t="s">
        <v>1078</v>
      </c>
      <c r="G138" s="168"/>
      <c r="H138" s="173" t="s">
        <v>1079</v>
      </c>
      <c r="I138" s="168"/>
      <c r="J138" s="167"/>
      <c r="K138" s="136"/>
    </row>
    <row r="139" spans="2:11" x14ac:dyDescent="0.3">
      <c r="B139" s="293"/>
      <c r="C139" s="171"/>
      <c r="D139" s="172" t="s">
        <v>1080</v>
      </c>
      <c r="E139" s="168"/>
      <c r="F139" s="167" t="s">
        <v>1081</v>
      </c>
      <c r="G139" s="168"/>
      <c r="H139" s="173" t="s">
        <v>1082</v>
      </c>
      <c r="I139" s="168"/>
      <c r="J139" s="167"/>
      <c r="K139" s="136"/>
    </row>
    <row r="140" spans="2:11" x14ac:dyDescent="0.3">
      <c r="B140" s="293"/>
      <c r="C140" s="171"/>
      <c r="D140" s="172" t="s">
        <v>1082</v>
      </c>
      <c r="E140" s="168"/>
      <c r="F140" s="174"/>
      <c r="G140" s="175"/>
      <c r="H140" s="174"/>
      <c r="I140" s="175"/>
      <c r="J140" s="167"/>
      <c r="K140" s="136"/>
    </row>
    <row r="141" spans="2:11" x14ac:dyDescent="0.3">
      <c r="B141" s="293"/>
      <c r="C141" s="171"/>
      <c r="D141" s="172" t="s">
        <v>1083</v>
      </c>
      <c r="E141" s="168"/>
      <c r="F141" s="176"/>
      <c r="G141" s="177"/>
      <c r="H141" s="176"/>
      <c r="I141" s="177"/>
      <c r="J141" s="167"/>
      <c r="K141" s="136"/>
    </row>
    <row r="142" spans="2:11" x14ac:dyDescent="0.3">
      <c r="B142" s="293"/>
      <c r="C142" s="171"/>
      <c r="D142" s="172" t="s">
        <v>1084</v>
      </c>
      <c r="E142" s="168"/>
      <c r="F142" s="176"/>
      <c r="G142" s="177"/>
      <c r="H142" s="176"/>
      <c r="I142" s="177"/>
      <c r="J142" s="167"/>
      <c r="K142" s="136"/>
    </row>
    <row r="143" spans="2:11" x14ac:dyDescent="0.3">
      <c r="B143" s="293"/>
      <c r="C143" s="171"/>
      <c r="D143" s="172" t="s">
        <v>1085</v>
      </c>
      <c r="E143" s="168"/>
      <c r="F143" s="176"/>
      <c r="G143" s="177"/>
      <c r="H143" s="176"/>
      <c r="I143" s="177"/>
      <c r="J143" s="167"/>
      <c r="K143" s="136"/>
    </row>
    <row r="144" spans="2:11" x14ac:dyDescent="0.3">
      <c r="B144" s="293"/>
      <c r="C144" s="171"/>
      <c r="D144" s="172" t="s">
        <v>1086</v>
      </c>
      <c r="E144" s="168"/>
      <c r="F144" s="176"/>
      <c r="G144" s="177"/>
      <c r="H144" s="176"/>
      <c r="I144" s="177"/>
      <c r="J144" s="167"/>
      <c r="K144" s="136"/>
    </row>
    <row r="145" spans="2:11" ht="27" x14ac:dyDescent="0.3">
      <c r="B145" s="293"/>
      <c r="C145" s="171"/>
      <c r="D145" s="178" t="s">
        <v>1087</v>
      </c>
      <c r="E145" s="168"/>
      <c r="F145" s="176"/>
      <c r="G145" s="177"/>
      <c r="H145" s="176"/>
      <c r="I145" s="177"/>
      <c r="J145" s="167"/>
      <c r="K145" s="136"/>
    </row>
    <row r="146" spans="2:11" ht="14" thickBot="1" x14ac:dyDescent="0.35">
      <c r="B146" s="294"/>
      <c r="C146" s="179"/>
      <c r="D146" s="180" t="s">
        <v>1088</v>
      </c>
      <c r="E146" s="181"/>
      <c r="F146" s="182"/>
      <c r="G146" s="183"/>
      <c r="H146" s="182"/>
      <c r="I146" s="183"/>
      <c r="J146" s="184"/>
      <c r="K146" s="185"/>
    </row>
    <row r="147" spans="2:11" x14ac:dyDescent="0.3">
      <c r="B147" s="292">
        <f t="shared" si="10"/>
        <v>15</v>
      </c>
      <c r="C147" s="186"/>
      <c r="D147" s="187" t="s">
        <v>1073</v>
      </c>
      <c r="E147" s="188"/>
      <c r="F147" s="167" t="s">
        <v>1089</v>
      </c>
      <c r="G147" s="168" t="s">
        <v>1075</v>
      </c>
      <c r="H147" s="167" t="s">
        <v>1076</v>
      </c>
      <c r="I147" s="168"/>
      <c r="J147" s="189"/>
      <c r="K147" s="190"/>
    </row>
    <row r="148" spans="2:11" ht="27" x14ac:dyDescent="0.3">
      <c r="B148" s="293"/>
      <c r="C148" s="171"/>
      <c r="D148" s="172" t="s">
        <v>1077</v>
      </c>
      <c r="E148" s="168"/>
      <c r="F148" s="167" t="s">
        <v>1078</v>
      </c>
      <c r="G148" s="168"/>
      <c r="H148" s="173" t="s">
        <v>1079</v>
      </c>
      <c r="I148" s="168"/>
      <c r="J148" s="167"/>
      <c r="K148" s="136"/>
    </row>
    <row r="149" spans="2:11" x14ac:dyDescent="0.3">
      <c r="B149" s="293"/>
      <c r="C149" s="171"/>
      <c r="D149" s="172" t="s">
        <v>1080</v>
      </c>
      <c r="E149" s="168"/>
      <c r="F149" s="167" t="s">
        <v>1081</v>
      </c>
      <c r="G149" s="168"/>
      <c r="H149" s="173" t="s">
        <v>1082</v>
      </c>
      <c r="I149" s="168"/>
      <c r="J149" s="167"/>
      <c r="K149" s="136"/>
    </row>
    <row r="150" spans="2:11" x14ac:dyDescent="0.3">
      <c r="B150" s="293"/>
      <c r="C150" s="171"/>
      <c r="D150" s="172" t="s">
        <v>1082</v>
      </c>
      <c r="E150" s="168"/>
      <c r="F150" s="174"/>
      <c r="G150" s="175"/>
      <c r="H150" s="174"/>
      <c r="I150" s="175"/>
      <c r="J150" s="167"/>
      <c r="K150" s="136"/>
    </row>
    <row r="151" spans="2:11" x14ac:dyDescent="0.3">
      <c r="B151" s="293"/>
      <c r="C151" s="171"/>
      <c r="D151" s="172" t="s">
        <v>1083</v>
      </c>
      <c r="E151" s="168"/>
      <c r="F151" s="176"/>
      <c r="G151" s="177"/>
      <c r="H151" s="176"/>
      <c r="I151" s="177"/>
      <c r="J151" s="167"/>
      <c r="K151" s="136"/>
    </row>
    <row r="152" spans="2:11" x14ac:dyDescent="0.3">
      <c r="B152" s="293"/>
      <c r="C152" s="171"/>
      <c r="D152" s="172" t="s">
        <v>1084</v>
      </c>
      <c r="E152" s="168"/>
      <c r="F152" s="176"/>
      <c r="G152" s="177"/>
      <c r="H152" s="176"/>
      <c r="I152" s="177"/>
      <c r="J152" s="167"/>
      <c r="K152" s="136"/>
    </row>
    <row r="153" spans="2:11" x14ac:dyDescent="0.3">
      <c r="B153" s="293"/>
      <c r="C153" s="171"/>
      <c r="D153" s="172" t="s">
        <v>1085</v>
      </c>
      <c r="E153" s="168"/>
      <c r="F153" s="176"/>
      <c r="G153" s="177"/>
      <c r="H153" s="176"/>
      <c r="I153" s="177"/>
      <c r="J153" s="167"/>
      <c r="K153" s="136"/>
    </row>
    <row r="154" spans="2:11" x14ac:dyDescent="0.3">
      <c r="B154" s="293"/>
      <c r="C154" s="171"/>
      <c r="D154" s="172" t="s">
        <v>1086</v>
      </c>
      <c r="E154" s="168"/>
      <c r="F154" s="176"/>
      <c r="G154" s="177"/>
      <c r="H154" s="176"/>
      <c r="I154" s="177"/>
      <c r="J154" s="167"/>
      <c r="K154" s="136"/>
    </row>
    <row r="155" spans="2:11" ht="27" x14ac:dyDescent="0.3">
      <c r="B155" s="293"/>
      <c r="C155" s="171"/>
      <c r="D155" s="178" t="s">
        <v>1087</v>
      </c>
      <c r="E155" s="168"/>
      <c r="F155" s="176"/>
      <c r="G155" s="177"/>
      <c r="H155" s="176"/>
      <c r="I155" s="177"/>
      <c r="J155" s="167"/>
      <c r="K155" s="136"/>
    </row>
    <row r="156" spans="2:11" ht="14" thickBot="1" x14ac:dyDescent="0.35">
      <c r="B156" s="294"/>
      <c r="C156" s="179"/>
      <c r="D156" s="180" t="s">
        <v>1088</v>
      </c>
      <c r="E156" s="181"/>
      <c r="F156" s="182"/>
      <c r="G156" s="183"/>
      <c r="H156" s="182"/>
      <c r="I156" s="183"/>
      <c r="J156" s="184"/>
      <c r="K156" s="185"/>
    </row>
    <row r="157" spans="2:11" x14ac:dyDescent="0.3">
      <c r="B157" s="292">
        <f t="shared" si="10"/>
        <v>16</v>
      </c>
      <c r="C157" s="186"/>
      <c r="D157" s="187" t="s">
        <v>1073</v>
      </c>
      <c r="E157" s="188"/>
      <c r="F157" s="167" t="s">
        <v>1089</v>
      </c>
      <c r="G157" s="168" t="s">
        <v>1075</v>
      </c>
      <c r="H157" s="167" t="s">
        <v>1076</v>
      </c>
      <c r="I157" s="168"/>
      <c r="J157" s="189"/>
      <c r="K157" s="190"/>
    </row>
    <row r="158" spans="2:11" ht="27" x14ac:dyDescent="0.3">
      <c r="B158" s="293"/>
      <c r="C158" s="171"/>
      <c r="D158" s="172" t="s">
        <v>1077</v>
      </c>
      <c r="E158" s="168"/>
      <c r="F158" s="167" t="s">
        <v>1078</v>
      </c>
      <c r="G158" s="168"/>
      <c r="H158" s="173" t="s">
        <v>1079</v>
      </c>
      <c r="I158" s="168"/>
      <c r="J158" s="167"/>
      <c r="K158" s="136"/>
    </row>
    <row r="159" spans="2:11" x14ac:dyDescent="0.3">
      <c r="B159" s="293"/>
      <c r="C159" s="171"/>
      <c r="D159" s="172" t="s">
        <v>1080</v>
      </c>
      <c r="E159" s="168"/>
      <c r="F159" s="167" t="s">
        <v>1081</v>
      </c>
      <c r="G159" s="168"/>
      <c r="H159" s="173" t="s">
        <v>1082</v>
      </c>
      <c r="I159" s="168"/>
      <c r="J159" s="167"/>
      <c r="K159" s="136"/>
    </row>
    <row r="160" spans="2:11" x14ac:dyDescent="0.3">
      <c r="B160" s="293"/>
      <c r="C160" s="171"/>
      <c r="D160" s="172" t="s">
        <v>1082</v>
      </c>
      <c r="E160" s="168"/>
      <c r="F160" s="174"/>
      <c r="G160" s="175"/>
      <c r="H160" s="174"/>
      <c r="I160" s="175"/>
      <c r="J160" s="167"/>
      <c r="K160" s="136"/>
    </row>
    <row r="161" spans="2:11" x14ac:dyDescent="0.3">
      <c r="B161" s="293"/>
      <c r="C161" s="171"/>
      <c r="D161" s="172" t="s">
        <v>1083</v>
      </c>
      <c r="E161" s="168"/>
      <c r="F161" s="176"/>
      <c r="G161" s="177"/>
      <c r="H161" s="176"/>
      <c r="I161" s="177"/>
      <c r="J161" s="167"/>
      <c r="K161" s="136"/>
    </row>
    <row r="162" spans="2:11" x14ac:dyDescent="0.3">
      <c r="B162" s="293"/>
      <c r="C162" s="171"/>
      <c r="D162" s="172" t="s">
        <v>1084</v>
      </c>
      <c r="E162" s="168"/>
      <c r="F162" s="176"/>
      <c r="G162" s="177"/>
      <c r="H162" s="176"/>
      <c r="I162" s="177"/>
      <c r="J162" s="167"/>
      <c r="K162" s="136"/>
    </row>
    <row r="163" spans="2:11" x14ac:dyDescent="0.3">
      <c r="B163" s="293"/>
      <c r="C163" s="171"/>
      <c r="D163" s="172" t="s">
        <v>1085</v>
      </c>
      <c r="E163" s="168"/>
      <c r="F163" s="176"/>
      <c r="G163" s="177"/>
      <c r="H163" s="176"/>
      <c r="I163" s="177"/>
      <c r="J163" s="167"/>
      <c r="K163" s="136"/>
    </row>
    <row r="164" spans="2:11" x14ac:dyDescent="0.3">
      <c r="B164" s="293"/>
      <c r="C164" s="171"/>
      <c r="D164" s="172" t="s">
        <v>1086</v>
      </c>
      <c r="E164" s="168"/>
      <c r="F164" s="176"/>
      <c r="G164" s="177"/>
      <c r="H164" s="176"/>
      <c r="I164" s="177"/>
      <c r="J164" s="167"/>
      <c r="K164" s="136"/>
    </row>
    <row r="165" spans="2:11" ht="27" x14ac:dyDescent="0.3">
      <c r="B165" s="293"/>
      <c r="C165" s="171"/>
      <c r="D165" s="178" t="s">
        <v>1087</v>
      </c>
      <c r="E165" s="168"/>
      <c r="F165" s="176"/>
      <c r="G165" s="177"/>
      <c r="H165" s="176"/>
      <c r="I165" s="177"/>
      <c r="J165" s="167"/>
      <c r="K165" s="136"/>
    </row>
    <row r="166" spans="2:11" ht="14" thickBot="1" x14ac:dyDescent="0.35">
      <c r="B166" s="294"/>
      <c r="C166" s="179"/>
      <c r="D166" s="180" t="s">
        <v>1088</v>
      </c>
      <c r="E166" s="181"/>
      <c r="F166" s="182"/>
      <c r="G166" s="183"/>
      <c r="H166" s="182"/>
      <c r="I166" s="183"/>
      <c r="J166" s="184"/>
      <c r="K166" s="185"/>
    </row>
    <row r="167" spans="2:11" x14ac:dyDescent="0.3">
      <c r="B167" s="292">
        <f t="shared" si="10"/>
        <v>17</v>
      </c>
      <c r="C167" s="186"/>
      <c r="D167" s="187" t="s">
        <v>1073</v>
      </c>
      <c r="E167" s="188"/>
      <c r="F167" s="167" t="s">
        <v>1089</v>
      </c>
      <c r="G167" s="168" t="s">
        <v>1075</v>
      </c>
      <c r="H167" s="167" t="s">
        <v>1076</v>
      </c>
      <c r="I167" s="168"/>
      <c r="J167" s="189"/>
      <c r="K167" s="190"/>
    </row>
    <row r="168" spans="2:11" ht="27" x14ac:dyDescent="0.3">
      <c r="B168" s="293"/>
      <c r="C168" s="171"/>
      <c r="D168" s="172" t="s">
        <v>1077</v>
      </c>
      <c r="E168" s="168"/>
      <c r="F168" s="167" t="s">
        <v>1078</v>
      </c>
      <c r="G168" s="168"/>
      <c r="H168" s="173" t="s">
        <v>1079</v>
      </c>
      <c r="I168" s="168"/>
      <c r="J168" s="167"/>
      <c r="K168" s="136"/>
    </row>
    <row r="169" spans="2:11" x14ac:dyDescent="0.3">
      <c r="B169" s="293"/>
      <c r="C169" s="171"/>
      <c r="D169" s="172" t="s">
        <v>1080</v>
      </c>
      <c r="E169" s="168"/>
      <c r="F169" s="167" t="s">
        <v>1081</v>
      </c>
      <c r="G169" s="168"/>
      <c r="H169" s="173" t="s">
        <v>1082</v>
      </c>
      <c r="I169" s="168"/>
      <c r="J169" s="167"/>
      <c r="K169" s="136"/>
    </row>
    <row r="170" spans="2:11" x14ac:dyDescent="0.3">
      <c r="B170" s="293"/>
      <c r="C170" s="171"/>
      <c r="D170" s="172" t="s">
        <v>1082</v>
      </c>
      <c r="E170" s="168"/>
      <c r="F170" s="174"/>
      <c r="G170" s="175"/>
      <c r="H170" s="174"/>
      <c r="I170" s="175"/>
      <c r="J170" s="167"/>
      <c r="K170" s="136"/>
    </row>
    <row r="171" spans="2:11" x14ac:dyDescent="0.3">
      <c r="B171" s="293"/>
      <c r="C171" s="171"/>
      <c r="D171" s="172" t="s">
        <v>1083</v>
      </c>
      <c r="E171" s="168"/>
      <c r="F171" s="176"/>
      <c r="G171" s="177"/>
      <c r="H171" s="176"/>
      <c r="I171" s="177"/>
      <c r="J171" s="167"/>
      <c r="K171" s="136"/>
    </row>
    <row r="172" spans="2:11" x14ac:dyDescent="0.3">
      <c r="B172" s="293"/>
      <c r="C172" s="171"/>
      <c r="D172" s="172" t="s">
        <v>1084</v>
      </c>
      <c r="E172" s="168"/>
      <c r="F172" s="176"/>
      <c r="G172" s="177"/>
      <c r="H172" s="176"/>
      <c r="I172" s="177"/>
      <c r="J172" s="167"/>
      <c r="K172" s="136"/>
    </row>
    <row r="173" spans="2:11" x14ac:dyDescent="0.3">
      <c r="B173" s="293"/>
      <c r="C173" s="171"/>
      <c r="D173" s="172" t="s">
        <v>1085</v>
      </c>
      <c r="E173" s="168"/>
      <c r="F173" s="176"/>
      <c r="G173" s="177"/>
      <c r="H173" s="176"/>
      <c r="I173" s="177"/>
      <c r="J173" s="167"/>
      <c r="K173" s="136"/>
    </row>
    <row r="174" spans="2:11" x14ac:dyDescent="0.3">
      <c r="B174" s="293"/>
      <c r="C174" s="171"/>
      <c r="D174" s="172" t="s">
        <v>1086</v>
      </c>
      <c r="E174" s="168"/>
      <c r="F174" s="176"/>
      <c r="G174" s="177"/>
      <c r="H174" s="176"/>
      <c r="I174" s="177"/>
      <c r="J174" s="167"/>
      <c r="K174" s="136"/>
    </row>
    <row r="175" spans="2:11" ht="27" x14ac:dyDescent="0.3">
      <c r="B175" s="293"/>
      <c r="C175" s="171"/>
      <c r="D175" s="178" t="s">
        <v>1087</v>
      </c>
      <c r="E175" s="168"/>
      <c r="F175" s="176"/>
      <c r="G175" s="177"/>
      <c r="H175" s="176"/>
      <c r="I175" s="177"/>
      <c r="J175" s="167"/>
      <c r="K175" s="136"/>
    </row>
    <row r="176" spans="2:11" ht="14" thickBot="1" x14ac:dyDescent="0.35">
      <c r="B176" s="294"/>
      <c r="C176" s="179"/>
      <c r="D176" s="180" t="s">
        <v>1088</v>
      </c>
      <c r="E176" s="181"/>
      <c r="F176" s="182"/>
      <c r="G176" s="183"/>
      <c r="H176" s="182"/>
      <c r="I176" s="183"/>
      <c r="J176" s="184"/>
      <c r="K176" s="185"/>
    </row>
    <row r="177" spans="2:11" x14ac:dyDescent="0.3">
      <c r="B177" s="292">
        <f t="shared" si="10"/>
        <v>18</v>
      </c>
      <c r="C177" s="186"/>
      <c r="D177" s="187" t="s">
        <v>1073</v>
      </c>
      <c r="E177" s="188"/>
      <c r="F177" s="167" t="s">
        <v>1089</v>
      </c>
      <c r="G177" s="168" t="s">
        <v>1075</v>
      </c>
      <c r="H177" s="167" t="s">
        <v>1076</v>
      </c>
      <c r="I177" s="168"/>
      <c r="J177" s="189"/>
      <c r="K177" s="190"/>
    </row>
    <row r="178" spans="2:11" ht="27" x14ac:dyDescent="0.3">
      <c r="B178" s="293"/>
      <c r="C178" s="171"/>
      <c r="D178" s="172" t="s">
        <v>1077</v>
      </c>
      <c r="E178" s="168"/>
      <c r="F178" s="167" t="s">
        <v>1078</v>
      </c>
      <c r="G178" s="168"/>
      <c r="H178" s="173" t="s">
        <v>1079</v>
      </c>
      <c r="I178" s="168"/>
      <c r="J178" s="167"/>
      <c r="K178" s="136"/>
    </row>
    <row r="179" spans="2:11" x14ac:dyDescent="0.3">
      <c r="B179" s="293"/>
      <c r="C179" s="171"/>
      <c r="D179" s="172" t="s">
        <v>1080</v>
      </c>
      <c r="E179" s="168"/>
      <c r="F179" s="167" t="s">
        <v>1081</v>
      </c>
      <c r="G179" s="168"/>
      <c r="H179" s="173" t="s">
        <v>1082</v>
      </c>
      <c r="I179" s="168"/>
      <c r="J179" s="167"/>
      <c r="K179" s="136"/>
    </row>
    <row r="180" spans="2:11" x14ac:dyDescent="0.3">
      <c r="B180" s="293"/>
      <c r="C180" s="171"/>
      <c r="D180" s="172" t="s">
        <v>1082</v>
      </c>
      <c r="E180" s="168"/>
      <c r="F180" s="174"/>
      <c r="G180" s="175"/>
      <c r="H180" s="174"/>
      <c r="I180" s="175"/>
      <c r="J180" s="167"/>
      <c r="K180" s="136"/>
    </row>
    <row r="181" spans="2:11" x14ac:dyDescent="0.3">
      <c r="B181" s="293"/>
      <c r="C181" s="171"/>
      <c r="D181" s="172" t="s">
        <v>1083</v>
      </c>
      <c r="E181" s="168"/>
      <c r="F181" s="176"/>
      <c r="G181" s="177"/>
      <c r="H181" s="176"/>
      <c r="I181" s="177"/>
      <c r="J181" s="167"/>
      <c r="K181" s="136"/>
    </row>
    <row r="182" spans="2:11" x14ac:dyDescent="0.3">
      <c r="B182" s="293"/>
      <c r="C182" s="171"/>
      <c r="D182" s="172" t="s">
        <v>1084</v>
      </c>
      <c r="E182" s="168"/>
      <c r="F182" s="176"/>
      <c r="G182" s="177"/>
      <c r="H182" s="176"/>
      <c r="I182" s="177"/>
      <c r="J182" s="167"/>
      <c r="K182" s="136"/>
    </row>
    <row r="183" spans="2:11" x14ac:dyDescent="0.3">
      <c r="B183" s="293"/>
      <c r="C183" s="171"/>
      <c r="D183" s="172" t="s">
        <v>1085</v>
      </c>
      <c r="E183" s="168"/>
      <c r="F183" s="176"/>
      <c r="G183" s="177"/>
      <c r="H183" s="176"/>
      <c r="I183" s="177"/>
      <c r="J183" s="167"/>
      <c r="K183" s="136"/>
    </row>
    <row r="184" spans="2:11" x14ac:dyDescent="0.3">
      <c r="B184" s="293"/>
      <c r="C184" s="171"/>
      <c r="D184" s="172" t="s">
        <v>1086</v>
      </c>
      <c r="E184" s="168"/>
      <c r="F184" s="176"/>
      <c r="G184" s="177"/>
      <c r="H184" s="176"/>
      <c r="I184" s="177"/>
      <c r="J184" s="167"/>
      <c r="K184" s="136"/>
    </row>
    <row r="185" spans="2:11" ht="27" x14ac:dyDescent="0.3">
      <c r="B185" s="293"/>
      <c r="C185" s="171"/>
      <c r="D185" s="178" t="s">
        <v>1087</v>
      </c>
      <c r="E185" s="168"/>
      <c r="F185" s="176"/>
      <c r="G185" s="177"/>
      <c r="H185" s="176"/>
      <c r="I185" s="177"/>
      <c r="J185" s="167"/>
      <c r="K185" s="136"/>
    </row>
    <row r="186" spans="2:11" ht="14" thickBot="1" x14ac:dyDescent="0.35">
      <c r="B186" s="294"/>
      <c r="C186" s="179"/>
      <c r="D186" s="180" t="s">
        <v>1088</v>
      </c>
      <c r="E186" s="181"/>
      <c r="F186" s="182"/>
      <c r="G186" s="183"/>
      <c r="H186" s="182"/>
      <c r="I186" s="183"/>
      <c r="J186" s="184"/>
      <c r="K186" s="185"/>
    </row>
    <row r="187" spans="2:11" x14ac:dyDescent="0.3">
      <c r="B187" s="292">
        <f t="shared" si="10"/>
        <v>19</v>
      </c>
      <c r="C187" s="186"/>
      <c r="D187" s="187" t="s">
        <v>1073</v>
      </c>
      <c r="E187" s="188"/>
      <c r="F187" s="167" t="s">
        <v>1089</v>
      </c>
      <c r="G187" s="168" t="s">
        <v>1075</v>
      </c>
      <c r="H187" s="167" t="s">
        <v>1076</v>
      </c>
      <c r="I187" s="168"/>
      <c r="J187" s="189"/>
      <c r="K187" s="190"/>
    </row>
    <row r="188" spans="2:11" ht="27" x14ac:dyDescent="0.3">
      <c r="B188" s="293"/>
      <c r="C188" s="171"/>
      <c r="D188" s="172" t="s">
        <v>1077</v>
      </c>
      <c r="E188" s="168"/>
      <c r="F188" s="167" t="s">
        <v>1078</v>
      </c>
      <c r="G188" s="168"/>
      <c r="H188" s="173" t="s">
        <v>1079</v>
      </c>
      <c r="I188" s="168"/>
      <c r="J188" s="167"/>
      <c r="K188" s="136"/>
    </row>
    <row r="189" spans="2:11" x14ac:dyDescent="0.3">
      <c r="B189" s="293"/>
      <c r="C189" s="171"/>
      <c r="D189" s="172" t="s">
        <v>1080</v>
      </c>
      <c r="E189" s="168"/>
      <c r="F189" s="167" t="s">
        <v>1081</v>
      </c>
      <c r="G189" s="168"/>
      <c r="H189" s="173" t="s">
        <v>1082</v>
      </c>
      <c r="I189" s="168"/>
      <c r="J189" s="167"/>
      <c r="K189" s="136"/>
    </row>
    <row r="190" spans="2:11" x14ac:dyDescent="0.3">
      <c r="B190" s="293"/>
      <c r="C190" s="171"/>
      <c r="D190" s="172" t="s">
        <v>1082</v>
      </c>
      <c r="E190" s="168"/>
      <c r="F190" s="174"/>
      <c r="G190" s="175"/>
      <c r="H190" s="174"/>
      <c r="I190" s="175"/>
      <c r="J190" s="167"/>
      <c r="K190" s="136"/>
    </row>
    <row r="191" spans="2:11" x14ac:dyDescent="0.3">
      <c r="B191" s="293"/>
      <c r="C191" s="171"/>
      <c r="D191" s="172" t="s">
        <v>1083</v>
      </c>
      <c r="E191" s="168"/>
      <c r="F191" s="176"/>
      <c r="G191" s="177"/>
      <c r="H191" s="176"/>
      <c r="I191" s="177"/>
      <c r="J191" s="167"/>
      <c r="K191" s="136"/>
    </row>
    <row r="192" spans="2:11" x14ac:dyDescent="0.3">
      <c r="B192" s="293"/>
      <c r="C192" s="171"/>
      <c r="D192" s="172" t="s">
        <v>1084</v>
      </c>
      <c r="E192" s="168"/>
      <c r="F192" s="176"/>
      <c r="G192" s="177"/>
      <c r="H192" s="176"/>
      <c r="I192" s="177"/>
      <c r="J192" s="167"/>
      <c r="K192" s="136"/>
    </row>
    <row r="193" spans="2:11" x14ac:dyDescent="0.3">
      <c r="B193" s="293"/>
      <c r="C193" s="171"/>
      <c r="D193" s="172" t="s">
        <v>1085</v>
      </c>
      <c r="E193" s="168"/>
      <c r="F193" s="176"/>
      <c r="G193" s="177"/>
      <c r="H193" s="176"/>
      <c r="I193" s="177"/>
      <c r="J193" s="167"/>
      <c r="K193" s="136"/>
    </row>
    <row r="194" spans="2:11" x14ac:dyDescent="0.3">
      <c r="B194" s="293"/>
      <c r="C194" s="171"/>
      <c r="D194" s="172" t="s">
        <v>1086</v>
      </c>
      <c r="E194" s="168"/>
      <c r="F194" s="176"/>
      <c r="G194" s="177"/>
      <c r="H194" s="176"/>
      <c r="I194" s="177"/>
      <c r="J194" s="167"/>
      <c r="K194" s="136"/>
    </row>
    <row r="195" spans="2:11" ht="27" x14ac:dyDescent="0.3">
      <c r="B195" s="293"/>
      <c r="C195" s="171"/>
      <c r="D195" s="178" t="s">
        <v>1087</v>
      </c>
      <c r="E195" s="168"/>
      <c r="F195" s="176"/>
      <c r="G195" s="177"/>
      <c r="H195" s="176"/>
      <c r="I195" s="177"/>
      <c r="J195" s="167"/>
      <c r="K195" s="136"/>
    </row>
    <row r="196" spans="2:11" ht="14" thickBot="1" x14ac:dyDescent="0.35">
      <c r="B196" s="294"/>
      <c r="C196" s="179"/>
      <c r="D196" s="180" t="s">
        <v>1088</v>
      </c>
      <c r="E196" s="181"/>
      <c r="F196" s="182"/>
      <c r="G196" s="183"/>
      <c r="H196" s="182"/>
      <c r="I196" s="183"/>
      <c r="J196" s="184"/>
      <c r="K196" s="185"/>
    </row>
    <row r="197" spans="2:11" x14ac:dyDescent="0.3">
      <c r="B197" s="292">
        <f t="shared" ref="B197:B227" si="11">B187+1</f>
        <v>20</v>
      </c>
      <c r="C197" s="186"/>
      <c r="D197" s="172" t="s">
        <v>1073</v>
      </c>
      <c r="E197" s="168"/>
      <c r="F197" s="167" t="s">
        <v>1089</v>
      </c>
      <c r="G197" s="168" t="s">
        <v>1075</v>
      </c>
      <c r="H197" s="167" t="s">
        <v>1076</v>
      </c>
      <c r="I197" s="168"/>
      <c r="J197" s="167"/>
      <c r="K197" s="136"/>
    </row>
    <row r="198" spans="2:11" ht="27" x14ac:dyDescent="0.3">
      <c r="B198" s="293"/>
      <c r="C198" s="171"/>
      <c r="D198" s="172" t="s">
        <v>1077</v>
      </c>
      <c r="E198" s="168"/>
      <c r="F198" s="167" t="s">
        <v>1078</v>
      </c>
      <c r="G198" s="168"/>
      <c r="H198" s="173" t="s">
        <v>1079</v>
      </c>
      <c r="I198" s="168"/>
      <c r="J198" s="167"/>
      <c r="K198" s="136"/>
    </row>
    <row r="199" spans="2:11" x14ac:dyDescent="0.3">
      <c r="B199" s="293"/>
      <c r="C199" s="171"/>
      <c r="D199" s="172" t="s">
        <v>1080</v>
      </c>
      <c r="E199" s="168"/>
      <c r="F199" s="167" t="s">
        <v>1081</v>
      </c>
      <c r="G199" s="168"/>
      <c r="H199" s="173" t="s">
        <v>1082</v>
      </c>
      <c r="I199" s="168"/>
      <c r="J199" s="167"/>
      <c r="K199" s="136"/>
    </row>
    <row r="200" spans="2:11" x14ac:dyDescent="0.3">
      <c r="B200" s="293"/>
      <c r="C200" s="171"/>
      <c r="D200" s="172" t="s">
        <v>1082</v>
      </c>
      <c r="E200" s="168"/>
      <c r="F200" s="174"/>
      <c r="G200" s="175"/>
      <c r="H200" s="174"/>
      <c r="I200" s="175"/>
      <c r="J200" s="167"/>
      <c r="K200" s="136"/>
    </row>
    <row r="201" spans="2:11" x14ac:dyDescent="0.3">
      <c r="B201" s="293"/>
      <c r="C201" s="171"/>
      <c r="D201" s="172" t="s">
        <v>1083</v>
      </c>
      <c r="E201" s="168"/>
      <c r="F201" s="176"/>
      <c r="G201" s="177"/>
      <c r="H201" s="176"/>
      <c r="I201" s="177"/>
      <c r="J201" s="167"/>
      <c r="K201" s="136"/>
    </row>
    <row r="202" spans="2:11" x14ac:dyDescent="0.3">
      <c r="B202" s="293"/>
      <c r="C202" s="171"/>
      <c r="D202" s="172" t="s">
        <v>1084</v>
      </c>
      <c r="E202" s="168"/>
      <c r="F202" s="176"/>
      <c r="G202" s="177"/>
      <c r="H202" s="176"/>
      <c r="I202" s="177"/>
      <c r="J202" s="167"/>
      <c r="K202" s="136"/>
    </row>
    <row r="203" spans="2:11" x14ac:dyDescent="0.3">
      <c r="B203" s="293"/>
      <c r="C203" s="171"/>
      <c r="D203" s="172" t="s">
        <v>1085</v>
      </c>
      <c r="E203" s="168"/>
      <c r="F203" s="176"/>
      <c r="G203" s="177"/>
      <c r="H203" s="176"/>
      <c r="I203" s="177"/>
      <c r="J203" s="167"/>
      <c r="K203" s="136"/>
    </row>
    <row r="204" spans="2:11" x14ac:dyDescent="0.3">
      <c r="B204" s="293"/>
      <c r="C204" s="171"/>
      <c r="D204" s="172" t="s">
        <v>1086</v>
      </c>
      <c r="E204" s="168"/>
      <c r="F204" s="176"/>
      <c r="G204" s="177"/>
      <c r="H204" s="176"/>
      <c r="I204" s="177"/>
      <c r="J204" s="167"/>
      <c r="K204" s="136"/>
    </row>
    <row r="205" spans="2:11" ht="27" x14ac:dyDescent="0.3">
      <c r="B205" s="293"/>
      <c r="C205" s="171"/>
      <c r="D205" s="178" t="s">
        <v>1087</v>
      </c>
      <c r="E205" s="168"/>
      <c r="F205" s="176"/>
      <c r="G205" s="177"/>
      <c r="H205" s="176"/>
      <c r="I205" s="177"/>
      <c r="J205" s="167"/>
      <c r="K205" s="136"/>
    </row>
    <row r="206" spans="2:11" ht="14" thickBot="1" x14ac:dyDescent="0.35">
      <c r="B206" s="294"/>
      <c r="C206" s="179"/>
      <c r="D206" s="180" t="s">
        <v>1088</v>
      </c>
      <c r="E206" s="181"/>
      <c r="F206" s="182"/>
      <c r="G206" s="183"/>
      <c r="H206" s="182"/>
      <c r="I206" s="183"/>
      <c r="J206" s="184"/>
      <c r="K206" s="185"/>
    </row>
    <row r="207" spans="2:11" x14ac:dyDescent="0.3">
      <c r="B207" s="292">
        <f t="shared" si="11"/>
        <v>21</v>
      </c>
      <c r="C207" s="186"/>
      <c r="D207" s="172" t="s">
        <v>1073</v>
      </c>
      <c r="E207" s="168"/>
      <c r="F207" s="167" t="s">
        <v>1089</v>
      </c>
      <c r="G207" s="168" t="s">
        <v>1075</v>
      </c>
      <c r="H207" s="167" t="s">
        <v>1076</v>
      </c>
      <c r="I207" s="168"/>
      <c r="J207" s="167"/>
      <c r="K207" s="136"/>
    </row>
    <row r="208" spans="2:11" ht="27" x14ac:dyDescent="0.3">
      <c r="B208" s="293"/>
      <c r="C208" s="171"/>
      <c r="D208" s="172" t="s">
        <v>1077</v>
      </c>
      <c r="E208" s="168"/>
      <c r="F208" s="167" t="s">
        <v>1078</v>
      </c>
      <c r="G208" s="168"/>
      <c r="H208" s="173" t="s">
        <v>1079</v>
      </c>
      <c r="I208" s="168"/>
      <c r="J208" s="167"/>
      <c r="K208" s="136"/>
    </row>
    <row r="209" spans="2:11" x14ac:dyDescent="0.3">
      <c r="B209" s="293"/>
      <c r="C209" s="171"/>
      <c r="D209" s="172" t="s">
        <v>1080</v>
      </c>
      <c r="E209" s="168"/>
      <c r="F209" s="167" t="s">
        <v>1081</v>
      </c>
      <c r="G209" s="168"/>
      <c r="H209" s="173" t="s">
        <v>1082</v>
      </c>
      <c r="I209" s="168"/>
      <c r="J209" s="167"/>
      <c r="K209" s="136"/>
    </row>
    <row r="210" spans="2:11" x14ac:dyDescent="0.3">
      <c r="B210" s="293"/>
      <c r="C210" s="171"/>
      <c r="D210" s="172" t="s">
        <v>1082</v>
      </c>
      <c r="E210" s="168"/>
      <c r="F210" s="174"/>
      <c r="G210" s="175"/>
      <c r="H210" s="174"/>
      <c r="I210" s="175"/>
      <c r="J210" s="167"/>
      <c r="K210" s="136"/>
    </row>
    <row r="211" spans="2:11" x14ac:dyDescent="0.3">
      <c r="B211" s="293"/>
      <c r="C211" s="171"/>
      <c r="D211" s="172" t="s">
        <v>1083</v>
      </c>
      <c r="E211" s="168"/>
      <c r="F211" s="176"/>
      <c r="G211" s="177"/>
      <c r="H211" s="176"/>
      <c r="I211" s="177"/>
      <c r="J211" s="167"/>
      <c r="K211" s="136"/>
    </row>
    <row r="212" spans="2:11" x14ac:dyDescent="0.3">
      <c r="B212" s="293"/>
      <c r="C212" s="171"/>
      <c r="D212" s="172" t="s">
        <v>1084</v>
      </c>
      <c r="E212" s="168"/>
      <c r="F212" s="176"/>
      <c r="G212" s="177"/>
      <c r="H212" s="176"/>
      <c r="I212" s="177"/>
      <c r="J212" s="167"/>
      <c r="K212" s="136"/>
    </row>
    <row r="213" spans="2:11" x14ac:dyDescent="0.3">
      <c r="B213" s="293"/>
      <c r="C213" s="171"/>
      <c r="D213" s="172" t="s">
        <v>1085</v>
      </c>
      <c r="E213" s="168"/>
      <c r="F213" s="176"/>
      <c r="G213" s="177"/>
      <c r="H213" s="176"/>
      <c r="I213" s="177"/>
      <c r="J213" s="167"/>
      <c r="K213" s="136"/>
    </row>
    <row r="214" spans="2:11" x14ac:dyDescent="0.3">
      <c r="B214" s="293"/>
      <c r="C214" s="171"/>
      <c r="D214" s="172" t="s">
        <v>1086</v>
      </c>
      <c r="E214" s="168"/>
      <c r="F214" s="176"/>
      <c r="G214" s="177"/>
      <c r="H214" s="176"/>
      <c r="I214" s="177"/>
      <c r="J214" s="167"/>
      <c r="K214" s="136"/>
    </row>
    <row r="215" spans="2:11" ht="27" x14ac:dyDescent="0.3">
      <c r="B215" s="293"/>
      <c r="C215" s="171"/>
      <c r="D215" s="178" t="s">
        <v>1087</v>
      </c>
      <c r="E215" s="168"/>
      <c r="F215" s="176"/>
      <c r="G215" s="177"/>
      <c r="H215" s="176"/>
      <c r="I215" s="177"/>
      <c r="J215" s="167"/>
      <c r="K215" s="136"/>
    </row>
    <row r="216" spans="2:11" ht="14" thickBot="1" x14ac:dyDescent="0.35">
      <c r="B216" s="294"/>
      <c r="C216" s="179"/>
      <c r="D216" s="180" t="s">
        <v>1088</v>
      </c>
      <c r="E216" s="181"/>
      <c r="F216" s="182"/>
      <c r="G216" s="183"/>
      <c r="H216" s="182"/>
      <c r="I216" s="183"/>
      <c r="J216" s="184"/>
      <c r="K216" s="185"/>
    </row>
    <row r="217" spans="2:11" x14ac:dyDescent="0.3">
      <c r="B217" s="292">
        <f t="shared" si="11"/>
        <v>22</v>
      </c>
      <c r="C217" s="186"/>
      <c r="D217" s="172" t="s">
        <v>1073</v>
      </c>
      <c r="E217" s="168"/>
      <c r="F217" s="167" t="s">
        <v>1089</v>
      </c>
      <c r="G217" s="168" t="s">
        <v>1075</v>
      </c>
      <c r="H217" s="167" t="s">
        <v>1076</v>
      </c>
      <c r="I217" s="168"/>
      <c r="J217" s="167"/>
      <c r="K217" s="136"/>
    </row>
    <row r="218" spans="2:11" ht="27" x14ac:dyDescent="0.3">
      <c r="B218" s="293"/>
      <c r="C218" s="171"/>
      <c r="D218" s="172" t="s">
        <v>1077</v>
      </c>
      <c r="E218" s="168"/>
      <c r="F218" s="167" t="s">
        <v>1078</v>
      </c>
      <c r="G218" s="168"/>
      <c r="H218" s="173" t="s">
        <v>1079</v>
      </c>
      <c r="I218" s="168"/>
      <c r="J218" s="167"/>
      <c r="K218" s="136"/>
    </row>
    <row r="219" spans="2:11" x14ac:dyDescent="0.3">
      <c r="B219" s="293"/>
      <c r="C219" s="171"/>
      <c r="D219" s="172" t="s">
        <v>1080</v>
      </c>
      <c r="E219" s="168"/>
      <c r="F219" s="167" t="s">
        <v>1081</v>
      </c>
      <c r="G219" s="168"/>
      <c r="H219" s="173" t="s">
        <v>1082</v>
      </c>
      <c r="I219" s="168"/>
      <c r="J219" s="167"/>
      <c r="K219" s="136"/>
    </row>
    <row r="220" spans="2:11" x14ac:dyDescent="0.3">
      <c r="B220" s="293"/>
      <c r="C220" s="171"/>
      <c r="D220" s="172" t="s">
        <v>1082</v>
      </c>
      <c r="E220" s="168"/>
      <c r="F220" s="174"/>
      <c r="G220" s="175"/>
      <c r="H220" s="174"/>
      <c r="I220" s="175"/>
      <c r="J220" s="167"/>
      <c r="K220" s="136"/>
    </row>
    <row r="221" spans="2:11" x14ac:dyDescent="0.3">
      <c r="B221" s="293"/>
      <c r="C221" s="171"/>
      <c r="D221" s="172" t="s">
        <v>1083</v>
      </c>
      <c r="E221" s="168"/>
      <c r="F221" s="176"/>
      <c r="G221" s="177"/>
      <c r="H221" s="176"/>
      <c r="I221" s="177"/>
      <c r="J221" s="167"/>
      <c r="K221" s="136"/>
    </row>
    <row r="222" spans="2:11" x14ac:dyDescent="0.3">
      <c r="B222" s="293"/>
      <c r="C222" s="171"/>
      <c r="D222" s="172" t="s">
        <v>1084</v>
      </c>
      <c r="E222" s="168"/>
      <c r="F222" s="176"/>
      <c r="G222" s="177"/>
      <c r="H222" s="176"/>
      <c r="I222" s="177"/>
      <c r="J222" s="167"/>
      <c r="K222" s="136"/>
    </row>
    <row r="223" spans="2:11" x14ac:dyDescent="0.3">
      <c r="B223" s="293"/>
      <c r="C223" s="171"/>
      <c r="D223" s="172" t="s">
        <v>1085</v>
      </c>
      <c r="E223" s="168"/>
      <c r="F223" s="176"/>
      <c r="G223" s="177"/>
      <c r="H223" s="176"/>
      <c r="I223" s="177"/>
      <c r="J223" s="167"/>
      <c r="K223" s="136"/>
    </row>
    <row r="224" spans="2:11" x14ac:dyDescent="0.3">
      <c r="B224" s="293"/>
      <c r="C224" s="171"/>
      <c r="D224" s="172" t="s">
        <v>1086</v>
      </c>
      <c r="E224" s="168"/>
      <c r="F224" s="176"/>
      <c r="G224" s="177"/>
      <c r="H224" s="176"/>
      <c r="I224" s="177"/>
      <c r="J224" s="167"/>
      <c r="K224" s="136"/>
    </row>
    <row r="225" spans="2:11" ht="27" x14ac:dyDescent="0.3">
      <c r="B225" s="293"/>
      <c r="C225" s="171"/>
      <c r="D225" s="178" t="s">
        <v>1087</v>
      </c>
      <c r="E225" s="168"/>
      <c r="F225" s="176"/>
      <c r="G225" s="177"/>
      <c r="H225" s="176"/>
      <c r="I225" s="177"/>
      <c r="J225" s="167"/>
      <c r="K225" s="136"/>
    </row>
    <row r="226" spans="2:11" ht="14" thickBot="1" x14ac:dyDescent="0.35">
      <c r="B226" s="294"/>
      <c r="C226" s="179"/>
      <c r="D226" s="180" t="s">
        <v>1088</v>
      </c>
      <c r="E226" s="181"/>
      <c r="F226" s="182"/>
      <c r="G226" s="183"/>
      <c r="H226" s="182"/>
      <c r="I226" s="183"/>
      <c r="J226" s="184"/>
      <c r="K226" s="185"/>
    </row>
    <row r="227" spans="2:11" x14ac:dyDescent="0.3">
      <c r="B227" s="292">
        <f t="shared" si="11"/>
        <v>23</v>
      </c>
      <c r="C227" s="186"/>
      <c r="D227" s="172" t="s">
        <v>1073</v>
      </c>
      <c r="E227" s="168"/>
      <c r="F227" s="167" t="s">
        <v>1089</v>
      </c>
      <c r="G227" s="168" t="s">
        <v>1075</v>
      </c>
      <c r="H227" s="167" t="s">
        <v>1076</v>
      </c>
      <c r="I227" s="168"/>
      <c r="J227" s="167"/>
      <c r="K227" s="136"/>
    </row>
    <row r="228" spans="2:11" ht="27" x14ac:dyDescent="0.3">
      <c r="B228" s="293"/>
      <c r="C228" s="171"/>
      <c r="D228" s="172" t="s">
        <v>1077</v>
      </c>
      <c r="E228" s="168"/>
      <c r="F228" s="167" t="s">
        <v>1078</v>
      </c>
      <c r="G228" s="168"/>
      <c r="H228" s="173" t="s">
        <v>1079</v>
      </c>
      <c r="I228" s="168"/>
      <c r="J228" s="167"/>
      <c r="K228" s="136"/>
    </row>
    <row r="229" spans="2:11" x14ac:dyDescent="0.3">
      <c r="B229" s="293"/>
      <c r="C229" s="171"/>
      <c r="D229" s="172" t="s">
        <v>1080</v>
      </c>
      <c r="E229" s="168"/>
      <c r="F229" s="167" t="s">
        <v>1081</v>
      </c>
      <c r="G229" s="168"/>
      <c r="H229" s="173" t="s">
        <v>1082</v>
      </c>
      <c r="I229" s="168"/>
      <c r="J229" s="167"/>
      <c r="K229" s="136"/>
    </row>
    <row r="230" spans="2:11" x14ac:dyDescent="0.3">
      <c r="B230" s="293"/>
      <c r="C230" s="171"/>
      <c r="D230" s="172" t="s">
        <v>1082</v>
      </c>
      <c r="E230" s="168"/>
      <c r="F230" s="174"/>
      <c r="G230" s="175"/>
      <c r="H230" s="174"/>
      <c r="I230" s="175"/>
      <c r="J230" s="167"/>
      <c r="K230" s="136"/>
    </row>
    <row r="231" spans="2:11" x14ac:dyDescent="0.3">
      <c r="B231" s="293"/>
      <c r="C231" s="171"/>
      <c r="D231" s="172" t="s">
        <v>1083</v>
      </c>
      <c r="E231" s="168"/>
      <c r="F231" s="176"/>
      <c r="G231" s="177"/>
      <c r="H231" s="176"/>
      <c r="I231" s="177"/>
      <c r="J231" s="167"/>
      <c r="K231" s="136"/>
    </row>
    <row r="232" spans="2:11" x14ac:dyDescent="0.3">
      <c r="B232" s="293"/>
      <c r="C232" s="171"/>
      <c r="D232" s="172" t="s">
        <v>1084</v>
      </c>
      <c r="E232" s="168"/>
      <c r="F232" s="176"/>
      <c r="G232" s="177"/>
      <c r="H232" s="176"/>
      <c r="I232" s="177"/>
      <c r="J232" s="167"/>
      <c r="K232" s="136"/>
    </row>
    <row r="233" spans="2:11" x14ac:dyDescent="0.3">
      <c r="B233" s="293"/>
      <c r="C233" s="171"/>
      <c r="D233" s="172" t="s">
        <v>1085</v>
      </c>
      <c r="E233" s="168"/>
      <c r="F233" s="176"/>
      <c r="G233" s="177"/>
      <c r="H233" s="176"/>
      <c r="I233" s="177"/>
      <c r="J233" s="167"/>
      <c r="K233" s="136"/>
    </row>
    <row r="234" spans="2:11" x14ac:dyDescent="0.3">
      <c r="B234" s="293"/>
      <c r="C234" s="171"/>
      <c r="D234" s="172" t="s">
        <v>1086</v>
      </c>
      <c r="E234" s="168"/>
      <c r="F234" s="176"/>
      <c r="G234" s="177"/>
      <c r="H234" s="176"/>
      <c r="I234" s="177"/>
      <c r="J234" s="167"/>
      <c r="K234" s="136"/>
    </row>
    <row r="235" spans="2:11" ht="27" x14ac:dyDescent="0.3">
      <c r="B235" s="293"/>
      <c r="C235" s="171"/>
      <c r="D235" s="178" t="s">
        <v>1087</v>
      </c>
      <c r="E235" s="168"/>
      <c r="F235" s="176"/>
      <c r="G235" s="177"/>
      <c r="H235" s="176"/>
      <c r="I235" s="177"/>
      <c r="J235" s="167"/>
      <c r="K235" s="136"/>
    </row>
    <row r="236" spans="2:11" ht="14" thickBot="1" x14ac:dyDescent="0.35">
      <c r="B236" s="294"/>
      <c r="C236" s="179"/>
      <c r="D236" s="180" t="s">
        <v>1088</v>
      </c>
      <c r="E236" s="181"/>
      <c r="F236" s="182"/>
      <c r="G236" s="183"/>
      <c r="H236" s="182"/>
      <c r="I236" s="183"/>
      <c r="J236" s="184"/>
      <c r="K236" s="185"/>
    </row>
    <row r="237" spans="2:11" x14ac:dyDescent="0.3">
      <c r="B237" s="292">
        <f t="shared" ref="B237" si="12">B227+1</f>
        <v>24</v>
      </c>
      <c r="C237" s="186"/>
      <c r="D237" s="172" t="s">
        <v>1073</v>
      </c>
      <c r="E237" s="168"/>
      <c r="F237" s="167" t="s">
        <v>1089</v>
      </c>
      <c r="G237" s="168" t="s">
        <v>1075</v>
      </c>
      <c r="H237" s="167" t="s">
        <v>1076</v>
      </c>
      <c r="I237" s="168"/>
      <c r="J237" s="167"/>
      <c r="K237" s="136"/>
    </row>
    <row r="238" spans="2:11" ht="27" x14ac:dyDescent="0.3">
      <c r="B238" s="293"/>
      <c r="C238" s="171"/>
      <c r="D238" s="172" t="s">
        <v>1077</v>
      </c>
      <c r="E238" s="168"/>
      <c r="F238" s="167" t="s">
        <v>1078</v>
      </c>
      <c r="G238" s="168"/>
      <c r="H238" s="173" t="s">
        <v>1079</v>
      </c>
      <c r="I238" s="168"/>
      <c r="J238" s="167"/>
      <c r="K238" s="136"/>
    </row>
    <row r="239" spans="2:11" x14ac:dyDescent="0.3">
      <c r="B239" s="293"/>
      <c r="C239" s="171"/>
      <c r="D239" s="172" t="s">
        <v>1080</v>
      </c>
      <c r="E239" s="168"/>
      <c r="F239" s="167" t="s">
        <v>1081</v>
      </c>
      <c r="G239" s="168"/>
      <c r="H239" s="173" t="s">
        <v>1082</v>
      </c>
      <c r="I239" s="168"/>
      <c r="J239" s="167"/>
      <c r="K239" s="136"/>
    </row>
    <row r="240" spans="2:11" x14ac:dyDescent="0.3">
      <c r="B240" s="293"/>
      <c r="C240" s="171"/>
      <c r="D240" s="172" t="s">
        <v>1082</v>
      </c>
      <c r="E240" s="168"/>
      <c r="F240" s="174"/>
      <c r="G240" s="175"/>
      <c r="H240" s="174"/>
      <c r="I240" s="175"/>
      <c r="J240" s="167"/>
      <c r="K240" s="136"/>
    </row>
    <row r="241" spans="2:11" x14ac:dyDescent="0.3">
      <c r="B241" s="293"/>
      <c r="C241" s="171"/>
      <c r="D241" s="172" t="s">
        <v>1083</v>
      </c>
      <c r="E241" s="168"/>
      <c r="F241" s="176"/>
      <c r="G241" s="177"/>
      <c r="H241" s="176"/>
      <c r="I241" s="177"/>
      <c r="J241" s="167"/>
      <c r="K241" s="136"/>
    </row>
    <row r="242" spans="2:11" x14ac:dyDescent="0.3">
      <c r="B242" s="293"/>
      <c r="C242" s="171"/>
      <c r="D242" s="172" t="s">
        <v>1084</v>
      </c>
      <c r="E242" s="168"/>
      <c r="F242" s="176"/>
      <c r="G242" s="177"/>
      <c r="H242" s="176"/>
      <c r="I242" s="177"/>
      <c r="J242" s="167"/>
      <c r="K242" s="136"/>
    </row>
    <row r="243" spans="2:11" x14ac:dyDescent="0.3">
      <c r="B243" s="293"/>
      <c r="C243" s="171"/>
      <c r="D243" s="172" t="s">
        <v>1085</v>
      </c>
      <c r="E243" s="168"/>
      <c r="F243" s="176"/>
      <c r="G243" s="177"/>
      <c r="H243" s="176"/>
      <c r="I243" s="177"/>
      <c r="J243" s="167"/>
      <c r="K243" s="136"/>
    </row>
    <row r="244" spans="2:11" x14ac:dyDescent="0.3">
      <c r="B244" s="293"/>
      <c r="C244" s="171"/>
      <c r="D244" s="172" t="s">
        <v>1086</v>
      </c>
      <c r="E244" s="168"/>
      <c r="F244" s="176"/>
      <c r="G244" s="177"/>
      <c r="H244" s="176"/>
      <c r="I244" s="177"/>
      <c r="J244" s="167"/>
      <c r="K244" s="136"/>
    </row>
    <row r="245" spans="2:11" ht="27" x14ac:dyDescent="0.3">
      <c r="B245" s="293"/>
      <c r="C245" s="171"/>
      <c r="D245" s="178" t="s">
        <v>1087</v>
      </c>
      <c r="E245" s="168"/>
      <c r="F245" s="176"/>
      <c r="G245" s="177"/>
      <c r="H245" s="176"/>
      <c r="I245" s="177"/>
      <c r="J245" s="167"/>
      <c r="K245" s="136"/>
    </row>
    <row r="246" spans="2:11" ht="14" thickBot="1" x14ac:dyDescent="0.35">
      <c r="B246" s="294"/>
      <c r="C246" s="179"/>
      <c r="D246" s="180" t="s">
        <v>1088</v>
      </c>
      <c r="E246" s="181"/>
      <c r="F246" s="182"/>
      <c r="G246" s="183"/>
      <c r="H246" s="182"/>
      <c r="I246" s="183"/>
      <c r="J246" s="184"/>
      <c r="K246" s="185"/>
    </row>
    <row r="247" spans="2:11" x14ac:dyDescent="0.3">
      <c r="B247" s="292">
        <f t="shared" ref="B247" si="13">B237+1</f>
        <v>25</v>
      </c>
      <c r="C247" s="192"/>
      <c r="D247" s="172" t="s">
        <v>1073</v>
      </c>
      <c r="E247" s="168"/>
      <c r="F247" s="167" t="s">
        <v>1089</v>
      </c>
      <c r="G247" s="168" t="s">
        <v>1075</v>
      </c>
      <c r="H247" s="167" t="s">
        <v>1076</v>
      </c>
      <c r="I247" s="168"/>
      <c r="J247" s="167"/>
      <c r="K247" s="136"/>
    </row>
    <row r="248" spans="2:11" ht="27" x14ac:dyDescent="0.3">
      <c r="B248" s="293"/>
      <c r="C248" s="171"/>
      <c r="D248" s="172" t="s">
        <v>1077</v>
      </c>
      <c r="E248" s="168"/>
      <c r="F248" s="167" t="s">
        <v>1078</v>
      </c>
      <c r="G248" s="168"/>
      <c r="H248" s="173" t="s">
        <v>1079</v>
      </c>
      <c r="I248" s="168"/>
      <c r="J248" s="167"/>
      <c r="K248" s="136"/>
    </row>
    <row r="249" spans="2:11" x14ac:dyDescent="0.3">
      <c r="B249" s="293"/>
      <c r="C249" s="171"/>
      <c r="D249" s="172" t="s">
        <v>1080</v>
      </c>
      <c r="E249" s="168"/>
      <c r="F249" s="167" t="s">
        <v>1081</v>
      </c>
      <c r="G249" s="168"/>
      <c r="H249" s="173" t="s">
        <v>1082</v>
      </c>
      <c r="I249" s="168"/>
      <c r="J249" s="167"/>
      <c r="K249" s="136"/>
    </row>
    <row r="250" spans="2:11" x14ac:dyDescent="0.3">
      <c r="B250" s="293"/>
      <c r="C250" s="171"/>
      <c r="D250" s="172" t="s">
        <v>1082</v>
      </c>
      <c r="E250" s="168"/>
      <c r="F250" s="174"/>
      <c r="G250" s="175"/>
      <c r="H250" s="174"/>
      <c r="I250" s="175"/>
      <c r="J250" s="167"/>
      <c r="K250" s="136"/>
    </row>
    <row r="251" spans="2:11" x14ac:dyDescent="0.3">
      <c r="B251" s="293"/>
      <c r="C251" s="171"/>
      <c r="D251" s="172" t="s">
        <v>1083</v>
      </c>
      <c r="E251" s="168"/>
      <c r="F251" s="176"/>
      <c r="G251" s="177"/>
      <c r="H251" s="176"/>
      <c r="I251" s="177"/>
      <c r="J251" s="167"/>
      <c r="K251" s="136"/>
    </row>
    <row r="252" spans="2:11" x14ac:dyDescent="0.3">
      <c r="B252" s="293"/>
      <c r="C252" s="171"/>
      <c r="D252" s="172" t="s">
        <v>1084</v>
      </c>
      <c r="E252" s="168"/>
      <c r="F252" s="176"/>
      <c r="G252" s="177"/>
      <c r="H252" s="176"/>
      <c r="I252" s="177"/>
      <c r="J252" s="167"/>
      <c r="K252" s="136"/>
    </row>
    <row r="253" spans="2:11" x14ac:dyDescent="0.3">
      <c r="B253" s="293"/>
      <c r="C253" s="171"/>
      <c r="D253" s="172" t="s">
        <v>1085</v>
      </c>
      <c r="E253" s="168"/>
      <c r="F253" s="176"/>
      <c r="G253" s="177"/>
      <c r="H253" s="176"/>
      <c r="I253" s="177"/>
      <c r="J253" s="167"/>
      <c r="K253" s="136"/>
    </row>
    <row r="254" spans="2:11" x14ac:dyDescent="0.3">
      <c r="B254" s="293"/>
      <c r="C254" s="171"/>
      <c r="D254" s="172" t="s">
        <v>1086</v>
      </c>
      <c r="E254" s="168"/>
      <c r="F254" s="176"/>
      <c r="G254" s="177"/>
      <c r="H254" s="176"/>
      <c r="I254" s="177"/>
      <c r="J254" s="167"/>
      <c r="K254" s="136"/>
    </row>
    <row r="255" spans="2:11" ht="27" x14ac:dyDescent="0.3">
      <c r="B255" s="293"/>
      <c r="C255" s="171"/>
      <c r="D255" s="178" t="s">
        <v>1087</v>
      </c>
      <c r="E255" s="168"/>
      <c r="F255" s="176"/>
      <c r="G255" s="177"/>
      <c r="H255" s="176"/>
      <c r="I255" s="177"/>
      <c r="J255" s="167"/>
      <c r="K255" s="136"/>
    </row>
    <row r="256" spans="2:11" ht="14" thickBot="1" x14ac:dyDescent="0.35">
      <c r="B256" s="294"/>
      <c r="C256" s="179"/>
      <c r="D256" s="180" t="s">
        <v>1088</v>
      </c>
      <c r="E256" s="181"/>
      <c r="F256" s="182"/>
      <c r="G256" s="183"/>
      <c r="H256" s="182"/>
      <c r="I256" s="183"/>
      <c r="J256" s="184"/>
      <c r="K256" s="185"/>
    </row>
    <row r="257" spans="2:11" x14ac:dyDescent="0.3">
      <c r="B257" s="292">
        <f>B247+1</f>
        <v>26</v>
      </c>
      <c r="C257" s="191"/>
      <c r="D257" s="172" t="s">
        <v>1073</v>
      </c>
      <c r="E257" s="168"/>
      <c r="F257" s="167" t="s">
        <v>1089</v>
      </c>
      <c r="G257" s="168" t="s">
        <v>1075</v>
      </c>
      <c r="H257" s="167" t="s">
        <v>1076</v>
      </c>
      <c r="I257" s="168"/>
      <c r="J257" s="167"/>
      <c r="K257" s="136"/>
    </row>
    <row r="258" spans="2:11" ht="27" x14ac:dyDescent="0.3">
      <c r="B258" s="293"/>
      <c r="C258" s="171"/>
      <c r="D258" s="172" t="s">
        <v>1077</v>
      </c>
      <c r="E258" s="168"/>
      <c r="F258" s="167" t="s">
        <v>1078</v>
      </c>
      <c r="G258" s="168"/>
      <c r="H258" s="173" t="s">
        <v>1079</v>
      </c>
      <c r="I258" s="168"/>
      <c r="J258" s="167"/>
      <c r="K258" s="136"/>
    </row>
    <row r="259" spans="2:11" x14ac:dyDescent="0.3">
      <c r="B259" s="293"/>
      <c r="C259" s="171"/>
      <c r="D259" s="172" t="s">
        <v>1080</v>
      </c>
      <c r="E259" s="168"/>
      <c r="F259" s="167" t="s">
        <v>1081</v>
      </c>
      <c r="G259" s="168"/>
      <c r="H259" s="173" t="s">
        <v>1082</v>
      </c>
      <c r="I259" s="168"/>
      <c r="J259" s="167"/>
      <c r="K259" s="136"/>
    </row>
    <row r="260" spans="2:11" x14ac:dyDescent="0.3">
      <c r="B260" s="293"/>
      <c r="C260" s="171"/>
      <c r="D260" s="172" t="s">
        <v>1082</v>
      </c>
      <c r="E260" s="168"/>
      <c r="F260" s="174"/>
      <c r="G260" s="175"/>
      <c r="H260" s="174"/>
      <c r="I260" s="175"/>
      <c r="J260" s="167"/>
      <c r="K260" s="136"/>
    </row>
    <row r="261" spans="2:11" x14ac:dyDescent="0.3">
      <c r="B261" s="293"/>
      <c r="C261" s="171"/>
      <c r="D261" s="172" t="s">
        <v>1083</v>
      </c>
      <c r="E261" s="168"/>
      <c r="F261" s="176"/>
      <c r="G261" s="177"/>
      <c r="H261" s="176"/>
      <c r="I261" s="177"/>
      <c r="J261" s="167"/>
      <c r="K261" s="136"/>
    </row>
    <row r="262" spans="2:11" x14ac:dyDescent="0.3">
      <c r="B262" s="293"/>
      <c r="C262" s="171"/>
      <c r="D262" s="172" t="s">
        <v>1084</v>
      </c>
      <c r="E262" s="168"/>
      <c r="F262" s="176"/>
      <c r="G262" s="177"/>
      <c r="H262" s="176"/>
      <c r="I262" s="177"/>
      <c r="J262" s="167"/>
      <c r="K262" s="136"/>
    </row>
    <row r="263" spans="2:11" x14ac:dyDescent="0.3">
      <c r="B263" s="293"/>
      <c r="C263" s="171"/>
      <c r="D263" s="172" t="s">
        <v>1085</v>
      </c>
      <c r="E263" s="168"/>
      <c r="F263" s="176"/>
      <c r="G263" s="177"/>
      <c r="H263" s="176"/>
      <c r="I263" s="177"/>
      <c r="J263" s="167"/>
      <c r="K263" s="136"/>
    </row>
    <row r="264" spans="2:11" x14ac:dyDescent="0.3">
      <c r="B264" s="293"/>
      <c r="C264" s="171"/>
      <c r="D264" s="172" t="s">
        <v>1086</v>
      </c>
      <c r="E264" s="168"/>
      <c r="F264" s="176"/>
      <c r="G264" s="177"/>
      <c r="H264" s="176"/>
      <c r="I264" s="177"/>
      <c r="J264" s="167"/>
      <c r="K264" s="136"/>
    </row>
    <row r="265" spans="2:11" ht="27" x14ac:dyDescent="0.3">
      <c r="B265" s="293"/>
      <c r="C265" s="171"/>
      <c r="D265" s="178" t="s">
        <v>1087</v>
      </c>
      <c r="E265" s="168"/>
      <c r="F265" s="176"/>
      <c r="G265" s="177"/>
      <c r="H265" s="176"/>
      <c r="I265" s="177"/>
      <c r="J265" s="167"/>
      <c r="K265" s="136"/>
    </row>
    <row r="266" spans="2:11" ht="14" thickBot="1" x14ac:dyDescent="0.35">
      <c r="B266" s="294"/>
      <c r="C266" s="193"/>
      <c r="D266" s="172" t="s">
        <v>1088</v>
      </c>
      <c r="E266" s="168"/>
      <c r="F266" s="182"/>
      <c r="G266" s="183"/>
      <c r="H266" s="182"/>
      <c r="I266" s="183"/>
      <c r="J266" s="167"/>
      <c r="K266" s="136"/>
    </row>
    <row r="267" spans="2:11" x14ac:dyDescent="0.3">
      <c r="B267" s="292">
        <f>B257+1</f>
        <v>27</v>
      </c>
      <c r="C267" s="186"/>
      <c r="D267" s="172" t="s">
        <v>1073</v>
      </c>
      <c r="E267" s="168"/>
      <c r="F267" s="167" t="s">
        <v>1089</v>
      </c>
      <c r="G267" s="168" t="s">
        <v>1075</v>
      </c>
      <c r="H267" s="167" t="s">
        <v>1076</v>
      </c>
      <c r="I267" s="168"/>
      <c r="J267" s="167"/>
      <c r="K267" s="136"/>
    </row>
    <row r="268" spans="2:11" ht="27" x14ac:dyDescent="0.3">
      <c r="B268" s="293"/>
      <c r="C268" s="171"/>
      <c r="D268" s="172" t="s">
        <v>1077</v>
      </c>
      <c r="E268" s="168"/>
      <c r="F268" s="167" t="s">
        <v>1078</v>
      </c>
      <c r="G268" s="168"/>
      <c r="H268" s="173" t="s">
        <v>1079</v>
      </c>
      <c r="I268" s="168"/>
      <c r="J268" s="167"/>
      <c r="K268" s="136"/>
    </row>
    <row r="269" spans="2:11" x14ac:dyDescent="0.3">
      <c r="B269" s="293"/>
      <c r="C269" s="171"/>
      <c r="D269" s="172" t="s">
        <v>1080</v>
      </c>
      <c r="E269" s="168"/>
      <c r="F269" s="167" t="s">
        <v>1081</v>
      </c>
      <c r="G269" s="168"/>
      <c r="H269" s="173" t="s">
        <v>1082</v>
      </c>
      <c r="I269" s="168"/>
      <c r="J269" s="167"/>
      <c r="K269" s="136"/>
    </row>
    <row r="270" spans="2:11" x14ac:dyDescent="0.3">
      <c r="B270" s="293"/>
      <c r="C270" s="171"/>
      <c r="D270" s="172" t="s">
        <v>1082</v>
      </c>
      <c r="E270" s="168"/>
      <c r="F270" s="174"/>
      <c r="G270" s="175"/>
      <c r="H270" s="174"/>
      <c r="I270" s="175"/>
      <c r="J270" s="167"/>
      <c r="K270" s="136"/>
    </row>
    <row r="271" spans="2:11" x14ac:dyDescent="0.3">
      <c r="B271" s="293"/>
      <c r="C271" s="171"/>
      <c r="D271" s="172" t="s">
        <v>1083</v>
      </c>
      <c r="E271" s="168"/>
      <c r="F271" s="176"/>
      <c r="G271" s="177"/>
      <c r="H271" s="176"/>
      <c r="I271" s="177"/>
      <c r="J271" s="167"/>
      <c r="K271" s="136"/>
    </row>
    <row r="272" spans="2:11" x14ac:dyDescent="0.3">
      <c r="B272" s="293"/>
      <c r="C272" s="171"/>
      <c r="D272" s="172" t="s">
        <v>1084</v>
      </c>
      <c r="E272" s="168"/>
      <c r="F272" s="176"/>
      <c r="G272" s="177"/>
      <c r="H272" s="176"/>
      <c r="I272" s="177"/>
      <c r="J272" s="167"/>
      <c r="K272" s="136"/>
    </row>
    <row r="273" spans="2:11" x14ac:dyDescent="0.3">
      <c r="B273" s="293"/>
      <c r="C273" s="171"/>
      <c r="D273" s="172" t="s">
        <v>1085</v>
      </c>
      <c r="E273" s="168"/>
      <c r="F273" s="176"/>
      <c r="G273" s="177"/>
      <c r="H273" s="176"/>
      <c r="I273" s="177"/>
      <c r="J273" s="167"/>
      <c r="K273" s="136"/>
    </row>
    <row r="274" spans="2:11" x14ac:dyDescent="0.3">
      <c r="B274" s="293"/>
      <c r="C274" s="171"/>
      <c r="D274" s="172" t="s">
        <v>1086</v>
      </c>
      <c r="E274" s="168"/>
      <c r="F274" s="176"/>
      <c r="G274" s="177"/>
      <c r="H274" s="176"/>
      <c r="I274" s="177"/>
      <c r="J274" s="167"/>
      <c r="K274" s="136"/>
    </row>
    <row r="275" spans="2:11" ht="27" x14ac:dyDescent="0.3">
      <c r="B275" s="293"/>
      <c r="C275" s="171"/>
      <c r="D275" s="178" t="s">
        <v>1087</v>
      </c>
      <c r="E275" s="168"/>
      <c r="F275" s="176"/>
      <c r="G275" s="177"/>
      <c r="H275" s="176"/>
      <c r="I275" s="177"/>
      <c r="J275" s="167"/>
      <c r="K275" s="136"/>
    </row>
    <row r="276" spans="2:11" ht="14" thickBot="1" x14ac:dyDescent="0.35">
      <c r="B276" s="294"/>
      <c r="C276" s="193"/>
      <c r="D276" s="172" t="s">
        <v>1088</v>
      </c>
      <c r="E276" s="168"/>
      <c r="F276" s="182"/>
      <c r="G276" s="183"/>
      <c r="H276" s="182"/>
      <c r="I276" s="183"/>
      <c r="J276" s="167"/>
      <c r="K276" s="136"/>
    </row>
  </sheetData>
  <sheetProtection insertRows="0" deleteRows="0" sort="0" autoFilter="0"/>
  <dataConsolidate/>
  <mergeCells count="28">
    <mergeCell ref="B7:B16"/>
    <mergeCell ref="B17:B26"/>
    <mergeCell ref="B27:B36"/>
    <mergeCell ref="B4:B6"/>
    <mergeCell ref="B147:B156"/>
    <mergeCell ref="B37:B46"/>
    <mergeCell ref="B47:B56"/>
    <mergeCell ref="B57:B66"/>
    <mergeCell ref="B67:B76"/>
    <mergeCell ref="B77:B86"/>
    <mergeCell ref="B87:B96"/>
    <mergeCell ref="B97:B106"/>
    <mergeCell ref="B107:B116"/>
    <mergeCell ref="B117:B126"/>
    <mergeCell ref="B127:B136"/>
    <mergeCell ref="B137:B146"/>
    <mergeCell ref="B267:B276"/>
    <mergeCell ref="B157:B166"/>
    <mergeCell ref="B167:B176"/>
    <mergeCell ref="B177:B186"/>
    <mergeCell ref="B187:B196"/>
    <mergeCell ref="B197:B206"/>
    <mergeCell ref="B207:B216"/>
    <mergeCell ref="B217:B226"/>
    <mergeCell ref="B227:B236"/>
    <mergeCell ref="B237:B246"/>
    <mergeCell ref="B247:B256"/>
    <mergeCell ref="B257:B266"/>
  </mergeCells>
  <phoneticPr fontId="13"/>
  <hyperlinks>
    <hyperlink ref="A3" location="パラメータ設定一覧!A1" display="パラメータ設定一覧へ" xr:uid="{E38DD05E-8DA0-47F8-8904-07991A949E7A}"/>
  </hyperlinks>
  <pageMargins left="0.70866141732283472" right="0.70866141732283472" top="0.74803149606299213" bottom="0.74803149606299213" header="0.31496062992125984" footer="0.31496062992125984"/>
  <pageSetup paperSize="9" scale="14"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B6C0-6F99-4C35-AF0F-88281B91E93F}">
  <sheetPr>
    <pageSetUpPr fitToPage="1"/>
  </sheetPr>
  <dimension ref="A1:I27"/>
  <sheetViews>
    <sheetView showGridLines="0" zoomScaleNormal="100" zoomScaleSheetLayoutView="7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4" width="19.42578125" style="87" bestFit="1" customWidth="1"/>
    <col min="5" max="9" width="19.5703125" style="87" customWidth="1"/>
    <col min="10" max="16384" width="8.78515625" style="87"/>
  </cols>
  <sheetData>
    <row r="1" spans="1:9" customFormat="1" ht="19.5" x14ac:dyDescent="0.35">
      <c r="A1" s="108" t="s">
        <v>1090</v>
      </c>
    </row>
    <row r="2" spans="1:9" customFormat="1" ht="15" x14ac:dyDescent="0.35"/>
    <row r="3" spans="1:9" customFormat="1" ht="15" x14ac:dyDescent="0.35">
      <c r="A3" s="36" t="s">
        <v>1104</v>
      </c>
    </row>
    <row r="4" spans="1:9" ht="15.75" customHeight="1" x14ac:dyDescent="0.35">
      <c r="B4" s="287" t="s">
        <v>24</v>
      </c>
      <c r="C4" s="117" t="s">
        <v>520</v>
      </c>
      <c r="D4" s="118"/>
      <c r="E4" s="118"/>
      <c r="F4" s="118"/>
      <c r="G4" s="118"/>
      <c r="H4" s="118"/>
      <c r="I4" s="23"/>
    </row>
    <row r="5" spans="1:9" x14ac:dyDescent="0.35">
      <c r="B5" s="287"/>
      <c r="C5" s="130"/>
      <c r="D5" s="15" t="s">
        <v>978</v>
      </c>
      <c r="E5" s="16"/>
      <c r="F5" s="16"/>
      <c r="G5" s="16"/>
      <c r="H5" s="16"/>
      <c r="I5" s="126" t="s">
        <v>1091</v>
      </c>
    </row>
    <row r="6" spans="1:9" ht="27" x14ac:dyDescent="0.35">
      <c r="B6" s="287"/>
      <c r="C6" s="32" t="s">
        <v>520</v>
      </c>
      <c r="D6" s="32" t="s">
        <v>1093</v>
      </c>
      <c r="E6" s="32" t="s">
        <v>1094</v>
      </c>
      <c r="F6" s="32" t="s">
        <v>1095</v>
      </c>
      <c r="G6" s="32" t="s">
        <v>1096</v>
      </c>
      <c r="H6" s="32" t="s">
        <v>1097</v>
      </c>
      <c r="I6" s="32" t="s">
        <v>980</v>
      </c>
    </row>
    <row r="7" spans="1:9" ht="14.25" customHeight="1" x14ac:dyDescent="0.35">
      <c r="B7" s="287"/>
      <c r="C7" s="34" t="s">
        <v>382</v>
      </c>
      <c r="D7" s="119" t="s">
        <v>654</v>
      </c>
      <c r="E7" s="119" t="s">
        <v>654</v>
      </c>
      <c r="F7" s="119" t="s">
        <v>654</v>
      </c>
      <c r="G7" s="119" t="s">
        <v>654</v>
      </c>
      <c r="H7" s="119" t="s">
        <v>654</v>
      </c>
      <c r="I7" s="34" t="s">
        <v>1002</v>
      </c>
    </row>
    <row r="8" spans="1:9" ht="16.5" customHeight="1" x14ac:dyDescent="0.3">
      <c r="B8" s="195">
        <f>ROW() - 7</f>
        <v>1</v>
      </c>
      <c r="C8" s="166"/>
      <c r="D8" s="196" t="s">
        <v>546</v>
      </c>
      <c r="E8" s="196" t="s">
        <v>546</v>
      </c>
      <c r="F8" s="196" t="s">
        <v>546</v>
      </c>
      <c r="G8" s="196" t="s">
        <v>546</v>
      </c>
      <c r="H8" s="196" t="s">
        <v>546</v>
      </c>
      <c r="I8" s="196"/>
    </row>
    <row r="9" spans="1:9" x14ac:dyDescent="0.3">
      <c r="B9" s="197">
        <f>B8+1</f>
        <v>2</v>
      </c>
      <c r="C9" s="137"/>
      <c r="D9" s="198" t="s">
        <v>546</v>
      </c>
      <c r="E9" s="198" t="s">
        <v>546</v>
      </c>
      <c r="F9" s="198" t="s">
        <v>546</v>
      </c>
      <c r="G9" s="198" t="s">
        <v>546</v>
      </c>
      <c r="H9" s="198" t="s">
        <v>546</v>
      </c>
      <c r="I9" s="196"/>
    </row>
    <row r="10" spans="1:9" x14ac:dyDescent="0.3">
      <c r="B10" s="197">
        <f t="shared" ref="B10:B24" si="0">B9+1</f>
        <v>3</v>
      </c>
      <c r="C10" s="137"/>
      <c r="D10" s="198" t="s">
        <v>546</v>
      </c>
      <c r="E10" s="198" t="s">
        <v>546</v>
      </c>
      <c r="F10" s="198" t="s">
        <v>546</v>
      </c>
      <c r="G10" s="198" t="s">
        <v>546</v>
      </c>
      <c r="H10" s="198" t="s">
        <v>546</v>
      </c>
      <c r="I10" s="196"/>
    </row>
    <row r="11" spans="1:9" x14ac:dyDescent="0.3">
      <c r="B11" s="197">
        <f t="shared" si="0"/>
        <v>4</v>
      </c>
      <c r="C11" s="137"/>
      <c r="D11" s="198" t="s">
        <v>546</v>
      </c>
      <c r="E11" s="198" t="s">
        <v>546</v>
      </c>
      <c r="F11" s="198" t="s">
        <v>546</v>
      </c>
      <c r="G11" s="198" t="s">
        <v>546</v>
      </c>
      <c r="H11" s="198" t="s">
        <v>546</v>
      </c>
      <c r="I11" s="196"/>
    </row>
    <row r="12" spans="1:9" x14ac:dyDescent="0.3">
      <c r="B12" s="197">
        <f t="shared" si="0"/>
        <v>5</v>
      </c>
      <c r="C12" s="137"/>
      <c r="D12" s="198" t="s">
        <v>546</v>
      </c>
      <c r="E12" s="198" t="s">
        <v>546</v>
      </c>
      <c r="F12" s="198" t="s">
        <v>546</v>
      </c>
      <c r="G12" s="198" t="s">
        <v>546</v>
      </c>
      <c r="H12" s="198" t="s">
        <v>546</v>
      </c>
      <c r="I12" s="196"/>
    </row>
    <row r="13" spans="1:9" x14ac:dyDescent="0.3">
      <c r="B13" s="197">
        <f t="shared" si="0"/>
        <v>6</v>
      </c>
      <c r="C13" s="137"/>
      <c r="D13" s="198" t="s">
        <v>546</v>
      </c>
      <c r="E13" s="198" t="s">
        <v>546</v>
      </c>
      <c r="F13" s="198" t="s">
        <v>546</v>
      </c>
      <c r="G13" s="198" t="s">
        <v>546</v>
      </c>
      <c r="H13" s="198" t="s">
        <v>546</v>
      </c>
      <c r="I13" s="196"/>
    </row>
    <row r="14" spans="1:9" x14ac:dyDescent="0.3">
      <c r="B14" s="197">
        <f t="shared" si="0"/>
        <v>7</v>
      </c>
      <c r="C14" s="137"/>
      <c r="D14" s="198" t="s">
        <v>546</v>
      </c>
      <c r="E14" s="198" t="s">
        <v>546</v>
      </c>
      <c r="F14" s="198" t="s">
        <v>546</v>
      </c>
      <c r="G14" s="198" t="s">
        <v>546</v>
      </c>
      <c r="H14" s="198" t="s">
        <v>546</v>
      </c>
      <c r="I14" s="196"/>
    </row>
    <row r="15" spans="1:9" x14ac:dyDescent="0.3">
      <c r="B15" s="197">
        <f t="shared" si="0"/>
        <v>8</v>
      </c>
      <c r="C15" s="137"/>
      <c r="D15" s="198" t="s">
        <v>546</v>
      </c>
      <c r="E15" s="198" t="s">
        <v>546</v>
      </c>
      <c r="F15" s="198" t="s">
        <v>546</v>
      </c>
      <c r="G15" s="198" t="s">
        <v>546</v>
      </c>
      <c r="H15" s="198" t="s">
        <v>546</v>
      </c>
      <c r="I15" s="196"/>
    </row>
    <row r="16" spans="1:9" x14ac:dyDescent="0.3">
      <c r="B16" s="197">
        <f t="shared" si="0"/>
        <v>9</v>
      </c>
      <c r="C16" s="137"/>
      <c r="D16" s="198" t="s">
        <v>546</v>
      </c>
      <c r="E16" s="198" t="s">
        <v>546</v>
      </c>
      <c r="F16" s="198" t="s">
        <v>546</v>
      </c>
      <c r="G16" s="198" t="s">
        <v>546</v>
      </c>
      <c r="H16" s="198" t="s">
        <v>546</v>
      </c>
      <c r="I16" s="196"/>
    </row>
    <row r="17" spans="2:9" x14ac:dyDescent="0.3">
      <c r="B17" s="197">
        <f t="shared" si="0"/>
        <v>10</v>
      </c>
      <c r="C17" s="137"/>
      <c r="D17" s="198" t="s">
        <v>546</v>
      </c>
      <c r="E17" s="198" t="s">
        <v>546</v>
      </c>
      <c r="F17" s="198" t="s">
        <v>546</v>
      </c>
      <c r="G17" s="198" t="s">
        <v>546</v>
      </c>
      <c r="H17" s="198" t="s">
        <v>546</v>
      </c>
      <c r="I17" s="196"/>
    </row>
    <row r="18" spans="2:9" x14ac:dyDescent="0.3">
      <c r="B18" s="197">
        <f t="shared" si="0"/>
        <v>11</v>
      </c>
      <c r="C18" s="137"/>
      <c r="D18" s="198" t="s">
        <v>546</v>
      </c>
      <c r="E18" s="198" t="s">
        <v>546</v>
      </c>
      <c r="F18" s="198" t="s">
        <v>546</v>
      </c>
      <c r="G18" s="198" t="s">
        <v>546</v>
      </c>
      <c r="H18" s="198" t="s">
        <v>546</v>
      </c>
      <c r="I18" s="196"/>
    </row>
    <row r="19" spans="2:9" x14ac:dyDescent="0.3">
      <c r="B19" s="197">
        <f t="shared" si="0"/>
        <v>12</v>
      </c>
      <c r="C19" s="137"/>
      <c r="D19" s="198" t="s">
        <v>546</v>
      </c>
      <c r="E19" s="198" t="s">
        <v>546</v>
      </c>
      <c r="F19" s="198" t="s">
        <v>546</v>
      </c>
      <c r="G19" s="198" t="s">
        <v>546</v>
      </c>
      <c r="H19" s="198" t="s">
        <v>546</v>
      </c>
      <c r="I19" s="196"/>
    </row>
    <row r="20" spans="2:9" x14ac:dyDescent="0.3">
      <c r="B20" s="197">
        <f t="shared" si="0"/>
        <v>13</v>
      </c>
      <c r="C20" s="137"/>
      <c r="D20" s="198" t="s">
        <v>546</v>
      </c>
      <c r="E20" s="198" t="s">
        <v>546</v>
      </c>
      <c r="F20" s="198" t="s">
        <v>546</v>
      </c>
      <c r="G20" s="198" t="s">
        <v>546</v>
      </c>
      <c r="H20" s="198" t="s">
        <v>546</v>
      </c>
      <c r="I20" s="196"/>
    </row>
    <row r="21" spans="2:9" x14ac:dyDescent="0.3">
      <c r="B21" s="197">
        <f t="shared" si="0"/>
        <v>14</v>
      </c>
      <c r="C21" s="137"/>
      <c r="D21" s="198" t="s">
        <v>546</v>
      </c>
      <c r="E21" s="198" t="s">
        <v>546</v>
      </c>
      <c r="F21" s="198" t="s">
        <v>546</v>
      </c>
      <c r="G21" s="198" t="s">
        <v>546</v>
      </c>
      <c r="H21" s="198" t="s">
        <v>546</v>
      </c>
      <c r="I21" s="196"/>
    </row>
    <row r="22" spans="2:9" x14ac:dyDescent="0.3">
      <c r="B22" s="197">
        <f t="shared" si="0"/>
        <v>15</v>
      </c>
      <c r="C22" s="137"/>
      <c r="D22" s="198" t="s">
        <v>546</v>
      </c>
      <c r="E22" s="198" t="s">
        <v>546</v>
      </c>
      <c r="F22" s="198" t="s">
        <v>546</v>
      </c>
      <c r="G22" s="198" t="s">
        <v>546</v>
      </c>
      <c r="H22" s="198" t="s">
        <v>546</v>
      </c>
      <c r="I22" s="196"/>
    </row>
    <row r="23" spans="2:9" x14ac:dyDescent="0.3">
      <c r="B23" s="197">
        <f t="shared" si="0"/>
        <v>16</v>
      </c>
      <c r="C23" s="137"/>
      <c r="D23" s="198" t="s">
        <v>546</v>
      </c>
      <c r="E23" s="198" t="s">
        <v>546</v>
      </c>
      <c r="F23" s="198" t="s">
        <v>546</v>
      </c>
      <c r="G23" s="198" t="s">
        <v>546</v>
      </c>
      <c r="H23" s="198" t="s">
        <v>546</v>
      </c>
      <c r="I23" s="196"/>
    </row>
    <row r="24" spans="2:9" x14ac:dyDescent="0.3">
      <c r="B24" s="199">
        <f t="shared" si="0"/>
        <v>17</v>
      </c>
      <c r="C24" s="136"/>
      <c r="D24" s="198" t="s">
        <v>546</v>
      </c>
      <c r="E24" s="198" t="s">
        <v>546</v>
      </c>
      <c r="F24" s="198" t="s">
        <v>546</v>
      </c>
      <c r="G24" s="198" t="s">
        <v>546</v>
      </c>
      <c r="H24" s="198" t="s">
        <v>546</v>
      </c>
      <c r="I24" s="196"/>
    </row>
    <row r="25" spans="2:9" x14ac:dyDescent="0.3">
      <c r="B25" s="199">
        <f t="shared" ref="B25:B27" si="1">B24+1</f>
        <v>18</v>
      </c>
      <c r="C25" s="136"/>
      <c r="D25" s="198" t="s">
        <v>546</v>
      </c>
      <c r="E25" s="198" t="s">
        <v>546</v>
      </c>
      <c r="F25" s="198" t="s">
        <v>546</v>
      </c>
      <c r="G25" s="198" t="s">
        <v>546</v>
      </c>
      <c r="H25" s="198" t="s">
        <v>546</v>
      </c>
      <c r="I25" s="196"/>
    </row>
    <row r="26" spans="2:9" x14ac:dyDescent="0.3">
      <c r="B26" s="199">
        <f t="shared" si="1"/>
        <v>19</v>
      </c>
      <c r="C26" s="136"/>
      <c r="D26" s="198" t="s">
        <v>546</v>
      </c>
      <c r="E26" s="198" t="s">
        <v>546</v>
      </c>
      <c r="F26" s="198" t="s">
        <v>546</v>
      </c>
      <c r="G26" s="198" t="s">
        <v>546</v>
      </c>
      <c r="H26" s="198" t="s">
        <v>546</v>
      </c>
      <c r="I26" s="196"/>
    </row>
    <row r="27" spans="2:9" x14ac:dyDescent="0.3">
      <c r="B27" s="199">
        <f t="shared" si="1"/>
        <v>20</v>
      </c>
      <c r="C27" s="136"/>
      <c r="D27" s="198" t="s">
        <v>546</v>
      </c>
      <c r="E27" s="198" t="s">
        <v>546</v>
      </c>
      <c r="F27" s="198" t="s">
        <v>546</v>
      </c>
      <c r="G27" s="198" t="s">
        <v>546</v>
      </c>
      <c r="H27" s="198" t="s">
        <v>546</v>
      </c>
      <c r="I27" s="196"/>
    </row>
  </sheetData>
  <sheetProtection insertRows="0" deleteRows="0" sort="0" autoFilter="0"/>
  <mergeCells count="1">
    <mergeCell ref="B4:B7"/>
  </mergeCells>
  <phoneticPr fontId="13"/>
  <hyperlinks>
    <hyperlink ref="A3" location="パラメータ設定一覧!A1" display="パラメータ設定一覧へ" xr:uid="{9210D0EC-752F-41AE-AD35-5C47F83DF900}"/>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6DBA-CAB8-4A51-9B19-EB7B082D0BAC}">
  <sheetPr>
    <pageSetUpPr fitToPage="1"/>
  </sheetPr>
  <dimension ref="A1:G27"/>
  <sheetViews>
    <sheetView showGridLines="0" zoomScaleNormal="100" zoomScaleSheetLayoutView="100" workbookViewId="0">
      <pane xSplit="3" ySplit="7" topLeftCell="D8" activePane="bottomRight" state="frozen"/>
      <selection pane="topRight"/>
      <selection pane="bottomLeft"/>
      <selection pane="bottomRight" activeCell="D8" sqref="D8"/>
    </sheetView>
  </sheetViews>
  <sheetFormatPr defaultColWidth="8.78515625" defaultRowHeight="13.5" x14ac:dyDescent="0.35"/>
  <cols>
    <col min="1" max="1" width="2.78515625" style="87" customWidth="1"/>
    <col min="2" max="2" width="3.5703125" style="87" bestFit="1" customWidth="1"/>
    <col min="3" max="3" width="18.78515625" style="87" customWidth="1"/>
    <col min="4" max="7" width="19.5703125" style="87" customWidth="1"/>
    <col min="8" max="16384" width="8.78515625" style="87"/>
  </cols>
  <sheetData>
    <row r="1" spans="1:7" customFormat="1" ht="19.5" x14ac:dyDescent="0.35">
      <c r="A1" s="108" t="s">
        <v>1092</v>
      </c>
    </row>
    <row r="2" spans="1:7" customFormat="1" ht="15" x14ac:dyDescent="0.35"/>
    <row r="3" spans="1:7" customFormat="1" ht="15" x14ac:dyDescent="0.35">
      <c r="A3" s="36" t="s">
        <v>1104</v>
      </c>
    </row>
    <row r="4" spans="1:7" ht="15.75" customHeight="1" x14ac:dyDescent="0.35">
      <c r="B4" s="287" t="s">
        <v>24</v>
      </c>
      <c r="C4" s="117" t="s">
        <v>520</v>
      </c>
      <c r="D4" s="118"/>
      <c r="E4" s="118"/>
      <c r="F4" s="118"/>
      <c r="G4" s="118"/>
    </row>
    <row r="5" spans="1:7" x14ac:dyDescent="0.35">
      <c r="B5" s="287"/>
      <c r="C5" s="130"/>
      <c r="D5" s="15" t="s">
        <v>978</v>
      </c>
      <c r="E5" s="16"/>
      <c r="F5" s="16"/>
      <c r="G5" s="16"/>
    </row>
    <row r="6" spans="1:7" ht="27" x14ac:dyDescent="0.35">
      <c r="B6" s="287"/>
      <c r="C6" s="32" t="s">
        <v>520</v>
      </c>
      <c r="D6" s="32" t="s">
        <v>1099</v>
      </c>
      <c r="E6" s="32" t="s">
        <v>1100</v>
      </c>
      <c r="F6" s="32" t="s">
        <v>1101</v>
      </c>
      <c r="G6" s="32" t="s">
        <v>1102</v>
      </c>
    </row>
    <row r="7" spans="1:7" ht="14.25" customHeight="1" x14ac:dyDescent="0.35">
      <c r="B7" s="287"/>
      <c r="C7" s="34" t="s">
        <v>382</v>
      </c>
      <c r="D7" s="107" t="s">
        <v>654</v>
      </c>
      <c r="E7" s="107" t="s">
        <v>654</v>
      </c>
      <c r="F7" s="107" t="s">
        <v>654</v>
      </c>
      <c r="G7" s="107" t="s">
        <v>654</v>
      </c>
    </row>
    <row r="8" spans="1:7" ht="16.5" customHeight="1" x14ac:dyDescent="0.3">
      <c r="B8" s="199">
        <f>ROW() - 7</f>
        <v>1</v>
      </c>
      <c r="C8" s="199"/>
      <c r="D8" s="136"/>
      <c r="E8" s="136"/>
      <c r="F8" s="136"/>
      <c r="G8" s="136"/>
    </row>
    <row r="9" spans="1:7" ht="16.5" customHeight="1" x14ac:dyDescent="0.3">
      <c r="B9" s="199">
        <f t="shared" ref="B9:B27" si="0">ROW() - 7</f>
        <v>2</v>
      </c>
      <c r="C9" s="199"/>
      <c r="D9" s="136"/>
      <c r="E9" s="136"/>
      <c r="F9" s="136"/>
      <c r="G9" s="136"/>
    </row>
    <row r="10" spans="1:7" ht="16.5" customHeight="1" x14ac:dyDescent="0.3">
      <c r="B10" s="199">
        <f t="shared" si="0"/>
        <v>3</v>
      </c>
      <c r="C10" s="199"/>
      <c r="D10" s="136"/>
      <c r="E10" s="136"/>
      <c r="F10" s="136"/>
      <c r="G10" s="136"/>
    </row>
    <row r="11" spans="1:7" ht="16.5" customHeight="1" x14ac:dyDescent="0.3">
      <c r="B11" s="199">
        <f t="shared" si="0"/>
        <v>4</v>
      </c>
      <c r="C11" s="199"/>
      <c r="D11" s="136"/>
      <c r="E11" s="136"/>
      <c r="F11" s="136"/>
      <c r="G11" s="136"/>
    </row>
    <row r="12" spans="1:7" ht="16.5" customHeight="1" x14ac:dyDescent="0.3">
      <c r="B12" s="199">
        <f t="shared" si="0"/>
        <v>5</v>
      </c>
      <c r="C12" s="199"/>
      <c r="D12" s="136"/>
      <c r="E12" s="136"/>
      <c r="F12" s="136"/>
      <c r="G12" s="136"/>
    </row>
    <row r="13" spans="1:7" ht="16.5" customHeight="1" x14ac:dyDescent="0.3">
      <c r="B13" s="199">
        <f t="shared" si="0"/>
        <v>6</v>
      </c>
      <c r="C13" s="199"/>
      <c r="D13" s="136"/>
      <c r="E13" s="136"/>
      <c r="F13" s="136"/>
      <c r="G13" s="136"/>
    </row>
    <row r="14" spans="1:7" ht="16.5" customHeight="1" x14ac:dyDescent="0.3">
      <c r="B14" s="199">
        <f t="shared" si="0"/>
        <v>7</v>
      </c>
      <c r="C14" s="199"/>
      <c r="D14" s="136"/>
      <c r="E14" s="136"/>
      <c r="F14" s="136"/>
      <c r="G14" s="136"/>
    </row>
    <row r="15" spans="1:7" ht="16.5" customHeight="1" x14ac:dyDescent="0.3">
      <c r="B15" s="199">
        <f t="shared" si="0"/>
        <v>8</v>
      </c>
      <c r="C15" s="199"/>
      <c r="D15" s="136"/>
      <c r="E15" s="136"/>
      <c r="F15" s="136"/>
      <c r="G15" s="136"/>
    </row>
    <row r="16" spans="1:7" ht="16.5" customHeight="1" x14ac:dyDescent="0.3">
      <c r="B16" s="199">
        <f t="shared" si="0"/>
        <v>9</v>
      </c>
      <c r="C16" s="199"/>
      <c r="D16" s="136"/>
      <c r="E16" s="136"/>
      <c r="F16" s="136"/>
      <c r="G16" s="136"/>
    </row>
    <row r="17" spans="2:7" ht="16.5" customHeight="1" x14ac:dyDescent="0.3">
      <c r="B17" s="199">
        <f t="shared" si="0"/>
        <v>10</v>
      </c>
      <c r="C17" s="199"/>
      <c r="D17" s="136"/>
      <c r="E17" s="136"/>
      <c r="F17" s="136"/>
      <c r="G17" s="136"/>
    </row>
    <row r="18" spans="2:7" ht="16.5" customHeight="1" x14ac:dyDescent="0.3">
      <c r="B18" s="199">
        <f t="shared" si="0"/>
        <v>11</v>
      </c>
      <c r="C18" s="199"/>
      <c r="D18" s="136"/>
      <c r="E18" s="136"/>
      <c r="F18" s="136"/>
      <c r="G18" s="136"/>
    </row>
    <row r="19" spans="2:7" ht="16.5" customHeight="1" x14ac:dyDescent="0.3">
      <c r="B19" s="199">
        <f t="shared" si="0"/>
        <v>12</v>
      </c>
      <c r="C19" s="199"/>
      <c r="D19" s="136"/>
      <c r="E19" s="136"/>
      <c r="F19" s="136"/>
      <c r="G19" s="136"/>
    </row>
    <row r="20" spans="2:7" ht="16.5" customHeight="1" x14ac:dyDescent="0.3">
      <c r="B20" s="199">
        <f t="shared" si="0"/>
        <v>13</v>
      </c>
      <c r="C20" s="199"/>
      <c r="D20" s="136"/>
      <c r="E20" s="136"/>
      <c r="F20" s="136"/>
      <c r="G20" s="136"/>
    </row>
    <row r="21" spans="2:7" ht="16.5" customHeight="1" x14ac:dyDescent="0.3">
      <c r="B21" s="199">
        <f t="shared" si="0"/>
        <v>14</v>
      </c>
      <c r="C21" s="199"/>
      <c r="D21" s="136"/>
      <c r="E21" s="136"/>
      <c r="F21" s="136"/>
      <c r="G21" s="136"/>
    </row>
    <row r="22" spans="2:7" ht="16.5" customHeight="1" x14ac:dyDescent="0.3">
      <c r="B22" s="199">
        <f t="shared" si="0"/>
        <v>15</v>
      </c>
      <c r="C22" s="199"/>
      <c r="D22" s="136"/>
      <c r="E22" s="136"/>
      <c r="F22" s="136"/>
      <c r="G22" s="136"/>
    </row>
    <row r="23" spans="2:7" ht="16.5" customHeight="1" x14ac:dyDescent="0.3">
      <c r="B23" s="199">
        <f t="shared" si="0"/>
        <v>16</v>
      </c>
      <c r="C23" s="199"/>
      <c r="D23" s="136"/>
      <c r="E23" s="136"/>
      <c r="F23" s="136"/>
      <c r="G23" s="136"/>
    </row>
    <row r="24" spans="2:7" ht="16.5" customHeight="1" x14ac:dyDescent="0.3">
      <c r="B24" s="199">
        <f t="shared" si="0"/>
        <v>17</v>
      </c>
      <c r="C24" s="199"/>
      <c r="D24" s="136"/>
      <c r="E24" s="136"/>
      <c r="F24" s="136"/>
      <c r="G24" s="136"/>
    </row>
    <row r="25" spans="2:7" ht="16.5" customHeight="1" x14ac:dyDescent="0.3">
      <c r="B25" s="199">
        <f t="shared" si="0"/>
        <v>18</v>
      </c>
      <c r="C25" s="199"/>
      <c r="D25" s="136"/>
      <c r="E25" s="136"/>
      <c r="F25" s="136"/>
      <c r="G25" s="136"/>
    </row>
    <row r="26" spans="2:7" ht="16.5" customHeight="1" x14ac:dyDescent="0.3">
      <c r="B26" s="199">
        <f t="shared" si="0"/>
        <v>19</v>
      </c>
      <c r="C26" s="199"/>
      <c r="D26" s="136"/>
      <c r="E26" s="136"/>
      <c r="F26" s="136"/>
      <c r="G26" s="136"/>
    </row>
    <row r="27" spans="2:7" ht="16.5" customHeight="1" x14ac:dyDescent="0.3">
      <c r="B27" s="199">
        <f t="shared" si="0"/>
        <v>20</v>
      </c>
      <c r="C27" s="199"/>
      <c r="D27" s="136"/>
      <c r="E27" s="136"/>
      <c r="F27" s="136"/>
      <c r="G27" s="136"/>
    </row>
  </sheetData>
  <sheetProtection insertRows="0" deleteRows="0" sort="0" autoFilter="0"/>
  <mergeCells count="1">
    <mergeCell ref="B4:B7"/>
  </mergeCells>
  <phoneticPr fontId="13"/>
  <hyperlinks>
    <hyperlink ref="A3" location="パラメータ設定一覧!A1" display="パラメータ設定一覧へ" xr:uid="{CCD2CCA0-BA8B-444B-A3AB-D1C699169C57}"/>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8E70-1360-4856-A26C-98DB52D439E3}">
  <sheetPr>
    <pageSetUpPr fitToPage="1"/>
  </sheetPr>
  <dimension ref="A1:L184"/>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17.42578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86" t="s">
        <v>921</v>
      </c>
      <c r="C1" s="87"/>
      <c r="D1" s="87"/>
      <c r="E1" s="87"/>
      <c r="F1" s="87"/>
      <c r="G1" s="87"/>
      <c r="H1" s="87"/>
      <c r="I1" s="88"/>
    </row>
    <row r="2" spans="1:12" customFormat="1" ht="15" x14ac:dyDescent="0.35">
      <c r="B2" t="s">
        <v>922</v>
      </c>
      <c r="C2" s="87"/>
      <c r="D2" s="87"/>
      <c r="E2" s="87"/>
      <c r="F2" s="87"/>
      <c r="G2" s="87"/>
      <c r="H2" s="87"/>
      <c r="I2" s="88"/>
    </row>
    <row r="3" spans="1:12" customFormat="1" ht="15" x14ac:dyDescent="0.35">
      <c r="B3" t="s">
        <v>1044</v>
      </c>
      <c r="C3" s="87"/>
      <c r="D3" s="87"/>
      <c r="E3" s="87"/>
      <c r="F3" s="87"/>
      <c r="G3" s="87"/>
      <c r="H3" s="87"/>
      <c r="I3" s="88"/>
    </row>
    <row r="4" spans="1:12" customFormat="1" ht="15" x14ac:dyDescent="0.35">
      <c r="A4" s="36" t="s">
        <v>1104</v>
      </c>
      <c r="C4" s="87"/>
      <c r="D4" s="87"/>
      <c r="E4" s="87"/>
      <c r="F4" s="87"/>
      <c r="G4" s="87"/>
      <c r="H4" s="87"/>
      <c r="I4" s="88"/>
    </row>
    <row r="5" spans="1:12" x14ac:dyDescent="0.35">
      <c r="B5" s="37" t="s">
        <v>24</v>
      </c>
      <c r="C5" s="37" t="s">
        <v>31</v>
      </c>
      <c r="D5" s="37" t="s">
        <v>32</v>
      </c>
      <c r="E5" s="37" t="s">
        <v>33</v>
      </c>
      <c r="F5" s="44" t="s">
        <v>34</v>
      </c>
      <c r="G5" s="44" t="s">
        <v>35</v>
      </c>
      <c r="H5" s="37" t="s">
        <v>36</v>
      </c>
      <c r="I5" s="89" t="s">
        <v>37</v>
      </c>
      <c r="J5" s="37" t="s">
        <v>38</v>
      </c>
      <c r="K5" s="38" t="s">
        <v>39</v>
      </c>
      <c r="L5" s="38" t="s">
        <v>40</v>
      </c>
    </row>
    <row r="6" spans="1:12" ht="27" x14ac:dyDescent="0.35">
      <c r="B6" s="45">
        <f t="shared" ref="B6:B13" si="0">ROW() - 5</f>
        <v>1</v>
      </c>
      <c r="C6" s="42" t="s">
        <v>923</v>
      </c>
      <c r="D6" s="42"/>
      <c r="E6" s="90"/>
      <c r="F6" s="46" t="s">
        <v>924</v>
      </c>
      <c r="G6" s="46"/>
      <c r="H6" s="13"/>
      <c r="I6" s="13" t="s">
        <v>52</v>
      </c>
      <c r="J6" s="41"/>
      <c r="K6" s="30" t="s">
        <v>932</v>
      </c>
      <c r="L6" s="31"/>
    </row>
    <row r="7" spans="1:12" ht="27" x14ac:dyDescent="0.35">
      <c r="B7" s="45">
        <f t="shared" si="0"/>
        <v>2</v>
      </c>
      <c r="C7" s="42"/>
      <c r="D7" s="42"/>
      <c r="E7" s="42"/>
      <c r="F7" s="46" t="s">
        <v>779</v>
      </c>
      <c r="G7" s="46"/>
      <c r="H7" s="13" t="s">
        <v>654</v>
      </c>
      <c r="I7" s="13" t="s">
        <v>51</v>
      </c>
      <c r="J7" s="47"/>
      <c r="K7" s="30" t="s">
        <v>932</v>
      </c>
      <c r="L7" s="31"/>
    </row>
    <row r="8" spans="1:12" ht="27" x14ac:dyDescent="0.35">
      <c r="B8" s="45">
        <f t="shared" si="0"/>
        <v>3</v>
      </c>
      <c r="C8" s="42"/>
      <c r="D8" s="42"/>
      <c r="E8" s="42"/>
      <c r="F8" s="46" t="s">
        <v>925</v>
      </c>
      <c r="G8" s="46"/>
      <c r="H8" s="13" t="s">
        <v>382</v>
      </c>
      <c r="I8" s="13" t="s">
        <v>52</v>
      </c>
      <c r="J8" s="47"/>
      <c r="K8" s="30" t="s">
        <v>932</v>
      </c>
      <c r="L8" s="31"/>
    </row>
    <row r="9" spans="1:12" ht="27" x14ac:dyDescent="0.35">
      <c r="B9" s="45">
        <f t="shared" si="0"/>
        <v>4</v>
      </c>
      <c r="C9" s="42"/>
      <c r="D9" s="42"/>
      <c r="E9" s="42"/>
      <c r="F9" s="46" t="s">
        <v>760</v>
      </c>
      <c r="G9" s="91"/>
      <c r="H9" s="13" t="s">
        <v>382</v>
      </c>
      <c r="I9" s="13" t="s">
        <v>52</v>
      </c>
      <c r="J9" s="47"/>
      <c r="K9" s="30" t="s">
        <v>932</v>
      </c>
      <c r="L9" s="31"/>
    </row>
    <row r="10" spans="1:12" ht="27" x14ac:dyDescent="0.35">
      <c r="B10" s="45">
        <f t="shared" si="0"/>
        <v>5</v>
      </c>
      <c r="C10" s="42"/>
      <c r="D10" s="42"/>
      <c r="E10" s="42"/>
      <c r="F10" s="46" t="s">
        <v>926</v>
      </c>
      <c r="G10" s="64"/>
      <c r="H10" s="13" t="s">
        <v>382</v>
      </c>
      <c r="I10" s="13" t="s">
        <v>52</v>
      </c>
      <c r="J10" s="47"/>
      <c r="K10" s="30" t="s">
        <v>932</v>
      </c>
      <c r="L10" s="31"/>
    </row>
    <row r="11" spans="1:12" ht="27" x14ac:dyDescent="0.35">
      <c r="B11" s="45">
        <f t="shared" si="0"/>
        <v>6</v>
      </c>
      <c r="C11" s="42"/>
      <c r="D11" s="92"/>
      <c r="E11" s="42"/>
      <c r="F11" s="46" t="s">
        <v>387</v>
      </c>
      <c r="G11" s="46" t="s">
        <v>927</v>
      </c>
      <c r="H11" s="13" t="s">
        <v>382</v>
      </c>
      <c r="I11" s="13" t="s">
        <v>52</v>
      </c>
      <c r="J11" s="47"/>
      <c r="K11" s="30" t="s">
        <v>932</v>
      </c>
      <c r="L11" s="31"/>
    </row>
    <row r="12" spans="1:12" ht="27" x14ac:dyDescent="0.35">
      <c r="B12" s="45">
        <f t="shared" si="0"/>
        <v>7</v>
      </c>
      <c r="C12" s="42"/>
      <c r="D12" s="92"/>
      <c r="E12" s="42"/>
      <c r="F12" s="46" t="s">
        <v>928</v>
      </c>
      <c r="G12" s="46"/>
      <c r="H12" s="13" t="s">
        <v>107</v>
      </c>
      <c r="I12" s="13" t="s">
        <v>52</v>
      </c>
      <c r="J12" s="47"/>
      <c r="K12" s="30" t="s">
        <v>932</v>
      </c>
      <c r="L12" s="31"/>
    </row>
    <row r="13" spans="1:12" ht="27" x14ac:dyDescent="0.35">
      <c r="B13" s="45">
        <f t="shared" si="0"/>
        <v>8</v>
      </c>
      <c r="C13" s="93"/>
      <c r="D13" s="93"/>
      <c r="E13" s="93"/>
      <c r="F13" s="46" t="s">
        <v>929</v>
      </c>
      <c r="G13" s="94"/>
      <c r="H13" s="13" t="s">
        <v>107</v>
      </c>
      <c r="I13" s="13" t="s">
        <v>52</v>
      </c>
      <c r="J13" s="94"/>
      <c r="K13" s="30" t="s">
        <v>932</v>
      </c>
      <c r="L13" s="200"/>
    </row>
    <row r="14" spans="1:12" x14ac:dyDescent="0.35">
      <c r="I14" s="87"/>
    </row>
    <row r="15" spans="1:12" x14ac:dyDescent="0.35">
      <c r="I15" s="87"/>
    </row>
    <row r="16" spans="1:12" x14ac:dyDescent="0.35">
      <c r="I16" s="87"/>
    </row>
    <row r="17" s="87" customFormat="1" x14ac:dyDescent="0.35"/>
    <row r="18" s="87" customFormat="1" x14ac:dyDescent="0.35"/>
    <row r="19" s="87" customFormat="1" x14ac:dyDescent="0.35"/>
    <row r="20" s="87" customFormat="1" x14ac:dyDescent="0.35"/>
    <row r="21" s="87" customFormat="1" x14ac:dyDescent="0.35"/>
    <row r="22" s="87" customFormat="1" x14ac:dyDescent="0.35"/>
    <row r="23" s="87" customFormat="1" x14ac:dyDescent="0.35"/>
    <row r="24" s="87" customFormat="1" x14ac:dyDescent="0.35"/>
    <row r="25" s="87" customFormat="1" x14ac:dyDescent="0.35"/>
    <row r="26" s="87" customFormat="1" x14ac:dyDescent="0.35"/>
    <row r="27" s="87" customFormat="1" x14ac:dyDescent="0.35"/>
    <row r="28" s="87" customFormat="1" x14ac:dyDescent="0.35"/>
    <row r="29" s="87" customFormat="1" x14ac:dyDescent="0.35"/>
    <row r="30" s="87" customFormat="1" x14ac:dyDescent="0.35"/>
    <row r="31" s="87" customFormat="1" x14ac:dyDescent="0.35"/>
    <row r="32" s="87" customFormat="1" ht="33" customHeight="1" x14ac:dyDescent="0.35"/>
    <row r="33" s="87" customFormat="1" x14ac:dyDescent="0.35"/>
    <row r="34" s="87" customFormat="1" x14ac:dyDescent="0.35"/>
    <row r="35" s="87" customFormat="1" x14ac:dyDescent="0.35"/>
    <row r="36" s="87" customFormat="1" x14ac:dyDescent="0.35"/>
    <row r="37" s="87" customFormat="1" ht="31.5" customHeight="1" x14ac:dyDescent="0.35"/>
    <row r="38" s="87" customFormat="1" x14ac:dyDescent="0.35"/>
    <row r="39" s="87" customFormat="1" x14ac:dyDescent="0.35"/>
    <row r="40" s="87" customFormat="1" x14ac:dyDescent="0.35"/>
    <row r="41" s="87" customFormat="1" x14ac:dyDescent="0.35"/>
    <row r="42" s="87" customFormat="1" x14ac:dyDescent="0.35"/>
    <row r="43" s="87" customFormat="1" x14ac:dyDescent="0.35"/>
    <row r="44" s="87" customFormat="1" x14ac:dyDescent="0.35"/>
    <row r="45" s="87" customFormat="1" x14ac:dyDescent="0.35"/>
    <row r="46" s="87" customFormat="1" x14ac:dyDescent="0.35"/>
    <row r="47" s="87" customFormat="1" ht="30.75" customHeight="1" x14ac:dyDescent="0.35"/>
    <row r="48" s="87" customFormat="1" ht="33" customHeight="1" x14ac:dyDescent="0.35"/>
    <row r="49" s="87" customFormat="1" x14ac:dyDescent="0.35"/>
    <row r="50" s="87" customFormat="1" x14ac:dyDescent="0.35"/>
    <row r="51" s="87" customFormat="1" x14ac:dyDescent="0.35"/>
    <row r="52" s="87" customFormat="1" x14ac:dyDescent="0.35"/>
    <row r="53" s="87" customFormat="1" ht="31.5" customHeight="1" x14ac:dyDescent="0.35"/>
    <row r="54" s="87" customFormat="1" x14ac:dyDescent="0.35"/>
    <row r="55" s="87" customFormat="1" ht="30.75" customHeight="1" x14ac:dyDescent="0.35"/>
    <row r="56" s="87" customFormat="1" x14ac:dyDescent="0.35"/>
    <row r="57" s="87" customFormat="1" ht="31.5" customHeight="1" x14ac:dyDescent="0.35"/>
    <row r="58" s="87" customFormat="1" x14ac:dyDescent="0.35"/>
    <row r="59" s="87" customFormat="1" x14ac:dyDescent="0.35"/>
    <row r="60" s="87" customFormat="1" x14ac:dyDescent="0.35"/>
    <row r="61" s="87" customFormat="1" ht="33" customHeight="1" x14ac:dyDescent="0.35"/>
    <row r="62" s="87" customFormat="1" x14ac:dyDescent="0.35"/>
    <row r="63" s="87" customFormat="1" ht="30.75" customHeight="1" x14ac:dyDescent="0.35"/>
    <row r="64" s="87" customFormat="1" ht="27" customHeight="1" x14ac:dyDescent="0.35"/>
    <row r="65" s="87" customFormat="1" x14ac:dyDescent="0.35"/>
    <row r="66" s="87" customFormat="1" x14ac:dyDescent="0.35"/>
    <row r="67" s="87" customFormat="1" x14ac:dyDescent="0.35"/>
    <row r="68" s="87" customFormat="1" x14ac:dyDescent="0.35"/>
    <row r="69" s="87" customFormat="1" x14ac:dyDescent="0.35"/>
    <row r="70" s="87" customFormat="1" x14ac:dyDescent="0.35"/>
    <row r="71" s="87" customFormat="1" x14ac:dyDescent="0.35"/>
    <row r="72" s="87" customFormat="1" x14ac:dyDescent="0.35"/>
    <row r="73" s="87" customFormat="1" x14ac:dyDescent="0.35"/>
    <row r="74" s="87" customFormat="1" x14ac:dyDescent="0.35"/>
    <row r="75" s="87" customForma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ht="409" customHeigh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ht="2.25" customHeight="1" x14ac:dyDescent="0.35"/>
    <row r="173" s="87" customFormat="1" ht="409.5" customHeight="1" x14ac:dyDescent="0.35"/>
    <row r="174" s="87" customFormat="1" x14ac:dyDescent="0.35"/>
    <row r="175" s="87" customFormat="1" x14ac:dyDescent="0.35"/>
    <row r="176" s="87" customFormat="1" x14ac:dyDescent="0.35"/>
    <row r="177" spans="9:9" x14ac:dyDescent="0.35">
      <c r="I177" s="87"/>
    </row>
    <row r="178" spans="9:9" x14ac:dyDescent="0.35">
      <c r="I178" s="87"/>
    </row>
    <row r="179" spans="9:9" x14ac:dyDescent="0.35">
      <c r="I179" s="87"/>
    </row>
    <row r="180" spans="9:9" x14ac:dyDescent="0.35">
      <c r="I180" s="87"/>
    </row>
    <row r="181" spans="9:9" x14ac:dyDescent="0.35">
      <c r="I181" s="87"/>
    </row>
    <row r="182" spans="9:9" x14ac:dyDescent="0.35">
      <c r="I182" s="87"/>
    </row>
    <row r="183" spans="9:9" x14ac:dyDescent="0.35">
      <c r="I183" s="87"/>
    </row>
    <row r="184" spans="9:9" x14ac:dyDescent="0.35">
      <c r="I184" s="87"/>
    </row>
  </sheetData>
  <phoneticPr fontId="13"/>
  <hyperlinks>
    <hyperlink ref="A4" location="パラメータ設定一覧!A1" display="パラメータ設定一覧へ" xr:uid="{49A33BEF-6F76-4A4F-9587-B9FB19A9CB5D}"/>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7294-96F8-4312-A139-FEAEB9F0BC33}">
  <sheetPr>
    <pageSetUpPr fitToPage="1"/>
  </sheetPr>
  <dimension ref="A1:K15"/>
  <sheetViews>
    <sheetView showGridLines="0" tabSelected="1" zoomScaleNormal="100" zoomScaleSheetLayoutView="70" workbookViewId="0">
      <pane ySplit="6" topLeftCell="A7" activePane="bottomLeft" state="frozen"/>
      <selection pane="bottomLeft"/>
    </sheetView>
  </sheetViews>
  <sheetFormatPr defaultColWidth="8.78515625" defaultRowHeight="13.5" x14ac:dyDescent="0.35"/>
  <cols>
    <col min="1" max="1" width="2.78515625" style="87" customWidth="1"/>
    <col min="2" max="2" width="3.5703125" style="87" bestFit="1" customWidth="1"/>
    <col min="3" max="3" width="7.78515625" style="87" customWidth="1"/>
    <col min="4" max="4" width="12.7109375" style="87" bestFit="1" customWidth="1"/>
    <col min="5" max="5" width="10.2109375" style="87" bestFit="1" customWidth="1"/>
    <col min="6" max="6" width="36.2109375" style="87" bestFit="1" customWidth="1"/>
    <col min="7" max="7" width="14.2109375" style="87" customWidth="1"/>
    <col min="8" max="8" width="30" style="87" bestFit="1" customWidth="1"/>
    <col min="9" max="9" width="16.42578125" style="87" bestFit="1" customWidth="1"/>
    <col min="10" max="10" width="19.78515625" style="87" customWidth="1"/>
    <col min="11" max="11" width="19.640625" style="87" bestFit="1" customWidth="1"/>
    <col min="12" max="12" width="15.2109375" style="87" bestFit="1" customWidth="1"/>
    <col min="13" max="14" width="15.2109375" style="87" customWidth="1"/>
    <col min="15" max="15" width="20.640625" style="87" bestFit="1" customWidth="1"/>
    <col min="16" max="16" width="14.42578125" style="87" bestFit="1" customWidth="1"/>
    <col min="17" max="17" width="11.78515625" style="87" customWidth="1"/>
    <col min="18" max="18" width="8.2109375" style="87" bestFit="1" customWidth="1"/>
    <col min="19" max="16384" width="8.78515625" style="87"/>
  </cols>
  <sheetData>
    <row r="1" spans="1:11" customFormat="1" ht="19.5" x14ac:dyDescent="0.35">
      <c r="A1" s="86" t="s">
        <v>930</v>
      </c>
    </row>
    <row r="2" spans="1:11" customFormat="1" ht="15" x14ac:dyDescent="0.35">
      <c r="A2" t="s">
        <v>931</v>
      </c>
    </row>
    <row r="3" spans="1:11" customFormat="1" ht="15" x14ac:dyDescent="0.35">
      <c r="A3" s="36" t="s">
        <v>1104</v>
      </c>
    </row>
    <row r="4" spans="1:11" ht="15.75" customHeight="1" x14ac:dyDescent="0.35">
      <c r="B4" s="287" t="s">
        <v>24</v>
      </c>
      <c r="C4" s="208" t="s">
        <v>996</v>
      </c>
      <c r="D4" s="209"/>
      <c r="E4" s="298"/>
      <c r="F4" s="298"/>
      <c r="G4" s="298"/>
      <c r="H4" s="129"/>
      <c r="I4" s="129"/>
      <c r="J4" s="8"/>
    </row>
    <row r="5" spans="1:11" x14ac:dyDescent="0.35">
      <c r="B5" s="287"/>
      <c r="C5" s="32" t="s">
        <v>924</v>
      </c>
      <c r="D5" s="32" t="s">
        <v>779</v>
      </c>
      <c r="E5" s="32" t="s">
        <v>925</v>
      </c>
      <c r="F5" s="32" t="s">
        <v>760</v>
      </c>
      <c r="G5" s="32" t="s">
        <v>926</v>
      </c>
      <c r="H5" s="32" t="s">
        <v>387</v>
      </c>
      <c r="I5" s="95" t="s">
        <v>928</v>
      </c>
      <c r="J5" s="95" t="s">
        <v>929</v>
      </c>
    </row>
    <row r="6" spans="1:11" x14ac:dyDescent="0.35">
      <c r="B6" s="287"/>
      <c r="C6" s="34"/>
      <c r="D6" s="107" t="s">
        <v>654</v>
      </c>
      <c r="E6" s="34" t="s">
        <v>382</v>
      </c>
      <c r="F6" s="34" t="s">
        <v>382</v>
      </c>
      <c r="G6" s="34" t="s">
        <v>382</v>
      </c>
      <c r="H6" s="34" t="s">
        <v>382</v>
      </c>
      <c r="I6" s="34" t="s">
        <v>107</v>
      </c>
      <c r="J6" s="34" t="s">
        <v>107</v>
      </c>
    </row>
    <row r="7" spans="1:11" x14ac:dyDescent="0.3">
      <c r="B7" s="136">
        <f>ROW() - 6</f>
        <v>1</v>
      </c>
      <c r="C7" s="136"/>
      <c r="D7" s="136" t="s">
        <v>1207</v>
      </c>
      <c r="E7" s="201" t="s">
        <v>1332</v>
      </c>
      <c r="F7" s="202" t="s">
        <v>1333</v>
      </c>
      <c r="G7" s="202" t="s">
        <v>1334</v>
      </c>
      <c r="H7" s="202" t="s">
        <v>1335</v>
      </c>
      <c r="I7" s="203"/>
      <c r="J7" s="202"/>
    </row>
    <row r="8" spans="1:11" x14ac:dyDescent="0.3">
      <c r="B8" s="136">
        <f t="shared" ref="B8:B15" si="0">ROW() - 6</f>
        <v>2</v>
      </c>
      <c r="C8" s="136"/>
      <c r="D8" s="136"/>
      <c r="E8" s="204"/>
      <c r="F8" s="205"/>
      <c r="G8" s="202"/>
      <c r="H8" s="202"/>
      <c r="I8" s="202"/>
      <c r="J8" s="202"/>
      <c r="K8" s="206"/>
    </row>
    <row r="9" spans="1:11" x14ac:dyDescent="0.3">
      <c r="B9" s="136">
        <f t="shared" si="0"/>
        <v>3</v>
      </c>
      <c r="C9" s="136"/>
      <c r="D9" s="136"/>
      <c r="E9" s="204"/>
      <c r="F9" s="202"/>
      <c r="G9" s="202"/>
      <c r="H9" s="202"/>
      <c r="I9" s="202"/>
      <c r="J9" s="202"/>
    </row>
    <row r="10" spans="1:11" x14ac:dyDescent="0.3">
      <c r="B10" s="136">
        <f t="shared" si="0"/>
        <v>4</v>
      </c>
      <c r="C10" s="136"/>
      <c r="D10" s="136"/>
      <c r="E10" s="204"/>
      <c r="F10" s="202"/>
      <c r="G10" s="202"/>
      <c r="H10" s="202"/>
      <c r="I10" s="202"/>
      <c r="J10" s="202"/>
    </row>
    <row r="11" spans="1:11" x14ac:dyDescent="0.3">
      <c r="B11" s="136">
        <f t="shared" si="0"/>
        <v>5</v>
      </c>
      <c r="C11" s="136"/>
      <c r="D11" s="136"/>
      <c r="E11" s="204"/>
      <c r="F11" s="202"/>
      <c r="G11" s="202"/>
      <c r="H11" s="202"/>
      <c r="I11" s="202"/>
      <c r="J11" s="202"/>
    </row>
    <row r="12" spans="1:11" x14ac:dyDescent="0.3">
      <c r="B12" s="136">
        <f t="shared" si="0"/>
        <v>6</v>
      </c>
      <c r="C12" s="136"/>
      <c r="D12" s="136"/>
      <c r="E12" s="204"/>
      <c r="F12" s="202"/>
      <c r="G12" s="202"/>
      <c r="H12" s="202"/>
      <c r="I12" s="202"/>
      <c r="J12" s="202"/>
    </row>
    <row r="13" spans="1:11" x14ac:dyDescent="0.3">
      <c r="B13" s="136">
        <f t="shared" si="0"/>
        <v>7</v>
      </c>
      <c r="C13" s="136"/>
      <c r="D13" s="136"/>
      <c r="E13" s="204"/>
      <c r="F13" s="202"/>
      <c r="G13" s="202"/>
      <c r="H13" s="202"/>
      <c r="I13" s="202"/>
      <c r="J13" s="202"/>
    </row>
    <row r="14" spans="1:11" x14ac:dyDescent="0.3">
      <c r="B14" s="136">
        <f t="shared" si="0"/>
        <v>8</v>
      </c>
      <c r="C14" s="136"/>
      <c r="D14" s="136"/>
      <c r="E14" s="204"/>
      <c r="F14" s="202"/>
      <c r="G14" s="202"/>
      <c r="H14" s="202"/>
      <c r="I14" s="202"/>
      <c r="J14" s="202"/>
      <c r="K14" s="207"/>
    </row>
    <row r="15" spans="1:11" x14ac:dyDescent="0.3">
      <c r="B15" s="136">
        <f t="shared" si="0"/>
        <v>9</v>
      </c>
      <c r="C15" s="136"/>
      <c r="D15" s="136"/>
      <c r="E15" s="204"/>
      <c r="F15" s="172"/>
      <c r="G15" s="172"/>
      <c r="H15" s="172"/>
      <c r="I15" s="172"/>
      <c r="J15" s="172"/>
    </row>
  </sheetData>
  <sheetProtection insertRows="0" deleteRows="0" sort="0" autoFilter="0"/>
  <mergeCells count="2">
    <mergeCell ref="B4:B6"/>
    <mergeCell ref="E4:G4"/>
  </mergeCells>
  <phoneticPr fontId="13"/>
  <hyperlinks>
    <hyperlink ref="A3" location="パラメータ設定一覧!A1" display="パラメータ設定一覧へ" xr:uid="{898EDEAC-2A71-4957-9023-BA9C22F6BD9B}"/>
  </hyperlinks>
  <pageMargins left="0.70866141732283472" right="0.70866141732283472" top="0.74803149606299213" bottom="0.74803149606299213" header="0.31496062992125984" footer="0.31496062992125984"/>
  <pageSetup paperSize="9" scale="44"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A24B-51FB-4AF8-961F-80D681CB3B52}">
  <sheetPr>
    <pageSetUpPr fitToPage="1"/>
  </sheetPr>
  <dimension ref="A1:L195"/>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87" customWidth="1"/>
    <col min="2" max="2" width="3.78515625" style="87" customWidth="1"/>
    <col min="3" max="3" width="16.78515625" style="87" customWidth="1"/>
    <col min="4" max="4" width="19.2109375" style="87" customWidth="1"/>
    <col min="5" max="5" width="16.5703125" style="87" customWidth="1"/>
    <col min="6" max="6" width="22.5703125" style="87" customWidth="1"/>
    <col min="7" max="7" width="19" style="87" customWidth="1"/>
    <col min="8" max="8" width="23.2109375" style="87" customWidth="1"/>
    <col min="9" max="9" width="22.0703125" style="88" customWidth="1"/>
    <col min="10" max="10" width="22.42578125" style="87" customWidth="1"/>
    <col min="11" max="11" width="18.2109375" style="87" customWidth="1"/>
    <col min="12" max="12" width="13.2109375" style="87" customWidth="1"/>
    <col min="13" max="16384" width="8.78515625" style="87"/>
  </cols>
  <sheetData>
    <row r="1" spans="1:12" customFormat="1" ht="19.5" x14ac:dyDescent="0.35">
      <c r="A1" s="100" t="s">
        <v>1046</v>
      </c>
      <c r="C1" s="87"/>
      <c r="D1" s="87"/>
      <c r="E1" s="87"/>
      <c r="F1" s="87"/>
      <c r="G1" s="87"/>
      <c r="H1" s="87"/>
      <c r="I1" s="88"/>
    </row>
    <row r="2" spans="1:12" customFormat="1" ht="15" x14ac:dyDescent="0.35">
      <c r="B2" t="s">
        <v>1047</v>
      </c>
      <c r="C2" s="87"/>
      <c r="D2" s="87"/>
      <c r="E2" s="87"/>
      <c r="F2" s="87"/>
      <c r="G2" s="87"/>
      <c r="H2" s="87"/>
      <c r="I2" s="88"/>
    </row>
    <row r="3" spans="1:12" customFormat="1" ht="15" x14ac:dyDescent="0.35">
      <c r="B3" t="s">
        <v>1045</v>
      </c>
      <c r="C3" s="87"/>
      <c r="D3" s="87"/>
      <c r="E3" s="87"/>
      <c r="F3" s="87"/>
      <c r="G3" s="87"/>
      <c r="H3" s="87"/>
      <c r="I3" s="88"/>
    </row>
    <row r="4" spans="1:12" customFormat="1" ht="15" x14ac:dyDescent="0.35">
      <c r="A4" s="36" t="s">
        <v>1104</v>
      </c>
      <c r="C4" s="87"/>
      <c r="D4" s="87"/>
      <c r="E4" s="87"/>
      <c r="F4" s="87"/>
      <c r="G4" s="87"/>
      <c r="H4" s="87"/>
      <c r="I4" s="88"/>
    </row>
    <row r="5" spans="1:12" x14ac:dyDescent="0.35">
      <c r="B5" s="37" t="s">
        <v>24</v>
      </c>
      <c r="C5" s="37" t="s">
        <v>31</v>
      </c>
      <c r="D5" s="37" t="s">
        <v>32</v>
      </c>
      <c r="E5" s="37" t="s">
        <v>33</v>
      </c>
      <c r="F5" s="44" t="s">
        <v>34</v>
      </c>
      <c r="G5" s="44" t="s">
        <v>35</v>
      </c>
      <c r="H5" s="37" t="s">
        <v>36</v>
      </c>
      <c r="I5" s="89" t="s">
        <v>37</v>
      </c>
      <c r="J5" s="37" t="s">
        <v>38</v>
      </c>
      <c r="K5" s="38" t="s">
        <v>39</v>
      </c>
      <c r="L5" s="38" t="s">
        <v>40</v>
      </c>
    </row>
    <row r="6" spans="1:12" ht="27" x14ac:dyDescent="0.35">
      <c r="B6" s="45">
        <f t="shared" ref="B6:B24" si="0">ROW() - 5</f>
        <v>1</v>
      </c>
      <c r="C6" s="42" t="s">
        <v>1022</v>
      </c>
      <c r="D6" s="42" t="s">
        <v>1023</v>
      </c>
      <c r="E6" s="90"/>
      <c r="F6" s="46" t="s">
        <v>1024</v>
      </c>
      <c r="G6" s="46"/>
      <c r="H6" s="13" t="s">
        <v>382</v>
      </c>
      <c r="I6" s="13" t="s">
        <v>52</v>
      </c>
      <c r="J6" s="41"/>
      <c r="K6" s="30" t="s">
        <v>1048</v>
      </c>
      <c r="L6" s="31"/>
    </row>
    <row r="7" spans="1:12" ht="27" x14ac:dyDescent="0.35">
      <c r="B7" s="45">
        <f t="shared" si="0"/>
        <v>2</v>
      </c>
      <c r="C7" s="42"/>
      <c r="D7" s="42"/>
      <c r="E7" s="42"/>
      <c r="F7" s="46" t="s">
        <v>630</v>
      </c>
      <c r="G7" s="46"/>
      <c r="H7" s="13" t="s">
        <v>382</v>
      </c>
      <c r="I7" s="13" t="s">
        <v>51</v>
      </c>
      <c r="J7" s="47"/>
      <c r="K7" s="30" t="s">
        <v>1048</v>
      </c>
      <c r="L7" s="31"/>
    </row>
    <row r="8" spans="1:12" ht="40.5" x14ac:dyDescent="0.35">
      <c r="B8" s="45">
        <f t="shared" si="0"/>
        <v>3</v>
      </c>
      <c r="C8" s="42"/>
      <c r="D8" s="42"/>
      <c r="E8" s="42"/>
      <c r="F8" s="46" t="s">
        <v>1025</v>
      </c>
      <c r="G8" s="46"/>
      <c r="H8" s="13" t="s">
        <v>1026</v>
      </c>
      <c r="I8" s="13" t="s">
        <v>52</v>
      </c>
      <c r="J8" s="47"/>
      <c r="K8" s="30" t="s">
        <v>1048</v>
      </c>
      <c r="L8" s="31"/>
    </row>
    <row r="9" spans="1:12" ht="27" x14ac:dyDescent="0.35">
      <c r="B9" s="45">
        <f t="shared" si="0"/>
        <v>4</v>
      </c>
      <c r="C9" s="42"/>
      <c r="D9" s="42"/>
      <c r="E9" s="42"/>
      <c r="F9" s="46" t="s">
        <v>937</v>
      </c>
      <c r="G9" s="91"/>
      <c r="H9" s="13" t="s">
        <v>678</v>
      </c>
      <c r="I9" s="13" t="s">
        <v>47</v>
      </c>
      <c r="J9" s="47"/>
      <c r="K9" s="30" t="s">
        <v>1048</v>
      </c>
      <c r="L9" s="31"/>
    </row>
    <row r="10" spans="1:12" ht="27" x14ac:dyDescent="0.35">
      <c r="B10" s="45">
        <f t="shared" si="0"/>
        <v>5</v>
      </c>
      <c r="C10" s="42"/>
      <c r="D10" s="42"/>
      <c r="E10" s="42"/>
      <c r="F10" s="46" t="s">
        <v>20</v>
      </c>
      <c r="G10" s="64"/>
      <c r="H10" s="13" t="s">
        <v>1027</v>
      </c>
      <c r="I10" s="13" t="s">
        <v>52</v>
      </c>
      <c r="J10" s="47"/>
      <c r="K10" s="30" t="s">
        <v>1048</v>
      </c>
      <c r="L10" s="31"/>
    </row>
    <row r="11" spans="1:12" ht="27" x14ac:dyDescent="0.35">
      <c r="B11" s="45">
        <f t="shared" si="0"/>
        <v>6</v>
      </c>
      <c r="C11" s="42"/>
      <c r="D11" s="92"/>
      <c r="E11" s="42"/>
      <c r="F11" s="41" t="s">
        <v>1028</v>
      </c>
      <c r="G11" s="46"/>
      <c r="H11" s="13" t="s">
        <v>1029</v>
      </c>
      <c r="I11" s="13" t="s">
        <v>67</v>
      </c>
      <c r="J11" s="41" t="s">
        <v>1030</v>
      </c>
      <c r="K11" s="30" t="s">
        <v>1048</v>
      </c>
      <c r="L11" s="31"/>
    </row>
    <row r="12" spans="1:12" ht="27" x14ac:dyDescent="0.35">
      <c r="B12" s="45">
        <f t="shared" si="0"/>
        <v>7</v>
      </c>
      <c r="C12" s="42"/>
      <c r="D12" s="92"/>
      <c r="E12" s="42"/>
      <c r="F12" s="41"/>
      <c r="G12" s="46"/>
      <c r="H12" s="13" t="s">
        <v>1031</v>
      </c>
      <c r="I12" s="13" t="s">
        <v>52</v>
      </c>
      <c r="J12" s="41" t="s">
        <v>1032</v>
      </c>
      <c r="K12" s="30" t="s">
        <v>1048</v>
      </c>
      <c r="L12" s="31"/>
    </row>
    <row r="13" spans="1:12" ht="27" x14ac:dyDescent="0.35">
      <c r="B13" s="45">
        <f t="shared" si="0"/>
        <v>8</v>
      </c>
      <c r="C13" s="42"/>
      <c r="D13" s="92"/>
      <c r="E13" s="42"/>
      <c r="F13" s="41" t="s">
        <v>934</v>
      </c>
      <c r="G13" s="46"/>
      <c r="H13" s="13" t="s">
        <v>1029</v>
      </c>
      <c r="I13" s="13" t="s">
        <v>67</v>
      </c>
      <c r="J13" s="41" t="s">
        <v>1030</v>
      </c>
      <c r="K13" s="30" t="s">
        <v>1048</v>
      </c>
      <c r="L13" s="31"/>
    </row>
    <row r="14" spans="1:12" ht="27" x14ac:dyDescent="0.35">
      <c r="B14" s="45">
        <f t="shared" si="0"/>
        <v>9</v>
      </c>
      <c r="C14" s="42"/>
      <c r="D14" s="92"/>
      <c r="E14" s="42"/>
      <c r="F14" s="41"/>
      <c r="G14" s="46"/>
      <c r="H14" s="13" t="s">
        <v>1033</v>
      </c>
      <c r="I14" s="13" t="s">
        <v>52</v>
      </c>
      <c r="J14" s="41" t="s">
        <v>1034</v>
      </c>
      <c r="K14" s="30" t="s">
        <v>1048</v>
      </c>
      <c r="L14" s="31"/>
    </row>
    <row r="15" spans="1:12" ht="54" x14ac:dyDescent="0.35">
      <c r="B15" s="45">
        <f t="shared" si="0"/>
        <v>10</v>
      </c>
      <c r="C15" s="42"/>
      <c r="D15" s="92"/>
      <c r="E15" s="42"/>
      <c r="F15" s="41" t="s">
        <v>1059</v>
      </c>
      <c r="G15" s="46"/>
      <c r="H15" s="13" t="s">
        <v>1058</v>
      </c>
      <c r="I15" s="13" t="s">
        <v>1058</v>
      </c>
      <c r="J15" s="41" t="s">
        <v>1060</v>
      </c>
      <c r="K15" s="30" t="s">
        <v>1048</v>
      </c>
      <c r="L15" s="20"/>
    </row>
    <row r="16" spans="1:12" ht="27" x14ac:dyDescent="0.35">
      <c r="B16" s="45">
        <f t="shared" si="0"/>
        <v>11</v>
      </c>
      <c r="C16" s="39" t="s">
        <v>1035</v>
      </c>
      <c r="D16" s="102" t="s">
        <v>1036</v>
      </c>
      <c r="E16" s="39"/>
      <c r="F16" s="41" t="s">
        <v>1024</v>
      </c>
      <c r="G16" s="46"/>
      <c r="H16" s="13" t="s">
        <v>1037</v>
      </c>
      <c r="I16" s="13" t="s">
        <v>52</v>
      </c>
      <c r="J16" s="41"/>
      <c r="K16" s="30" t="s">
        <v>1048</v>
      </c>
      <c r="L16" s="20"/>
    </row>
    <row r="17" spans="2:12" ht="27" x14ac:dyDescent="0.35">
      <c r="B17" s="45">
        <f t="shared" si="0"/>
        <v>12</v>
      </c>
      <c r="C17" s="42"/>
      <c r="D17" s="92"/>
      <c r="E17" s="42"/>
      <c r="F17" s="41" t="s">
        <v>1025</v>
      </c>
      <c r="G17" s="46"/>
      <c r="H17" s="13" t="s">
        <v>1037</v>
      </c>
      <c r="I17" s="13" t="s">
        <v>52</v>
      </c>
      <c r="J17" s="41"/>
      <c r="K17" s="30" t="s">
        <v>1048</v>
      </c>
      <c r="L17" s="20"/>
    </row>
    <row r="18" spans="2:12" ht="27" x14ac:dyDescent="0.35">
      <c r="B18" s="45">
        <f t="shared" si="0"/>
        <v>13</v>
      </c>
      <c r="C18" s="42"/>
      <c r="D18" s="92"/>
      <c r="E18" s="42"/>
      <c r="F18" s="41" t="s">
        <v>1028</v>
      </c>
      <c r="G18" s="46"/>
      <c r="H18" s="13" t="s">
        <v>1037</v>
      </c>
      <c r="I18" s="13" t="s">
        <v>52</v>
      </c>
      <c r="J18" s="41"/>
      <c r="K18" s="30" t="s">
        <v>1048</v>
      </c>
      <c r="L18" s="20"/>
    </row>
    <row r="19" spans="2:12" ht="27" x14ac:dyDescent="0.35">
      <c r="B19" s="45">
        <f t="shared" si="0"/>
        <v>14</v>
      </c>
      <c r="C19" s="42"/>
      <c r="D19" s="92"/>
      <c r="E19" s="42"/>
      <c r="F19" s="41" t="s">
        <v>935</v>
      </c>
      <c r="G19" s="46"/>
      <c r="H19" s="13" t="s">
        <v>1037</v>
      </c>
      <c r="I19" s="13" t="s">
        <v>52</v>
      </c>
      <c r="J19" s="41"/>
      <c r="K19" s="30" t="s">
        <v>1048</v>
      </c>
      <c r="L19" s="20"/>
    </row>
    <row r="20" spans="2:12" ht="27" x14ac:dyDescent="0.35">
      <c r="B20" s="45">
        <f t="shared" si="0"/>
        <v>15</v>
      </c>
      <c r="C20" s="43"/>
      <c r="D20" s="101"/>
      <c r="E20" s="43"/>
      <c r="F20" s="41" t="s">
        <v>20</v>
      </c>
      <c r="G20" s="46"/>
      <c r="H20" s="13" t="s">
        <v>1037</v>
      </c>
      <c r="I20" s="13" t="s">
        <v>52</v>
      </c>
      <c r="J20" s="41"/>
      <c r="K20" s="30" t="s">
        <v>1048</v>
      </c>
      <c r="L20" s="20"/>
    </row>
    <row r="21" spans="2:12" ht="27" x14ac:dyDescent="0.35">
      <c r="B21" s="45">
        <f t="shared" si="0"/>
        <v>16</v>
      </c>
      <c r="C21" s="39" t="s">
        <v>1038</v>
      </c>
      <c r="D21" s="102" t="s">
        <v>1039</v>
      </c>
      <c r="E21" s="39"/>
      <c r="F21" s="41" t="s">
        <v>1040</v>
      </c>
      <c r="G21" s="46"/>
      <c r="H21" s="13" t="s">
        <v>654</v>
      </c>
      <c r="I21" s="13" t="s">
        <v>546</v>
      </c>
      <c r="J21" s="41"/>
      <c r="K21" s="30" t="s">
        <v>1048</v>
      </c>
      <c r="L21" s="20"/>
    </row>
    <row r="22" spans="2:12" ht="27" x14ac:dyDescent="0.35">
      <c r="B22" s="45">
        <f t="shared" si="0"/>
        <v>17</v>
      </c>
      <c r="C22" s="42"/>
      <c r="D22" s="92"/>
      <c r="E22" s="42"/>
      <c r="F22" s="41" t="s">
        <v>20</v>
      </c>
      <c r="G22" s="46"/>
      <c r="H22" s="13" t="s">
        <v>1037</v>
      </c>
      <c r="I22" s="13" t="s">
        <v>52</v>
      </c>
      <c r="J22" s="41"/>
      <c r="K22" s="30" t="s">
        <v>1048</v>
      </c>
      <c r="L22" s="20"/>
    </row>
    <row r="23" spans="2:12" ht="27" x14ac:dyDescent="0.35">
      <c r="B23" s="45">
        <f t="shared" si="0"/>
        <v>18</v>
      </c>
      <c r="C23" s="42"/>
      <c r="D23" s="92"/>
      <c r="E23" s="42"/>
      <c r="F23" s="41" t="s">
        <v>694</v>
      </c>
      <c r="G23" s="46"/>
      <c r="H23" s="13" t="s">
        <v>1037</v>
      </c>
      <c r="I23" s="13" t="s">
        <v>52</v>
      </c>
      <c r="J23" s="41"/>
      <c r="K23" s="30" t="s">
        <v>1048</v>
      </c>
      <c r="L23" s="20"/>
    </row>
    <row r="24" spans="2:12" ht="27" x14ac:dyDescent="0.35">
      <c r="B24" s="45">
        <f t="shared" si="0"/>
        <v>19</v>
      </c>
      <c r="C24" s="43"/>
      <c r="D24" s="101"/>
      <c r="E24" s="43"/>
      <c r="F24" s="41" t="s">
        <v>1041</v>
      </c>
      <c r="G24" s="46"/>
      <c r="H24" s="13" t="s">
        <v>654</v>
      </c>
      <c r="I24" s="13" t="s">
        <v>546</v>
      </c>
      <c r="J24" s="41"/>
      <c r="K24" s="30" t="s">
        <v>1048</v>
      </c>
      <c r="L24" s="20"/>
    </row>
    <row r="25" spans="2:12" x14ac:dyDescent="0.35">
      <c r="I25" s="87"/>
    </row>
    <row r="26" spans="2:12" x14ac:dyDescent="0.35">
      <c r="I26" s="87"/>
    </row>
    <row r="27" spans="2:12" x14ac:dyDescent="0.35">
      <c r="I27" s="87"/>
    </row>
    <row r="28" spans="2:12" x14ac:dyDescent="0.35">
      <c r="I28" s="87"/>
    </row>
    <row r="29" spans="2:12" x14ac:dyDescent="0.35">
      <c r="I29" s="87"/>
    </row>
    <row r="30" spans="2:12" x14ac:dyDescent="0.35">
      <c r="I30" s="87"/>
    </row>
    <row r="31" spans="2:12" x14ac:dyDescent="0.35">
      <c r="I31" s="87"/>
    </row>
    <row r="32" spans="2:12" x14ac:dyDescent="0.35">
      <c r="I32" s="87"/>
    </row>
    <row r="33" s="87" customFormat="1" x14ac:dyDescent="0.35"/>
    <row r="34" s="87" customFormat="1" x14ac:dyDescent="0.35"/>
    <row r="35" s="87" customFormat="1" x14ac:dyDescent="0.35"/>
    <row r="36" s="87" customFormat="1" x14ac:dyDescent="0.35"/>
    <row r="37" s="87" customFormat="1" x14ac:dyDescent="0.35"/>
    <row r="38" s="87" customFormat="1" x14ac:dyDescent="0.35"/>
    <row r="39" s="87" customFormat="1" x14ac:dyDescent="0.35"/>
    <row r="40" s="87" customFormat="1" x14ac:dyDescent="0.35"/>
    <row r="41" s="87" customFormat="1" x14ac:dyDescent="0.35"/>
    <row r="42" s="87" customFormat="1" x14ac:dyDescent="0.35"/>
    <row r="43" s="87" customFormat="1" ht="33" customHeight="1" x14ac:dyDescent="0.35"/>
    <row r="44" s="87" customFormat="1" x14ac:dyDescent="0.35"/>
    <row r="45" s="87" customFormat="1" x14ac:dyDescent="0.35"/>
    <row r="46" s="87" customFormat="1" x14ac:dyDescent="0.35"/>
    <row r="47" s="87" customFormat="1" x14ac:dyDescent="0.35"/>
    <row r="48" s="87" customFormat="1" ht="31.5" customHeight="1" x14ac:dyDescent="0.35"/>
    <row r="49" s="87" customFormat="1" x14ac:dyDescent="0.35"/>
    <row r="50" s="87" customFormat="1" x14ac:dyDescent="0.35"/>
    <row r="51" s="87" customFormat="1" x14ac:dyDescent="0.35"/>
    <row r="52" s="87" customFormat="1" x14ac:dyDescent="0.35"/>
    <row r="53" s="87" customFormat="1" x14ac:dyDescent="0.35"/>
    <row r="54" s="87" customFormat="1" x14ac:dyDescent="0.35"/>
    <row r="55" s="87" customFormat="1" x14ac:dyDescent="0.35"/>
    <row r="56" s="87" customFormat="1" x14ac:dyDescent="0.35"/>
    <row r="57" s="87" customFormat="1" x14ac:dyDescent="0.35"/>
    <row r="58" s="87" customFormat="1" ht="30.75" customHeight="1" x14ac:dyDescent="0.35"/>
    <row r="59" s="87" customFormat="1" ht="33" customHeight="1" x14ac:dyDescent="0.35"/>
    <row r="60" s="87" customFormat="1" x14ac:dyDescent="0.35"/>
    <row r="61" s="87" customFormat="1" x14ac:dyDescent="0.35"/>
    <row r="62" s="87" customFormat="1" x14ac:dyDescent="0.35"/>
    <row r="63" s="87" customFormat="1" x14ac:dyDescent="0.35"/>
    <row r="64" s="87" customFormat="1" ht="31.5" customHeight="1" x14ac:dyDescent="0.35"/>
    <row r="65" s="87" customFormat="1" x14ac:dyDescent="0.35"/>
    <row r="66" s="87" customFormat="1" ht="30.75" customHeight="1" x14ac:dyDescent="0.35"/>
    <row r="67" s="87" customFormat="1" x14ac:dyDescent="0.35"/>
    <row r="68" s="87" customFormat="1" ht="31.5" customHeight="1" x14ac:dyDescent="0.35"/>
    <row r="69" s="87" customFormat="1" x14ac:dyDescent="0.35"/>
    <row r="70" s="87" customFormat="1" x14ac:dyDescent="0.35"/>
    <row r="71" s="87" customFormat="1" x14ac:dyDescent="0.35"/>
    <row r="72" s="87" customFormat="1" ht="33" customHeight="1" x14ac:dyDescent="0.35"/>
    <row r="73" s="87" customFormat="1" x14ac:dyDescent="0.35"/>
    <row r="74" s="87" customFormat="1" ht="30.75" customHeight="1" x14ac:dyDescent="0.35"/>
    <row r="75" s="87" customFormat="1" ht="27" customHeight="1" x14ac:dyDescent="0.35"/>
    <row r="76" s="87" customFormat="1" x14ac:dyDescent="0.35"/>
    <row r="77" s="87" customFormat="1" x14ac:dyDescent="0.35"/>
    <row r="78" s="87" customFormat="1" x14ac:dyDescent="0.35"/>
    <row r="79" s="87" customFormat="1" x14ac:dyDescent="0.35"/>
    <row r="80" s="87" customFormat="1" x14ac:dyDescent="0.35"/>
    <row r="81" s="87" customFormat="1" x14ac:dyDescent="0.35"/>
    <row r="82" s="87" customFormat="1" x14ac:dyDescent="0.35"/>
    <row r="83" s="87" customFormat="1" x14ac:dyDescent="0.35"/>
    <row r="84" s="87" customFormat="1" x14ac:dyDescent="0.35"/>
    <row r="85" s="87" customFormat="1" x14ac:dyDescent="0.35"/>
    <row r="86" s="87" customFormat="1" x14ac:dyDescent="0.35"/>
    <row r="87" s="87" customFormat="1" x14ac:dyDescent="0.35"/>
    <row r="88" s="87" customFormat="1" x14ac:dyDescent="0.35"/>
    <row r="89" s="87" customFormat="1" x14ac:dyDescent="0.35"/>
    <row r="90" s="87" customFormat="1" x14ac:dyDescent="0.35"/>
    <row r="91" s="87" customFormat="1" x14ac:dyDescent="0.35"/>
    <row r="92" s="87" customFormat="1" x14ac:dyDescent="0.35"/>
    <row r="93" s="87" customFormat="1" x14ac:dyDescent="0.35"/>
    <row r="94" s="87" customFormat="1" x14ac:dyDescent="0.35"/>
    <row r="95" s="87" customFormat="1" x14ac:dyDescent="0.35"/>
    <row r="96" s="87" customFormat="1" x14ac:dyDescent="0.35"/>
    <row r="97" s="87" customFormat="1" x14ac:dyDescent="0.35"/>
    <row r="98" s="87" customFormat="1" x14ac:dyDescent="0.35"/>
    <row r="99" s="87" customFormat="1" x14ac:dyDescent="0.35"/>
    <row r="100" s="87" customFormat="1" x14ac:dyDescent="0.35"/>
    <row r="101" s="87" customFormat="1" x14ac:dyDescent="0.35"/>
    <row r="102" s="87" customFormat="1" x14ac:dyDescent="0.35"/>
    <row r="103" s="87" customFormat="1" x14ac:dyDescent="0.35"/>
    <row r="104" s="87" customFormat="1" x14ac:dyDescent="0.35"/>
    <row r="105" s="87" customFormat="1" x14ac:dyDescent="0.35"/>
    <row r="106" s="87" customFormat="1" ht="409" customHeight="1" x14ac:dyDescent="0.35"/>
    <row r="107" s="87" customFormat="1" x14ac:dyDescent="0.35"/>
    <row r="108" s="87" customFormat="1" x14ac:dyDescent="0.35"/>
    <row r="109" s="87" customFormat="1" x14ac:dyDescent="0.35"/>
    <row r="110" s="87" customFormat="1" x14ac:dyDescent="0.35"/>
    <row r="111" s="87" customFormat="1" x14ac:dyDescent="0.35"/>
    <row r="112" s="87" customFormat="1" x14ac:dyDescent="0.35"/>
    <row r="113" s="87" customFormat="1" x14ac:dyDescent="0.35"/>
    <row r="114" s="87" customFormat="1" x14ac:dyDescent="0.35"/>
    <row r="115" s="87" customFormat="1" x14ac:dyDescent="0.35"/>
    <row r="116" s="87" customFormat="1" x14ac:dyDescent="0.35"/>
    <row r="117" s="87" customFormat="1" x14ac:dyDescent="0.35"/>
    <row r="118" s="87" customFormat="1" x14ac:dyDescent="0.35"/>
    <row r="119" s="87" customFormat="1" x14ac:dyDescent="0.35"/>
    <row r="120" s="87" customFormat="1" x14ac:dyDescent="0.35"/>
    <row r="121" s="87" customFormat="1" x14ac:dyDescent="0.35"/>
    <row r="122" s="87" customFormat="1" x14ac:dyDescent="0.35"/>
    <row r="123" s="87" customFormat="1" x14ac:dyDescent="0.35"/>
    <row r="124" s="87" customFormat="1" x14ac:dyDescent="0.35"/>
    <row r="125" s="87" customFormat="1" x14ac:dyDescent="0.35"/>
    <row r="126" s="87" customFormat="1" x14ac:dyDescent="0.35"/>
    <row r="127" s="87" customFormat="1" x14ac:dyDescent="0.35"/>
    <row r="128" s="87" customFormat="1" x14ac:dyDescent="0.35"/>
    <row r="129" s="87" customFormat="1" x14ac:dyDescent="0.35"/>
    <row r="130" s="87" customFormat="1" x14ac:dyDescent="0.35"/>
    <row r="131" s="87" customFormat="1" x14ac:dyDescent="0.35"/>
    <row r="132" s="87" customFormat="1" x14ac:dyDescent="0.35"/>
    <row r="133" s="87" customFormat="1" x14ac:dyDescent="0.35"/>
    <row r="134" s="87" customFormat="1" x14ac:dyDescent="0.35"/>
    <row r="135" s="87" customFormat="1" x14ac:dyDescent="0.35"/>
    <row r="136" s="87" customFormat="1" x14ac:dyDescent="0.35"/>
    <row r="137" s="87" customFormat="1" x14ac:dyDescent="0.35"/>
    <row r="138" s="87" customFormat="1" x14ac:dyDescent="0.35"/>
    <row r="139" s="87" customFormat="1" x14ac:dyDescent="0.35"/>
    <row r="140" s="87" customFormat="1" x14ac:dyDescent="0.35"/>
    <row r="141" s="87" customFormat="1" x14ac:dyDescent="0.35"/>
    <row r="142" s="87" customFormat="1" x14ac:dyDescent="0.35"/>
    <row r="143" s="87" customFormat="1" x14ac:dyDescent="0.35"/>
    <row r="144" s="87" customFormat="1" x14ac:dyDescent="0.35"/>
    <row r="145" s="87" customFormat="1" x14ac:dyDescent="0.35"/>
    <row r="146" s="87" customFormat="1" x14ac:dyDescent="0.35"/>
    <row r="147" s="87" customFormat="1" x14ac:dyDescent="0.35"/>
    <row r="148" s="87" customFormat="1" x14ac:dyDescent="0.35"/>
    <row r="149" s="87" customFormat="1" x14ac:dyDescent="0.35"/>
    <row r="150" s="87" customFormat="1" x14ac:dyDescent="0.35"/>
    <row r="151" s="87" customFormat="1" x14ac:dyDescent="0.35"/>
    <row r="152" s="87" customFormat="1" x14ac:dyDescent="0.35"/>
    <row r="153" s="87" customFormat="1" x14ac:dyDescent="0.35"/>
    <row r="154" s="87" customFormat="1" x14ac:dyDescent="0.35"/>
    <row r="155" s="87" customFormat="1" x14ac:dyDescent="0.35"/>
    <row r="156" s="87" customFormat="1" x14ac:dyDescent="0.35"/>
    <row r="157" s="87" customFormat="1" x14ac:dyDescent="0.35"/>
    <row r="158" s="87" customFormat="1" x14ac:dyDescent="0.35"/>
    <row r="159" s="87" customFormat="1" x14ac:dyDescent="0.35"/>
    <row r="160" s="87" customFormat="1" x14ac:dyDescent="0.35"/>
    <row r="161" s="87" customFormat="1" x14ac:dyDescent="0.35"/>
    <row r="162" s="87" customFormat="1" x14ac:dyDescent="0.35"/>
    <row r="163" s="87" customFormat="1" x14ac:dyDescent="0.35"/>
    <row r="164" s="87" customFormat="1" x14ac:dyDescent="0.35"/>
    <row r="165" s="87" customFormat="1" x14ac:dyDescent="0.35"/>
    <row r="166" s="87" customFormat="1" x14ac:dyDescent="0.35"/>
    <row r="167" s="87" customFormat="1" x14ac:dyDescent="0.35"/>
    <row r="168" s="87" customFormat="1" x14ac:dyDescent="0.35"/>
    <row r="169" s="87" customFormat="1" x14ac:dyDescent="0.35"/>
    <row r="170" s="87" customFormat="1" x14ac:dyDescent="0.35"/>
    <row r="171" s="87" customFormat="1" x14ac:dyDescent="0.35"/>
    <row r="172" s="87" customFormat="1" x14ac:dyDescent="0.35"/>
    <row r="173" s="87" customFormat="1" x14ac:dyDescent="0.35"/>
    <row r="174" s="87" customFormat="1" x14ac:dyDescent="0.35"/>
    <row r="175" s="87" customFormat="1" x14ac:dyDescent="0.35"/>
    <row r="176" s="87" customFormat="1" x14ac:dyDescent="0.35"/>
    <row r="177" s="87" customFormat="1" x14ac:dyDescent="0.35"/>
    <row r="178" s="87" customFormat="1" x14ac:dyDescent="0.35"/>
    <row r="179" s="87" customFormat="1" x14ac:dyDescent="0.35"/>
    <row r="180" s="87" customFormat="1" x14ac:dyDescent="0.35"/>
    <row r="181" s="87" customFormat="1" x14ac:dyDescent="0.35"/>
    <row r="182" s="87" customFormat="1" x14ac:dyDescent="0.35"/>
    <row r="183" s="87" customFormat="1" ht="2.25" customHeight="1" x14ac:dyDescent="0.35"/>
    <row r="184" s="87" customFormat="1" ht="409.5" customHeight="1" x14ac:dyDescent="0.35"/>
    <row r="185" s="87" customFormat="1" x14ac:dyDescent="0.35"/>
    <row r="186" s="87" customFormat="1" x14ac:dyDescent="0.35"/>
    <row r="187" s="87" customFormat="1" x14ac:dyDescent="0.35"/>
    <row r="188" s="87" customFormat="1" x14ac:dyDescent="0.35"/>
    <row r="189" s="87" customFormat="1" x14ac:dyDescent="0.35"/>
    <row r="190" s="87" customFormat="1" x14ac:dyDescent="0.35"/>
    <row r="191" s="87" customFormat="1" x14ac:dyDescent="0.35"/>
    <row r="192" s="87" customFormat="1" x14ac:dyDescent="0.35"/>
    <row r="193" spans="9:9" x14ac:dyDescent="0.35">
      <c r="I193" s="87"/>
    </row>
    <row r="194" spans="9:9" x14ac:dyDescent="0.35">
      <c r="I194" s="87"/>
    </row>
    <row r="195" spans="9:9" x14ac:dyDescent="0.35">
      <c r="I195" s="87"/>
    </row>
  </sheetData>
  <phoneticPr fontId="13"/>
  <hyperlinks>
    <hyperlink ref="A4" location="パラメータ設定一覧!A1" display="パラメータ設定一覧へ" xr:uid="{7588CF70-E083-47E2-9029-CEE22851727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1C42-DB1F-48EA-9EA8-C78754477682}">
  <sheetPr>
    <pageSetUpPr fitToPage="1"/>
  </sheetPr>
  <dimension ref="A1:U17"/>
  <sheetViews>
    <sheetView showGridLines="0" zoomScaleNormal="100" zoomScaleSheetLayoutView="100" workbookViewId="0">
      <pane ySplit="6" topLeftCell="A7" activePane="bottomLeft" state="frozen"/>
      <selection pane="bottomLeft" activeCell="A3" sqref="A3"/>
    </sheetView>
  </sheetViews>
  <sheetFormatPr defaultColWidth="8.78515625" defaultRowHeight="13.5" x14ac:dyDescent="0.35"/>
  <cols>
    <col min="1" max="1" width="2.78515625" style="87" customWidth="1"/>
    <col min="2" max="2" width="3.5703125" style="87" bestFit="1" customWidth="1"/>
    <col min="3" max="3" width="10.640625" style="87" customWidth="1"/>
    <col min="4" max="4" width="15.28515625" style="87" customWidth="1"/>
    <col min="5" max="5" width="15.42578125" style="87" customWidth="1"/>
    <col min="6" max="6" width="10.640625" style="87" customWidth="1"/>
    <col min="7" max="7" width="14.0703125" style="87" customWidth="1"/>
    <col min="8" max="11" width="10.640625" style="87" customWidth="1"/>
    <col min="12" max="12" width="21.0703125" style="87" customWidth="1"/>
    <col min="13" max="17" width="10.640625" style="87" customWidth="1"/>
    <col min="18" max="18" width="10.35546875" style="87" bestFit="1" customWidth="1"/>
    <col min="19" max="20" width="10.640625" style="87" customWidth="1"/>
    <col min="21" max="21" width="10.7109375" style="87" customWidth="1"/>
    <col min="22" max="16384" width="8.78515625" style="87"/>
  </cols>
  <sheetData>
    <row r="1" spans="1:21" customFormat="1" ht="19.5" x14ac:dyDescent="0.35">
      <c r="A1" s="100" t="s">
        <v>1049</v>
      </c>
    </row>
    <row r="2" spans="1:21" customFormat="1" ht="15" x14ac:dyDescent="0.35"/>
    <row r="3" spans="1:21" customFormat="1" ht="15" x14ac:dyDescent="0.35">
      <c r="A3" s="36" t="s">
        <v>1104</v>
      </c>
    </row>
    <row r="4" spans="1:21" ht="15.75" customHeight="1" x14ac:dyDescent="0.35">
      <c r="B4" s="287" t="s">
        <v>24</v>
      </c>
      <c r="C4" s="208" t="s">
        <v>1022</v>
      </c>
      <c r="D4" s="209"/>
      <c r="E4" s="209"/>
      <c r="F4" s="209"/>
      <c r="G4" s="209"/>
      <c r="H4" s="209"/>
      <c r="I4" s="209"/>
      <c r="J4" s="209"/>
      <c r="K4" s="209"/>
      <c r="L4" s="210"/>
      <c r="M4" s="208" t="s">
        <v>1035</v>
      </c>
      <c r="N4" s="209"/>
      <c r="O4" s="209"/>
      <c r="P4" s="209"/>
      <c r="Q4" s="210"/>
      <c r="R4" s="208" t="s">
        <v>1038</v>
      </c>
      <c r="S4" s="209"/>
      <c r="T4" s="209"/>
      <c r="U4" s="210"/>
    </row>
    <row r="5" spans="1:21" ht="27" x14ac:dyDescent="0.35">
      <c r="B5" s="287"/>
      <c r="C5" s="10" t="s">
        <v>1024</v>
      </c>
      <c r="D5" s="10" t="s">
        <v>630</v>
      </c>
      <c r="E5" s="10" t="s">
        <v>1025</v>
      </c>
      <c r="F5" s="10" t="s">
        <v>937</v>
      </c>
      <c r="G5" s="10" t="s">
        <v>20</v>
      </c>
      <c r="H5" s="97" t="s">
        <v>1028</v>
      </c>
      <c r="I5" s="97"/>
      <c r="J5" s="97" t="s">
        <v>934</v>
      </c>
      <c r="K5" s="97"/>
      <c r="L5" s="97" t="s">
        <v>1059</v>
      </c>
      <c r="M5" s="97" t="s">
        <v>1024</v>
      </c>
      <c r="N5" s="97" t="s">
        <v>1025</v>
      </c>
      <c r="O5" s="97" t="s">
        <v>1028</v>
      </c>
      <c r="P5" s="97" t="s">
        <v>935</v>
      </c>
      <c r="Q5" s="97" t="s">
        <v>20</v>
      </c>
      <c r="R5" s="97" t="s">
        <v>1040</v>
      </c>
      <c r="S5" s="97" t="s">
        <v>20</v>
      </c>
      <c r="T5" s="97" t="s">
        <v>694</v>
      </c>
      <c r="U5" s="97" t="s">
        <v>1041</v>
      </c>
    </row>
    <row r="6" spans="1:21" ht="40.5" x14ac:dyDescent="0.35">
      <c r="B6" s="287"/>
      <c r="C6" s="34" t="s">
        <v>382</v>
      </c>
      <c r="D6" s="34" t="s">
        <v>382</v>
      </c>
      <c r="E6" s="34" t="s">
        <v>1026</v>
      </c>
      <c r="F6" s="34" t="s">
        <v>678</v>
      </c>
      <c r="G6" s="34" t="s">
        <v>1027</v>
      </c>
      <c r="H6" s="34" t="s">
        <v>1042</v>
      </c>
      <c r="I6" s="34" t="s">
        <v>1031</v>
      </c>
      <c r="J6" s="34" t="s">
        <v>1042</v>
      </c>
      <c r="K6" s="34" t="s">
        <v>648</v>
      </c>
      <c r="L6" s="34" t="s">
        <v>1058</v>
      </c>
      <c r="M6" s="34" t="s">
        <v>1037</v>
      </c>
      <c r="N6" s="34" t="s">
        <v>1037</v>
      </c>
      <c r="O6" s="34" t="s">
        <v>1037</v>
      </c>
      <c r="P6" s="34" t="s">
        <v>1037</v>
      </c>
      <c r="Q6" s="34" t="s">
        <v>1037</v>
      </c>
      <c r="R6" s="34" t="s">
        <v>654</v>
      </c>
      <c r="S6" s="34" t="s">
        <v>1037</v>
      </c>
      <c r="T6" s="34" t="s">
        <v>1037</v>
      </c>
      <c r="U6" s="34" t="s">
        <v>654</v>
      </c>
    </row>
    <row r="7" spans="1:21" x14ac:dyDescent="0.3">
      <c r="B7" s="136">
        <f>ROW() - 6</f>
        <v>1</v>
      </c>
      <c r="C7" s="136" t="s">
        <v>1203</v>
      </c>
      <c r="D7" s="201" t="s">
        <v>1208</v>
      </c>
      <c r="E7" s="201" t="s">
        <v>1204</v>
      </c>
      <c r="F7" s="136" t="s">
        <v>63</v>
      </c>
      <c r="G7" s="202" t="s">
        <v>1205</v>
      </c>
      <c r="H7" s="220"/>
      <c r="I7" s="221"/>
      <c r="J7" s="220"/>
      <c r="K7" s="220"/>
      <c r="L7" s="220"/>
      <c r="M7" s="202" t="s">
        <v>1205</v>
      </c>
      <c r="N7" s="202" t="s">
        <v>1206</v>
      </c>
      <c r="O7" s="202" t="s">
        <v>67</v>
      </c>
      <c r="P7" s="202" t="s">
        <v>67</v>
      </c>
      <c r="Q7" s="202"/>
      <c r="R7" s="136" t="s">
        <v>1207</v>
      </c>
      <c r="S7" s="202" t="s">
        <v>1205</v>
      </c>
      <c r="T7" s="202" t="s">
        <v>1112</v>
      </c>
      <c r="U7" s="136"/>
    </row>
    <row r="8" spans="1:21" x14ac:dyDescent="0.3">
      <c r="B8" s="136">
        <f t="shared" ref="B8:B16" si="0">ROW() - 6</f>
        <v>2</v>
      </c>
      <c r="C8" s="136"/>
      <c r="D8" s="204"/>
      <c r="E8" s="204"/>
      <c r="F8" s="136"/>
      <c r="G8" s="202"/>
      <c r="H8" s="202"/>
      <c r="I8" s="202"/>
      <c r="J8" s="202"/>
      <c r="K8" s="202"/>
      <c r="L8" s="202"/>
      <c r="M8" s="202"/>
      <c r="N8" s="202"/>
      <c r="O8" s="202"/>
      <c r="P8" s="202"/>
      <c r="Q8" s="202"/>
      <c r="R8" s="136"/>
      <c r="S8" s="202"/>
      <c r="T8" s="202"/>
      <c r="U8" s="136"/>
    </row>
    <row r="9" spans="1:21" x14ac:dyDescent="0.3">
      <c r="B9" s="136">
        <f t="shared" si="0"/>
        <v>3</v>
      </c>
      <c r="C9" s="136"/>
      <c r="D9" s="204"/>
      <c r="E9" s="204"/>
      <c r="F9" s="136"/>
      <c r="G9" s="202"/>
      <c r="H9" s="202"/>
      <c r="I9" s="202"/>
      <c r="J9" s="202"/>
      <c r="K9" s="202"/>
      <c r="L9" s="202"/>
      <c r="M9" s="202"/>
      <c r="N9" s="202"/>
      <c r="O9" s="202"/>
      <c r="P9" s="202"/>
      <c r="Q9" s="202"/>
      <c r="R9" s="136"/>
      <c r="S9" s="202"/>
      <c r="T9" s="202"/>
      <c r="U9" s="136"/>
    </row>
    <row r="10" spans="1:21" x14ac:dyDescent="0.3">
      <c r="B10" s="136">
        <f t="shared" si="0"/>
        <v>4</v>
      </c>
      <c r="C10" s="136"/>
      <c r="D10" s="204"/>
      <c r="E10" s="204"/>
      <c r="F10" s="136"/>
      <c r="G10" s="202"/>
      <c r="H10" s="202"/>
      <c r="I10" s="202"/>
      <c r="J10" s="202"/>
      <c r="K10" s="202"/>
      <c r="L10" s="202"/>
      <c r="M10" s="202"/>
      <c r="N10" s="202"/>
      <c r="O10" s="202"/>
      <c r="P10" s="202"/>
      <c r="Q10" s="202"/>
      <c r="R10" s="136"/>
      <c r="S10" s="202"/>
      <c r="T10" s="202"/>
      <c r="U10" s="136"/>
    </row>
    <row r="11" spans="1:21" x14ac:dyDescent="0.3">
      <c r="B11" s="136">
        <f t="shared" si="0"/>
        <v>5</v>
      </c>
      <c r="C11" s="136"/>
      <c r="D11" s="204"/>
      <c r="E11" s="204"/>
      <c r="F11" s="136"/>
      <c r="G11" s="202"/>
      <c r="H11" s="202"/>
      <c r="I11" s="202"/>
      <c r="J11" s="202"/>
      <c r="K11" s="202"/>
      <c r="L11" s="202"/>
      <c r="M11" s="202"/>
      <c r="N11" s="202"/>
      <c r="O11" s="202"/>
      <c r="P11" s="202"/>
      <c r="Q11" s="202"/>
      <c r="R11" s="136"/>
      <c r="S11" s="202"/>
      <c r="T11" s="202"/>
      <c r="U11" s="136"/>
    </row>
    <row r="12" spans="1:21" x14ac:dyDescent="0.3">
      <c r="B12" s="136">
        <f t="shared" si="0"/>
        <v>6</v>
      </c>
      <c r="C12" s="136"/>
      <c r="D12" s="204"/>
      <c r="E12" s="204"/>
      <c r="F12" s="136"/>
      <c r="G12" s="202"/>
      <c r="H12" s="202"/>
      <c r="I12" s="202"/>
      <c r="J12" s="202"/>
      <c r="K12" s="202"/>
      <c r="L12" s="202"/>
      <c r="M12" s="202"/>
      <c r="N12" s="202"/>
      <c r="O12" s="202"/>
      <c r="P12" s="202"/>
      <c r="Q12" s="202"/>
      <c r="R12" s="136"/>
      <c r="S12" s="202"/>
      <c r="T12" s="202"/>
      <c r="U12" s="136"/>
    </row>
    <row r="13" spans="1:21" x14ac:dyDescent="0.3">
      <c r="B13" s="136">
        <f t="shared" si="0"/>
        <v>7</v>
      </c>
      <c r="C13" s="136"/>
      <c r="D13" s="204"/>
      <c r="E13" s="204"/>
      <c r="F13" s="136"/>
      <c r="G13" s="202"/>
      <c r="H13" s="202"/>
      <c r="I13" s="202"/>
      <c r="J13" s="202"/>
      <c r="K13" s="202"/>
      <c r="L13" s="202"/>
      <c r="M13" s="202"/>
      <c r="N13" s="202"/>
      <c r="O13" s="202"/>
      <c r="P13" s="202"/>
      <c r="Q13" s="202"/>
      <c r="R13" s="136"/>
      <c r="S13" s="202"/>
      <c r="T13" s="202"/>
      <c r="U13" s="136"/>
    </row>
    <row r="14" spans="1:21" x14ac:dyDescent="0.3">
      <c r="B14" s="136">
        <f t="shared" si="0"/>
        <v>8</v>
      </c>
      <c r="C14" s="136"/>
      <c r="D14" s="204"/>
      <c r="E14" s="204"/>
      <c r="F14" s="136"/>
      <c r="G14" s="172"/>
      <c r="H14" s="172"/>
      <c r="I14" s="172"/>
      <c r="J14" s="172"/>
      <c r="K14" s="172"/>
      <c r="L14" s="172"/>
      <c r="M14" s="172"/>
      <c r="N14" s="172"/>
      <c r="O14" s="172"/>
      <c r="P14" s="172"/>
      <c r="Q14" s="172"/>
      <c r="R14" s="136"/>
      <c r="S14" s="172"/>
      <c r="T14" s="172"/>
      <c r="U14" s="136"/>
    </row>
    <row r="15" spans="1:21" x14ac:dyDescent="0.3">
      <c r="B15" s="136">
        <f t="shared" si="0"/>
        <v>9</v>
      </c>
      <c r="C15" s="136"/>
      <c r="D15" s="204"/>
      <c r="E15" s="204"/>
      <c r="F15" s="136"/>
      <c r="G15" s="172"/>
      <c r="H15" s="172"/>
      <c r="I15" s="172"/>
      <c r="J15" s="172"/>
      <c r="K15" s="172"/>
      <c r="L15" s="172"/>
      <c r="M15" s="172"/>
      <c r="N15" s="172"/>
      <c r="O15" s="172"/>
      <c r="P15" s="172"/>
      <c r="Q15" s="172"/>
      <c r="R15" s="136"/>
      <c r="S15" s="172"/>
      <c r="T15" s="172"/>
      <c r="U15" s="136"/>
    </row>
    <row r="16" spans="1:21" x14ac:dyDescent="0.3">
      <c r="B16" s="136">
        <f t="shared" si="0"/>
        <v>10</v>
      </c>
      <c r="C16" s="136"/>
      <c r="D16" s="204"/>
      <c r="E16" s="204"/>
      <c r="F16" s="136"/>
      <c r="G16" s="172"/>
      <c r="H16" s="172"/>
      <c r="I16" s="172"/>
      <c r="J16" s="172"/>
      <c r="K16" s="172"/>
      <c r="L16" s="172"/>
      <c r="M16" s="172"/>
      <c r="N16" s="172"/>
      <c r="O16" s="172"/>
      <c r="P16" s="172"/>
      <c r="Q16" s="172"/>
      <c r="R16" s="136"/>
      <c r="S16" s="172"/>
      <c r="T16" s="172"/>
      <c r="U16" s="136"/>
    </row>
    <row r="17" spans="2:3" x14ac:dyDescent="0.35">
      <c r="B17" s="134"/>
      <c r="C17" s="134"/>
    </row>
  </sheetData>
  <sheetProtection insertRows="0" deleteRows="0" sort="0" autoFilter="0"/>
  <mergeCells count="1">
    <mergeCell ref="B4:B6"/>
  </mergeCells>
  <phoneticPr fontId="13"/>
  <hyperlinks>
    <hyperlink ref="A3" location="パラメータ設定一覧!A1" display="パラメータ設定一覧へ" xr:uid="{333B39E5-D780-4EBD-B12A-DEE44C70DF6B}"/>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2875F9-CB57-4242-A981-954FB54F8F5D}"/>
</file>

<file path=customXml/itemProps2.xml><?xml version="1.0" encoding="utf-8"?>
<ds:datastoreItem xmlns:ds="http://schemas.openxmlformats.org/officeDocument/2006/customXml" ds:itemID="{391605AE-180C-4357-9531-2DC69F7FC83D}">
  <ds:schemaRefs>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 ds:uri="http://purl.org/dc/terms/"/>
    <ds:schemaRef ds:uri="1f1f8a3f-673e-4aee-b429-7a8185133956"/>
    <ds:schemaRef ds:uri="http://purl.org/dc/elements/1.1/"/>
    <ds:schemaRef ds:uri="1df7edc7-a6f5-4c90-ac32-5bbbd499fd6a"/>
    <ds:schemaRef ds:uri="http://www.w3.org/XML/1998/namespace"/>
    <ds:schemaRef ds:uri="http://purl.org/dc/dcmitype/"/>
  </ds:schemaRefs>
</ds:datastoreItem>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30</vt:i4>
      </vt:variant>
      <vt:variant>
        <vt:lpstr>名前付き一覧</vt:lpstr>
      </vt:variant>
      <vt:variant>
        <vt:i4>2</vt:i4>
      </vt:variant>
    </vt:vector>
  </HeadingPairs>
  <TitlesOfParts>
    <vt:vector size="32" baseType="lpstr">
      <vt:lpstr>表紙</vt:lpstr>
      <vt:lpstr>パラメータ設定一覧</vt:lpstr>
      <vt:lpstr>売掛金勘定パラメーター</vt:lpstr>
      <vt:lpstr>集計更新パラメータ―-見積書</vt:lpstr>
      <vt:lpstr>集計更新パラメータ―-確認書</vt:lpstr>
      <vt:lpstr>集計更新パラメータ―-ピッキングリスト</vt:lpstr>
      <vt:lpstr>集計更新パラメータ―-梱包明細</vt:lpstr>
      <vt:lpstr>集計更新パラメータ―-請求書</vt:lpstr>
      <vt:lpstr>売掛金勘定パラメーター-在庫分析コード設定値</vt:lpstr>
      <vt:lpstr>売掛金勘定パラメーター- 番号順序</vt:lpstr>
      <vt:lpstr>支払条件</vt:lpstr>
      <vt:lpstr>支払条件-設定値</vt:lpstr>
      <vt:lpstr>支払期日</vt:lpstr>
      <vt:lpstr>支払期日-設定値</vt:lpstr>
      <vt:lpstr>顧客グループ</vt:lpstr>
      <vt:lpstr>顧客グループ-設定値</vt:lpstr>
      <vt:lpstr>顧客転記プロファイル</vt:lpstr>
      <vt:lpstr>顧客転記プロファイル-設定値</vt:lpstr>
      <vt:lpstr>顧客転記プロファイル_設定-設定値</vt:lpstr>
      <vt:lpstr>支払カレンダー</vt:lpstr>
      <vt:lpstr>支払カレンダー-設定値</vt:lpstr>
      <vt:lpstr>支払方法</vt:lpstr>
      <vt:lpstr>支払方法-設定値</vt:lpstr>
      <vt:lpstr>支払方法_ファイル形式-設定値</vt:lpstr>
      <vt:lpstr>支払方法_支払管理-設定値</vt:lpstr>
      <vt:lpstr>支払方法_支払属性-設定値</vt:lpstr>
      <vt:lpstr>売掛金勘定ワークフロー</vt:lpstr>
      <vt:lpstr>売掛金勘定ワークフロー-設定値</vt:lpstr>
      <vt:lpstr>支払カレンダーのコンフィグレーション</vt:lpstr>
      <vt:lpstr>支払カレンダーのコンフィギュレーション-設定値</vt:lpstr>
      <vt:lpstr>パラメータ設定一覧!Print_Area</vt:lpstr>
      <vt:lpstr>'支払カレンダーのコンフィギュレーション-設定値'!Print_Area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2025-04-23T11:01:41Z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