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fileSharing readOnlyRecommended="1"/>
  <workbookPr updateLinks="never" codeName="ThisWorkbook" defaultThemeVersion="166925"/>
  <mc:AlternateContent xmlns:mc="http://schemas.openxmlformats.org/markup-compatibility/2006">
    <mc:Choice Requires="x15">
      <x15ac:absPath xmlns:x15ac="http://schemas.microsoft.com/office/spreadsheetml/2010/11/ac" url="https://jbsbpos1.sharepoint.com/sites/msteams_358ee9/Shared Documents/General/01_LIBRA/04_要件定義/12_パラメータ定義書/02_SEJ/"/>
    </mc:Choice>
  </mc:AlternateContent>
  <xr:revisionPtr revIDLastSave="7876" documentId="14_{E78A5C25-2365-40AC-8A3F-434B8724E648}" xr6:coauthVersionLast="47" xr6:coauthVersionMax="47" xr10:uidLastSave="{1FA43222-42F1-4583-B466-A97032C343F1}"/>
  <bookViews>
    <workbookView xWindow="-11700" yWindow="-16320" windowWidth="29040" windowHeight="15720" tabRatio="878" xr2:uid="{FF37A431-138E-498D-9932-FE4CAD8F52B8}"/>
  </bookViews>
  <sheets>
    <sheet name="表紙" sheetId="491" r:id="rId1"/>
    <sheet name="パラメータ設定一覧" sheetId="476" r:id="rId2"/>
    <sheet name="作業単位" sheetId="510" r:id="rId3"/>
    <sheet name="作業単位-設定値" sheetId="511" r:id="rId4"/>
    <sheet name="住所の設定" sheetId="493" r:id="rId5"/>
    <sheet name="住所の形式-設定値" sheetId="494" r:id="rId6"/>
    <sheet name="都道府県-設定値" sheetId="495" r:id="rId7"/>
    <sheet name="市区郡-設定値" sheetId="496" r:id="rId8"/>
    <sheet name="市町村-設定値" sheetId="497" r:id="rId9"/>
    <sheet name="地区-設定値" sheetId="498" r:id="rId10"/>
    <sheet name="住所-設定値" sheetId="499" r:id="rId11"/>
    <sheet name="家のグループ-設定値" sheetId="500" r:id="rId12"/>
    <sheet name="土地区画-設定値" sheetId="501" r:id="rId13"/>
    <sheet name="アパートのグループ-設定値" sheetId="502" r:id="rId14"/>
    <sheet name="郵便番号-設定値" sheetId="503" r:id="rId15"/>
    <sheet name="単位" sheetId="504" r:id="rId16"/>
    <sheet name="単位-設定値" sheetId="505" r:id="rId17"/>
    <sheet name="単位換算" sheetId="506" r:id="rId18"/>
    <sheet name="標準換算-設定値" sheetId="507" r:id="rId19"/>
    <sheet name="クラス内換算-設定値" sheetId="508" r:id="rId20"/>
    <sheet name="クラス間換算-設定値" sheetId="509" r:id="rId21"/>
    <sheet name="ユーザーをロールに割り当てる" sheetId="558" r:id="rId22"/>
    <sheet name="ロールへのユーザーの動的割り当てのルール-設定値" sheetId="559" r:id="rId23"/>
    <sheet name="ユーザーIDへの作業者の割当" sheetId="561" r:id="rId24"/>
    <sheet name="ユーザーIDへの作業者の割当-設定値" sheetId="562" r:id="rId25"/>
    <sheet name="ユーザーグループ" sheetId="586" r:id="rId26"/>
    <sheet name="ユーザーグループ-設定値" sheetId="587" r:id="rId27"/>
    <sheet name="通貨の為替レート" sheetId="512" r:id="rId28"/>
    <sheet name="通貨の為替レート-設定値" sheetId="513" r:id="rId29"/>
    <sheet name="顧客の価格割引グループ" sheetId="514" r:id="rId30"/>
    <sheet name="顧客の価格割引グループ-設定値" sheetId="515" r:id="rId31"/>
    <sheet name="売買契約仕訳帳名（販売）" sheetId="516" r:id="rId32"/>
    <sheet name="売買契約仕訳帳名-設定値（販売）" sheetId="517" r:id="rId33"/>
    <sheet name="売買契約仕訳帳（販売）" sheetId="580" r:id="rId34"/>
    <sheet name="売買契約仕訳帳-設定値（販売）" sheetId="581" r:id="rId35"/>
    <sheet name="荷渡方法" sheetId="518" r:id="rId36"/>
    <sheet name="荷渡方法-設定値" sheetId="519" r:id="rId37"/>
    <sheet name="顧客" sheetId="522" r:id="rId38"/>
    <sheet name="顧客-顧客の作成" sheetId="523" r:id="rId39"/>
    <sheet name="顧客-設定値" sheetId="524" r:id="rId40"/>
    <sheet name="与信管理グループ" sheetId="525" r:id="rId41"/>
    <sheet name="与信管理グループ-設定値" sheetId="526" r:id="rId42"/>
    <sheet name="仕入先の価格割引グループ" sheetId="529" r:id="rId43"/>
    <sheet name="仕入先の価格割引グループ-設定値" sheetId="530" r:id="rId44"/>
    <sheet name="売買契約仕訳帳名 (調達)" sheetId="531" r:id="rId45"/>
    <sheet name="売買契約仕訳帳名-設定値 (調達)" sheetId="532" r:id="rId46"/>
    <sheet name="売買契約仕訳帳（調達）" sheetId="582" r:id="rId47"/>
    <sheet name="売買契約仕訳帳-設定値（調達）" sheetId="583" r:id="rId48"/>
    <sheet name="仕入先" sheetId="533" r:id="rId49"/>
    <sheet name="仕入先-設定値" sheetId="534" r:id="rId50"/>
    <sheet name="サイト" sheetId="535" r:id="rId51"/>
    <sheet name="サイト-設定値" sheetId="536" r:id="rId52"/>
    <sheet name="倉庫" sheetId="537" r:id="rId53"/>
    <sheet name="倉庫-設定値" sheetId="538" r:id="rId54"/>
    <sheet name="通路" sheetId="563" r:id="rId55"/>
    <sheet name="通路-設定値" sheetId="564" r:id="rId56"/>
    <sheet name="在庫場所" sheetId="565" r:id="rId57"/>
    <sheet name="在庫場所-設定値" sheetId="566" r:id="rId58"/>
    <sheet name="配送日数" sheetId="567" r:id="rId59"/>
    <sheet name="配送日数-設定値" sheetId="568" r:id="rId60"/>
    <sheet name="出荷の配送業者" sheetId="539" r:id="rId61"/>
    <sheet name="出荷の配送業者-設定値" sheetId="540" r:id="rId62"/>
    <sheet name="製品" sheetId="571" r:id="rId63"/>
    <sheet name="製品-設定値" sheetId="572" r:id="rId64"/>
    <sheet name="リリースされた製品" sheetId="585" r:id="rId65"/>
    <sheet name="リリースされた製品-設定値" sheetId="570" r:id="rId66"/>
    <sheet name="カテゴリ階層 " sheetId="554" r:id="rId67"/>
    <sheet name="カテゴリ階層 -設定値" sheetId="555" r:id="rId68"/>
    <sheet name="カテゴリノード -設定値" sheetId="584" r:id="rId69"/>
    <sheet name="カテゴリノード詳細 -設定値" sheetId="573" r:id="rId70"/>
    <sheet name="カテゴリ階層ロールのアソシエーション " sheetId="556" r:id="rId71"/>
    <sheet name="カテゴリ階層ロールのアソシエーション  -設定値" sheetId="557" r:id="rId72"/>
    <sheet name="既定で繰延される品目" sheetId="527" r:id="rId73"/>
    <sheet name="既定で繰延される品目 - 設定値" sheetId="528" r:id="rId74"/>
    <sheet name="従業員" sheetId="574" r:id="rId75"/>
    <sheet name="従業員-設定値" sheetId="575" r:id="rId76"/>
    <sheet name="部門" sheetId="576" r:id="rId77"/>
    <sheet name="職務" sheetId="541" r:id="rId78"/>
    <sheet name="職務-設定値" sheetId="542" r:id="rId79"/>
    <sheet name="職位" sheetId="578" r:id="rId80"/>
    <sheet name="職位-設定値" sheetId="579" r:id="rId81"/>
    <sheet name="リソースグループ" sheetId="543" r:id="rId82"/>
    <sheet name="リソースグループ-設定値" sheetId="544" r:id="rId83"/>
    <sheet name="リソースグループ-カレンダー-設定値" sheetId="545" r:id="rId84"/>
    <sheet name="リソースグループ-リソース-設定値" sheetId="546" r:id="rId85"/>
    <sheet name="リソースグループ-カレンダー誤差-設定値" sheetId="547" r:id="rId86"/>
    <sheet name="リソースグループ-作業セルの能力-設定値" sheetId="548" r:id="rId87"/>
    <sheet name="リソース" sheetId="549" r:id="rId88"/>
    <sheet name="リソース-設定値" sheetId="550" r:id="rId89"/>
    <sheet name="リソース-カレンダー-設定値" sheetId="551" r:id="rId90"/>
    <sheet name="リソース-処理能力-設定値" sheetId="552" r:id="rId91"/>
    <sheet name="リソース-リソースグループ-設定値" sheetId="553" r:id="rId92"/>
  </sheets>
  <externalReferences>
    <externalReference r:id="rId93"/>
    <externalReference r:id="rId94"/>
  </externalReferences>
  <definedNames>
    <definedName name="_Fill" localSheetId="35" hidden="1">[1]テーブル仕様!#REF!</definedName>
    <definedName name="_Fill" localSheetId="36" hidden="1">[1]テーブル仕様!#REF!</definedName>
    <definedName name="_Fill" localSheetId="29" hidden="1">[1]テーブル仕様!#REF!</definedName>
    <definedName name="_Fill" localSheetId="30" hidden="1">[1]テーブル仕様!#REF!</definedName>
    <definedName name="_Fill" hidden="1">[1]テーブル仕様!#REF!</definedName>
    <definedName name="_xlnm._FilterDatabase" localSheetId="1" hidden="1">パラメータ設定一覧!#REF!</definedName>
    <definedName name="_xlnm._FilterDatabase" localSheetId="65" hidden="1">'リリースされた製品-設定値'!$GR$1:$HL$31</definedName>
    <definedName name="_xlnm._FilterDatabase" localSheetId="73" hidden="1">'既定で繰延される品目 - 設定値'!#REF!</definedName>
    <definedName name="_xlnm._FilterDatabase" localSheetId="5" hidden="1">'住所の形式-設定値'!#REF!</definedName>
    <definedName name="_Order1" hidden="1">255</definedName>
    <definedName name="_Order2" hidden="1">255</definedName>
    <definedName name="_Regression_X" hidden="1">#REF!</definedName>
    <definedName name="A" localSheetId="0" hidden="1">#REF!</definedName>
    <definedName name="A" hidden="1">#REF!</definedName>
    <definedName name="adf" localSheetId="0" hidden="1">#REF!</definedName>
    <definedName name="adf" hidden="1">#REF!</definedName>
    <definedName name="AS2DocOpenMode" hidden="1">"AS2DocumentEdit"</definedName>
    <definedName name="AX" hidden="1">#REF!</definedName>
    <definedName name="AZ" hidden="1">#REF!</definedName>
    <definedName name="bbb" localSheetId="0" hidden="1">[1]テーブル仕様!#REF!</definedName>
    <definedName name="bbb" hidden="1">[1]テーブル仕様!#REF!</definedName>
    <definedName name="ＧＷメッセージ一覧" hidden="1">#REF!</definedName>
    <definedName name="H" localSheetId="35" hidden="1">{"'Sheet1'!$B$5:$H$34"}</definedName>
    <definedName name="H" localSheetId="36" hidden="1">{"'Sheet1'!$B$5:$H$34"}</definedName>
    <definedName name="H" localSheetId="29" hidden="1">{"'Sheet1'!$B$5:$H$34"}</definedName>
    <definedName name="H" localSheetId="30" hidden="1">{"'Sheet1'!$B$5:$H$34"}</definedName>
    <definedName name="H" hidden="1">{"'Sheet1'!$B$5:$H$34"}</definedName>
    <definedName name="HTML_CodePage" hidden="1">932</definedName>
    <definedName name="HTML_Control" localSheetId="35" hidden="1">{"'分担ﾙｰﾙ'!$A$1:$M$72","'分担ﾙｰﾙ'!$A$19:$M$71"}</definedName>
    <definedName name="HTML_Control" localSheetId="36" hidden="1">{"'分担ﾙｰﾙ'!$A$1:$M$72","'分担ﾙｰﾙ'!$A$19:$M$71"}</definedName>
    <definedName name="HTML_Control" localSheetId="29" hidden="1">{"'分担ﾙｰﾙ'!$A$1:$M$72","'分担ﾙｰﾙ'!$A$19:$M$71"}</definedName>
    <definedName name="HTML_Control" localSheetId="30" hidden="1">{"'分担ﾙｰﾙ'!$A$1:$M$72","'分担ﾙｰﾙ'!$A$19:$M$71"}</definedName>
    <definedName name="HTML_Control" localSheetId="0" hidden="1">{"'分担ﾙｰﾙ'!$A$1:$M$72","'分担ﾙｰﾙ'!$A$19:$M$71"}</definedName>
    <definedName name="HTML_Control" hidden="1">{"'分担ﾙｰﾙ'!$A$1:$M$72","'分担ﾙｰﾙ'!$A$19:$M$71"}</definedName>
    <definedName name="HTML_Control_copy" localSheetId="35" hidden="1">{"'Sheet1'!$B$5:$H$34"}</definedName>
    <definedName name="HTML_Control_copy" localSheetId="36" hidden="1">{"'Sheet1'!$B$5:$H$34"}</definedName>
    <definedName name="HTML_Control_copy" localSheetId="29" hidden="1">{"'Sheet1'!$B$5:$H$34"}</definedName>
    <definedName name="HTML_Control_copy" localSheetId="30" hidden="1">{"'Sheet1'!$B$5:$H$34"}</definedName>
    <definedName name="HTML_Control_copy" hidden="1">{"'Sheet1'!$B$5:$H$34"}</definedName>
    <definedName name="HTML_Control_Copy2" localSheetId="35" hidden="1">{"'Sheet1'!$B$5:$H$34"}</definedName>
    <definedName name="HTML_Control_Copy2" localSheetId="36" hidden="1">{"'Sheet1'!$B$5:$H$34"}</definedName>
    <definedName name="HTML_Control_Copy2" localSheetId="29" hidden="1">{"'Sheet1'!$B$5:$H$34"}</definedName>
    <definedName name="HTML_Control_Copy2" localSheetId="30" hidden="1">{"'Sheet1'!$B$5:$H$34"}</definedName>
    <definedName name="HTML_Control_Copy2" hidden="1">{"'Sheet1'!$B$5:$H$34"}</definedName>
    <definedName name="HTML_Control1" localSheetId="35" hidden="1">{"'分担ﾙｰﾙ'!$A$1:$M$72","'分担ﾙｰﾙ'!$A$19:$M$71"}</definedName>
    <definedName name="HTML_Control1" localSheetId="36" hidden="1">{"'分担ﾙｰﾙ'!$A$1:$M$72","'分担ﾙｰﾙ'!$A$19:$M$71"}</definedName>
    <definedName name="HTML_Control1" localSheetId="29" hidden="1">{"'分担ﾙｰﾙ'!$A$1:$M$72","'分担ﾙｰﾙ'!$A$19:$M$71"}</definedName>
    <definedName name="HTML_Control1" localSheetId="30" hidden="1">{"'分担ﾙｰﾙ'!$A$1:$M$72","'分担ﾙｰﾙ'!$A$19:$M$71"}</definedName>
    <definedName name="HTML_Control1" localSheetId="0" hidden="1">{"'分担ﾙｰﾙ'!$A$1:$M$72","'分担ﾙｰﾙ'!$A$19:$M$71"}</definedName>
    <definedName name="HTML_Control1" hidden="1">{"'分担ﾙｰﾙ'!$A$1:$M$72","'分担ﾙｰﾙ'!$A$19:$M$71"}</definedName>
    <definedName name="HTML_Control2" localSheetId="35" hidden="1">{"'Sheet1'!$B$5:$H$34"}</definedName>
    <definedName name="HTML_Control2" localSheetId="36" hidden="1">{"'Sheet1'!$B$5:$H$34"}</definedName>
    <definedName name="HTML_Control2" localSheetId="29" hidden="1">{"'Sheet1'!$B$5:$H$34"}</definedName>
    <definedName name="HTML_Control2" localSheetId="30" hidden="1">{"'Sheet1'!$B$5:$H$34"}</definedName>
    <definedName name="HTML_Control2" hidden="1">{"'Sheet1'!$B$5:$H$34"}</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ｋ" localSheetId="35" hidden="1">#REF!</definedName>
    <definedName name="ｋ" localSheetId="36" hidden="1">#REF!</definedName>
    <definedName name="ｋ" localSheetId="29" hidden="1">#REF!</definedName>
    <definedName name="ｋ" localSheetId="30" hidden="1">#REF!</definedName>
    <definedName name="ｋ" hidden="1">#REF!</definedName>
    <definedName name="ｐ" hidden="1">#REF!</definedName>
    <definedName name="s" localSheetId="35" hidden="1">{"'Sheet1'!$B$5:$H$34"}</definedName>
    <definedName name="s" localSheetId="36" hidden="1">{"'Sheet1'!$B$5:$H$34"}</definedName>
    <definedName name="s" localSheetId="29" hidden="1">{"'Sheet1'!$B$5:$H$34"}</definedName>
    <definedName name="s" localSheetId="30" hidden="1">{"'Sheet1'!$B$5:$H$34"}</definedName>
    <definedName name="s" hidden="1">{"'Sheet1'!$B$5:$H$34"}</definedName>
    <definedName name="t" localSheetId="35" hidden="1">{"'Sheet1'!$B$5:$H$34"}</definedName>
    <definedName name="t" localSheetId="36" hidden="1">{"'Sheet1'!$B$5:$H$34"}</definedName>
    <definedName name="t" localSheetId="29" hidden="1">{"'Sheet1'!$B$5:$H$34"}</definedName>
    <definedName name="t" localSheetId="30" hidden="1">{"'Sheet1'!$B$5:$H$34"}</definedName>
    <definedName name="t" hidden="1">{"'Sheet1'!$B$5:$H$34"}</definedName>
    <definedName name="TEST" localSheetId="35" hidden="1">{"'Sheet1'!$B$5:$H$34"}</definedName>
    <definedName name="TEST" localSheetId="36" hidden="1">{"'Sheet1'!$B$5:$H$34"}</definedName>
    <definedName name="TEST" localSheetId="29" hidden="1">{"'Sheet1'!$B$5:$H$34"}</definedName>
    <definedName name="TEST" localSheetId="30" hidden="1">{"'Sheet1'!$B$5:$H$34"}</definedName>
    <definedName name="TEST" hidden="1">{"'Sheet1'!$B$5:$H$34"}</definedName>
    <definedName name="VV" hidden="1">#REF!</definedName>
    <definedName name="ｗ" localSheetId="35" hidden="1">{"'Sheet1'!$B$5:$H$34"}</definedName>
    <definedName name="ｗ" localSheetId="36" hidden="1">{"'Sheet1'!$B$5:$H$34"}</definedName>
    <definedName name="ｗ" localSheetId="29" hidden="1">{"'Sheet1'!$B$5:$H$34"}</definedName>
    <definedName name="ｗ" localSheetId="30" hidden="1">{"'Sheet1'!$B$5:$H$34"}</definedName>
    <definedName name="ｗ" hidden="1">{"'Sheet1'!$B$5:$H$34"}</definedName>
    <definedName name="work" hidden="1">#REF!</definedName>
    <definedName name="Z_5FB70CD0_6C58_413B_B7A8_B2222A9FFAB3_.wvu.FilterData" hidden="1">#REF!</definedName>
    <definedName name="Z_85CF1BE9_3199_4F5A_9707_53025D8196D4_.wvu.FilterData" hidden="1">#REF!</definedName>
    <definedName name="Z_A42E5BFB_D110_4A4D_A35F_734243F40A17_.wvu.FilterData" hidden="1">#REF!</definedName>
    <definedName name="Z_CF1E67FB_0D25_4F96_A0AC_373637B05BD1_.wvu.FilterData" hidden="1">#REF!</definedName>
    <definedName name="Z_CF1E67FB_0D25_4F96_A0AC_373637B05BD1_.wvu.PrintArea" hidden="1">#REF!</definedName>
    <definedName name="あ" hidden="1">#REF!</definedName>
    <definedName name="あああ" localSheetId="0" hidden="1">[1]テーブル仕様!#REF!</definedName>
    <definedName name="あああ" hidden="1">[1]テーブル仕様!#REF!</definedName>
    <definedName name="い" localSheetId="35" hidden="1">#REF!</definedName>
    <definedName name="い" localSheetId="36" hidden="1">#REF!</definedName>
    <definedName name="い" localSheetId="29" hidden="1">#REF!</definedName>
    <definedName name="い" localSheetId="30" hidden="1">#REF!</definedName>
    <definedName name="い" hidden="1">#REF!</definedName>
    <definedName name="う" localSheetId="35" hidden="1">#REF!</definedName>
    <definedName name="う" localSheetId="36" hidden="1">#REF!</definedName>
    <definedName name="う" localSheetId="29" hidden="1">#REF!</definedName>
    <definedName name="う" localSheetId="30" hidden="1">#REF!</definedName>
    <definedName name="う" hidden="1">#REF!</definedName>
    <definedName name="ええ" localSheetId="35" hidden="1">{"'Sheet1'!$B$5:$H$34"}</definedName>
    <definedName name="ええ" localSheetId="36" hidden="1">{"'Sheet1'!$B$5:$H$34"}</definedName>
    <definedName name="ええ" localSheetId="29" hidden="1">{"'Sheet1'!$B$5:$H$34"}</definedName>
    <definedName name="ええ" localSheetId="30" hidden="1">{"'Sheet1'!$B$5:$H$34"}</definedName>
    <definedName name="ええ" hidden="1">{"'Sheet1'!$B$5:$H$34"}</definedName>
    <definedName name="えええ" localSheetId="35" hidden="1">{"'9.項目'!$B$5:$AW$60"}</definedName>
    <definedName name="えええ" localSheetId="36" hidden="1">{"'9.項目'!$B$5:$AW$60"}</definedName>
    <definedName name="えええ" localSheetId="29" hidden="1">{"'9.項目'!$B$5:$AW$60"}</definedName>
    <definedName name="えええ" localSheetId="30" hidden="1">{"'9.項目'!$B$5:$AW$60"}</definedName>
    <definedName name="えええ" localSheetId="0" hidden="1">{"'9.項目'!$B$5:$AW$60"}</definedName>
    <definedName name="えええ" hidden="1">{"'9.項目'!$B$5:$AW$60"}</definedName>
    <definedName name="お" localSheetId="35" hidden="1">{"'Sheet1'!$B$5:$H$34"}</definedName>
    <definedName name="お" localSheetId="36" hidden="1">{"'Sheet1'!$B$5:$H$34"}</definedName>
    <definedName name="お" localSheetId="29" hidden="1">{"'Sheet1'!$B$5:$H$34"}</definedName>
    <definedName name="お" localSheetId="30" hidden="1">{"'Sheet1'!$B$5:$H$34"}</definedName>
    <definedName name="お" hidden="1">{"'Sheet1'!$B$5:$H$34"}</definedName>
    <definedName name="カレンダータイプ">[2]マスタ!$I$27:$I$29</definedName>
    <definedName name="サンプル" localSheetId="35" hidden="1">#REF!</definedName>
    <definedName name="サンプル" localSheetId="36" hidden="1">#REF!</definedName>
    <definedName name="サンプル" localSheetId="29" hidden="1">#REF!</definedName>
    <definedName name="サンプル" localSheetId="30" hidden="1">#REF!</definedName>
    <definedName name="サンプル" hidden="1">#REF!</definedName>
    <definedName name="ステータス">[2]マスタ!$C$27:$C$29</definedName>
    <definedName name="タスクドキュメント１" localSheetId="35" hidden="1">#REF!</definedName>
    <definedName name="タスクドキュメント１" localSheetId="36" hidden="1">#REF!</definedName>
    <definedName name="タスクドキュメント１" localSheetId="29" hidden="1">#REF!</definedName>
    <definedName name="タスクドキュメント１" localSheetId="30" hidden="1">#REF!</definedName>
    <definedName name="タスクドキュメント１" hidden="1">#REF!</definedName>
    <definedName name="チェックボックス">[2]マスタ!$B$10:$B$11</definedName>
    <definedName name="はいいいえ">[2]マスタ!$B$5:$B$6</definedName>
    <definedName name="レポートタイプ">[2]マスタ!$K$6:$K$8</definedName>
    <definedName name="安藤" localSheetId="35" hidden="1">#REF!</definedName>
    <definedName name="安藤" localSheetId="36" hidden="1">#REF!</definedName>
    <definedName name="安藤" localSheetId="29" hidden="1">#REF!</definedName>
    <definedName name="安藤" localSheetId="30" hidden="1">#REF!</definedName>
    <definedName name="安藤" hidden="1">#REF!</definedName>
    <definedName name="為替換算タイプ">[2]マスタ!$U$5:$U$8</definedName>
    <definedName name="演算子">[2]マスタ!$R$5:$R$14</definedName>
    <definedName name="開始・終了">[2]マスタ!$C$237:$C$238</definedName>
    <definedName name="勘定タイプ">[2]マスタ!$E$27:$E$32</definedName>
    <definedName name="関連" localSheetId="35" hidden="1">#REF!</definedName>
    <definedName name="関連" localSheetId="36" hidden="1">#REF!</definedName>
    <definedName name="関連" localSheetId="29" hidden="1">#REF!</definedName>
    <definedName name="関連" localSheetId="30" hidden="1">#REF!</definedName>
    <definedName name="関連" hidden="1">#REF!</definedName>
    <definedName name="関連表" hidden="1">#REF!</definedName>
    <definedName name="丸め方法">[2]マスタ!$Y$5:$Y$7</definedName>
    <definedName name="既定の説明">[2]マスタ!$H$237:$H$351</definedName>
    <definedName name="期間タイプ">[2]マスタ!$B$237:$B$244</definedName>
    <definedName name="検証">[2]マスタ!$O$6:$O$9</definedName>
    <definedName name="作成日">DATE(2000,3,21)</definedName>
    <definedName name="仕訳帳タイプ">[2]マスタ!$B$27:$B$72</definedName>
    <definedName name="仕様書" localSheetId="35" hidden="1">#REF!</definedName>
    <definedName name="仕様書" localSheetId="36" hidden="1">#REF!</definedName>
    <definedName name="仕様書" localSheetId="29" hidden="1">#REF!</definedName>
    <definedName name="仕様書" localSheetId="30" hidden="1">#REF!</definedName>
    <definedName name="仕様書" hidden="1">#REF!</definedName>
    <definedName name="借方貸方">[2]マスタ!$L$6:$L$7</definedName>
    <definedName name="主勘定タイプ">[2]マスタ!$J$6:$J$15</definedName>
    <definedName name="主勘定タイプ2">[2]マスタ!$AB$5:$AB$11</definedName>
    <definedName name="場所">[2]マスタ!$S$5</definedName>
    <definedName name="新しい伝票">[2]マスタ!$D$27:$D$29</definedName>
    <definedName name="性別1">[2]マスタ!$Z$5:$Z$6</definedName>
    <definedName name="精算表に残高を転送するフィールド">[2]マスタ!$M$6:$M$8</definedName>
    <definedName name="選択可能値">[2]マスタ!$C$37:$C$43</definedName>
    <definedName name="束原" localSheetId="35" hidden="1">#REF!</definedName>
    <definedName name="束原" localSheetId="36" hidden="1">#REF!</definedName>
    <definedName name="束原" localSheetId="29" hidden="1">#REF!</definedName>
    <definedName name="束原" localSheetId="30" hidden="1">#REF!</definedName>
    <definedName name="束原" hidden="1">#REF!</definedName>
    <definedName name="単位">[2]マスタ!$W$5:$W$7</definedName>
    <definedName name="調整単位">[2]マスタ!$D$237:$D$240</definedName>
    <definedName name="転記タイプ">[2]マスタ!$F$237:$F$389</definedName>
    <definedName name="導入時期う" localSheetId="35" hidden="1">#REF!</definedName>
    <definedName name="導入時期う" localSheetId="36" hidden="1">#REF!</definedName>
    <definedName name="導入時期う" localSheetId="29" hidden="1">#REF!</definedName>
    <definedName name="導入時期う" localSheetId="30" hidden="1">#REF!</definedName>
    <definedName name="導入時期う" hidden="1">#REF!</definedName>
    <definedName name="分析コード形式タイプ">[2]マスタ!$BA$5:$BA$8</definedName>
    <definedName name="領域">[2]マスタ!$F$99:$F$164:'[2]マスタ'!$F$120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9" i="579" l="1"/>
  <c r="B18" i="579"/>
  <c r="B17" i="579"/>
  <c r="B16" i="579"/>
  <c r="B15" i="579"/>
  <c r="B14" i="579"/>
  <c r="B13" i="579"/>
  <c r="B12" i="579"/>
  <c r="B11" i="579"/>
  <c r="B10" i="579"/>
  <c r="B24" i="579"/>
  <c r="B23" i="579"/>
  <c r="B22" i="579"/>
  <c r="B21" i="579"/>
  <c r="B20" i="579"/>
  <c r="B29" i="579"/>
  <c r="B28" i="579"/>
  <c r="B27" i="579"/>
  <c r="B26" i="579"/>
  <c r="B25" i="579"/>
  <c r="B14" i="542"/>
  <c r="B13" i="542"/>
  <c r="B12" i="542"/>
  <c r="B11" i="542"/>
  <c r="B10" i="542"/>
  <c r="B39" i="575"/>
  <c r="B38" i="575"/>
  <c r="B37" i="575"/>
  <c r="B36" i="575"/>
  <c r="B35" i="575"/>
  <c r="B34" i="575"/>
  <c r="B33" i="575"/>
  <c r="B32" i="575"/>
  <c r="B31" i="575"/>
  <c r="B30" i="575"/>
  <c r="B29" i="575"/>
  <c r="B28" i="575"/>
  <c r="B27" i="575"/>
  <c r="B26" i="575"/>
  <c r="B25" i="575"/>
  <c r="B24" i="575"/>
  <c r="B23" i="575"/>
  <c r="B22" i="575"/>
  <c r="B21" i="575"/>
  <c r="B20" i="575"/>
  <c r="B19" i="575"/>
  <c r="B18" i="575"/>
  <c r="B17" i="575"/>
  <c r="B16" i="575"/>
  <c r="B15" i="575"/>
  <c r="B14" i="575"/>
  <c r="B13" i="575"/>
  <c r="B12" i="575"/>
  <c r="B11" i="575"/>
  <c r="B10" i="575"/>
  <c r="B53" i="573"/>
  <c r="B52" i="573"/>
  <c r="B51" i="573"/>
  <c r="B50" i="573"/>
  <c r="B49" i="573"/>
  <c r="B48" i="573"/>
  <c r="B47" i="573"/>
  <c r="B46" i="573"/>
  <c r="B45" i="573"/>
  <c r="B44" i="573"/>
  <c r="B43" i="573"/>
  <c r="B42" i="573"/>
  <c r="B41" i="573"/>
  <c r="B40" i="573"/>
  <c r="B39" i="573"/>
  <c r="B38" i="573"/>
  <c r="B37" i="573"/>
  <c r="B36" i="573"/>
  <c r="B35" i="573"/>
  <c r="B34" i="573"/>
  <c r="B33" i="573"/>
  <c r="B32" i="573"/>
  <c r="B31" i="573"/>
  <c r="B30" i="573"/>
  <c r="B29" i="573"/>
  <c r="B28" i="573"/>
  <c r="B27" i="573"/>
  <c r="B26" i="573"/>
  <c r="B25" i="573"/>
  <c r="B24" i="573"/>
  <c r="B23" i="573"/>
  <c r="B22" i="573"/>
  <c r="B21" i="573"/>
  <c r="B20" i="573"/>
  <c r="B19" i="573"/>
  <c r="B18" i="573"/>
  <c r="B17" i="573"/>
  <c r="B16" i="573"/>
  <c r="B15" i="573"/>
  <c r="B14" i="573"/>
  <c r="B52" i="584"/>
  <c r="B51" i="584"/>
  <c r="B50" i="584"/>
  <c r="B49" i="584"/>
  <c r="B48" i="584"/>
  <c r="B47" i="584"/>
  <c r="B46" i="584"/>
  <c r="B45" i="584"/>
  <c r="B44" i="584"/>
  <c r="B43" i="584"/>
  <c r="B42" i="584"/>
  <c r="B41" i="584"/>
  <c r="B40" i="584"/>
  <c r="B39" i="584"/>
  <c r="B38" i="584"/>
  <c r="B37" i="584"/>
  <c r="B36" i="584"/>
  <c r="B35" i="584"/>
  <c r="B34" i="584"/>
  <c r="B33" i="584"/>
  <c r="B32" i="584"/>
  <c r="B31" i="584"/>
  <c r="B30" i="584"/>
  <c r="B29" i="584"/>
  <c r="B28" i="584"/>
  <c r="B27" i="584"/>
  <c r="B26" i="584"/>
  <c r="B25" i="584"/>
  <c r="B24" i="584"/>
  <c r="B23" i="584"/>
  <c r="B22" i="584"/>
  <c r="B21" i="584"/>
  <c r="B20" i="584"/>
  <c r="B19" i="584"/>
  <c r="B18" i="584"/>
  <c r="B17" i="584"/>
  <c r="B16" i="584"/>
  <c r="B15" i="584"/>
  <c r="B14" i="584"/>
  <c r="B13" i="584"/>
  <c r="B18" i="555"/>
  <c r="B17" i="555"/>
  <c r="B16" i="555"/>
  <c r="B15" i="555"/>
  <c r="B14" i="555"/>
  <c r="B13" i="555"/>
  <c r="B12" i="555"/>
  <c r="B11" i="555"/>
  <c r="B10" i="555"/>
  <c r="B9" i="555"/>
  <c r="B29" i="570" l="1"/>
  <c r="B28" i="570"/>
  <c r="B27" i="570"/>
  <c r="B26" i="570"/>
  <c r="B25" i="570"/>
  <c r="B24" i="570"/>
  <c r="B23" i="570"/>
  <c r="B22" i="570"/>
  <c r="B21" i="570"/>
  <c r="B20" i="570"/>
  <c r="B19" i="570"/>
  <c r="B18" i="570"/>
  <c r="B17" i="570"/>
  <c r="B16" i="570"/>
  <c r="B15" i="570"/>
  <c r="B14" i="570"/>
  <c r="B13" i="570"/>
  <c r="B12" i="570"/>
  <c r="B11" i="570"/>
  <c r="B10" i="570"/>
  <c r="B19" i="572"/>
  <c r="B18" i="572"/>
  <c r="B17" i="572"/>
  <c r="B16" i="572"/>
  <c r="B15" i="572"/>
  <c r="B14" i="572"/>
  <c r="B13" i="572"/>
  <c r="B12" i="572"/>
  <c r="B11" i="572"/>
  <c r="B10" i="572"/>
  <c r="B29" i="572"/>
  <c r="B28" i="572"/>
  <c r="B27" i="572"/>
  <c r="B26" i="572"/>
  <c r="B25" i="572"/>
  <c r="B24" i="572"/>
  <c r="B23" i="572"/>
  <c r="B22" i="572"/>
  <c r="B21" i="572"/>
  <c r="B20" i="572"/>
  <c r="B19" i="566"/>
  <c r="B18" i="566"/>
  <c r="B17" i="566"/>
  <c r="B16" i="566"/>
  <c r="B15" i="566"/>
  <c r="B14" i="566"/>
  <c r="B13" i="566"/>
  <c r="B12" i="566"/>
  <c r="B11" i="566"/>
  <c r="B10" i="566"/>
  <c r="B17" i="564"/>
  <c r="B16" i="564"/>
  <c r="B15" i="564"/>
  <c r="B14" i="564"/>
  <c r="B13" i="564"/>
  <c r="B12" i="564"/>
  <c r="B11" i="564"/>
  <c r="B10" i="564"/>
  <c r="B9" i="564"/>
  <c r="B8" i="564"/>
  <c r="B12" i="538"/>
  <c r="B11" i="538"/>
  <c r="B19" i="538"/>
  <c r="B18" i="538"/>
  <c r="B17" i="538"/>
  <c r="B16" i="538"/>
  <c r="B15" i="538"/>
  <c r="B14" i="538"/>
  <c r="B13" i="538"/>
  <c r="B10" i="538"/>
  <c r="B11" i="536"/>
  <c r="B10" i="536"/>
  <c r="B9" i="536"/>
  <c r="B19" i="534"/>
  <c r="B18" i="534"/>
  <c r="B17" i="534"/>
  <c r="B16" i="534"/>
  <c r="B15" i="534"/>
  <c r="B14" i="534"/>
  <c r="B13" i="534"/>
  <c r="B12" i="534"/>
  <c r="B11" i="534"/>
  <c r="B10" i="534"/>
  <c r="DH29" i="524"/>
  <c r="DH28" i="524"/>
  <c r="DH27" i="524"/>
  <c r="DH26" i="524"/>
  <c r="DH25" i="524"/>
  <c r="DH24" i="524"/>
  <c r="DH23" i="524"/>
  <c r="DH22" i="524"/>
  <c r="DH21" i="524"/>
  <c r="DH20" i="524"/>
  <c r="DH19" i="524"/>
  <c r="DH18" i="524"/>
  <c r="DH17" i="524"/>
  <c r="DH16" i="524"/>
  <c r="DH15" i="524"/>
  <c r="DH14" i="524"/>
  <c r="DH13" i="524"/>
  <c r="DH12" i="524"/>
  <c r="DH11" i="524"/>
  <c r="DH10" i="524"/>
  <c r="DH9" i="524"/>
  <c r="BE29" i="524"/>
  <c r="BE28" i="524"/>
  <c r="BE27" i="524"/>
  <c r="BE26" i="524"/>
  <c r="BE25" i="524"/>
  <c r="BE24" i="524"/>
  <c r="BE23" i="524"/>
  <c r="BE22" i="524"/>
  <c r="BE21" i="524"/>
  <c r="BE20" i="524"/>
  <c r="BE19" i="524"/>
  <c r="BE18" i="524"/>
  <c r="BE17" i="524"/>
  <c r="BE16" i="524"/>
  <c r="BE15" i="524"/>
  <c r="BE14" i="524"/>
  <c r="BE13" i="524"/>
  <c r="BE12" i="524"/>
  <c r="BE11" i="524"/>
  <c r="BE10" i="524"/>
  <c r="BE9" i="524"/>
  <c r="G29" i="524"/>
  <c r="G28" i="524"/>
  <c r="G27" i="524"/>
  <c r="G26" i="524"/>
  <c r="G25" i="524"/>
  <c r="G24" i="524"/>
  <c r="G23" i="524"/>
  <c r="G22" i="524"/>
  <c r="G21" i="524"/>
  <c r="G20" i="524"/>
  <c r="G19" i="524"/>
  <c r="G18" i="524"/>
  <c r="G17" i="524"/>
  <c r="G16" i="524"/>
  <c r="G15" i="524"/>
  <c r="G14" i="524"/>
  <c r="G13" i="524"/>
  <c r="G12" i="524"/>
  <c r="G11" i="524"/>
  <c r="G10" i="524"/>
  <c r="G9" i="524"/>
  <c r="E9" i="524"/>
  <c r="D9" i="524"/>
  <c r="C9" i="524"/>
  <c r="E29" i="524"/>
  <c r="E28" i="524"/>
  <c r="E27" i="524"/>
  <c r="E26" i="524"/>
  <c r="E25" i="524"/>
  <c r="E24" i="524"/>
  <c r="E23" i="524"/>
  <c r="E22" i="524"/>
  <c r="E21" i="524"/>
  <c r="E20" i="524"/>
  <c r="E19" i="524"/>
  <c r="E18" i="524"/>
  <c r="E17" i="524"/>
  <c r="E16" i="524"/>
  <c r="E15" i="524"/>
  <c r="E14" i="524"/>
  <c r="E13" i="524"/>
  <c r="E12" i="524"/>
  <c r="E11" i="524"/>
  <c r="E10" i="524"/>
  <c r="D29" i="524"/>
  <c r="D28" i="524"/>
  <c r="D27" i="524"/>
  <c r="D26" i="524"/>
  <c r="D25" i="524"/>
  <c r="D24" i="524"/>
  <c r="D23" i="524"/>
  <c r="D22" i="524"/>
  <c r="D21" i="524"/>
  <c r="D20" i="524"/>
  <c r="D19" i="524"/>
  <c r="D18" i="524"/>
  <c r="D17" i="524"/>
  <c r="D16" i="524"/>
  <c r="D15" i="524"/>
  <c r="D14" i="524"/>
  <c r="D13" i="524"/>
  <c r="D12" i="524"/>
  <c r="D11" i="524"/>
  <c r="D10" i="524"/>
  <c r="C29" i="524"/>
  <c r="C28" i="524"/>
  <c r="C27" i="524"/>
  <c r="C26" i="524"/>
  <c r="C25" i="524"/>
  <c r="C24" i="524"/>
  <c r="C23" i="524"/>
  <c r="C22" i="524"/>
  <c r="C21" i="524"/>
  <c r="C20" i="524"/>
  <c r="C19" i="524"/>
  <c r="C18" i="524"/>
  <c r="C17" i="524"/>
  <c r="C16" i="524"/>
  <c r="C15" i="524"/>
  <c r="C14" i="524"/>
  <c r="C13" i="524"/>
  <c r="C12" i="524"/>
  <c r="C11" i="524"/>
  <c r="C10" i="524"/>
  <c r="B19" i="523"/>
  <c r="B18" i="523"/>
  <c r="B17" i="523"/>
  <c r="B16" i="523"/>
  <c r="B15" i="523"/>
  <c r="B14" i="523"/>
  <c r="B13" i="523"/>
  <c r="B12" i="523"/>
  <c r="B11" i="523"/>
  <c r="B10" i="523"/>
  <c r="B29" i="524"/>
  <c r="B28" i="524"/>
  <c r="B27" i="524"/>
  <c r="B26" i="524"/>
  <c r="B25" i="524"/>
  <c r="B24" i="524"/>
  <c r="B23" i="524"/>
  <c r="B22" i="524"/>
  <c r="B21" i="524"/>
  <c r="B20" i="524"/>
  <c r="B19" i="524"/>
  <c r="B18" i="524"/>
  <c r="B17" i="524"/>
  <c r="B16" i="524"/>
  <c r="B15" i="524"/>
  <c r="B14" i="524"/>
  <c r="B13" i="524"/>
  <c r="B12" i="524"/>
  <c r="B11" i="524"/>
  <c r="B10" i="524"/>
  <c r="B29" i="523"/>
  <c r="B28" i="523"/>
  <c r="B27" i="523"/>
  <c r="B26" i="523"/>
  <c r="B25" i="523"/>
  <c r="B24" i="523"/>
  <c r="B23" i="523"/>
  <c r="B22" i="523"/>
  <c r="B21" i="523"/>
  <c r="B20" i="523"/>
  <c r="B18" i="513" l="1"/>
  <c r="B17" i="513"/>
  <c r="B16" i="513"/>
  <c r="B15" i="513"/>
  <c r="B14" i="513"/>
  <c r="B13" i="513"/>
  <c r="B12" i="513"/>
  <c r="B11" i="513"/>
  <c r="B10" i="513"/>
  <c r="B9" i="513"/>
  <c r="I8" i="513"/>
  <c r="B27" i="562"/>
  <c r="B26" i="562"/>
  <c r="B25" i="562"/>
  <c r="B24" i="562"/>
  <c r="B23" i="562"/>
  <c r="B22" i="562"/>
  <c r="B21" i="562"/>
  <c r="B20" i="562"/>
  <c r="B19" i="562"/>
  <c r="B18" i="562"/>
  <c r="B17" i="562"/>
  <c r="B16" i="562"/>
  <c r="B15" i="562"/>
  <c r="B14" i="562"/>
  <c r="B13" i="562"/>
  <c r="B12" i="562"/>
  <c r="B11" i="562"/>
  <c r="B10" i="562"/>
  <c r="B9" i="562"/>
  <c r="B8" i="562"/>
  <c r="B27" i="509"/>
  <c r="B26" i="509"/>
  <c r="B25" i="509"/>
  <c r="B24" i="509"/>
  <c r="B23" i="509"/>
  <c r="B22" i="509"/>
  <c r="B21" i="509"/>
  <c r="B20" i="509"/>
  <c r="B19" i="509"/>
  <c r="B18" i="509"/>
  <c r="B17" i="509"/>
  <c r="B16" i="509"/>
  <c r="B15" i="509"/>
  <c r="B14" i="509"/>
  <c r="B13" i="509"/>
  <c r="B12" i="509"/>
  <c r="B11" i="509"/>
  <c r="B10" i="509"/>
  <c r="B9" i="509"/>
  <c r="B8" i="509"/>
  <c r="D9" i="509"/>
  <c r="D8" i="509"/>
  <c r="D7" i="509"/>
  <c r="D10" i="508"/>
  <c r="B10" i="508"/>
  <c r="D9" i="508"/>
  <c r="B9" i="508"/>
  <c r="B27" i="508"/>
  <c r="B26" i="508"/>
  <c r="B25" i="508"/>
  <c r="B24" i="508"/>
  <c r="B23" i="508"/>
  <c r="B22" i="508"/>
  <c r="B21" i="508"/>
  <c r="B20" i="508"/>
  <c r="B19" i="508"/>
  <c r="B18" i="508"/>
  <c r="B17" i="508"/>
  <c r="B16" i="508"/>
  <c r="B15" i="508"/>
  <c r="B14" i="508"/>
  <c r="B13" i="508"/>
  <c r="B12" i="508"/>
  <c r="B11" i="508"/>
  <c r="B8" i="508"/>
  <c r="D7" i="508"/>
  <c r="C9" i="507"/>
  <c r="B9" i="507"/>
  <c r="C8" i="507"/>
  <c r="B8" i="507"/>
  <c r="B27" i="507"/>
  <c r="B26" i="507"/>
  <c r="B25" i="507"/>
  <c r="B24" i="507"/>
  <c r="B23" i="507"/>
  <c r="B22" i="507"/>
  <c r="B21" i="507"/>
  <c r="B20" i="507"/>
  <c r="B19" i="507"/>
  <c r="B18" i="507"/>
  <c r="B17" i="507"/>
  <c r="B16" i="507"/>
  <c r="B15" i="507"/>
  <c r="B14" i="507"/>
  <c r="B13" i="507"/>
  <c r="B12" i="507"/>
  <c r="B11" i="507"/>
  <c r="B10" i="507"/>
  <c r="C7" i="507"/>
  <c r="B109" i="511"/>
  <c r="B108" i="511"/>
  <c r="B107" i="511"/>
  <c r="B106" i="511"/>
  <c r="B105" i="511"/>
  <c r="B104" i="511"/>
  <c r="B103" i="511"/>
  <c r="B102" i="511"/>
  <c r="B101" i="511"/>
  <c r="B100" i="511"/>
  <c r="B99" i="511"/>
  <c r="B98" i="511"/>
  <c r="B97" i="511"/>
  <c r="B96" i="511"/>
  <c r="B95" i="511"/>
  <c r="B94" i="511"/>
  <c r="B93" i="511"/>
  <c r="B92" i="511"/>
  <c r="B91" i="511"/>
  <c r="B90" i="511"/>
  <c r="B89" i="511"/>
  <c r="B88" i="511"/>
  <c r="B87" i="511"/>
  <c r="B86" i="511"/>
  <c r="B85" i="511"/>
  <c r="B84" i="511"/>
  <c r="B83" i="511"/>
  <c r="B82" i="511"/>
  <c r="B81" i="511"/>
  <c r="B80" i="511"/>
  <c r="B79" i="511"/>
  <c r="B78" i="511"/>
  <c r="B77" i="511"/>
  <c r="B76" i="511"/>
  <c r="B75" i="511"/>
  <c r="B74" i="511"/>
  <c r="B73" i="511"/>
  <c r="B72" i="511"/>
  <c r="B71" i="511"/>
  <c r="B70" i="511"/>
  <c r="B69" i="511"/>
  <c r="B68" i="511"/>
  <c r="B67" i="511"/>
  <c r="B66" i="511"/>
  <c r="B65" i="511"/>
  <c r="B64" i="511"/>
  <c r="B63" i="511"/>
  <c r="B62" i="511"/>
  <c r="B61" i="511"/>
  <c r="B60" i="511"/>
  <c r="B59" i="511"/>
  <c r="B58" i="511"/>
  <c r="B57" i="511"/>
  <c r="B56" i="511"/>
  <c r="B55" i="511"/>
  <c r="B54" i="511"/>
  <c r="B53" i="511"/>
  <c r="B52" i="511"/>
  <c r="B51" i="511"/>
  <c r="B50" i="511"/>
  <c r="B49" i="511"/>
  <c r="B48" i="511"/>
  <c r="B47" i="511"/>
  <c r="B46" i="511"/>
  <c r="B45" i="511"/>
  <c r="B44" i="511"/>
  <c r="B43" i="511"/>
  <c r="B42" i="511"/>
  <c r="B41" i="511"/>
  <c r="B40" i="511"/>
  <c r="B39" i="511"/>
  <c r="B38" i="511"/>
  <c r="B37" i="511"/>
  <c r="B36" i="511"/>
  <c r="B35" i="511"/>
  <c r="B34" i="511"/>
  <c r="B33" i="511"/>
  <c r="B32" i="511"/>
  <c r="B31" i="511"/>
  <c r="B30" i="511"/>
  <c r="B29" i="511"/>
  <c r="B28" i="511"/>
  <c r="B27" i="511"/>
  <c r="B26" i="511"/>
  <c r="B25" i="511"/>
  <c r="B24" i="511"/>
  <c r="B23" i="511"/>
  <c r="B22" i="511"/>
  <c r="B21" i="511"/>
  <c r="B20" i="511"/>
  <c r="B19" i="511"/>
  <c r="B18" i="511"/>
  <c r="B17" i="511"/>
  <c r="B16" i="511"/>
  <c r="B15" i="511"/>
  <c r="B14" i="511"/>
  <c r="B13" i="511"/>
  <c r="B12" i="511"/>
  <c r="B11" i="511"/>
  <c r="B10" i="511"/>
  <c r="B8" i="561"/>
  <c r="B9" i="561"/>
  <c r="B10" i="561"/>
  <c r="B11" i="561"/>
  <c r="B12" i="561"/>
  <c r="B13" i="561"/>
  <c r="B7" i="586" l="1"/>
  <c r="B6" i="586"/>
  <c r="B9" i="476"/>
  <c r="B8" i="586"/>
  <c r="B9" i="553"/>
  <c r="B11" i="553"/>
  <c r="B10" i="553"/>
  <c r="B8" i="553"/>
  <c r="B7" i="553"/>
  <c r="B9" i="552"/>
  <c r="B11" i="552"/>
  <c r="B10" i="552"/>
  <c r="B8" i="552"/>
  <c r="B7" i="552"/>
  <c r="B9" i="551"/>
  <c r="B10" i="550"/>
  <c r="B12" i="550"/>
  <c r="B11" i="550"/>
  <c r="B9" i="550"/>
  <c r="B8" i="550"/>
  <c r="B9" i="548"/>
  <c r="B8" i="548"/>
  <c r="B10" i="548"/>
  <c r="B11" i="548"/>
  <c r="B7" i="548"/>
  <c r="B9" i="546"/>
  <c r="B9" i="544"/>
  <c r="B10" i="544"/>
  <c r="B11" i="544"/>
  <c r="B12" i="544"/>
  <c r="B8" i="544"/>
  <c r="B11" i="528"/>
  <c r="B10" i="528"/>
  <c r="B9" i="528"/>
  <c r="B8" i="528"/>
  <c r="B7" i="528"/>
  <c r="B13" i="557"/>
  <c r="B12" i="557"/>
  <c r="B11" i="557"/>
  <c r="B10" i="557"/>
  <c r="B9" i="557"/>
  <c r="B15" i="540"/>
  <c r="B14" i="540"/>
  <c r="B13" i="540"/>
  <c r="B12" i="540"/>
  <c r="B11" i="540"/>
  <c r="B10" i="540"/>
  <c r="B9" i="540"/>
  <c r="B8" i="540"/>
  <c r="B16" i="568"/>
  <c r="B15" i="568"/>
  <c r="B14" i="568"/>
  <c r="B13" i="568"/>
  <c r="B12" i="568"/>
  <c r="B11" i="568"/>
  <c r="B10" i="568"/>
  <c r="B9" i="568"/>
  <c r="B38" i="583"/>
  <c r="B37" i="583"/>
  <c r="B36" i="583"/>
  <c r="B35" i="583"/>
  <c r="B34" i="583"/>
  <c r="B33" i="583"/>
  <c r="B32" i="583"/>
  <c r="B31" i="583"/>
  <c r="B30" i="583"/>
  <c r="B29" i="583"/>
  <c r="B28" i="583"/>
  <c r="B27" i="583"/>
  <c r="B26" i="583"/>
  <c r="B25" i="583"/>
  <c r="B24" i="583"/>
  <c r="B23" i="583"/>
  <c r="B22" i="583"/>
  <c r="B21" i="583"/>
  <c r="B20" i="583"/>
  <c r="B19" i="583"/>
  <c r="B18" i="583"/>
  <c r="B17" i="583"/>
  <c r="B16" i="583"/>
  <c r="B15" i="583"/>
  <c r="B14" i="583"/>
  <c r="B13" i="583"/>
  <c r="B12" i="583"/>
  <c r="B11" i="583"/>
  <c r="B10" i="583"/>
  <c r="B9" i="583"/>
  <c r="B14" i="530"/>
  <c r="B13" i="530"/>
  <c r="B12" i="530"/>
  <c r="B11" i="530"/>
  <c r="B10" i="530"/>
  <c r="B9" i="530"/>
  <c r="B8" i="530"/>
  <c r="B8" i="532"/>
  <c r="B9" i="532"/>
  <c r="B10" i="532"/>
  <c r="B11" i="532"/>
  <c r="B12" i="532"/>
  <c r="B13" i="532"/>
  <c r="B14" i="532"/>
  <c r="B12" i="526"/>
  <c r="B10" i="526"/>
  <c r="B11" i="526"/>
  <c r="B13" i="526"/>
  <c r="B9" i="526"/>
  <c r="B11" i="519" l="1"/>
  <c r="B10" i="519"/>
  <c r="B9" i="519"/>
  <c r="B38" i="581" l="1"/>
  <c r="B37" i="581"/>
  <c r="B36" i="581"/>
  <c r="B35" i="581"/>
  <c r="B34" i="581"/>
  <c r="B33" i="581"/>
  <c r="B32" i="581"/>
  <c r="B31" i="581"/>
  <c r="B30" i="581"/>
  <c r="B29" i="581"/>
  <c r="B28" i="581"/>
  <c r="B27" i="581"/>
  <c r="B26" i="581"/>
  <c r="B25" i="581"/>
  <c r="B24" i="581"/>
  <c r="B23" i="581"/>
  <c r="B22" i="581"/>
  <c r="B21" i="581"/>
  <c r="B20" i="581"/>
  <c r="B19" i="581"/>
  <c r="B18" i="581"/>
  <c r="B17" i="581"/>
  <c r="B16" i="581"/>
  <c r="B15" i="581"/>
  <c r="B14" i="581"/>
  <c r="B13" i="581"/>
  <c r="B12" i="581"/>
  <c r="B11" i="581"/>
  <c r="B10" i="581"/>
  <c r="B9" i="581"/>
  <c r="I18" i="513"/>
  <c r="I17" i="513"/>
  <c r="I16" i="513"/>
  <c r="I15" i="513"/>
  <c r="I14" i="513"/>
  <c r="I13" i="513"/>
  <c r="I12" i="513"/>
  <c r="I11" i="513"/>
  <c r="I10" i="513"/>
  <c r="I9" i="513"/>
  <c r="B27" i="506"/>
  <c r="B25" i="506"/>
  <c r="B23" i="506"/>
  <c r="D27" i="509"/>
  <c r="D26" i="509"/>
  <c r="D25" i="509"/>
  <c r="D24" i="509"/>
  <c r="D23" i="509"/>
  <c r="D22" i="509"/>
  <c r="D21" i="509"/>
  <c r="D20" i="509"/>
  <c r="D19" i="509"/>
  <c r="D18" i="509"/>
  <c r="D17" i="509"/>
  <c r="D16" i="509"/>
  <c r="D15" i="509"/>
  <c r="D14" i="509"/>
  <c r="D13" i="509"/>
  <c r="D12" i="509"/>
  <c r="D11" i="509"/>
  <c r="D10" i="509"/>
  <c r="D27" i="508"/>
  <c r="D26" i="508"/>
  <c r="D25" i="508"/>
  <c r="D24" i="508"/>
  <c r="D23" i="508"/>
  <c r="D22" i="508"/>
  <c r="D21" i="508"/>
  <c r="D20" i="508"/>
  <c r="D19" i="508"/>
  <c r="D18" i="508"/>
  <c r="D17" i="508"/>
  <c r="D16" i="508"/>
  <c r="D15" i="508"/>
  <c r="D14" i="508"/>
  <c r="D13" i="508"/>
  <c r="D12" i="508"/>
  <c r="D11" i="508"/>
  <c r="D8" i="508"/>
  <c r="B19" i="506" l="1"/>
  <c r="B17" i="506"/>
  <c r="B15" i="506"/>
  <c r="B11" i="506"/>
  <c r="C27" i="507"/>
  <c r="C26" i="507"/>
  <c r="C25" i="507"/>
  <c r="C24" i="507"/>
  <c r="C23" i="507"/>
  <c r="C22" i="507"/>
  <c r="C21" i="507"/>
  <c r="C20" i="507"/>
  <c r="C19" i="507"/>
  <c r="C18" i="507"/>
  <c r="C17" i="507"/>
  <c r="C16" i="507"/>
  <c r="C15" i="507"/>
  <c r="C14" i="507"/>
  <c r="C13" i="507"/>
  <c r="C12" i="507"/>
  <c r="C11" i="507"/>
  <c r="C10" i="507"/>
  <c r="B6" i="506"/>
  <c r="B26" i="505"/>
  <c r="B25" i="505"/>
  <c r="B24" i="505"/>
  <c r="B23" i="505"/>
  <c r="B22" i="505"/>
  <c r="B21" i="505"/>
  <c r="B20" i="505"/>
  <c r="B19" i="505"/>
  <c r="B18" i="505"/>
  <c r="B17" i="505"/>
  <c r="B16" i="505"/>
  <c r="B15" i="505"/>
  <c r="B14" i="505"/>
  <c r="B13" i="505"/>
  <c r="B12" i="505"/>
  <c r="B11" i="505"/>
  <c r="B10" i="505"/>
  <c r="B9" i="505"/>
  <c r="B9" i="495"/>
  <c r="B10" i="495"/>
  <c r="B11" i="495"/>
  <c r="B12" i="495"/>
  <c r="B13" i="495"/>
  <c r="B14" i="495"/>
  <c r="B15" i="495"/>
  <c r="B16" i="495"/>
  <c r="B17" i="495"/>
  <c r="B18" i="495"/>
  <c r="B19" i="495"/>
  <c r="B20" i="495"/>
  <c r="B21" i="495"/>
  <c r="B22" i="495"/>
  <c r="B23" i="495"/>
  <c r="B24" i="495"/>
  <c r="B25" i="495"/>
  <c r="B26" i="495"/>
  <c r="B27" i="495"/>
  <c r="B28" i="495"/>
  <c r="B29" i="495"/>
  <c r="B30" i="495"/>
  <c r="B31" i="495"/>
  <c r="B32" i="495"/>
  <c r="B33" i="495"/>
  <c r="B34" i="495"/>
  <c r="B35" i="495"/>
  <c r="B36" i="495"/>
  <c r="B37" i="495"/>
  <c r="B38" i="495"/>
  <c r="B39" i="495"/>
  <c r="B40" i="495"/>
  <c r="B41" i="495"/>
  <c r="B42" i="495"/>
  <c r="B43" i="495"/>
  <c r="B44" i="495"/>
  <c r="B45" i="495"/>
  <c r="B46" i="495"/>
  <c r="B47" i="495"/>
  <c r="B48" i="495"/>
  <c r="B49" i="495"/>
  <c r="B50" i="495"/>
  <c r="B51" i="495"/>
  <c r="B52" i="495"/>
  <c r="B53" i="495"/>
  <c r="B54" i="495"/>
  <c r="B8" i="495"/>
  <c r="B25" i="578" l="1"/>
  <c r="B35" i="578"/>
  <c r="B34" i="578"/>
  <c r="B31" i="578"/>
  <c r="B30" i="578"/>
  <c r="B33" i="578"/>
  <c r="B32" i="578"/>
  <c r="B36" i="578"/>
  <c r="B21" i="576"/>
  <c r="B20" i="576"/>
  <c r="B16" i="576"/>
  <c r="B15" i="576"/>
  <c r="B18" i="576"/>
  <c r="B17" i="576"/>
  <c r="B22" i="576"/>
  <c r="B19" i="576"/>
  <c r="B140" i="574"/>
  <c r="B141" i="574"/>
  <c r="B137" i="574"/>
  <c r="B138" i="574"/>
  <c r="B135" i="574"/>
  <c r="B128" i="574"/>
  <c r="B127" i="574"/>
  <c r="B130" i="574"/>
  <c r="B129" i="574"/>
  <c r="B131" i="574"/>
  <c r="B120" i="574"/>
  <c r="B119" i="574"/>
  <c r="B118" i="574"/>
  <c r="B126" i="574"/>
  <c r="B125" i="574"/>
  <c r="B124" i="574"/>
  <c r="B123" i="574"/>
  <c r="B122" i="574"/>
  <c r="B121" i="574"/>
  <c r="B134" i="574"/>
  <c r="B133" i="574"/>
  <c r="B132" i="574"/>
  <c r="B114" i="574"/>
  <c r="B112" i="574"/>
  <c r="B113" i="574"/>
  <c r="B106" i="574"/>
  <c r="B105" i="574"/>
  <c r="B104" i="574"/>
  <c r="B109" i="574"/>
  <c r="B108" i="574"/>
  <c r="B107" i="574"/>
  <c r="B97" i="574"/>
  <c r="B96" i="574"/>
  <c r="B99" i="574"/>
  <c r="B98" i="574"/>
  <c r="B101" i="574"/>
  <c r="B100" i="574"/>
  <c r="B102" i="574"/>
  <c r="B87" i="574"/>
  <c r="B86" i="574"/>
  <c r="B89" i="574"/>
  <c r="B88" i="574"/>
  <c r="B90" i="574"/>
  <c r="B91" i="574"/>
  <c r="B82" i="574"/>
  <c r="B83" i="574"/>
  <c r="B79" i="574"/>
  <c r="B78" i="574"/>
  <c r="B80" i="574"/>
  <c r="B70" i="574"/>
  <c r="B69" i="574"/>
  <c r="B72" i="574"/>
  <c r="B71" i="574"/>
  <c r="B66" i="574"/>
  <c r="B67" i="574"/>
  <c r="B68" i="574"/>
  <c r="B61" i="574"/>
  <c r="B60" i="574"/>
  <c r="B63" i="574"/>
  <c r="B62" i="574"/>
  <c r="B57" i="574"/>
  <c r="B56" i="574"/>
  <c r="B55" i="574"/>
  <c r="B64" i="574"/>
  <c r="B59" i="574"/>
  <c r="B58" i="574"/>
  <c r="B53" i="574"/>
  <c r="B52" i="574"/>
  <c r="B51" i="574"/>
  <c r="B50" i="574"/>
  <c r="B65" i="574"/>
  <c r="B54" i="574"/>
  <c r="B46" i="574"/>
  <c r="B45" i="574"/>
  <c r="B42" i="574"/>
  <c r="B41" i="574"/>
  <c r="B39" i="574"/>
  <c r="B40" i="574"/>
  <c r="B38" i="574"/>
  <c r="B35" i="574"/>
  <c r="B34" i="574"/>
  <c r="B36" i="574"/>
  <c r="B37" i="574"/>
  <c r="B222" i="585"/>
  <c r="B223" i="585"/>
  <c r="B224" i="585"/>
  <c r="B213" i="585"/>
  <c r="B212" i="585"/>
  <c r="B215" i="585"/>
  <c r="B214" i="585"/>
  <c r="B217" i="585"/>
  <c r="B216" i="585"/>
  <c r="B196" i="585"/>
  <c r="B195" i="585"/>
  <c r="B194" i="585"/>
  <c r="B193" i="585"/>
  <c r="B200" i="585"/>
  <c r="B199" i="585"/>
  <c r="B198" i="585"/>
  <c r="B197" i="585"/>
  <c r="B204" i="585"/>
  <c r="B203" i="585"/>
  <c r="B202" i="585"/>
  <c r="B201" i="585"/>
  <c r="B208" i="585"/>
  <c r="B207" i="585"/>
  <c r="B206" i="585"/>
  <c r="B205" i="585"/>
  <c r="B177" i="585"/>
  <c r="B176" i="585"/>
  <c r="B175" i="585"/>
  <c r="B174" i="585"/>
  <c r="B181" i="585"/>
  <c r="B180" i="585"/>
  <c r="B179" i="585"/>
  <c r="B178" i="585"/>
  <c r="B185" i="585"/>
  <c r="B184" i="585"/>
  <c r="B183" i="585"/>
  <c r="B182" i="585"/>
  <c r="B189" i="585"/>
  <c r="B188" i="585"/>
  <c r="B187" i="585"/>
  <c r="B186" i="585"/>
  <c r="B168" i="585"/>
  <c r="B167" i="585"/>
  <c r="B166" i="585"/>
  <c r="B165" i="585"/>
  <c r="B164" i="585"/>
  <c r="B225" i="585"/>
  <c r="B221" i="585"/>
  <c r="B220" i="585"/>
  <c r="B219" i="585"/>
  <c r="B218" i="585"/>
  <c r="B211" i="585"/>
  <c r="B210" i="585"/>
  <c r="B209" i="585"/>
  <c r="B192" i="585"/>
  <c r="B191" i="585"/>
  <c r="B190" i="585"/>
  <c r="B173" i="585"/>
  <c r="B172" i="585"/>
  <c r="B171" i="585"/>
  <c r="B170" i="585"/>
  <c r="B169" i="585"/>
  <c r="B163" i="585"/>
  <c r="B162" i="585"/>
  <c r="B161" i="585"/>
  <c r="B160" i="585"/>
  <c r="B159" i="585"/>
  <c r="B158" i="585"/>
  <c r="B157" i="585"/>
  <c r="B156" i="585"/>
  <c r="B155" i="585"/>
  <c r="B154" i="585"/>
  <c r="B153" i="585"/>
  <c r="B152" i="585"/>
  <c r="B151" i="585"/>
  <c r="B150" i="585"/>
  <c r="B149" i="585"/>
  <c r="B148" i="585"/>
  <c r="B147" i="585"/>
  <c r="B146" i="585"/>
  <c r="B145" i="585"/>
  <c r="B144" i="585"/>
  <c r="B143" i="585"/>
  <c r="B142" i="585"/>
  <c r="B141" i="585"/>
  <c r="B140" i="585"/>
  <c r="B139" i="585"/>
  <c r="B138" i="585"/>
  <c r="B137" i="585"/>
  <c r="B136" i="585"/>
  <c r="B135" i="585"/>
  <c r="B134" i="585"/>
  <c r="B133" i="585"/>
  <c r="B132" i="585"/>
  <c r="B131" i="585"/>
  <c r="B130" i="585"/>
  <c r="B129" i="585"/>
  <c r="B128" i="585"/>
  <c r="B127" i="585"/>
  <c r="B126" i="585"/>
  <c r="B125" i="585"/>
  <c r="B124" i="585"/>
  <c r="B123" i="585"/>
  <c r="B122" i="585"/>
  <c r="B121" i="585"/>
  <c r="B120" i="585"/>
  <c r="B119" i="585"/>
  <c r="B118" i="585"/>
  <c r="B117" i="585"/>
  <c r="B116" i="585"/>
  <c r="B115" i="585"/>
  <c r="B114" i="585"/>
  <c r="B113" i="585"/>
  <c r="B112" i="585"/>
  <c r="B111" i="585"/>
  <c r="B110" i="585"/>
  <c r="B109" i="585"/>
  <c r="B108" i="585"/>
  <c r="B107" i="585"/>
  <c r="B106" i="585"/>
  <c r="B105" i="585"/>
  <c r="B104" i="585"/>
  <c r="B103" i="585"/>
  <c r="B102" i="585"/>
  <c r="B101" i="585"/>
  <c r="B100" i="585"/>
  <c r="B99" i="585"/>
  <c r="B98" i="585"/>
  <c r="B97" i="585"/>
  <c r="B96" i="585"/>
  <c r="B95" i="585"/>
  <c r="B94" i="585"/>
  <c r="B93" i="585"/>
  <c r="B92" i="585"/>
  <c r="B91" i="585"/>
  <c r="B90" i="585"/>
  <c r="B89" i="585"/>
  <c r="B88" i="585"/>
  <c r="B87" i="585"/>
  <c r="B86" i="585"/>
  <c r="B85" i="585"/>
  <c r="B84" i="585"/>
  <c r="B83" i="585"/>
  <c r="B82" i="585"/>
  <c r="B81" i="585"/>
  <c r="B80" i="585"/>
  <c r="B79" i="585"/>
  <c r="B78" i="585"/>
  <c r="B77" i="585"/>
  <c r="B76" i="585"/>
  <c r="B75" i="585"/>
  <c r="B74" i="585"/>
  <c r="B73" i="585"/>
  <c r="B72" i="585"/>
  <c r="B71" i="585"/>
  <c r="B70" i="585"/>
  <c r="B69" i="585"/>
  <c r="B68" i="585"/>
  <c r="B67" i="585"/>
  <c r="B66" i="585"/>
  <c r="B65" i="585"/>
  <c r="B64" i="585"/>
  <c r="B63" i="585"/>
  <c r="B62" i="585"/>
  <c r="B61" i="585"/>
  <c r="B60" i="585"/>
  <c r="B59" i="585"/>
  <c r="B58" i="585"/>
  <c r="B57" i="585"/>
  <c r="B56" i="585"/>
  <c r="B55" i="585"/>
  <c r="B54" i="585"/>
  <c r="B53" i="585"/>
  <c r="B52" i="585"/>
  <c r="B51" i="585"/>
  <c r="B50" i="585"/>
  <c r="B49" i="585"/>
  <c r="B48" i="585"/>
  <c r="B47" i="585"/>
  <c r="B46" i="585"/>
  <c r="B45" i="585"/>
  <c r="B44" i="585"/>
  <c r="B43" i="585"/>
  <c r="B42" i="585"/>
  <c r="B41" i="585"/>
  <c r="B40" i="585"/>
  <c r="B39" i="585"/>
  <c r="B38" i="585"/>
  <c r="B37" i="585"/>
  <c r="B36" i="585"/>
  <c r="B35" i="585"/>
  <c r="B34" i="585"/>
  <c r="B33" i="585"/>
  <c r="B32" i="585"/>
  <c r="B31" i="585"/>
  <c r="B30" i="585"/>
  <c r="B29" i="585"/>
  <c r="B28" i="585"/>
  <c r="B27" i="585"/>
  <c r="B26" i="585"/>
  <c r="B25" i="585"/>
  <c r="B24" i="585"/>
  <c r="B23" i="585"/>
  <c r="B22" i="585"/>
  <c r="B21" i="585"/>
  <c r="B20" i="585"/>
  <c r="B19" i="585"/>
  <c r="B18" i="585"/>
  <c r="B17" i="585"/>
  <c r="B16" i="585"/>
  <c r="B15" i="585"/>
  <c r="B14" i="585"/>
  <c r="B13" i="585"/>
  <c r="B12" i="585"/>
  <c r="B11" i="585"/>
  <c r="B10" i="585"/>
  <c r="B9" i="585"/>
  <c r="B8" i="585"/>
  <c r="B7" i="585"/>
  <c r="B6" i="585"/>
  <c r="B45" i="582"/>
  <c r="B44" i="582"/>
  <c r="B43" i="582"/>
  <c r="B42" i="582"/>
  <c r="B41" i="582"/>
  <c r="B40" i="582"/>
  <c r="B39" i="582"/>
  <c r="B38" i="582"/>
  <c r="B37" i="582"/>
  <c r="B36" i="582"/>
  <c r="B35" i="582"/>
  <c r="B34" i="582"/>
  <c r="B33" i="582"/>
  <c r="B32" i="582"/>
  <c r="B31" i="582"/>
  <c r="B30" i="582"/>
  <c r="B29" i="582"/>
  <c r="B28" i="582"/>
  <c r="B27" i="582"/>
  <c r="B26" i="582"/>
  <c r="B25" i="582"/>
  <c r="B24" i="582"/>
  <c r="B23" i="582"/>
  <c r="B22" i="582"/>
  <c r="B21" i="582"/>
  <c r="B20" i="582"/>
  <c r="B19" i="582"/>
  <c r="B18" i="582"/>
  <c r="B17" i="582"/>
  <c r="B16" i="582"/>
  <c r="B15" i="582"/>
  <c r="B14" i="582"/>
  <c r="B13" i="582"/>
  <c r="B12" i="582"/>
  <c r="B11" i="582"/>
  <c r="B10" i="582"/>
  <c r="B9" i="582"/>
  <c r="B8" i="582"/>
  <c r="B7" i="582"/>
  <c r="B6" i="582"/>
  <c r="B42" i="580" l="1"/>
  <c r="B43" i="580"/>
  <c r="B38" i="580"/>
  <c r="B37" i="580"/>
  <c r="B36" i="580"/>
  <c r="B35" i="580"/>
  <c r="B31" i="580"/>
  <c r="B30" i="580"/>
  <c r="B29" i="580"/>
  <c r="B28" i="580"/>
  <c r="B21" i="580"/>
  <c r="B20" i="580"/>
  <c r="B23" i="580"/>
  <c r="B22" i="580"/>
  <c r="B25" i="580"/>
  <c r="B24" i="580"/>
  <c r="B27" i="580"/>
  <c r="B26" i="580"/>
  <c r="B15" i="580"/>
  <c r="B14" i="580"/>
  <c r="B17" i="580"/>
  <c r="B16" i="580"/>
  <c r="B19" i="580"/>
  <c r="B18" i="580"/>
  <c r="B39" i="580"/>
  <c r="B34" i="580"/>
  <c r="B33" i="580"/>
  <c r="B13" i="580"/>
  <c r="B32" i="580"/>
  <c r="B40" i="580"/>
  <c r="B41" i="580"/>
  <c r="B44" i="580"/>
  <c r="B45" i="580"/>
  <c r="B9" i="580"/>
  <c r="B8" i="580"/>
  <c r="B7" i="580"/>
  <c r="B10" i="580"/>
  <c r="B11" i="580"/>
  <c r="B12" i="580"/>
  <c r="B6" i="580"/>
  <c r="B42" i="578"/>
  <c r="B46" i="578"/>
  <c r="B45" i="578"/>
  <c r="B44" i="578"/>
  <c r="B43" i="578"/>
  <c r="B50" i="578"/>
  <c r="B49" i="578"/>
  <c r="B48" i="578"/>
  <c r="B47" i="578"/>
  <c r="B52" i="578"/>
  <c r="B51" i="578"/>
  <c r="B53" i="578"/>
  <c r="B9" i="578"/>
  <c r="B8" i="578"/>
  <c r="B11" i="578"/>
  <c r="B10" i="578"/>
  <c r="B54" i="578"/>
  <c r="B41" i="578"/>
  <c r="B40" i="578"/>
  <c r="B39" i="578"/>
  <c r="B38" i="578"/>
  <c r="B37" i="578"/>
  <c r="B29" i="578"/>
  <c r="B28" i="578"/>
  <c r="B27" i="578"/>
  <c r="B26" i="578"/>
  <c r="B24" i="578"/>
  <c r="B23" i="578"/>
  <c r="B22" i="578"/>
  <c r="B21" i="578"/>
  <c r="B20" i="578"/>
  <c r="B19" i="578"/>
  <c r="B18" i="578"/>
  <c r="B17" i="578"/>
  <c r="B16" i="578"/>
  <c r="B15" i="578"/>
  <c r="B14" i="578"/>
  <c r="B13" i="578"/>
  <c r="B12" i="578"/>
  <c r="B7" i="578"/>
  <c r="B6" i="578"/>
  <c r="B30" i="576"/>
  <c r="B29" i="576"/>
  <c r="B28" i="576"/>
  <c r="B27" i="576"/>
  <c r="B26" i="576"/>
  <c r="B25" i="576"/>
  <c r="B24" i="576"/>
  <c r="B23" i="576"/>
  <c r="B14" i="576"/>
  <c r="B13" i="576"/>
  <c r="B12" i="576"/>
  <c r="B11" i="576"/>
  <c r="B10" i="576"/>
  <c r="B9" i="576"/>
  <c r="B8" i="576"/>
  <c r="B7" i="576"/>
  <c r="B6" i="576"/>
  <c r="B150" i="574"/>
  <c r="B149" i="574"/>
  <c r="B148" i="574"/>
  <c r="B147" i="574"/>
  <c r="B146" i="574"/>
  <c r="B145" i="574"/>
  <c r="B156" i="574"/>
  <c r="B155" i="574"/>
  <c r="B154" i="574"/>
  <c r="B153" i="574"/>
  <c r="B152" i="574"/>
  <c r="B151" i="574"/>
  <c r="B162" i="574"/>
  <c r="B161" i="574"/>
  <c r="B160" i="574"/>
  <c r="B159" i="574"/>
  <c r="B158" i="574"/>
  <c r="B157" i="574"/>
  <c r="B23" i="574"/>
  <c r="B22" i="574"/>
  <c r="B21" i="574"/>
  <c r="B20" i="574"/>
  <c r="B19" i="574"/>
  <c r="B18" i="574"/>
  <c r="B17" i="574"/>
  <c r="B30" i="574"/>
  <c r="B29" i="574"/>
  <c r="B28" i="574"/>
  <c r="B27" i="574"/>
  <c r="B26" i="574"/>
  <c r="B25" i="574"/>
  <c r="B24" i="574"/>
  <c r="B47" i="574"/>
  <c r="B44" i="574"/>
  <c r="B43" i="574"/>
  <c r="B33" i="574"/>
  <c r="B32" i="574"/>
  <c r="B31" i="574"/>
  <c r="B75" i="574"/>
  <c r="B74" i="574"/>
  <c r="B73" i="574"/>
  <c r="B49" i="574"/>
  <c r="B48" i="574"/>
  <c r="B76" i="574"/>
  <c r="B16" i="574"/>
  <c r="B180" i="574"/>
  <c r="B179" i="574"/>
  <c r="B178" i="574"/>
  <c r="B177" i="574"/>
  <c r="B176" i="574"/>
  <c r="B175" i="574"/>
  <c r="B174" i="574"/>
  <c r="B173" i="574"/>
  <c r="B172" i="574"/>
  <c r="B171" i="574"/>
  <c r="B170" i="574"/>
  <c r="B169" i="574"/>
  <c r="B168" i="574"/>
  <c r="B167" i="574"/>
  <c r="B166" i="574"/>
  <c r="B165" i="574"/>
  <c r="B164" i="574"/>
  <c r="B163" i="574"/>
  <c r="B144" i="574"/>
  <c r="B143" i="574"/>
  <c r="B142" i="574"/>
  <c r="B139" i="574"/>
  <c r="B136" i="574"/>
  <c r="B117" i="574"/>
  <c r="B116" i="574"/>
  <c r="B115" i="574"/>
  <c r="B111" i="574"/>
  <c r="B110" i="574"/>
  <c r="B103" i="574"/>
  <c r="B95" i="574"/>
  <c r="B94" i="574"/>
  <c r="B93" i="574"/>
  <c r="B92" i="574"/>
  <c r="B85" i="574"/>
  <c r="B84" i="574"/>
  <c r="B81" i="574"/>
  <c r="B77" i="574"/>
  <c r="B15" i="574"/>
  <c r="B14" i="574"/>
  <c r="B13" i="574"/>
  <c r="B12" i="574"/>
  <c r="B11" i="574"/>
  <c r="B10" i="574"/>
  <c r="B9" i="574"/>
  <c r="B8" i="574"/>
  <c r="B7" i="574"/>
  <c r="B6" i="574"/>
  <c r="B9" i="571"/>
  <c r="B10" i="571"/>
  <c r="B7" i="571"/>
  <c r="B8" i="571"/>
  <c r="B6" i="571"/>
  <c r="B22" i="571"/>
  <c r="B21" i="571"/>
  <c r="B24" i="571"/>
  <c r="B23" i="571"/>
  <c r="B26" i="571"/>
  <c r="B25" i="571"/>
  <c r="B28" i="571"/>
  <c r="B27" i="571"/>
  <c r="B13" i="571"/>
  <c r="B12" i="571"/>
  <c r="B15" i="571"/>
  <c r="B14" i="571"/>
  <c r="B17" i="571"/>
  <c r="B16" i="571"/>
  <c r="B19" i="571"/>
  <c r="B18" i="571"/>
  <c r="B20" i="571"/>
  <c r="B32" i="571"/>
  <c r="B31" i="571"/>
  <c r="B30" i="571"/>
  <c r="B29" i="571"/>
  <c r="B11" i="571"/>
  <c r="B8" i="567"/>
  <c r="B9" i="567"/>
  <c r="B10" i="567"/>
  <c r="B11" i="567"/>
  <c r="B12" i="567"/>
  <c r="B13" i="567"/>
  <c r="B17" i="567"/>
  <c r="B16" i="567"/>
  <c r="B15" i="567"/>
  <c r="B14" i="567"/>
  <c r="B7" i="567"/>
  <c r="B6" i="567"/>
  <c r="B33" i="565" l="1"/>
  <c r="B32" i="565"/>
  <c r="B34" i="565"/>
  <c r="B31" i="565"/>
  <c r="B35" i="565"/>
  <c r="B29" i="565"/>
  <c r="B28" i="565"/>
  <c r="B27" i="565"/>
  <c r="B26" i="565"/>
  <c r="B23" i="565"/>
  <c r="B22" i="565"/>
  <c r="B21" i="565"/>
  <c r="B20" i="565"/>
  <c r="B24" i="565"/>
  <c r="B13" i="565"/>
  <c r="B12" i="565"/>
  <c r="B15" i="565"/>
  <c r="B14" i="565"/>
  <c r="B18" i="565"/>
  <c r="B17" i="565"/>
  <c r="B16" i="565"/>
  <c r="B11" i="565"/>
  <c r="B10" i="565"/>
  <c r="B9" i="565"/>
  <c r="B19" i="565"/>
  <c r="B30" i="565"/>
  <c r="B25" i="565"/>
  <c r="B8" i="565"/>
  <c r="B7" i="565"/>
  <c r="B6" i="565"/>
  <c r="B36" i="565"/>
  <c r="B10" i="563"/>
  <c r="B9" i="563"/>
  <c r="B11" i="563"/>
  <c r="B8" i="563"/>
  <c r="B7" i="563"/>
  <c r="B6" i="563"/>
  <c r="B14" i="561"/>
  <c r="B7" i="561"/>
  <c r="B6" i="561"/>
  <c r="B23" i="559"/>
  <c r="B22" i="559"/>
  <c r="B21" i="559"/>
  <c r="B20" i="559"/>
  <c r="B19" i="559"/>
  <c r="B18" i="559"/>
  <c r="B17" i="559"/>
  <c r="B16" i="559"/>
  <c r="B15" i="559"/>
  <c r="B14" i="559"/>
  <c r="B13" i="559"/>
  <c r="B12" i="559"/>
  <c r="B11" i="559"/>
  <c r="B10" i="559"/>
  <c r="B9" i="559"/>
  <c r="B8" i="559"/>
  <c r="B7" i="559"/>
  <c r="B6" i="559"/>
  <c r="B12" i="558"/>
  <c r="B11" i="558"/>
  <c r="B10" i="558"/>
  <c r="B9" i="558"/>
  <c r="B8" i="558"/>
  <c r="B7" i="558"/>
  <c r="B6" i="558"/>
  <c r="B6" i="556" l="1"/>
  <c r="B7" i="556"/>
  <c r="B6" i="554"/>
  <c r="B7" i="554"/>
  <c r="B8" i="554"/>
  <c r="B9" i="554"/>
  <c r="B10" i="554"/>
  <c r="B11" i="554"/>
  <c r="B12" i="554"/>
  <c r="B13" i="554"/>
  <c r="B14" i="554"/>
  <c r="B15" i="554"/>
  <c r="B16" i="554"/>
  <c r="B17" i="554"/>
  <c r="B18" i="554"/>
  <c r="B19" i="554"/>
  <c r="B20" i="554"/>
  <c r="B21" i="554"/>
  <c r="B22" i="554"/>
  <c r="B23" i="554"/>
  <c r="B24" i="554"/>
  <c r="B25" i="554"/>
  <c r="B26" i="554"/>
  <c r="B27" i="554"/>
  <c r="B28" i="554"/>
  <c r="B29" i="554"/>
  <c r="B30" i="554"/>
  <c r="B31" i="554"/>
  <c r="B32" i="554"/>
  <c r="B33" i="554"/>
  <c r="B34" i="554"/>
  <c r="B35" i="554"/>
  <c r="B7" i="551" l="1"/>
  <c r="B8" i="551"/>
  <c r="B10" i="551"/>
  <c r="B11" i="551"/>
  <c r="B6" i="549"/>
  <c r="B7" i="549"/>
  <c r="B8" i="549"/>
  <c r="B9" i="549"/>
  <c r="B10" i="549"/>
  <c r="B11" i="549"/>
  <c r="B12" i="549"/>
  <c r="B13" i="549"/>
  <c r="B14" i="549"/>
  <c r="B15" i="549"/>
  <c r="B16" i="549"/>
  <c r="B17" i="549"/>
  <c r="B18" i="549"/>
  <c r="B19" i="549"/>
  <c r="B20" i="549"/>
  <c r="B21" i="549"/>
  <c r="B22" i="549"/>
  <c r="B23" i="549"/>
  <c r="B24" i="549"/>
  <c r="B25" i="549"/>
  <c r="B26" i="549"/>
  <c r="B27" i="549"/>
  <c r="B28" i="549"/>
  <c r="B29" i="549"/>
  <c r="B30" i="549"/>
  <c r="B31" i="549"/>
  <c r="B32" i="549"/>
  <c r="B33" i="549"/>
  <c r="B34" i="549"/>
  <c r="B35" i="549"/>
  <c r="B36" i="549"/>
  <c r="B37" i="549"/>
  <c r="B38" i="549"/>
  <c r="B39" i="549"/>
  <c r="B40" i="549"/>
  <c r="B41" i="549"/>
  <c r="B42" i="549"/>
  <c r="B43" i="549"/>
  <c r="B44" i="549"/>
  <c r="B45" i="549"/>
  <c r="B46" i="549"/>
  <c r="B47" i="549"/>
  <c r="B48" i="549"/>
  <c r="B49" i="549"/>
  <c r="B50" i="549"/>
  <c r="B51" i="549"/>
  <c r="B52" i="549"/>
  <c r="B53" i="549"/>
  <c r="B7" i="547"/>
  <c r="B8" i="547"/>
  <c r="B9" i="547"/>
  <c r="B10" i="547"/>
  <c r="B7" i="546"/>
  <c r="B8" i="546"/>
  <c r="B10" i="546"/>
  <c r="B11" i="546"/>
  <c r="B7" i="545"/>
  <c r="B8" i="545"/>
  <c r="B9" i="545"/>
  <c r="B10" i="545"/>
  <c r="B6" i="543"/>
  <c r="B7" i="543"/>
  <c r="B8" i="543"/>
  <c r="B9" i="543"/>
  <c r="B10" i="543"/>
  <c r="B11" i="543"/>
  <c r="B12" i="543"/>
  <c r="B13" i="543"/>
  <c r="B14" i="543"/>
  <c r="B15" i="543"/>
  <c r="B16" i="543"/>
  <c r="B17" i="543"/>
  <c r="B18" i="543"/>
  <c r="B19" i="543"/>
  <c r="B20" i="543"/>
  <c r="B21" i="543"/>
  <c r="B22" i="543"/>
  <c r="B23" i="543"/>
  <c r="B24" i="543"/>
  <c r="B25" i="543"/>
  <c r="B26" i="543"/>
  <c r="B27" i="543"/>
  <c r="B28" i="543"/>
  <c r="B29" i="543"/>
  <c r="B30" i="543"/>
  <c r="B31" i="543"/>
  <c r="B32" i="543"/>
  <c r="B33" i="543"/>
  <c r="B34" i="543"/>
  <c r="B35" i="543"/>
  <c r="B36" i="543"/>
  <c r="B37" i="543"/>
  <c r="B38" i="543"/>
  <c r="B39" i="543"/>
  <c r="B40" i="543"/>
  <c r="B41" i="543"/>
  <c r="B42" i="543"/>
  <c r="B43" i="543"/>
  <c r="B44" i="543"/>
  <c r="B45" i="543"/>
  <c r="B46" i="543"/>
  <c r="B47" i="543"/>
  <c r="B48" i="543"/>
  <c r="B49" i="543"/>
  <c r="B50" i="543"/>
  <c r="B51" i="543"/>
  <c r="B52" i="543"/>
  <c r="B53" i="543"/>
  <c r="B6" i="541" l="1"/>
  <c r="B7" i="541"/>
  <c r="B8" i="541"/>
  <c r="B9" i="541"/>
  <c r="B10" i="541"/>
  <c r="B11" i="541"/>
  <c r="B12" i="541"/>
  <c r="B13" i="541"/>
  <c r="B14" i="541"/>
  <c r="B15" i="541"/>
  <c r="B16" i="541"/>
  <c r="B17" i="541"/>
  <c r="B18" i="541"/>
  <c r="B19" i="541"/>
  <c r="B20" i="541"/>
  <c r="B21" i="541"/>
  <c r="B22" i="541"/>
  <c r="B23" i="541"/>
  <c r="B24" i="541"/>
  <c r="B25" i="541"/>
  <c r="B26" i="541"/>
  <c r="B27" i="541"/>
  <c r="B28" i="541"/>
  <c r="B29" i="541"/>
  <c r="B30" i="541"/>
  <c r="B31" i="541"/>
  <c r="B32" i="541"/>
  <c r="B33" i="541"/>
  <c r="B34" i="541"/>
  <c r="B35" i="541"/>
  <c r="B36" i="541"/>
  <c r="B37" i="541"/>
  <c r="B38" i="541"/>
  <c r="B39" i="541"/>
  <c r="B40" i="541"/>
  <c r="B41" i="541"/>
  <c r="B42" i="541"/>
  <c r="B6" i="539" l="1"/>
  <c r="B7" i="539"/>
  <c r="B8" i="539"/>
  <c r="B9" i="539"/>
  <c r="B10" i="539"/>
  <c r="B11" i="539"/>
  <c r="B12" i="539"/>
  <c r="B13" i="539"/>
  <c r="B14" i="539"/>
  <c r="B15" i="539"/>
  <c r="B16" i="539"/>
  <c r="B17" i="539"/>
  <c r="B18" i="539"/>
  <c r="B19" i="539"/>
  <c r="B20" i="539"/>
  <c r="B21" i="539"/>
  <c r="B22" i="539"/>
  <c r="B23" i="539"/>
  <c r="B24" i="539"/>
  <c r="B25" i="539"/>
  <c r="B26" i="539"/>
  <c r="B27" i="539"/>
  <c r="B28" i="539"/>
  <c r="B29" i="539"/>
  <c r="B30" i="539"/>
  <c r="B31" i="539"/>
  <c r="B32" i="539"/>
  <c r="B33" i="539"/>
  <c r="B34" i="539"/>
  <c r="B35" i="539"/>
  <c r="B36" i="539"/>
  <c r="B37" i="539"/>
  <c r="B38" i="539"/>
  <c r="B39" i="539"/>
  <c r="B40" i="539"/>
  <c r="B41" i="539"/>
  <c r="B42" i="539"/>
  <c r="B43" i="539"/>
  <c r="B44" i="539"/>
  <c r="B45" i="539"/>
  <c r="B6" i="537"/>
  <c r="B7" i="537"/>
  <c r="B8" i="537"/>
  <c r="B9" i="537"/>
  <c r="B10" i="537"/>
  <c r="B11" i="537"/>
  <c r="B12" i="537"/>
  <c r="B13" i="537"/>
  <c r="B14" i="537"/>
  <c r="B15" i="537"/>
  <c r="B16" i="537"/>
  <c r="B17" i="537"/>
  <c r="B18" i="537"/>
  <c r="B19" i="537"/>
  <c r="B20" i="537"/>
  <c r="B21" i="537"/>
  <c r="B22" i="537"/>
  <c r="B23" i="537"/>
  <c r="B24" i="537"/>
  <c r="B25" i="537"/>
  <c r="B26" i="537"/>
  <c r="B27" i="537"/>
  <c r="B28" i="537"/>
  <c r="B29" i="537"/>
  <c r="B30" i="537"/>
  <c r="B31" i="537"/>
  <c r="B32" i="537"/>
  <c r="B33" i="537"/>
  <c r="B34" i="537"/>
  <c r="B35" i="537"/>
  <c r="B36" i="537"/>
  <c r="B37" i="537"/>
  <c r="B38" i="537"/>
  <c r="B39" i="537"/>
  <c r="B40" i="537"/>
  <c r="B41" i="537"/>
  <c r="B42" i="537"/>
  <c r="B43" i="537"/>
  <c r="B44" i="537"/>
  <c r="B45" i="537"/>
  <c r="B46" i="537"/>
  <c r="B47" i="537"/>
  <c r="B48" i="537"/>
  <c r="B49" i="537"/>
  <c r="B50" i="537"/>
  <c r="B51" i="537"/>
  <c r="B52" i="537"/>
  <c r="B53" i="537"/>
  <c r="B54" i="537"/>
  <c r="B55" i="537"/>
  <c r="B56" i="537"/>
  <c r="B57" i="537"/>
  <c r="B58" i="537"/>
  <c r="B59" i="537"/>
  <c r="B60" i="537"/>
  <c r="B61" i="537"/>
  <c r="B62" i="537"/>
  <c r="B63" i="537"/>
  <c r="B64" i="537"/>
  <c r="B65" i="537"/>
  <c r="B66" i="537"/>
  <c r="B67" i="537"/>
  <c r="B68" i="537"/>
  <c r="B69" i="537"/>
  <c r="B70" i="537"/>
  <c r="B71" i="537"/>
  <c r="B72" i="537"/>
  <c r="B73" i="537"/>
  <c r="B74" i="537"/>
  <c r="B75" i="537"/>
  <c r="B76" i="537"/>
  <c r="B77" i="537"/>
  <c r="B78" i="537"/>
  <c r="B79" i="537"/>
  <c r="B80" i="537"/>
  <c r="B81" i="537"/>
  <c r="B82" i="537"/>
  <c r="B83" i="537"/>
  <c r="B84" i="537"/>
  <c r="B6" i="535"/>
  <c r="B7" i="535"/>
  <c r="B8" i="535"/>
  <c r="B9" i="535"/>
  <c r="B10" i="535"/>
  <c r="B11" i="535"/>
  <c r="B12" i="535"/>
  <c r="B13" i="535"/>
  <c r="B14" i="535"/>
  <c r="B15" i="535"/>
  <c r="B16" i="535"/>
  <c r="B17" i="535"/>
  <c r="B6" i="533" l="1"/>
  <c r="B7" i="533"/>
  <c r="B8" i="533"/>
  <c r="B9" i="533"/>
  <c r="B10" i="533"/>
  <c r="B11" i="533"/>
  <c r="B12" i="533"/>
  <c r="B13" i="533"/>
  <c r="B14" i="533"/>
  <c r="B15" i="533"/>
  <c r="B16" i="533"/>
  <c r="B17" i="533"/>
  <c r="B18" i="533"/>
  <c r="B19" i="533"/>
  <c r="B20" i="533"/>
  <c r="B21" i="533"/>
  <c r="B22" i="533"/>
  <c r="B23" i="533"/>
  <c r="B24" i="533"/>
  <c r="B25" i="533"/>
  <c r="B26" i="533"/>
  <c r="B27" i="533"/>
  <c r="B28" i="533"/>
  <c r="B29" i="533"/>
  <c r="B30" i="533"/>
  <c r="B31" i="533"/>
  <c r="B32" i="533"/>
  <c r="B33" i="533"/>
  <c r="B34" i="533"/>
  <c r="B35" i="533"/>
  <c r="B36" i="533"/>
  <c r="B37" i="533"/>
  <c r="B38" i="533"/>
  <c r="B39" i="533"/>
  <c r="B40" i="533"/>
  <c r="B41" i="533"/>
  <c r="B42" i="533"/>
  <c r="B43" i="533"/>
  <c r="B44" i="533"/>
  <c r="B45" i="533"/>
  <c r="B46" i="533"/>
  <c r="B47" i="533"/>
  <c r="B48" i="533"/>
  <c r="B49" i="533"/>
  <c r="B50" i="533"/>
  <c r="B51" i="533"/>
  <c r="B52" i="533"/>
  <c r="B53" i="533"/>
  <c r="B54" i="533"/>
  <c r="B55" i="533"/>
  <c r="B56" i="533"/>
  <c r="B57" i="533"/>
  <c r="B58" i="533"/>
  <c r="B59" i="533"/>
  <c r="B60" i="533"/>
  <c r="B61" i="533"/>
  <c r="B62" i="533"/>
  <c r="B63" i="533"/>
  <c r="B64" i="533"/>
  <c r="B65" i="533"/>
  <c r="B66" i="533"/>
  <c r="B67" i="533"/>
  <c r="B68" i="533"/>
  <c r="B69" i="533"/>
  <c r="B70" i="533"/>
  <c r="B71" i="533"/>
  <c r="B72" i="533"/>
  <c r="B73" i="533"/>
  <c r="B74" i="533"/>
  <c r="B75" i="533"/>
  <c r="B76" i="533"/>
  <c r="B77" i="533"/>
  <c r="B78" i="533"/>
  <c r="B79" i="533"/>
  <c r="B80" i="533"/>
  <c r="B81" i="533"/>
  <c r="B82" i="533"/>
  <c r="B83" i="533"/>
  <c r="B84" i="533"/>
  <c r="B85" i="533"/>
  <c r="B86" i="533"/>
  <c r="B87" i="533"/>
  <c r="B88" i="533"/>
  <c r="B89" i="533"/>
  <c r="B90" i="533"/>
  <c r="B91" i="533"/>
  <c r="B92" i="533"/>
  <c r="B93" i="533"/>
  <c r="B94" i="533"/>
  <c r="B95" i="533"/>
  <c r="B96" i="533"/>
  <c r="B97" i="533"/>
  <c r="B98" i="533"/>
  <c r="B99" i="533"/>
  <c r="B100" i="533"/>
  <c r="B101" i="533"/>
  <c r="B102" i="533"/>
  <c r="B103" i="533"/>
  <c r="B104" i="533"/>
  <c r="B105" i="533"/>
  <c r="B106" i="533"/>
  <c r="B107" i="533"/>
  <c r="B108" i="533"/>
  <c r="B109" i="533"/>
  <c r="B110" i="533"/>
  <c r="B111" i="533"/>
  <c r="B112" i="533"/>
  <c r="B113" i="533"/>
  <c r="B114" i="533"/>
  <c r="B115" i="533"/>
  <c r="B116" i="533"/>
  <c r="B117" i="533"/>
  <c r="B118" i="533"/>
  <c r="B119" i="533"/>
  <c r="B120" i="533"/>
  <c r="B121" i="533"/>
  <c r="B122" i="533"/>
  <c r="B123" i="533"/>
  <c r="B124" i="533"/>
  <c r="B125" i="533"/>
  <c r="B126" i="533"/>
  <c r="B127" i="533"/>
  <c r="B128" i="533"/>
  <c r="B129" i="533"/>
  <c r="B130" i="533"/>
  <c r="B131" i="533"/>
  <c r="B132" i="533"/>
  <c r="B133" i="533"/>
  <c r="B134" i="533"/>
  <c r="B135" i="533"/>
  <c r="B136" i="533"/>
  <c r="B137" i="533"/>
  <c r="B138" i="533"/>
  <c r="B139" i="533"/>
  <c r="B140" i="533"/>
  <c r="B141" i="533"/>
  <c r="B142" i="533"/>
  <c r="B143" i="533"/>
  <c r="B144" i="533"/>
  <c r="B145" i="533"/>
  <c r="B146" i="533"/>
  <c r="B147" i="533"/>
  <c r="B148" i="533"/>
  <c r="B149" i="533"/>
  <c r="B150" i="533"/>
  <c r="B151" i="533"/>
  <c r="B152" i="533"/>
  <c r="B153" i="533"/>
  <c r="B154" i="533"/>
  <c r="B155" i="533"/>
  <c r="B156" i="533"/>
  <c r="B157" i="533"/>
  <c r="B158" i="533"/>
  <c r="B159" i="533"/>
  <c r="B160" i="533"/>
  <c r="B161" i="533"/>
  <c r="B162" i="533"/>
  <c r="B163" i="533"/>
  <c r="B164" i="533"/>
  <c r="B165" i="533"/>
  <c r="B166" i="533"/>
  <c r="B167" i="533"/>
  <c r="B168" i="533"/>
  <c r="B169" i="533"/>
  <c r="B170" i="533"/>
  <c r="B171" i="533"/>
  <c r="B6" i="531" l="1"/>
  <c r="B7" i="531"/>
  <c r="B8" i="531"/>
  <c r="B6" i="529"/>
  <c r="B7" i="529"/>
  <c r="B8" i="529"/>
  <c r="B6" i="527" l="1"/>
  <c r="B7" i="527"/>
  <c r="B8" i="527"/>
  <c r="B9" i="527"/>
  <c r="B10" i="527"/>
  <c r="B11" i="527"/>
  <c r="B6" i="525" l="1"/>
  <c r="B7" i="525"/>
  <c r="B6" i="522" l="1"/>
  <c r="B7" i="522"/>
  <c r="B8" i="522"/>
  <c r="B9" i="522"/>
  <c r="B10" i="522"/>
  <c r="B11" i="522"/>
  <c r="B12" i="522"/>
  <c r="B13" i="522"/>
  <c r="B14" i="522"/>
  <c r="B15" i="522"/>
  <c r="B16" i="522"/>
  <c r="B17" i="522"/>
  <c r="B18" i="522"/>
  <c r="B19" i="522"/>
  <c r="B20" i="522"/>
  <c r="B21" i="522"/>
  <c r="B22" i="522"/>
  <c r="B23" i="522"/>
  <c r="B24" i="522"/>
  <c r="B25" i="522"/>
  <c r="B26" i="522"/>
  <c r="B27" i="522"/>
  <c r="B28" i="522"/>
  <c r="B29" i="522"/>
  <c r="B30" i="522"/>
  <c r="B31" i="522"/>
  <c r="B32" i="522"/>
  <c r="B33" i="522"/>
  <c r="B34" i="522"/>
  <c r="B35" i="522"/>
  <c r="B36" i="522"/>
  <c r="B37" i="522"/>
  <c r="B38" i="522"/>
  <c r="B39" i="522"/>
  <c r="B40" i="522"/>
  <c r="B41" i="522"/>
  <c r="B42" i="522"/>
  <c r="B43" i="522"/>
  <c r="B44" i="522"/>
  <c r="B45" i="522"/>
  <c r="B46" i="522"/>
  <c r="B47" i="522"/>
  <c r="B48" i="522"/>
  <c r="B49" i="522"/>
  <c r="B50" i="522"/>
  <c r="B51" i="522"/>
  <c r="B52" i="522"/>
  <c r="B53" i="522"/>
  <c r="B54" i="522"/>
  <c r="B55" i="522"/>
  <c r="B56" i="522"/>
  <c r="B57" i="522"/>
  <c r="B58" i="522"/>
  <c r="B59" i="522"/>
  <c r="B60" i="522"/>
  <c r="B61" i="522"/>
  <c r="B62" i="522"/>
  <c r="B63" i="522"/>
  <c r="B64" i="522"/>
  <c r="B67" i="522"/>
  <c r="B68" i="522"/>
  <c r="B69" i="522"/>
  <c r="B70" i="522"/>
  <c r="B71" i="522"/>
  <c r="B72" i="522"/>
  <c r="B73" i="522"/>
  <c r="B74" i="522"/>
  <c r="B75" i="522"/>
  <c r="B76" i="522"/>
  <c r="B77" i="522"/>
  <c r="B78" i="522"/>
  <c r="B79" i="522"/>
  <c r="B80" i="522"/>
  <c r="B81" i="522"/>
  <c r="B82" i="522"/>
  <c r="B83" i="522"/>
  <c r="B84" i="522"/>
  <c r="B85" i="522"/>
  <c r="B86" i="522"/>
  <c r="B87" i="522"/>
  <c r="B88" i="522"/>
  <c r="B89" i="522"/>
  <c r="B90" i="522"/>
  <c r="B91" i="522"/>
  <c r="B92" i="522"/>
  <c r="B93" i="522"/>
  <c r="B94" i="522"/>
  <c r="B95" i="522"/>
  <c r="B96" i="522"/>
  <c r="B97" i="522"/>
  <c r="B98" i="522"/>
  <c r="B99" i="522"/>
  <c r="B100" i="522"/>
  <c r="B101" i="522"/>
  <c r="B102" i="522"/>
  <c r="B103" i="522"/>
  <c r="B104" i="522"/>
  <c r="B105" i="522"/>
  <c r="B106" i="522"/>
  <c r="B107" i="522"/>
  <c r="B108" i="522"/>
  <c r="B109" i="522"/>
  <c r="B110" i="522"/>
  <c r="B111" i="522"/>
  <c r="B112" i="522"/>
  <c r="B113" i="522"/>
  <c r="B114" i="522"/>
  <c r="B115" i="522"/>
  <c r="B116" i="522"/>
  <c r="B117" i="522"/>
  <c r="B118" i="522"/>
  <c r="B119" i="522"/>
  <c r="B120" i="522"/>
  <c r="B121" i="522"/>
  <c r="B122" i="522"/>
  <c r="B123" i="522"/>
  <c r="B124" i="522"/>
  <c r="B125" i="522"/>
  <c r="B126" i="522"/>
  <c r="B127" i="522"/>
  <c r="B128" i="522"/>
  <c r="B129" i="522"/>
  <c r="B130" i="522"/>
  <c r="B131" i="522"/>
  <c r="B132" i="522"/>
  <c r="B133" i="522"/>
  <c r="B134" i="522"/>
  <c r="B135" i="522"/>
  <c r="B136" i="522"/>
  <c r="B137" i="522"/>
  <c r="B138" i="522"/>
  <c r="B139" i="522"/>
  <c r="B140" i="522"/>
  <c r="B141" i="522"/>
  <c r="B142" i="522"/>
  <c r="B143" i="522"/>
  <c r="B144" i="522"/>
  <c r="B145" i="522"/>
  <c r="B146" i="522"/>
  <c r="B147" i="522"/>
  <c r="B148" i="522"/>
  <c r="B149" i="522"/>
  <c r="B150" i="522"/>
  <c r="B151" i="522"/>
  <c r="B152" i="522"/>
  <c r="B153" i="522"/>
  <c r="B154" i="522"/>
  <c r="B155" i="522"/>
  <c r="B156" i="522"/>
  <c r="B157" i="522"/>
  <c r="B158" i="522"/>
  <c r="B159" i="522"/>
  <c r="B160" i="522"/>
  <c r="B161" i="522"/>
  <c r="B162" i="522"/>
  <c r="B163" i="522"/>
  <c r="B164" i="522"/>
  <c r="B165" i="522"/>
  <c r="B166" i="522"/>
  <c r="B167" i="522"/>
  <c r="B168" i="522"/>
  <c r="B169" i="522"/>
  <c r="B170" i="522"/>
  <c r="B171" i="522"/>
  <c r="B172" i="522"/>
  <c r="B173" i="522"/>
  <c r="B174" i="522"/>
  <c r="B175" i="522"/>
  <c r="B176" i="522"/>
  <c r="B177" i="522"/>
  <c r="B178" i="522"/>
  <c r="B179" i="522"/>
  <c r="B180" i="522"/>
  <c r="B181" i="522"/>
  <c r="B182" i="522"/>
  <c r="B183" i="522"/>
  <c r="B184" i="522"/>
  <c r="B185" i="522"/>
  <c r="B186" i="522"/>
  <c r="B187" i="522"/>
  <c r="B188" i="522"/>
  <c r="B189" i="522"/>
  <c r="B190" i="522"/>
  <c r="B191" i="522"/>
  <c r="B192" i="522"/>
  <c r="B193" i="522"/>
  <c r="B194" i="522"/>
  <c r="B195" i="522"/>
  <c r="B196" i="522"/>
  <c r="B197" i="522"/>
  <c r="B198" i="522"/>
  <c r="B199" i="522"/>
  <c r="B200" i="522"/>
  <c r="B201" i="522"/>
  <c r="B202" i="522"/>
  <c r="B203" i="522"/>
  <c r="B204" i="522"/>
  <c r="B205" i="522"/>
  <c r="B206" i="522"/>
  <c r="B207" i="522"/>
  <c r="B208" i="522"/>
  <c r="B209" i="522"/>
  <c r="B8" i="519" l="1"/>
  <c r="B12" i="519"/>
  <c r="B13" i="519"/>
  <c r="B14" i="519"/>
  <c r="B15" i="519"/>
  <c r="B16" i="519"/>
  <c r="B17" i="519"/>
  <c r="B6" i="518"/>
  <c r="B7" i="518"/>
  <c r="B8" i="518"/>
  <c r="B9" i="518"/>
  <c r="B10" i="518"/>
  <c r="B11" i="518"/>
  <c r="B12" i="518"/>
  <c r="B13" i="518"/>
  <c r="B14" i="518"/>
  <c r="B16" i="518"/>
  <c r="B17" i="518"/>
  <c r="B18" i="518"/>
  <c r="B19" i="518"/>
  <c r="B8" i="517"/>
  <c r="B9" i="517"/>
  <c r="B10" i="517"/>
  <c r="B11" i="517"/>
  <c r="B12" i="517"/>
  <c r="B13" i="517"/>
  <c r="B14" i="517"/>
  <c r="B6" i="516"/>
  <c r="B7" i="516"/>
  <c r="B8" i="516"/>
  <c r="B8" i="515"/>
  <c r="B9" i="515"/>
  <c r="B10" i="515"/>
  <c r="B11" i="515"/>
  <c r="B12" i="515"/>
  <c r="B13" i="515"/>
  <c r="B14" i="515"/>
  <c r="B6" i="514"/>
  <c r="B7" i="514"/>
  <c r="B8" i="514"/>
  <c r="B6" i="512" l="1"/>
  <c r="B7" i="512"/>
  <c r="B8" i="512"/>
  <c r="B9" i="512"/>
  <c r="B10" i="512"/>
  <c r="B11" i="512"/>
  <c r="B12" i="512"/>
  <c r="B13" i="512"/>
  <c r="B14" i="512"/>
  <c r="B6" i="510" l="1"/>
  <c r="B7" i="510"/>
  <c r="B8" i="510"/>
  <c r="B9" i="510"/>
  <c r="B10" i="510"/>
  <c r="B11" i="510"/>
  <c r="B12" i="510"/>
  <c r="B13" i="510"/>
  <c r="B14" i="510"/>
  <c r="B15" i="510"/>
  <c r="B16" i="510"/>
  <c r="B17" i="510"/>
  <c r="B18" i="510"/>
  <c r="B19" i="510"/>
  <c r="B20" i="510"/>
  <c r="B21" i="510"/>
  <c r="B22" i="510"/>
  <c r="B23" i="510"/>
  <c r="B24" i="510"/>
  <c r="B25" i="510"/>
  <c r="B26" i="510"/>
  <c r="B27" i="510"/>
  <c r="B28" i="510"/>
  <c r="B29" i="510"/>
  <c r="B30" i="510"/>
  <c r="B31" i="510"/>
  <c r="B32" i="510"/>
  <c r="B7" i="506"/>
  <c r="B8" i="506"/>
  <c r="B10" i="506"/>
  <c r="B12" i="506"/>
  <c r="B13" i="506"/>
  <c r="B14" i="506"/>
  <c r="B16" i="506"/>
  <c r="B18" i="506"/>
  <c r="B20" i="506"/>
  <c r="B21" i="506"/>
  <c r="B22" i="506"/>
  <c r="B24" i="506"/>
  <c r="B26" i="506"/>
  <c r="B28" i="506"/>
  <c r="B6" i="504"/>
  <c r="B7" i="504"/>
  <c r="B8" i="504"/>
  <c r="B9" i="504"/>
  <c r="B10" i="504"/>
  <c r="B11" i="504"/>
  <c r="B12" i="504"/>
  <c r="B13" i="504"/>
  <c r="B14" i="504"/>
  <c r="B15" i="504"/>
  <c r="B16" i="504"/>
  <c r="B17" i="504"/>
  <c r="B8" i="503"/>
  <c r="B9" i="503"/>
  <c r="B10" i="503"/>
  <c r="B8" i="502"/>
  <c r="B9" i="502"/>
  <c r="B10" i="502"/>
  <c r="B11" i="502"/>
  <c r="B12" i="502"/>
  <c r="B8" i="501"/>
  <c r="B9" i="501"/>
  <c r="B10" i="501"/>
  <c r="B11" i="501"/>
  <c r="B12" i="501"/>
  <c r="B8" i="500"/>
  <c r="B9" i="500"/>
  <c r="B10" i="500"/>
  <c r="B11" i="500"/>
  <c r="B12" i="500"/>
  <c r="B8" i="499"/>
  <c r="B9" i="499"/>
  <c r="B10" i="499"/>
  <c r="B11" i="499"/>
  <c r="B12" i="499"/>
  <c r="B8" i="498"/>
  <c r="B9" i="498"/>
  <c r="B10" i="498"/>
  <c r="B11" i="498"/>
  <c r="B12" i="498"/>
  <c r="B8" i="497"/>
  <c r="B9" i="497"/>
  <c r="B10" i="497"/>
  <c r="B11" i="497"/>
  <c r="B12" i="497"/>
  <c r="B13" i="497"/>
  <c r="B8" i="496"/>
  <c r="B9" i="496"/>
  <c r="B10" i="496"/>
  <c r="B6" i="493"/>
  <c r="B7" i="493"/>
  <c r="B8" i="493"/>
  <c r="B9" i="493"/>
  <c r="B10" i="493"/>
  <c r="B11" i="493"/>
  <c r="B12" i="493"/>
  <c r="B13" i="493"/>
  <c r="B14" i="493"/>
  <c r="B15" i="493"/>
  <c r="B16" i="493"/>
  <c r="B17" i="493"/>
  <c r="B18" i="493"/>
  <c r="B19" i="493"/>
  <c r="B20" i="493"/>
  <c r="B21" i="493"/>
  <c r="B22" i="493"/>
  <c r="B23" i="493"/>
  <c r="B24" i="493"/>
  <c r="B25" i="493"/>
  <c r="B26" i="493"/>
  <c r="B27" i="493"/>
  <c r="B28" i="493"/>
  <c r="B29" i="493"/>
  <c r="B30" i="493"/>
  <c r="B31" i="493"/>
  <c r="B32" i="493"/>
  <c r="B33" i="493"/>
  <c r="B34" i="493"/>
  <c r="B35" i="493"/>
  <c r="B36" i="493"/>
  <c r="B37" i="493"/>
  <c r="B38" i="493"/>
  <c r="B39" i="493"/>
  <c r="B40" i="493"/>
  <c r="B41" i="493"/>
  <c r="B42" i="493"/>
  <c r="B43" i="493"/>
  <c r="B44" i="493"/>
  <c r="B45" i="493"/>
  <c r="B46" i="493"/>
  <c r="B47" i="493"/>
  <c r="B48" i="493"/>
  <c r="B49" i="493"/>
  <c r="B50" i="493"/>
  <c r="B51" i="493"/>
  <c r="B52" i="493"/>
  <c r="B53" i="493"/>
  <c r="B54" i="493"/>
  <c r="B55" i="493"/>
  <c r="B56" i="493"/>
  <c r="B57" i="493"/>
  <c r="B58" i="493"/>
  <c r="B59" i="493"/>
  <c r="B60" i="493"/>
  <c r="B61" i="493"/>
  <c r="B62" i="493"/>
  <c r="B63" i="493"/>
  <c r="B64" i="493"/>
  <c r="B65" i="493"/>
  <c r="B66" i="493"/>
  <c r="B67" i="493"/>
  <c r="B68" i="493"/>
  <c r="B69" i="493"/>
  <c r="B70" i="493"/>
  <c r="B71" i="493"/>
  <c r="B72" i="493"/>
  <c r="B73" i="493"/>
  <c r="B74" i="493"/>
  <c r="B75" i="493"/>
  <c r="B76" i="493"/>
  <c r="B77" i="493"/>
  <c r="B78" i="493"/>
  <c r="B79" i="493"/>
  <c r="B80" i="493"/>
  <c r="B81" i="493"/>
  <c r="B82" i="493"/>
  <c r="B83" i="493"/>
  <c r="B84" i="493"/>
  <c r="B85" i="493"/>
  <c r="B86" i="493"/>
  <c r="B87" i="493"/>
  <c r="B88" i="493"/>
  <c r="B89" i="493"/>
  <c r="B90" i="493"/>
  <c r="B91" i="493"/>
  <c r="B92" i="493"/>
  <c r="B93" i="493"/>
  <c r="B94" i="493"/>
  <c r="B95" i="493"/>
  <c r="B96" i="493"/>
  <c r="B97" i="493"/>
  <c r="B98" i="493"/>
  <c r="B99" i="493"/>
  <c r="B100" i="493"/>
  <c r="B101" i="493"/>
  <c r="B102" i="493"/>
  <c r="B103" i="493"/>
  <c r="B104" i="493"/>
  <c r="B105" i="493"/>
  <c r="B106" i="493"/>
  <c r="B107" i="493"/>
  <c r="B108" i="493"/>
  <c r="B109" i="493"/>
  <c r="B110" i="493"/>
  <c r="B111" i="493"/>
  <c r="B112" i="493"/>
  <c r="B113" i="493"/>
  <c r="B114" i="493"/>
  <c r="B115" i="493"/>
  <c r="B116" i="493"/>
  <c r="B117" i="493"/>
  <c r="B118" i="493"/>
  <c r="B119" i="493"/>
  <c r="B120" i="493"/>
  <c r="B121" i="493"/>
  <c r="B122" i="493"/>
  <c r="B123" i="493"/>
  <c r="B124" i="493"/>
  <c r="B125" i="493"/>
  <c r="B126" i="493"/>
  <c r="B127" i="493"/>
  <c r="B128" i="493"/>
  <c r="B129" i="493"/>
  <c r="B130" i="493"/>
  <c r="B131" i="493"/>
  <c r="B132" i="493"/>
  <c r="B133" i="493"/>
  <c r="B134" i="493"/>
  <c r="B135" i="493"/>
  <c r="B136" i="493"/>
  <c r="B16" i="476" l="1"/>
  <c r="B15" i="476"/>
  <c r="B14" i="476"/>
  <c r="B13" i="476"/>
  <c r="B12" i="476" l="1"/>
  <c r="B5" i="476" l="1"/>
  <c r="B11" i="476" l="1"/>
  <c r="B8" i="476" l="1"/>
  <c r="B10" i="476"/>
  <c r="B4" i="476"/>
  <c r="B7" i="476"/>
  <c r="B6" i="476"/>
</calcChain>
</file>

<file path=xl/sharedStrings.xml><?xml version="1.0" encoding="utf-8"?>
<sst xmlns="http://schemas.openxmlformats.org/spreadsheetml/2006/main" count="12464" uniqueCount="2915">
  <si>
    <t>No</t>
  </si>
  <si>
    <t>#</t>
  </si>
  <si>
    <t>該当モジュール</t>
  </si>
  <si>
    <t>設定項目</t>
  </si>
  <si>
    <t>説明</t>
  </si>
  <si>
    <t>パス</t>
    <phoneticPr fontId="14"/>
  </si>
  <si>
    <t>組織管理</t>
  </si>
  <si>
    <t>住所の設定</t>
  </si>
  <si>
    <t>作業単位</t>
    <rPh sb="0" eb="2">
      <t>サギョウ</t>
    </rPh>
    <rPh sb="2" eb="4">
      <t>タンイ</t>
    </rPh>
    <phoneticPr fontId="14"/>
  </si>
  <si>
    <t>タブ</t>
  </si>
  <si>
    <t>タブ説明</t>
    <rPh sb="2" eb="4">
      <t>セツメイ</t>
    </rPh>
    <phoneticPr fontId="23"/>
  </si>
  <si>
    <t>項目分類</t>
    <rPh sb="0" eb="2">
      <t>コウモク</t>
    </rPh>
    <rPh sb="2" eb="4">
      <t>ブンルイ</t>
    </rPh>
    <phoneticPr fontId="18"/>
  </si>
  <si>
    <t>項目</t>
  </si>
  <si>
    <t>項目説明</t>
    <rPh sb="0" eb="2">
      <t>コウモク</t>
    </rPh>
    <rPh sb="2" eb="4">
      <t>セツメイ</t>
    </rPh>
    <phoneticPr fontId="18"/>
  </si>
  <si>
    <t>設定可能値</t>
  </si>
  <si>
    <t>デフォルト値</t>
    <rPh sb="5" eb="6">
      <t>チ</t>
    </rPh>
    <phoneticPr fontId="23"/>
  </si>
  <si>
    <t>備考</t>
  </si>
  <si>
    <t>設定値</t>
  </si>
  <si>
    <t>設定基準</t>
  </si>
  <si>
    <t>名前</t>
    <rPh sb="0" eb="2">
      <t>ナマエ</t>
    </rPh>
    <phoneticPr fontId="14"/>
  </si>
  <si>
    <t>文字列</t>
    <rPh sb="0" eb="3">
      <t>モジレツ</t>
    </rPh>
    <phoneticPr fontId="14"/>
  </si>
  <si>
    <t>ー</t>
  </si>
  <si>
    <t>会社</t>
    <rPh sb="0" eb="2">
      <t>カイシャ</t>
    </rPh>
    <phoneticPr fontId="14"/>
  </si>
  <si>
    <t>一般</t>
    <rPh sb="0" eb="2">
      <t>イッパン</t>
    </rPh>
    <phoneticPr fontId="14"/>
  </si>
  <si>
    <t>メモ</t>
    <phoneticPr fontId="14"/>
  </si>
  <si>
    <t>検索名</t>
    <rPh sb="0" eb="2">
      <t>ケンサク</t>
    </rPh>
    <rPh sb="2" eb="3">
      <t>メイ</t>
    </rPh>
    <phoneticPr fontId="14"/>
  </si>
  <si>
    <t>階層</t>
    <rPh sb="0" eb="2">
      <t>カイソウ</t>
    </rPh>
    <phoneticPr fontId="14"/>
  </si>
  <si>
    <t>はい/いいえ</t>
    <phoneticPr fontId="14"/>
  </si>
  <si>
    <t>いいえ</t>
    <phoneticPr fontId="14"/>
  </si>
  <si>
    <t>住所</t>
    <rPh sb="0" eb="2">
      <t>ジュウショ</t>
    </rPh>
    <phoneticPr fontId="23"/>
  </si>
  <si>
    <t>名前または説明</t>
    <phoneticPr fontId="14"/>
  </si>
  <si>
    <t>住所</t>
    <rPh sb="0" eb="2">
      <t>ジュウショ</t>
    </rPh>
    <phoneticPr fontId="14"/>
  </si>
  <si>
    <t>目的</t>
    <rPh sb="0" eb="2">
      <t>モクテキ</t>
    </rPh>
    <phoneticPr fontId="14"/>
  </si>
  <si>
    <t>主要</t>
    <rPh sb="0" eb="2">
      <t>シュヨウ</t>
    </rPh>
    <phoneticPr fontId="14"/>
  </si>
  <si>
    <t>詳細オプション</t>
    <rPh sb="0" eb="2">
      <t>ショウサイ</t>
    </rPh>
    <phoneticPr fontId="14"/>
  </si>
  <si>
    <t>国/地域</t>
    <rPh sb="0" eb="1">
      <t>クニ</t>
    </rPh>
    <rPh sb="2" eb="4">
      <t>チイキ</t>
    </rPh>
    <phoneticPr fontId="14"/>
  </si>
  <si>
    <t>国/地域（システム定義）</t>
    <phoneticPr fontId="14"/>
  </si>
  <si>
    <t>「詳細オプション＞詳細」より編集可能</t>
    <rPh sb="1" eb="3">
      <t>ショウサイ</t>
    </rPh>
    <rPh sb="9" eb="11">
      <t>ショウサイ</t>
    </rPh>
    <phoneticPr fontId="14"/>
  </si>
  <si>
    <t>郵便番号</t>
    <rPh sb="0" eb="4">
      <t>ユウビンバンゴウ</t>
    </rPh>
    <phoneticPr fontId="14"/>
  </si>
  <si>
    <t>住所（カナ）</t>
    <rPh sb="0" eb="2">
      <t>ジュウショ</t>
    </rPh>
    <phoneticPr fontId="14"/>
  </si>
  <si>
    <t>市町村</t>
    <rPh sb="0" eb="3">
      <t>シチョウソンチョウソン</t>
    </rPh>
    <phoneticPr fontId="14"/>
  </si>
  <si>
    <t>市町村（カナ）</t>
    <rPh sb="0" eb="3">
      <t>シチョウソンチョウソン</t>
    </rPh>
    <phoneticPr fontId="14"/>
  </si>
  <si>
    <t>都道府県</t>
    <rPh sb="0" eb="4">
      <t>トドウフケン</t>
    </rPh>
    <phoneticPr fontId="14"/>
  </si>
  <si>
    <t>国/地域に関する基本事項</t>
    <rPh sb="0" eb="1">
      <t>クニ</t>
    </rPh>
    <rPh sb="2" eb="4">
      <t>チイキ</t>
    </rPh>
    <rPh sb="5" eb="6">
      <t>カン</t>
    </rPh>
    <rPh sb="8" eb="10">
      <t>キホン</t>
    </rPh>
    <rPh sb="10" eb="12">
      <t>ジコウ</t>
    </rPh>
    <phoneticPr fontId="14"/>
  </si>
  <si>
    <t>連絡先情報</t>
    <rPh sb="0" eb="2">
      <t>レンラク</t>
    </rPh>
    <rPh sb="2" eb="3">
      <t>サキ</t>
    </rPh>
    <rPh sb="3" eb="5">
      <t>ジョウホウ</t>
    </rPh>
    <phoneticPr fontId="23"/>
  </si>
  <si>
    <t>説明</t>
    <rPh sb="0" eb="2">
      <t>セツメイ</t>
    </rPh>
    <phoneticPr fontId="14"/>
  </si>
  <si>
    <t>タイプ</t>
    <phoneticPr fontId="14"/>
  </si>
  <si>
    <t>連絡先の電話番号/住所</t>
    <rPh sb="0" eb="2">
      <t>レンラク</t>
    </rPh>
    <rPh sb="2" eb="3">
      <t>サキ</t>
    </rPh>
    <rPh sb="4" eb="6">
      <t>デンワ</t>
    </rPh>
    <rPh sb="6" eb="8">
      <t>バンゴウ</t>
    </rPh>
    <rPh sb="9" eb="11">
      <t>ジュウショ</t>
    </rPh>
    <phoneticPr fontId="14"/>
  </si>
  <si>
    <t>内線</t>
    <rPh sb="0" eb="2">
      <t>ナイセン</t>
    </rPh>
    <phoneticPr fontId="14"/>
  </si>
  <si>
    <t>詳細</t>
    <rPh sb="0" eb="2">
      <t>ショウサイ</t>
    </rPh>
    <phoneticPr fontId="14"/>
  </si>
  <si>
    <t>数値</t>
    <rPh sb="0" eb="2">
      <t>スウチ</t>
    </rPh>
    <phoneticPr fontId="14"/>
  </si>
  <si>
    <t>データベースのレコードの固有 ID</t>
  </si>
  <si>
    <t>ID</t>
    <phoneticPr fontId="14"/>
  </si>
  <si>
    <t>チェック有/チェック無</t>
  </si>
  <si>
    <t>その他</t>
    <rPh sb="2" eb="3">
      <t>タ</t>
    </rPh>
    <phoneticPr fontId="14"/>
  </si>
  <si>
    <t>既定</t>
    <rPh sb="0" eb="2">
      <t>キテイ</t>
    </rPh>
    <phoneticPr fontId="14"/>
  </si>
  <si>
    <t>FirstMiddleLast</t>
    <phoneticPr fontId="14"/>
  </si>
  <si>
    <t>はい</t>
    <phoneticPr fontId="14"/>
  </si>
  <si>
    <t>組織</t>
    <rPh sb="0" eb="2">
      <t>ソシキ</t>
    </rPh>
    <phoneticPr fontId="14"/>
  </si>
  <si>
    <t>顧客</t>
    <rPh sb="0" eb="2">
      <t>コキャク</t>
    </rPh>
    <phoneticPr fontId="14"/>
  </si>
  <si>
    <t>仕入先</t>
    <rPh sb="0" eb="3">
      <t>シイレサキ</t>
    </rPh>
    <phoneticPr fontId="14"/>
  </si>
  <si>
    <t>アドレス帳</t>
    <rPh sb="4" eb="5">
      <t>チョウ</t>
    </rPh>
    <phoneticPr fontId="14"/>
  </si>
  <si>
    <t>-</t>
    <phoneticPr fontId="14"/>
  </si>
  <si>
    <t>区切り</t>
    <rPh sb="0" eb="2">
      <t>クギ</t>
    </rPh>
    <phoneticPr fontId="14"/>
  </si>
  <si>
    <t>プレビュー</t>
  </si>
  <si>
    <t>チェック有/チェック無</t>
    <phoneticPr fontId="14"/>
  </si>
  <si>
    <t>組織管理＞グローバルアドレス帳&gt;住所＞住所の設定</t>
    <rPh sb="14" eb="15">
      <t>チョウ</t>
    </rPh>
    <phoneticPr fontId="18"/>
  </si>
  <si>
    <t>パラメーター</t>
  </si>
  <si>
    <t>住所作成時に検証</t>
    <rPh sb="0" eb="2">
      <t>ジュウショ</t>
    </rPh>
    <rPh sb="2" eb="4">
      <t>サクセイ</t>
    </rPh>
    <rPh sb="4" eb="5">
      <t>ジ</t>
    </rPh>
    <rPh sb="6" eb="8">
      <t>ケンショウ</t>
    </rPh>
    <phoneticPr fontId="14"/>
  </si>
  <si>
    <t>地域</t>
    <rPh sb="0" eb="2">
      <t>チイキ</t>
    </rPh>
    <phoneticPr fontId="14"/>
  </si>
  <si>
    <t>市町村</t>
    <rPh sb="0" eb="3">
      <t>シチョウソン</t>
    </rPh>
    <phoneticPr fontId="14"/>
  </si>
  <si>
    <t>住所の設定</t>
    <rPh sb="0" eb="2">
      <t>ジュウショ</t>
    </rPh>
    <rPh sb="3" eb="5">
      <t>セッテイ</t>
    </rPh>
    <phoneticPr fontId="14"/>
  </si>
  <si>
    <t>住所の設定に住所の形式情報を入力します</t>
  </si>
  <si>
    <t>住所の形式</t>
    <rPh sb="0" eb="2">
      <t>ジュウショ</t>
    </rPh>
    <rPh sb="3" eb="5">
      <t>ケイシキ</t>
    </rPh>
    <phoneticPr fontId="14"/>
  </si>
  <si>
    <t>設定値のプレビューが表示される</t>
    <rPh sb="0" eb="3">
      <t>セッテイチ</t>
    </rPh>
    <rPh sb="10" eb="12">
      <t>ヒョウジ</t>
    </rPh>
    <phoneticPr fontId="14"/>
  </si>
  <si>
    <t>住所コンポーネントのコンフィギュレーション</t>
    <rPh sb="0" eb="2">
      <t>ジュウショ</t>
    </rPh>
    <phoneticPr fontId="14"/>
  </si>
  <si>
    <t>住所アプリケーションオブジェクト</t>
    <rPh sb="0" eb="2">
      <t>ジュウショ</t>
    </rPh>
    <phoneticPr fontId="14"/>
  </si>
  <si>
    <t>・郵便番号
・市町村
・市区群
・都道府県
・国/地域
・住所
・地域
・番地
・建物名（補足）
・郵便受
・番地
・Building
・Apartment
・家のグループ
・アパートのグループ
・OKSM別コード
・住所形式
・土地区画</t>
    <rPh sb="1" eb="5">
      <t>ユウビンバンゴウ</t>
    </rPh>
    <rPh sb="7" eb="10">
      <t>シチョウソン</t>
    </rPh>
    <rPh sb="12" eb="14">
      <t>シク</t>
    </rPh>
    <rPh sb="14" eb="15">
      <t>グン</t>
    </rPh>
    <rPh sb="17" eb="21">
      <t>トドウフケン</t>
    </rPh>
    <rPh sb="23" eb="24">
      <t>クニ</t>
    </rPh>
    <rPh sb="25" eb="27">
      <t>チイキ</t>
    </rPh>
    <rPh sb="29" eb="31">
      <t>ジュウショ</t>
    </rPh>
    <rPh sb="33" eb="35">
      <t>チイキ</t>
    </rPh>
    <rPh sb="37" eb="39">
      <t>バンチ</t>
    </rPh>
    <rPh sb="41" eb="43">
      <t>タテモノ</t>
    </rPh>
    <rPh sb="43" eb="44">
      <t>メイ</t>
    </rPh>
    <rPh sb="45" eb="47">
      <t>ホソク</t>
    </rPh>
    <rPh sb="50" eb="53">
      <t>ユウビンウ</t>
    </rPh>
    <rPh sb="55" eb="57">
      <t>バンチ</t>
    </rPh>
    <rPh sb="80" eb="81">
      <t>イエ</t>
    </rPh>
    <rPh sb="103" eb="104">
      <t>ベツ</t>
    </rPh>
    <rPh sb="109" eb="111">
      <t>ジュウショ</t>
    </rPh>
    <rPh sb="111" eb="113">
      <t>ケイシキ</t>
    </rPh>
    <rPh sb="115" eb="117">
      <t>トチ</t>
    </rPh>
    <rPh sb="117" eb="119">
      <t>クカク</t>
    </rPh>
    <phoneticPr fontId="14"/>
  </si>
  <si>
    <t>選択した「住所の形式」により初期値は異なる</t>
    <rPh sb="0" eb="2">
      <t>センタク</t>
    </rPh>
    <rPh sb="5" eb="7">
      <t>ジュウショ</t>
    </rPh>
    <rPh sb="8" eb="10">
      <t>ケイシキ</t>
    </rPh>
    <rPh sb="14" eb="17">
      <t>ショキチ</t>
    </rPh>
    <rPh sb="18" eb="19">
      <t>コト</t>
    </rPh>
    <phoneticPr fontId="14"/>
  </si>
  <si>
    <t>新しいライン</t>
    <rPh sb="0" eb="1">
      <t>アタラ</t>
    </rPh>
    <phoneticPr fontId="14"/>
  </si>
  <si>
    <t>データ入力専用</t>
    <rPh sb="3" eb="5">
      <t>ニュウリョク</t>
    </rPh>
    <rPh sb="5" eb="7">
      <t>センヨウ</t>
    </rPh>
    <phoneticPr fontId="14"/>
  </si>
  <si>
    <t>住所情報を入力した場合にのみ住所コンポーネントを含めるには、このオプションを選択します。このオプションを選択した場合、住所の印刷時に、住所コンポーネントは表示されません。</t>
  </si>
  <si>
    <t>無効</t>
    <rPh sb="0" eb="2">
      <t>ムコウ</t>
    </rPh>
    <phoneticPr fontId="14"/>
  </si>
  <si>
    <t>展開</t>
    <rPh sb="0" eb="2">
      <t>テンカイ</t>
    </rPh>
    <phoneticPr fontId="14"/>
  </si>
  <si>
    <t>住所の印刷時に、国/地域、都道府県、および国の正式名を表示するには、このオプションを選択します。このオプションをオフにすると、住所の印刷時に、国/地域、都道府県、および国のコードのみが表示されます。</t>
  </si>
  <si>
    <t>特別</t>
    <rPh sb="0" eb="2">
      <t>トクベツ</t>
    </rPh>
    <phoneticPr fontId="14"/>
  </si>
  <si>
    <t>現在の住所コンポーネントの区切り記号が前の住所コンポーネントの区切り記号と同じであることを指定するには、このオプションを選択します。</t>
    <rPh sb="0" eb="2">
      <t>ゲンザイ</t>
    </rPh>
    <rPh sb="3" eb="5">
      <t>ジュウショ</t>
    </rPh>
    <rPh sb="13" eb="15">
      <t>クギ</t>
    </rPh>
    <rPh sb="16" eb="18">
      <t>キゴウ</t>
    </rPh>
    <rPh sb="19" eb="20">
      <t>マエ</t>
    </rPh>
    <rPh sb="21" eb="23">
      <t>ジュウショ</t>
    </rPh>
    <rPh sb="31" eb="33">
      <t>クギ</t>
    </rPh>
    <rPh sb="34" eb="36">
      <t>キゴウ</t>
    </rPh>
    <rPh sb="37" eb="38">
      <t>オナ</t>
    </rPh>
    <rPh sb="45" eb="47">
      <t>シテイ</t>
    </rPh>
    <rPh sb="60" eb="62">
      <t>センタク</t>
    </rPh>
    <phoneticPr fontId="14"/>
  </si>
  <si>
    <t>住所の設定に国/地域情報を入力します</t>
    <phoneticPr fontId="14"/>
  </si>
  <si>
    <t>国/地域（リスト）</t>
    <rPh sb="0" eb="1">
      <t>クニ</t>
    </rPh>
    <rPh sb="2" eb="4">
      <t>チイキ</t>
    </rPh>
    <phoneticPr fontId="14"/>
  </si>
  <si>
    <t>世界各国の国と地域(350か国以上)</t>
    <rPh sb="0" eb="2">
      <t>セカイ</t>
    </rPh>
    <rPh sb="2" eb="4">
      <t>カッコク</t>
    </rPh>
    <rPh sb="5" eb="6">
      <t>クニ</t>
    </rPh>
    <rPh sb="7" eb="9">
      <t>チイキ</t>
    </rPh>
    <rPh sb="14" eb="15">
      <t>コク</t>
    </rPh>
    <rPh sb="15" eb="17">
      <t>イジョウ</t>
    </rPh>
    <phoneticPr fontId="14"/>
  </si>
  <si>
    <t>JPN</t>
    <phoneticPr fontId="14"/>
  </si>
  <si>
    <t>略称（リスト）</t>
    <rPh sb="0" eb="2">
      <t>リャクショウ</t>
    </rPh>
    <phoneticPr fontId="14"/>
  </si>
  <si>
    <t>略称</t>
    <rPh sb="0" eb="2">
      <t>リャクショウ</t>
    </rPh>
    <phoneticPr fontId="14"/>
  </si>
  <si>
    <t>タイムゾーン</t>
  </si>
  <si>
    <t>世界各国のタイムゾーン</t>
    <rPh sb="0" eb="2">
      <t>セカイ</t>
    </rPh>
    <rPh sb="2" eb="4">
      <t>カッコク</t>
    </rPh>
    <phoneticPr fontId="14"/>
  </si>
  <si>
    <t>ISO</t>
    <phoneticPr fontId="14"/>
  </si>
  <si>
    <t>IOR融資ID</t>
    <rPh sb="3" eb="5">
      <t>ユウシ</t>
    </rPh>
    <phoneticPr fontId="14"/>
  </si>
  <si>
    <t>正式名称</t>
    <rPh sb="0" eb="2">
      <t>セイシキ</t>
    </rPh>
    <rPh sb="2" eb="4">
      <t>メイショウ</t>
    </rPh>
    <phoneticPr fontId="14"/>
  </si>
  <si>
    <t>BACEN code</t>
    <phoneticPr fontId="14"/>
  </si>
  <si>
    <t>Code by OKSM</t>
    <phoneticPr fontId="14"/>
  </si>
  <si>
    <t>Member of Customs Union</t>
    <phoneticPr fontId="14"/>
  </si>
  <si>
    <t>住所の設定に都道府県情報を入力します</t>
    <phoneticPr fontId="14"/>
  </si>
  <si>
    <t>・京都府
・北海道
・大阪府
・東京都
・福岡県
・群馬県
・長崎県</t>
    <rPh sb="1" eb="4">
      <t>キョウトフ</t>
    </rPh>
    <rPh sb="6" eb="9">
      <t>ホッカイドウ</t>
    </rPh>
    <rPh sb="11" eb="14">
      <t>オオサカフ</t>
    </rPh>
    <rPh sb="16" eb="19">
      <t>トウキョウト</t>
    </rPh>
    <rPh sb="21" eb="24">
      <t>フクオカケン</t>
    </rPh>
    <rPh sb="26" eb="29">
      <t>グンマケン</t>
    </rPh>
    <rPh sb="31" eb="34">
      <t>ナガサキケン</t>
    </rPh>
    <phoneticPr fontId="14"/>
  </si>
  <si>
    <t>「国/地域」が「JPN」の場合</t>
    <rPh sb="1" eb="2">
      <t>クニ</t>
    </rPh>
    <rPh sb="3" eb="5">
      <t>チイキ</t>
    </rPh>
    <rPh sb="13" eb="15">
      <t>バアイ</t>
    </rPh>
    <phoneticPr fontId="14"/>
  </si>
  <si>
    <t>「都道府県」で選択した都道府県が自動で入力される</t>
    <rPh sb="1" eb="5">
      <t>トドウフケン</t>
    </rPh>
    <rPh sb="7" eb="9">
      <t>センタク</t>
    </rPh>
    <rPh sb="11" eb="15">
      <t>トドウフケン</t>
    </rPh>
    <rPh sb="16" eb="18">
      <t>ジドウ</t>
    </rPh>
    <rPh sb="19" eb="21">
      <t>ニュウリョク</t>
    </rPh>
    <phoneticPr fontId="14"/>
  </si>
  <si>
    <t>イントラスタットコード</t>
  </si>
  <si>
    <t>IT州コード</t>
    <rPh sb="2" eb="3">
      <t>シュウ</t>
    </rPh>
    <phoneticPr fontId="14"/>
  </si>
  <si>
    <t>State code</t>
    <phoneticPr fontId="14"/>
  </si>
  <si>
    <t>Enter the state code as defined under the Indian Census 2011.</t>
  </si>
  <si>
    <t>Union territoty</t>
    <phoneticPr fontId="14"/>
  </si>
  <si>
    <t>Indicate if the state is union territory.</t>
  </si>
  <si>
    <t>市区郡</t>
    <rPh sb="0" eb="2">
      <t>シク</t>
    </rPh>
    <rPh sb="2" eb="3">
      <t>グン</t>
    </rPh>
    <phoneticPr fontId="14"/>
  </si>
  <si>
    <t>住所の設定に国情報を入力します</t>
    <phoneticPr fontId="14"/>
  </si>
  <si>
    <t>市区郡（ユーザー定義）</t>
    <rPh sb="0" eb="2">
      <t>シク</t>
    </rPh>
    <rPh sb="2" eb="3">
      <t>グン</t>
    </rPh>
    <rPh sb="8" eb="10">
      <t>テイギ</t>
    </rPh>
    <phoneticPr fontId="14"/>
  </si>
  <si>
    <t>世界の国と地域</t>
    <rPh sb="0" eb="2">
      <t>セカイ</t>
    </rPh>
    <rPh sb="3" eb="4">
      <t>クニ</t>
    </rPh>
    <rPh sb="5" eb="7">
      <t>チイキ</t>
    </rPh>
    <phoneticPr fontId="14"/>
  </si>
  <si>
    <t>IT市区郡コード</t>
    <rPh sb="2" eb="4">
      <t>シク</t>
    </rPh>
    <rPh sb="4" eb="5">
      <t>グン</t>
    </rPh>
    <phoneticPr fontId="14"/>
  </si>
  <si>
    <t>ES市区郡コード</t>
    <rPh sb="2" eb="4">
      <t>シク</t>
    </rPh>
    <rPh sb="4" eb="5">
      <t>グン</t>
    </rPh>
    <phoneticPr fontId="14"/>
  </si>
  <si>
    <t>住所の設定に市町村情報を入力します</t>
    <rPh sb="0" eb="2">
      <t>ジュウショ</t>
    </rPh>
    <rPh sb="3" eb="5">
      <t>セッテイ</t>
    </rPh>
    <rPh sb="6" eb="9">
      <t>シチョウソン</t>
    </rPh>
    <rPh sb="9" eb="11">
      <t>ジョウホウ</t>
    </rPh>
    <rPh sb="12" eb="14">
      <t>ニュウリョク</t>
    </rPh>
    <phoneticPr fontId="14"/>
  </si>
  <si>
    <t>世界各国・地域の市町村</t>
    <rPh sb="0" eb="2">
      <t>セカイ</t>
    </rPh>
    <rPh sb="2" eb="4">
      <t>カッコク</t>
    </rPh>
    <rPh sb="5" eb="7">
      <t>チイキ</t>
    </rPh>
    <rPh sb="8" eb="11">
      <t>シチョウソン</t>
    </rPh>
    <phoneticPr fontId="14"/>
  </si>
  <si>
    <t>市町村（カナ）</t>
    <rPh sb="0" eb="3">
      <t>シチョウソン</t>
    </rPh>
    <phoneticPr fontId="14"/>
  </si>
  <si>
    <t>IT自治体コード</t>
    <rPh sb="2" eb="5">
      <t>ジチタイ</t>
    </rPh>
    <phoneticPr fontId="14"/>
  </si>
  <si>
    <t>市町村キー</t>
    <rPh sb="0" eb="3">
      <t>シチョウソン</t>
    </rPh>
    <phoneticPr fontId="14"/>
  </si>
  <si>
    <t>都道府県（ユーザー定義）</t>
    <rPh sb="0" eb="4">
      <t>トドウフケン</t>
    </rPh>
    <rPh sb="9" eb="11">
      <t>テイギ</t>
    </rPh>
    <phoneticPr fontId="14"/>
  </si>
  <si>
    <t>市町村（ユーザー定義）</t>
    <rPh sb="0" eb="3">
      <t>シチョウソン</t>
    </rPh>
    <rPh sb="8" eb="10">
      <t>テイギ</t>
    </rPh>
    <phoneticPr fontId="14"/>
  </si>
  <si>
    <t>住所の設定に番地情報を入力します</t>
    <rPh sb="0" eb="2">
      <t>ジュウショ</t>
    </rPh>
    <rPh sb="3" eb="5">
      <t>セッテイ</t>
    </rPh>
    <rPh sb="6" eb="8">
      <t>バンチ</t>
    </rPh>
    <rPh sb="8" eb="10">
      <t>ジョウホウ</t>
    </rPh>
    <rPh sb="11" eb="13">
      <t>ニュウリョク</t>
    </rPh>
    <phoneticPr fontId="14"/>
  </si>
  <si>
    <t>番地</t>
    <rPh sb="0" eb="2">
      <t>バンチ</t>
    </rPh>
    <phoneticPr fontId="14"/>
  </si>
  <si>
    <t>省略形コード</t>
    <rPh sb="0" eb="3">
      <t>ショウリャクケイ</t>
    </rPh>
    <phoneticPr fontId="14"/>
  </si>
  <si>
    <t>省略形コード（ユーザー定義）</t>
    <rPh sb="0" eb="3">
      <t>ショウリャクケイ</t>
    </rPh>
    <rPh sb="11" eb="13">
      <t>テイギ</t>
    </rPh>
    <phoneticPr fontId="14"/>
  </si>
  <si>
    <t>STI code</t>
    <phoneticPr fontId="14"/>
  </si>
  <si>
    <t>IMNS　地域の数</t>
    <rPh sb="5" eb="7">
      <t>チイキ</t>
    </rPh>
    <rPh sb="8" eb="9">
      <t>カズ</t>
    </rPh>
    <phoneticPr fontId="14"/>
  </si>
  <si>
    <t>RCOAD</t>
    <phoneticPr fontId="14"/>
  </si>
  <si>
    <t>オブジェクトステータス</t>
  </si>
  <si>
    <t>・拠点都市/主要都市ではありません
・市区郡の拠点都市/主要都市
・都道府県の拠点都市/主要都市
・都道府県と市区郡の拠点値</t>
    <rPh sb="1" eb="3">
      <t>キョテン</t>
    </rPh>
    <rPh sb="3" eb="5">
      <t>トシ</t>
    </rPh>
    <rPh sb="6" eb="8">
      <t>シュヨウ</t>
    </rPh>
    <rPh sb="8" eb="10">
      <t>トシ</t>
    </rPh>
    <rPh sb="19" eb="21">
      <t>シク</t>
    </rPh>
    <rPh sb="21" eb="22">
      <t>グン</t>
    </rPh>
    <rPh sb="23" eb="25">
      <t>キョテン</t>
    </rPh>
    <rPh sb="25" eb="27">
      <t>トシ</t>
    </rPh>
    <rPh sb="28" eb="30">
      <t>シュヨウ</t>
    </rPh>
    <rPh sb="30" eb="32">
      <t>トシ</t>
    </rPh>
    <rPh sb="34" eb="38">
      <t>トドウフケン</t>
    </rPh>
    <rPh sb="39" eb="41">
      <t>キョテン</t>
    </rPh>
    <rPh sb="41" eb="43">
      <t>トシ</t>
    </rPh>
    <rPh sb="44" eb="46">
      <t>シュヨウ</t>
    </rPh>
    <rPh sb="46" eb="48">
      <t>トシ</t>
    </rPh>
    <rPh sb="50" eb="54">
      <t>トドウフケン</t>
    </rPh>
    <rPh sb="55" eb="57">
      <t>シク</t>
    </rPh>
    <rPh sb="57" eb="58">
      <t>グン</t>
    </rPh>
    <rPh sb="59" eb="61">
      <t>キョテン</t>
    </rPh>
    <rPh sb="61" eb="62">
      <t>チ</t>
    </rPh>
    <phoneticPr fontId="14"/>
  </si>
  <si>
    <t>拠点都市/主要都市ではありません</t>
    <rPh sb="0" eb="2">
      <t>キョテン</t>
    </rPh>
    <rPh sb="2" eb="4">
      <t>トシ</t>
    </rPh>
    <rPh sb="5" eb="7">
      <t>シュヨウ</t>
    </rPh>
    <rPh sb="7" eb="9">
      <t>トシ</t>
    </rPh>
    <phoneticPr fontId="14"/>
  </si>
  <si>
    <t>家のグループ</t>
    <rPh sb="0" eb="1">
      <t>イエ</t>
    </rPh>
    <phoneticPr fontId="14"/>
  </si>
  <si>
    <t>住所の設定に家の情報を入力します</t>
    <rPh sb="0" eb="2">
      <t>ジュウショ</t>
    </rPh>
    <rPh sb="3" eb="5">
      <t>セッテイ</t>
    </rPh>
    <rPh sb="6" eb="7">
      <t>イエ</t>
    </rPh>
    <rPh sb="8" eb="10">
      <t>ジョウホウ</t>
    </rPh>
    <rPh sb="11" eb="13">
      <t>ニュウリョク</t>
    </rPh>
    <phoneticPr fontId="14"/>
  </si>
  <si>
    <t>地域（ユーザー定義）</t>
    <rPh sb="0" eb="2">
      <t>チイキ</t>
    </rPh>
    <rPh sb="7" eb="9">
      <t>テイギ</t>
    </rPh>
    <phoneticPr fontId="14"/>
  </si>
  <si>
    <t>番地（ユーザー定義）</t>
    <rPh sb="0" eb="2">
      <t>バンチ</t>
    </rPh>
    <rPh sb="7" eb="9">
      <t>テイギ</t>
    </rPh>
    <phoneticPr fontId="14"/>
  </si>
  <si>
    <t>家のグループコード</t>
    <rPh sb="0" eb="1">
      <t>イエ</t>
    </rPh>
    <phoneticPr fontId="14"/>
  </si>
  <si>
    <t>建物の番号</t>
    <rPh sb="0" eb="2">
      <t>タテモノ</t>
    </rPh>
    <rPh sb="3" eb="5">
      <t>バンゴウ</t>
    </rPh>
    <phoneticPr fontId="14"/>
  </si>
  <si>
    <t>建物</t>
    <rPh sb="0" eb="2">
      <t>タテモノ</t>
    </rPh>
    <phoneticPr fontId="14"/>
  </si>
  <si>
    <t>省力系コード</t>
    <rPh sb="0" eb="2">
      <t>ショウリョク</t>
    </rPh>
    <rPh sb="2" eb="3">
      <t>ケイ</t>
    </rPh>
    <phoneticPr fontId="14"/>
  </si>
  <si>
    <t>土地区画</t>
    <rPh sb="0" eb="2">
      <t>トチ</t>
    </rPh>
    <rPh sb="2" eb="4">
      <t>クカク</t>
    </rPh>
    <phoneticPr fontId="14"/>
  </si>
  <si>
    <t>住所設定に対する場所情報を入力する</t>
    <rPh sb="0" eb="2">
      <t>ジュウショ</t>
    </rPh>
    <rPh sb="2" eb="4">
      <t>セッテイ</t>
    </rPh>
    <rPh sb="5" eb="6">
      <t>タイ</t>
    </rPh>
    <rPh sb="8" eb="10">
      <t>バショ</t>
    </rPh>
    <rPh sb="10" eb="12">
      <t>ジョウホウ</t>
    </rPh>
    <rPh sb="13" eb="15">
      <t>ニュウリョク</t>
    </rPh>
    <phoneticPr fontId="14"/>
  </si>
  <si>
    <t>土地区画コード</t>
    <rPh sb="0" eb="2">
      <t>トチ</t>
    </rPh>
    <rPh sb="2" eb="4">
      <t>クカク</t>
    </rPh>
    <phoneticPr fontId="14"/>
  </si>
  <si>
    <t>アパートのグループ</t>
  </si>
  <si>
    <t>住所の設定にアパートの情報を入力します</t>
    <rPh sb="0" eb="2">
      <t>ジュウショ</t>
    </rPh>
    <rPh sb="3" eb="5">
      <t>セッテイ</t>
    </rPh>
    <rPh sb="11" eb="13">
      <t>ジョウホウ</t>
    </rPh>
    <rPh sb="14" eb="16">
      <t>ニュウリョク</t>
    </rPh>
    <phoneticPr fontId="14"/>
  </si>
  <si>
    <t>家のグループコード（ユーザー定義）</t>
    <rPh sb="0" eb="1">
      <t>イエ</t>
    </rPh>
    <rPh sb="14" eb="16">
      <t>テイギ</t>
    </rPh>
    <phoneticPr fontId="14"/>
  </si>
  <si>
    <t>エントランス番号</t>
    <rPh sb="6" eb="8">
      <t>バンゴウ</t>
    </rPh>
    <phoneticPr fontId="14"/>
  </si>
  <si>
    <t>住所の設定に郵便番号情報を入力します</t>
    <rPh sb="0" eb="2">
      <t>ジュウショ</t>
    </rPh>
    <rPh sb="3" eb="5">
      <t>セッテイ</t>
    </rPh>
    <rPh sb="6" eb="10">
      <t>ユウビンバンゴウ</t>
    </rPh>
    <rPh sb="10" eb="12">
      <t>ジョウホウ</t>
    </rPh>
    <rPh sb="13" eb="15">
      <t>ニュウリョク</t>
    </rPh>
    <phoneticPr fontId="14"/>
  </si>
  <si>
    <t>その郵便番号の範囲に含まれる住所の最初の番地を入力します。</t>
  </si>
  <si>
    <t>終了</t>
    <rPh sb="0" eb="2">
      <t>シュウリョウ</t>
    </rPh>
    <phoneticPr fontId="14"/>
  </si>
  <si>
    <t>その郵便番号の範囲に含まれる住所の最後の番地を入力します。</t>
  </si>
  <si>
    <t>すべて/偶数/奇数</t>
    <rPh sb="4" eb="6">
      <t>グウスウ</t>
    </rPh>
    <rPh sb="7" eb="9">
      <t>キスウ</t>
    </rPh>
    <phoneticPr fontId="14"/>
  </si>
  <si>
    <t>偶数の番地のみ、奇数の番地のみ、または偶数および奇数の両方の番地を郵便番号に含めるかどうかを選択します。</t>
  </si>
  <si>
    <t>・すべてのストリート番号
・偶数
・余り</t>
    <rPh sb="10" eb="12">
      <t>バンゴウ</t>
    </rPh>
    <rPh sb="14" eb="16">
      <t>グウスウ</t>
    </rPh>
    <rPh sb="18" eb="19">
      <t>アマ</t>
    </rPh>
    <phoneticPr fontId="14"/>
  </si>
  <si>
    <t>すべてのストリート番号</t>
    <rPh sb="9" eb="11">
      <t>バンゴウ</t>
    </rPh>
    <phoneticPr fontId="14"/>
  </si>
  <si>
    <t>住所アプリケーションオブジェクト</t>
    <rPh sb="0" eb="2">
      <t>ジュウショ</t>
    </rPh>
    <phoneticPr fontId="23"/>
  </si>
  <si>
    <t>タイムゾーン</t>
    <phoneticPr fontId="14"/>
  </si>
  <si>
    <t>イントラスタットコード</t>
    <phoneticPr fontId="14"/>
  </si>
  <si>
    <t>Union territory</t>
    <phoneticPr fontId="14"/>
  </si>
  <si>
    <t>IMNS 地域の数</t>
    <rPh sb="5" eb="7">
      <t>チイキ</t>
    </rPh>
    <rPh sb="8" eb="9">
      <t>カズ</t>
    </rPh>
    <phoneticPr fontId="14"/>
  </si>
  <si>
    <t>オブジェクト ステータス</t>
  </si>
  <si>
    <t>RUS</t>
    <phoneticPr fontId="14"/>
  </si>
  <si>
    <t>IMNS地域の数</t>
    <rPh sb="4" eb="6">
      <t>チイキ</t>
    </rPh>
    <rPh sb="7" eb="8">
      <t>カズ</t>
    </rPh>
    <phoneticPr fontId="14"/>
  </si>
  <si>
    <t>土地区画</t>
    <rPh sb="0" eb="4">
      <t>トチクカク</t>
    </rPh>
    <phoneticPr fontId="14"/>
  </si>
  <si>
    <t>概要</t>
    <rPh sb="0" eb="2">
      <t>ガイヨウ</t>
    </rPh>
    <phoneticPr fontId="14"/>
  </si>
  <si>
    <t>単位</t>
    <rPh sb="0" eb="2">
      <t>タンイ</t>
    </rPh>
    <phoneticPr fontId="14"/>
  </si>
  <si>
    <t>単位クラス</t>
    <rPh sb="0" eb="2">
      <t>タンイ</t>
    </rPh>
    <phoneticPr fontId="14"/>
  </si>
  <si>
    <t>単位系</t>
    <rPh sb="0" eb="3">
      <t>タンイケイ</t>
    </rPh>
    <phoneticPr fontId="14"/>
  </si>
  <si>
    <t>なし</t>
    <phoneticPr fontId="14"/>
  </si>
  <si>
    <t>丸め</t>
    <rPh sb="0" eb="1">
      <t>マル</t>
    </rPh>
    <phoneticPr fontId="14"/>
  </si>
  <si>
    <t>追加</t>
    <rPh sb="0" eb="2">
      <t>ツイカ</t>
    </rPh>
    <phoneticPr fontId="14"/>
  </si>
  <si>
    <t>長さ</t>
    <rPh sb="0" eb="1">
      <t>ナガ</t>
    </rPh>
    <phoneticPr fontId="14"/>
  </si>
  <si>
    <t>個</t>
  </si>
  <si>
    <t>区分</t>
    <rPh sb="0" eb="2">
      <t>クブン</t>
    </rPh>
    <phoneticPr fontId="14"/>
  </si>
  <si>
    <t>値</t>
    <rPh sb="0" eb="1">
      <t>アタイ</t>
    </rPh>
    <phoneticPr fontId="14"/>
  </si>
  <si>
    <t>形式</t>
    <rPh sb="0" eb="2">
      <t>ケイシキ</t>
    </rPh>
    <phoneticPr fontId="14"/>
  </si>
  <si>
    <t>参照</t>
    <rPh sb="0" eb="2">
      <t>サンショウ</t>
    </rPh>
    <phoneticPr fontId="14"/>
  </si>
  <si>
    <t>入力不可</t>
    <rPh sb="0" eb="2">
      <t>ニュウリョク</t>
    </rPh>
    <rPh sb="2" eb="4">
      <t>フカ</t>
    </rPh>
    <phoneticPr fontId="14"/>
  </si>
  <si>
    <t>手動</t>
    <rPh sb="0" eb="2">
      <t>シュドウ</t>
    </rPh>
    <phoneticPr fontId="14"/>
  </si>
  <si>
    <t>組織管理＞組織＞作業単位</t>
    <rPh sb="5" eb="7">
      <t>ソシキ</t>
    </rPh>
    <rPh sb="8" eb="12">
      <t>サギョウタンイ</t>
    </rPh>
    <phoneticPr fontId="18"/>
  </si>
  <si>
    <t>作業単位＞名前　の値</t>
    <rPh sb="0" eb="2">
      <t>サギョウ</t>
    </rPh>
    <rPh sb="2" eb="4">
      <t>タンイ</t>
    </rPh>
    <rPh sb="5" eb="7">
      <t>ナマエ</t>
    </rPh>
    <rPh sb="9" eb="10">
      <t>アタイ</t>
    </rPh>
    <phoneticPr fontId="14"/>
  </si>
  <si>
    <t>選択した作業単位に関するメモを入力します。</t>
  </si>
  <si>
    <t>選択したオプションは、選択した作業単位が組織階層に属していることを示します。</t>
  </si>
  <si>
    <t>DUNS番号</t>
    <rPh sb="4" eb="6">
      <t>バンゴウ</t>
    </rPh>
    <phoneticPr fontId="14"/>
  </si>
  <si>
    <t>マネージャー</t>
  </si>
  <si>
    <t>詳細オプションより以下を入力することで反映される
・国/地域
・郵便番号
・住所
・市町村
・都道府県</t>
    <rPh sb="0" eb="2">
      <t>ショウサイ</t>
    </rPh>
    <rPh sb="9" eb="11">
      <t>イカ</t>
    </rPh>
    <rPh sb="26" eb="27">
      <t>クニ</t>
    </rPh>
    <rPh sb="28" eb="30">
      <t>チイキ</t>
    </rPh>
    <rPh sb="38" eb="40">
      <t>ジュウショ</t>
    </rPh>
    <rPh sb="47" eb="51">
      <t>トドウフケン</t>
    </rPh>
    <phoneticPr fontId="14"/>
  </si>
  <si>
    <t>・業務
・委託販売
・配送
・固定資産
・本社
・ホーム
・請求書
・船荷
・その他
・支払
・実際の場所
・採用
・送金先
・サービス
・安定した組織
・ステートメント
・SWIFT
・船降</t>
    <rPh sb="1" eb="3">
      <t>ギョウム</t>
    </rPh>
    <rPh sb="18" eb="20">
      <t>ハイソウ</t>
    </rPh>
    <rPh sb="22" eb="24">
      <t>コテイ</t>
    </rPh>
    <rPh sb="24" eb="26">
      <t>シサン</t>
    </rPh>
    <rPh sb="28" eb="30">
      <t>ホンシャ</t>
    </rPh>
    <rPh sb="37" eb="40">
      <t>セイキュウショ</t>
    </rPh>
    <rPh sb="42" eb="44">
      <t>フナニ</t>
    </rPh>
    <rPh sb="48" eb="49">
      <t>タ</t>
    </rPh>
    <rPh sb="51" eb="53">
      <t>シハライ</t>
    </rPh>
    <rPh sb="55" eb="57">
      <t>ジッサイ</t>
    </rPh>
    <rPh sb="58" eb="60">
      <t>バショ</t>
    </rPh>
    <rPh sb="62" eb="64">
      <t>サイヨウ</t>
    </rPh>
    <rPh sb="66" eb="68">
      <t>ソウキン</t>
    </rPh>
    <rPh sb="68" eb="69">
      <t>サキ</t>
    </rPh>
    <rPh sb="77" eb="79">
      <t>アンテイ</t>
    </rPh>
    <rPh sb="81" eb="83">
      <t>ソシキフネコウ</t>
    </rPh>
    <phoneticPr fontId="14"/>
  </si>
  <si>
    <t>・電話
・電子メールアドレス
・URL
・テレックス
・FAX
・Facebook
・Twitter
・LinkedIn</t>
    <rPh sb="1" eb="3">
      <t>デンワ</t>
    </rPh>
    <rPh sb="5" eb="7">
      <t>デンシ</t>
    </rPh>
    <phoneticPr fontId="14"/>
  </si>
  <si>
    <t>部門番号</t>
    <rPh sb="0" eb="2">
      <t>ブモン</t>
    </rPh>
    <rPh sb="2" eb="4">
      <t>バンゴウ</t>
    </rPh>
    <phoneticPr fontId="14"/>
  </si>
  <si>
    <t>作業単位タイプ</t>
    <rPh sb="0" eb="2">
      <t>サギョウ</t>
    </rPh>
    <rPh sb="2" eb="4">
      <t>タンイ</t>
    </rPh>
    <phoneticPr fontId="14"/>
  </si>
  <si>
    <t>FAX</t>
    <phoneticPr fontId="14"/>
  </si>
  <si>
    <t>場所</t>
    <rPh sb="0" eb="2">
      <t>バショ</t>
    </rPh>
    <phoneticPr fontId="14"/>
  </si>
  <si>
    <t>丸め方法</t>
    <rPh sb="0" eb="1">
      <t>マル</t>
    </rPh>
    <rPh sb="2" eb="4">
      <t>ホウホウ</t>
    </rPh>
    <phoneticPr fontId="14"/>
  </si>
  <si>
    <t>品目コード</t>
    <rPh sb="0" eb="2">
      <t>ヒンモク</t>
    </rPh>
    <phoneticPr fontId="14"/>
  </si>
  <si>
    <t>グループ</t>
  </si>
  <si>
    <t>電子メールアドレス</t>
  </si>
  <si>
    <t>必須</t>
    <phoneticPr fontId="14"/>
  </si>
  <si>
    <t>すべて</t>
    <phoneticPr fontId="14"/>
  </si>
  <si>
    <t>カテゴリ</t>
    <phoneticPr fontId="14"/>
  </si>
  <si>
    <t>勘定タイプ</t>
    <rPh sb="0" eb="2">
      <t>カンジョウ</t>
    </rPh>
    <phoneticPr fontId="14"/>
  </si>
  <si>
    <t>個人の肩書き</t>
    <rPh sb="0" eb="2">
      <t>コジン</t>
    </rPh>
    <rPh sb="3" eb="5">
      <t>カタガキ</t>
    </rPh>
    <phoneticPr fontId="14"/>
  </si>
  <si>
    <t>個人の接尾語</t>
    <rPh sb="0" eb="2">
      <t>コジン</t>
    </rPh>
    <rPh sb="3" eb="6">
      <t>セツビゴ</t>
    </rPh>
    <phoneticPr fontId="14"/>
  </si>
  <si>
    <t>表示名</t>
    <rPh sb="0" eb="2">
      <t>ヒョウジ</t>
    </rPh>
    <rPh sb="2" eb="3">
      <t>メイ</t>
    </rPh>
    <phoneticPr fontId="14"/>
  </si>
  <si>
    <t>配偶者の有無</t>
    <rPh sb="0" eb="3">
      <t>ハイグウシャ</t>
    </rPh>
    <rPh sb="4" eb="6">
      <t>ウム</t>
    </rPh>
    <phoneticPr fontId="14"/>
  </si>
  <si>
    <t>月</t>
    <rPh sb="0" eb="1">
      <t>ツキ</t>
    </rPh>
    <phoneticPr fontId="14"/>
  </si>
  <si>
    <t>コラボレーションの有効化</t>
    <rPh sb="9" eb="12">
      <t>ユウコウカ</t>
    </rPh>
    <phoneticPr fontId="14"/>
  </si>
  <si>
    <t>現金割引の使用</t>
    <rPh sb="0" eb="2">
      <t>ゲンキン</t>
    </rPh>
    <rPh sb="2" eb="4">
      <t>ワリビキ</t>
    </rPh>
    <rPh sb="5" eb="7">
      <t>シヨウ</t>
    </rPh>
    <phoneticPr fontId="14"/>
  </si>
  <si>
    <t>販売価格の丸め</t>
    <rPh sb="0" eb="2">
      <t>ハンバイ</t>
    </rPh>
    <rPh sb="2" eb="4">
      <t>カカク</t>
    </rPh>
    <rPh sb="5" eb="6">
      <t>マル</t>
    </rPh>
    <phoneticPr fontId="14"/>
  </si>
  <si>
    <t>価格ポイントの丸め</t>
    <rPh sb="0" eb="2">
      <t>カカク</t>
    </rPh>
    <rPh sb="7" eb="8">
      <t>マル</t>
    </rPh>
    <phoneticPr fontId="14"/>
  </si>
  <si>
    <t>仕入先タイプ</t>
    <rPh sb="0" eb="3">
      <t>シイレサキ</t>
    </rPh>
    <phoneticPr fontId="14"/>
  </si>
  <si>
    <t>既定のリレーション</t>
    <rPh sb="0" eb="2">
      <t>キテイ</t>
    </rPh>
    <phoneticPr fontId="14"/>
  </si>
  <si>
    <t>承認仕入先</t>
    <rPh sb="0" eb="2">
      <t>ショウニン</t>
    </rPh>
    <rPh sb="2" eb="5">
      <t>シイレサキ</t>
    </rPh>
    <phoneticPr fontId="14"/>
  </si>
  <si>
    <t>販売価格モデル</t>
    <rPh sb="0" eb="2">
      <t>ハンバイ</t>
    </rPh>
    <rPh sb="2" eb="4">
      <t>カカク</t>
    </rPh>
    <phoneticPr fontId="14"/>
  </si>
  <si>
    <t>基準価格</t>
    <rPh sb="0" eb="2">
      <t>キジュン</t>
    </rPh>
    <rPh sb="2" eb="4">
      <t>カカク</t>
    </rPh>
    <phoneticPr fontId="14"/>
  </si>
  <si>
    <t>承認済仕入先チェックメソッド</t>
    <phoneticPr fontId="14"/>
  </si>
  <si>
    <t>引当</t>
    <rPh sb="0" eb="2">
      <t>ヒキアテ</t>
    </rPh>
    <phoneticPr fontId="14"/>
  </si>
  <si>
    <t>元帳</t>
    <rPh sb="0" eb="2">
      <t>モトチョウ</t>
    </rPh>
    <phoneticPr fontId="14"/>
  </si>
  <si>
    <t>個人</t>
    <rPh sb="0" eb="2">
      <t>コジン</t>
    </rPh>
    <phoneticPr fontId="14"/>
  </si>
  <si>
    <t>電話</t>
    <rPh sb="0" eb="2">
      <t>デンワ</t>
    </rPh>
    <phoneticPr fontId="14"/>
  </si>
  <si>
    <t>標準</t>
    <rPh sb="0" eb="2">
      <t>ヒョウジュン</t>
    </rPh>
    <phoneticPr fontId="14"/>
  </si>
  <si>
    <t>切り上げ</t>
    <rPh sb="0" eb="1">
      <t>キ</t>
    </rPh>
    <rPh sb="2" eb="3">
      <t>ア</t>
    </rPh>
    <phoneticPr fontId="14"/>
  </si>
  <si>
    <t>ピッキング済</t>
    <rPh sb="5" eb="6">
      <t>ズ</t>
    </rPh>
    <phoneticPr fontId="14"/>
  </si>
  <si>
    <t>電子メール</t>
    <rPh sb="0" eb="2">
      <t>デンシ</t>
    </rPh>
    <phoneticPr fontId="14"/>
  </si>
  <si>
    <t>常時</t>
    <rPh sb="0" eb="2">
      <t>ジョウジ</t>
    </rPh>
    <phoneticPr fontId="14"/>
  </si>
  <si>
    <t>利益率</t>
    <rPh sb="0" eb="2">
      <t>リエキ</t>
    </rPh>
    <rPh sb="2" eb="3">
      <t>リツ</t>
    </rPh>
    <phoneticPr fontId="14"/>
  </si>
  <si>
    <t>転記</t>
    <rPh sb="0" eb="2">
      <t>テンキ</t>
    </rPh>
    <phoneticPr fontId="14"/>
  </si>
  <si>
    <t>四捨五入</t>
    <rPh sb="0" eb="4">
      <t>シシャゴニュウ</t>
    </rPh>
    <phoneticPr fontId="14"/>
  </si>
  <si>
    <t>費用割合</t>
    <rPh sb="0" eb="2">
      <t>ヒヨウ</t>
    </rPh>
    <rPh sb="2" eb="4">
      <t>ワリアイ</t>
    </rPh>
    <phoneticPr fontId="14"/>
  </si>
  <si>
    <t>通貨</t>
    <rPh sb="0" eb="2">
      <t>ツウカ</t>
    </rPh>
    <phoneticPr fontId="14"/>
  </si>
  <si>
    <t>日</t>
    <rPh sb="0" eb="1">
      <t>ヒ</t>
    </rPh>
    <phoneticPr fontId="14"/>
  </si>
  <si>
    <t>週</t>
    <rPh sb="0" eb="1">
      <t>シュウ</t>
    </rPh>
    <phoneticPr fontId="14"/>
  </si>
  <si>
    <t>年</t>
    <rPh sb="0" eb="1">
      <t>トシ</t>
    </rPh>
    <phoneticPr fontId="14"/>
  </si>
  <si>
    <t>無制限</t>
    <rPh sb="0" eb="3">
      <t>ムセイゲン</t>
    </rPh>
    <phoneticPr fontId="14"/>
  </si>
  <si>
    <t>製品タイプ</t>
    <rPh sb="0" eb="2">
      <t>セイヒン</t>
    </rPh>
    <phoneticPr fontId="14"/>
  </si>
  <si>
    <t>製品サブタイプ</t>
    <rPh sb="0" eb="2">
      <t>セイヒン</t>
    </rPh>
    <phoneticPr fontId="14"/>
  </si>
  <si>
    <t>品目関係</t>
    <rPh sb="0" eb="2">
      <t>ヒンモク</t>
    </rPh>
    <rPh sb="2" eb="4">
      <t>カンケイ</t>
    </rPh>
    <phoneticPr fontId="14"/>
  </si>
  <si>
    <t>品目</t>
    <rPh sb="0" eb="2">
      <t>ヒンモク</t>
    </rPh>
    <phoneticPr fontId="14"/>
  </si>
  <si>
    <t>製品</t>
    <rPh sb="0" eb="2">
      <t>セイヒン</t>
    </rPh>
    <phoneticPr fontId="14"/>
  </si>
  <si>
    <t>割引</t>
    <rPh sb="0" eb="2">
      <t>ワリビキ</t>
    </rPh>
    <phoneticPr fontId="14"/>
  </si>
  <si>
    <t>収益</t>
    <rPh sb="0" eb="2">
      <t>シュウエキ</t>
    </rPh>
    <phoneticPr fontId="14"/>
  </si>
  <si>
    <t>ABCコード</t>
    <phoneticPr fontId="14"/>
  </si>
  <si>
    <t>取引明細書</t>
    <rPh sb="0" eb="2">
      <t>トリヒキ</t>
    </rPh>
    <rPh sb="2" eb="5">
      <t>メイサイショ</t>
    </rPh>
    <phoneticPr fontId="14"/>
  </si>
  <si>
    <t>利用可能履歴</t>
    <rPh sb="0" eb="2">
      <t>リヨウ</t>
    </rPh>
    <rPh sb="2" eb="4">
      <t>カノウ</t>
    </rPh>
    <rPh sb="4" eb="6">
      <t>リレキ</t>
    </rPh>
    <phoneticPr fontId="14"/>
  </si>
  <si>
    <t>請求先住所</t>
    <rPh sb="0" eb="2">
      <t>セイキュウ</t>
    </rPh>
    <rPh sb="2" eb="3">
      <t>サキ</t>
    </rPh>
    <rPh sb="3" eb="5">
      <t>ジュウショ</t>
    </rPh>
    <phoneticPr fontId="14"/>
  </si>
  <si>
    <t>支払頻度</t>
    <rPh sb="0" eb="2">
      <t>シハライ</t>
    </rPh>
    <rPh sb="2" eb="4">
      <t>ヒンド</t>
    </rPh>
    <phoneticPr fontId="14"/>
  </si>
  <si>
    <t>法人</t>
    <rPh sb="0" eb="2">
      <t>ホウジン</t>
    </rPh>
    <phoneticPr fontId="14"/>
  </si>
  <si>
    <t>対外貿易</t>
    <rPh sb="0" eb="2">
      <t>タイガイ</t>
    </rPh>
    <rPh sb="2" eb="4">
      <t>ボウエキ</t>
    </rPh>
    <phoneticPr fontId="14"/>
  </si>
  <si>
    <t>消費税グループ</t>
    <rPh sb="0" eb="3">
      <t>ショウヒゼイ</t>
    </rPh>
    <phoneticPr fontId="14"/>
  </si>
  <si>
    <t>降順</t>
    <rPh sb="0" eb="2">
      <t>コウジュン</t>
    </rPh>
    <phoneticPr fontId="14"/>
  </si>
  <si>
    <t>価格グループ</t>
    <rPh sb="0" eb="2">
      <t>カカク</t>
    </rPh>
    <phoneticPr fontId="14"/>
  </si>
  <si>
    <t>貸方</t>
    <rPh sb="0" eb="2">
      <t>カシカタ</t>
    </rPh>
    <phoneticPr fontId="14"/>
  </si>
  <si>
    <t>北海道</t>
  </si>
  <si>
    <t>ロール</t>
    <phoneticPr fontId="14"/>
  </si>
  <si>
    <t>行割引グループ</t>
    <rPh sb="0" eb="1">
      <t>ギョウ</t>
    </rPh>
    <rPh sb="1" eb="3">
      <t>ワリビキ</t>
    </rPh>
    <phoneticPr fontId="14"/>
  </si>
  <si>
    <t>ミドルネーム</t>
  </si>
  <si>
    <t>青森県</t>
  </si>
  <si>
    <t>顧客</t>
    <phoneticPr fontId="14"/>
  </si>
  <si>
    <t>姓の接頭語</t>
    <phoneticPr fontId="14"/>
  </si>
  <si>
    <t>岩手県</t>
  </si>
  <si>
    <t>割引合計グループ</t>
    <rPh sb="0" eb="2">
      <t>ワリビキ</t>
    </rPh>
    <rPh sb="2" eb="4">
      <t>ゴウケイ</t>
    </rPh>
    <phoneticPr fontId="14"/>
  </si>
  <si>
    <t>宮城県</t>
  </si>
  <si>
    <t>秋田県</t>
  </si>
  <si>
    <t>山形県</t>
  </si>
  <si>
    <t>福島県</t>
  </si>
  <si>
    <t>名前</t>
    <phoneticPr fontId="14"/>
  </si>
  <si>
    <t>茨城県</t>
  </si>
  <si>
    <t>栃木県</t>
  </si>
  <si>
    <t>群馬県</t>
  </si>
  <si>
    <t>埼玉県</t>
  </si>
  <si>
    <t>千葉県</t>
  </si>
  <si>
    <t>東京都</t>
  </si>
  <si>
    <t>支払タイプ</t>
    <rPh sb="0" eb="2">
      <t>シハライ</t>
    </rPh>
    <phoneticPr fontId="14"/>
  </si>
  <si>
    <t>神奈川県</t>
  </si>
  <si>
    <t>請求書</t>
    <rPh sb="0" eb="3">
      <t>セイキュウショ</t>
    </rPh>
    <phoneticPr fontId="14"/>
  </si>
  <si>
    <t>新潟県</t>
  </si>
  <si>
    <t>日付</t>
    <rPh sb="0" eb="2">
      <t>ヒヅケ</t>
    </rPh>
    <phoneticPr fontId="14"/>
  </si>
  <si>
    <t>富山県</t>
  </si>
  <si>
    <t>石川県</t>
  </si>
  <si>
    <t>合計</t>
    <rPh sb="0" eb="2">
      <t>ゴウケイ</t>
    </rPh>
    <phoneticPr fontId="14"/>
  </si>
  <si>
    <t>福井県</t>
  </si>
  <si>
    <t>山梨県</t>
  </si>
  <si>
    <t>長野県</t>
  </si>
  <si>
    <t>岐阜県</t>
  </si>
  <si>
    <t>静岡県</t>
  </si>
  <si>
    <t>愛知県</t>
  </si>
  <si>
    <t>三重県</t>
  </si>
  <si>
    <t>滋賀県</t>
  </si>
  <si>
    <t>京都府</t>
  </si>
  <si>
    <t>大阪府</t>
  </si>
  <si>
    <t>兵庫県</t>
  </si>
  <si>
    <t>奈良県</t>
  </si>
  <si>
    <t>和歌山県</t>
  </si>
  <si>
    <t>鳥取県</t>
  </si>
  <si>
    <t>島根県</t>
  </si>
  <si>
    <t>岡山県</t>
  </si>
  <si>
    <t>広島県</t>
  </si>
  <si>
    <t>山口県</t>
  </si>
  <si>
    <t>徳島県</t>
  </si>
  <si>
    <t>プロジェクトカテゴリ</t>
    <phoneticPr fontId="14"/>
  </si>
  <si>
    <t>香川県</t>
  </si>
  <si>
    <t>リソース</t>
    <phoneticPr fontId="14"/>
  </si>
  <si>
    <t>愛媛県</t>
  </si>
  <si>
    <t>高知県</t>
  </si>
  <si>
    <t>福岡県</t>
  </si>
  <si>
    <t>佐賀県</t>
  </si>
  <si>
    <t>長崎県</t>
  </si>
  <si>
    <t>熊本県</t>
  </si>
  <si>
    <t>大分県</t>
  </si>
  <si>
    <t>宮崎県</t>
  </si>
  <si>
    <t>鹿児島県</t>
  </si>
  <si>
    <t>沖縄県</t>
  </si>
  <si>
    <t>リベート</t>
  </si>
  <si>
    <t>法人共通/個別</t>
    <rPh sb="0" eb="4">
      <t>ホウジンキョウツウ</t>
    </rPh>
    <rPh sb="5" eb="7">
      <t>コベツ</t>
    </rPh>
    <phoneticPr fontId="14"/>
  </si>
  <si>
    <t>共通</t>
  </si>
  <si>
    <t>原価部門 番号</t>
    <rPh sb="0" eb="4">
      <t>ゲンカブモン</t>
    </rPh>
    <rPh sb="5" eb="7">
      <t>バンゴウ</t>
    </rPh>
    <phoneticPr fontId="14"/>
  </si>
  <si>
    <t>原価部門 固有の英数字 ID</t>
    <rPh sb="0" eb="2">
      <t>ゲンカ</t>
    </rPh>
    <rPh sb="2" eb="4">
      <t>ブモン</t>
    </rPh>
    <phoneticPr fontId="14"/>
  </si>
  <si>
    <t>作業単位のタイプ</t>
    <rPh sb="0" eb="2">
      <t>サギョウ</t>
    </rPh>
    <rPh sb="2" eb="4">
      <t>タンイ</t>
    </rPh>
    <phoneticPr fontId="14"/>
  </si>
  <si>
    <t>原価部門　番号</t>
    <rPh sb="0" eb="2">
      <t>ゲンカ</t>
    </rPh>
    <rPh sb="2" eb="4">
      <t>ブモン</t>
    </rPh>
    <rPh sb="5" eb="7">
      <t>バンゴウ</t>
    </rPh>
    <phoneticPr fontId="14"/>
  </si>
  <si>
    <t>・部門
・原価部門
・バリューストリーム
・事業単位
・すべての作業単位
・小売チャンネル</t>
    <rPh sb="1" eb="3">
      <t>ブモン</t>
    </rPh>
    <rPh sb="5" eb="7">
      <t>ゲンカ</t>
    </rPh>
    <rPh sb="7" eb="9">
      <t>ブモン</t>
    </rPh>
    <rPh sb="22" eb="24">
      <t>ジギョウ</t>
    </rPh>
    <rPh sb="24" eb="26">
      <t>タンイ</t>
    </rPh>
    <rPh sb="32" eb="36">
      <t>サギョウタンイ</t>
    </rPh>
    <rPh sb="38" eb="40">
      <t>コウリ</t>
    </rPh>
    <phoneticPr fontId="14"/>
  </si>
  <si>
    <t>地区</t>
    <rPh sb="0" eb="2">
      <t>チク</t>
    </rPh>
    <phoneticPr fontId="14"/>
  </si>
  <si>
    <t>市区群</t>
    <rPh sb="0" eb="3">
      <t>シクグン</t>
    </rPh>
    <phoneticPr fontId="14"/>
  </si>
  <si>
    <t>ロシア語の住所形式の検証を無効にする</t>
    <rPh sb="3" eb="4">
      <t>ゴ</t>
    </rPh>
    <rPh sb="5" eb="7">
      <t>ジュウショ</t>
    </rPh>
    <rPh sb="7" eb="9">
      <t>ケイシキ</t>
    </rPh>
    <rPh sb="10" eb="12">
      <t>ケンショウ</t>
    </rPh>
    <rPh sb="13" eb="15">
      <t>ムコウ</t>
    </rPh>
    <phoneticPr fontId="14"/>
  </si>
  <si>
    <t>既定の都道府県</t>
    <rPh sb="0" eb="2">
      <t>キテイ</t>
    </rPh>
    <rPh sb="3" eb="7">
      <t>トドウフケン</t>
    </rPh>
    <phoneticPr fontId="14"/>
  </si>
  <si>
    <t>住所の設定に地区情報を入力する</t>
    <rPh sb="0" eb="2">
      <t>ジュウショ</t>
    </rPh>
    <rPh sb="3" eb="5">
      <t>セッテイ</t>
    </rPh>
    <rPh sb="6" eb="8">
      <t>チク</t>
    </rPh>
    <rPh sb="8" eb="10">
      <t>ジョウホウ</t>
    </rPh>
    <rPh sb="11" eb="13">
      <t>ニュウリョク</t>
    </rPh>
    <phoneticPr fontId="14"/>
  </si>
  <si>
    <t>RCM</t>
    <phoneticPr fontId="14"/>
  </si>
  <si>
    <t>土地区画の番地</t>
    <rPh sb="0" eb="2">
      <t>トチ</t>
    </rPh>
    <rPh sb="2" eb="4">
      <t>クカク</t>
    </rPh>
    <rPh sb="5" eb="7">
      <t>バンチ</t>
    </rPh>
    <phoneticPr fontId="14"/>
  </si>
  <si>
    <t>アパートのグループ</t>
    <phoneticPr fontId="14"/>
  </si>
  <si>
    <t>アパートグループのコード</t>
    <phoneticPr fontId="14"/>
  </si>
  <si>
    <t>開始日</t>
    <rPh sb="0" eb="2">
      <t>カイシ</t>
    </rPh>
    <rPh sb="2" eb="3">
      <t>ヒ</t>
    </rPh>
    <phoneticPr fontId="14"/>
  </si>
  <si>
    <t>ー</t>
    <phoneticPr fontId="14"/>
  </si>
  <si>
    <t>グループ</t>
    <phoneticPr fontId="14"/>
  </si>
  <si>
    <t>メモ</t>
  </si>
  <si>
    <t>個別</t>
  </si>
  <si>
    <t>「住所の形式-設定値」を参照</t>
    <rPh sb="7" eb="10">
      <t>セッテイチ</t>
    </rPh>
    <rPh sb="12" eb="14">
      <t>サンショウ</t>
    </rPh>
    <phoneticPr fontId="14"/>
  </si>
  <si>
    <t>「都道府県-設定値」を参照</t>
    <rPh sb="11" eb="13">
      <t>サンショウ</t>
    </rPh>
    <phoneticPr fontId="14"/>
  </si>
  <si>
    <t>「市区郡-設定値」を参照</t>
    <rPh sb="10" eb="12">
      <t>サンショウ</t>
    </rPh>
    <phoneticPr fontId="14"/>
  </si>
  <si>
    <t>「市町村-設定値」を参照</t>
    <rPh sb="10" eb="12">
      <t>サンショウ</t>
    </rPh>
    <phoneticPr fontId="14"/>
  </si>
  <si>
    <t>「地区-設定値」を参照</t>
    <rPh sb="1" eb="3">
      <t>チク</t>
    </rPh>
    <rPh sb="9" eb="11">
      <t>サンショウ</t>
    </rPh>
    <phoneticPr fontId="14"/>
  </si>
  <si>
    <t>「住所-設定値」を参照</t>
    <rPh sb="9" eb="11">
      <t>サンショウ</t>
    </rPh>
    <phoneticPr fontId="14"/>
  </si>
  <si>
    <t>「家のグループ-設定値」を参照</t>
    <rPh sb="13" eb="15">
      <t>サンショウ</t>
    </rPh>
    <phoneticPr fontId="14"/>
  </si>
  <si>
    <t>「土地区画-設定値」を参照</t>
    <rPh sb="11" eb="13">
      <t>サンショウ</t>
    </rPh>
    <phoneticPr fontId="14"/>
  </si>
  <si>
    <t>「アパートのグループ-設定値」を参照</t>
    <rPh sb="16" eb="18">
      <t>サンショウ</t>
    </rPh>
    <phoneticPr fontId="14"/>
  </si>
  <si>
    <t>「郵便番号-設定値」を参照</t>
    <rPh sb="11" eb="13">
      <t>サンショウ</t>
    </rPh>
    <phoneticPr fontId="14"/>
  </si>
  <si>
    <t>作業単位</t>
  </si>
  <si>
    <t>組織管理＞組織＞作業単位
Organization administration &gt; Organizations &gt; Operating units</t>
    <phoneticPr fontId="14"/>
  </si>
  <si>
    <t>Organization administration &gt; Addresses &gt; Address setup</t>
    <phoneticPr fontId="14"/>
  </si>
  <si>
    <t>Organization administration &gt; Organizations &gt; Operating units</t>
    <phoneticPr fontId="14"/>
  </si>
  <si>
    <t>City code</t>
    <phoneticPr fontId="14"/>
  </si>
  <si>
    <t>市区群</t>
    <rPh sb="0" eb="2">
      <t>シク</t>
    </rPh>
    <rPh sb="2" eb="3">
      <t>グン</t>
    </rPh>
    <phoneticPr fontId="14"/>
  </si>
  <si>
    <t>文字列（ユーザー定義）</t>
    <rPh sb="0" eb="3">
      <t>モジレツ</t>
    </rPh>
    <phoneticPr fontId="14"/>
  </si>
  <si>
    <t>第1.0版</t>
  </si>
  <si>
    <t>日本ビジネスシステムズ株式会社</t>
    <rPh sb="0" eb="2">
      <t>ニホン</t>
    </rPh>
    <rPh sb="11" eb="15">
      <t>カブシキガイシャ</t>
    </rPh>
    <phoneticPr fontId="33"/>
  </si>
  <si>
    <t>作成者</t>
    <rPh sb="0" eb="3">
      <t>サクセイシャ</t>
    </rPh>
    <phoneticPr fontId="33"/>
  </si>
  <si>
    <t>JBS承認者</t>
    <rPh sb="3" eb="6">
      <t>ショウニンシャ</t>
    </rPh>
    <phoneticPr fontId="33"/>
  </si>
  <si>
    <t>氏名</t>
    <rPh sb="0" eb="2">
      <t>シメイ</t>
    </rPh>
    <phoneticPr fontId="33"/>
  </si>
  <si>
    <t>（ユーザー定義）</t>
    <rPh sb="5" eb="7">
      <t>テイギ</t>
    </rPh>
    <phoneticPr fontId="14"/>
  </si>
  <si>
    <t>＜YYYY/MM/DD＞</t>
    <phoneticPr fontId="33"/>
  </si>
  <si>
    <t>チェック無</t>
    <phoneticPr fontId="14"/>
  </si>
  <si>
    <t>ロシアで使用</t>
    <rPh sb="4" eb="6">
      <t>シヨウ</t>
    </rPh>
    <phoneticPr fontId="14"/>
  </si>
  <si>
    <t>移行対象の想定</t>
    <rPh sb="0" eb="2">
      <t>イコウ</t>
    </rPh>
    <rPh sb="2" eb="4">
      <t>タイショウ</t>
    </rPh>
    <rPh sb="5" eb="7">
      <t>ソウテイ</t>
    </rPh>
    <phoneticPr fontId="14"/>
  </si>
  <si>
    <t>パラメータ設定一覧</t>
  </si>
  <si>
    <t>パラメータ設定一覧へ</t>
  </si>
  <si>
    <t>GC設定担当者</t>
    <rPh sb="2" eb="4">
      <t>セッテイ</t>
    </rPh>
    <rPh sb="4" eb="7">
      <t>タントウシャ</t>
    </rPh>
    <phoneticPr fontId="14"/>
  </si>
  <si>
    <t>GC設定完了日</t>
    <rPh sb="2" eb="4">
      <t>セッテイ</t>
    </rPh>
    <rPh sb="4" eb="7">
      <t>カンリョウビ</t>
    </rPh>
    <phoneticPr fontId="14"/>
  </si>
  <si>
    <t>組織管理＞住所＞住所の設定
Organization administration &gt; Addresses &gt; Address setup</t>
  </si>
  <si>
    <t>システム管理</t>
  </si>
  <si>
    <t>セキュリティロール</t>
  </si>
  <si>
    <t>ユーザーIDへの作業者の割当</t>
  </si>
  <si>
    <t>ユーザをロールに紐づける。
アクセス権限の設定をするため、アクセス権限の種類ごとにユーザを紐づける。
※移行対象</t>
  </si>
  <si>
    <t>システム管理＞セキュリティ＞ユーザーをロールに割り当てる
System administration &gt; Security &gt; Assign users to roles</t>
  </si>
  <si>
    <t>システム管理＞セキュリティ＞セキュリティのコンフィギュレーション
System administration &gt; Security &gt; Security configuration</t>
  </si>
  <si>
    <t>システム管理＞ユーザー＞ユーザー
System administration &gt; Users &gt; Users</t>
  </si>
  <si>
    <t>ユーザーをロールに割り当てる</t>
    <phoneticPr fontId="14"/>
  </si>
  <si>
    <t>一般会計</t>
    <rPh sb="0" eb="2">
      <t>イッパン</t>
    </rPh>
    <rPh sb="2" eb="4">
      <t>カイケイ</t>
    </rPh>
    <phoneticPr fontId="17"/>
  </si>
  <si>
    <t>共通</t>
    <rPh sb="0" eb="2">
      <t>キョウツウ</t>
    </rPh>
    <phoneticPr fontId="17"/>
  </si>
  <si>
    <t>通貨の為替レート</t>
    <rPh sb="0" eb="2">
      <t>ツウカ</t>
    </rPh>
    <rPh sb="3" eb="5">
      <t>カワセ</t>
    </rPh>
    <phoneticPr fontId="17"/>
  </si>
  <si>
    <t>一般会計＞通貨＞通貨の為替レート
General ledger &gt; Currencies &gt; Currency exchange rates</t>
  </si>
  <si>
    <t>売掛金管理</t>
  </si>
  <si>
    <t>個別</t>
    <rPh sb="0" eb="2">
      <t>コベツ</t>
    </rPh>
    <phoneticPr fontId="15"/>
  </si>
  <si>
    <t>顧客</t>
    <rPh sb="0" eb="2">
      <t>コキャク</t>
    </rPh>
    <phoneticPr fontId="15"/>
  </si>
  <si>
    <t>顧客の定義となる。
※移行対象</t>
  </si>
  <si>
    <t>売掛金管理＞顧客＞すべての顧客
Accounts receivable &gt; Customers &gt; All customers</t>
  </si>
  <si>
    <t>個別</t>
    <rPh sb="0" eb="2">
      <t>コベツ</t>
    </rPh>
    <phoneticPr fontId="12"/>
  </si>
  <si>
    <t>仕入先</t>
    <rPh sb="0" eb="3">
      <t>シイレサキ</t>
    </rPh>
    <phoneticPr fontId="12"/>
  </si>
  <si>
    <t>仕入先の定義となる。
※移行対象</t>
    <rPh sb="12" eb="16">
      <t>イコウタイショウ</t>
    </rPh>
    <phoneticPr fontId="12"/>
  </si>
  <si>
    <t>買掛金管理</t>
  </si>
  <si>
    <t>買掛金管理＞仕入先＞すべての仕入先
Accounts payable &gt; Vendors &gt;  All vendors</t>
  </si>
  <si>
    <t>倉庫</t>
    <rPh sb="0" eb="2">
      <t>ソウコ</t>
    </rPh>
    <phoneticPr fontId="14"/>
  </si>
  <si>
    <t>人事管理</t>
    <rPh sb="0" eb="2">
      <t>ジンジ</t>
    </rPh>
    <rPh sb="2" eb="4">
      <t>カンリ</t>
    </rPh>
    <phoneticPr fontId="16"/>
  </si>
  <si>
    <t>従業員</t>
    <rPh sb="0" eb="2">
      <t>ジュウギョウ</t>
    </rPh>
    <rPh sb="2" eb="3">
      <t>イン</t>
    </rPh>
    <phoneticPr fontId="16"/>
  </si>
  <si>
    <t>人事管理＞作業者＞従業員
Human resources &gt; Workers &gt; Employees</t>
    <rPh sb="5" eb="8">
      <t>サギョウシャ</t>
    </rPh>
    <rPh sb="9" eb="12">
      <t>ジュウギョウイン</t>
    </rPh>
    <phoneticPr fontId="16"/>
  </si>
  <si>
    <t>部門</t>
    <rPh sb="0" eb="2">
      <t>ブモン</t>
    </rPh>
    <phoneticPr fontId="16"/>
  </si>
  <si>
    <t>人事管理＞部門＞部門
Human resources &gt; Departments &gt; Departments</t>
    <rPh sb="5" eb="7">
      <t>ブモン</t>
    </rPh>
    <rPh sb="8" eb="10">
      <t>ブモン</t>
    </rPh>
    <phoneticPr fontId="16"/>
  </si>
  <si>
    <t>職務</t>
    <rPh sb="0" eb="2">
      <t>ショクム</t>
    </rPh>
    <phoneticPr fontId="16"/>
  </si>
  <si>
    <t>人事管理＞職務＞職務
Human resources &gt; Jobs &gt; Jobs</t>
    <rPh sb="5" eb="7">
      <t>ショクム</t>
    </rPh>
    <rPh sb="8" eb="10">
      <t>ショクム</t>
    </rPh>
    <phoneticPr fontId="16"/>
  </si>
  <si>
    <t>職位</t>
    <rPh sb="0" eb="2">
      <t>ショクイ</t>
    </rPh>
    <phoneticPr fontId="16"/>
  </si>
  <si>
    <t>「単位-設定値」を参照</t>
    <rPh sb="1" eb="3">
      <t>タンイ</t>
    </rPh>
    <rPh sb="4" eb="7">
      <t>セッテイチ</t>
    </rPh>
    <rPh sb="9" eb="11">
      <t>サンショウ</t>
    </rPh>
    <phoneticPr fontId="14"/>
  </si>
  <si>
    <t>External classification code</t>
  </si>
  <si>
    <t>SAT customs unit of measure</t>
    <phoneticPr fontId="14"/>
  </si>
  <si>
    <t>SAT code</t>
    <phoneticPr fontId="14"/>
  </si>
  <si>
    <t>電子請求書</t>
    <rPh sb="0" eb="2">
      <t>デンシ</t>
    </rPh>
    <rPh sb="2" eb="5">
      <t>セイキュウショ</t>
    </rPh>
    <phoneticPr fontId="14"/>
  </si>
  <si>
    <t>Code by OKEI</t>
    <phoneticPr fontId="14"/>
  </si>
  <si>
    <t>RUSSIAN CLASSIFIERS</t>
    <phoneticPr fontId="14"/>
  </si>
  <si>
    <t>小数点以下の制度</t>
    <rPh sb="0" eb="3">
      <t>ショウスウテン</t>
    </rPh>
    <rPh sb="3" eb="5">
      <t>イカ</t>
    </rPh>
    <rPh sb="6" eb="8">
      <t>セイド</t>
    </rPh>
    <phoneticPr fontId="14"/>
  </si>
  <si>
    <t>システム単位</t>
    <rPh sb="4" eb="6">
      <t>タンイ</t>
    </rPh>
    <phoneticPr fontId="14"/>
  </si>
  <si>
    <t>基本分類</t>
    <rPh sb="0" eb="2">
      <t>キホン</t>
    </rPh>
    <rPh sb="2" eb="4">
      <t>ブンルイ</t>
    </rPh>
    <phoneticPr fontId="14"/>
  </si>
  <si>
    <t>ロール</t>
  </si>
  <si>
    <t>・なし
・メートル法
・米国の慣例的単位</t>
    <rPh sb="9" eb="10">
      <t>ホウ</t>
    </rPh>
    <rPh sb="12" eb="14">
      <t>ベイコク</t>
    </rPh>
    <rPh sb="15" eb="17">
      <t>カンレイ</t>
    </rPh>
    <rPh sb="17" eb="18">
      <t>テキ</t>
    </rPh>
    <rPh sb="18" eb="20">
      <t>タンイ</t>
    </rPh>
    <phoneticPr fontId="14"/>
  </si>
  <si>
    <t>数量</t>
    <rPh sb="0" eb="2">
      <t>スウリョウ</t>
    </rPh>
    <phoneticPr fontId="14"/>
  </si>
  <si>
    <t>・数量
・長さ
・面積
・液体体積
・乾燥体積
・質量
・時刻
・金銭情報
・温度
・情報エントロピー
・輝度
・速度
・加速度
・角度
・立体角
・強制適用
・抑圧または機械的ストレス
・トルク
・エネルギー
・パワー
・角運動量
・静電容量
・密度
・電流
・磁場
・磁束
・電荷
・双極子
・電位差
・電気抵抗
・インダクタンス
・動粘性係数
・動粘性率
・放射能
・未定義</t>
    <rPh sb="1" eb="3">
      <t>スウリョウ</t>
    </rPh>
    <phoneticPr fontId="14"/>
  </si>
  <si>
    <t>分類</t>
    <rPh sb="0" eb="2">
      <t>ブンルイ</t>
    </rPh>
    <phoneticPr fontId="14"/>
  </si>
  <si>
    <t>[固定単位の割り当て]を[はい]にすることで設定可能</t>
    <rPh sb="1" eb="3">
      <t>コテイ</t>
    </rPh>
    <rPh sb="3" eb="5">
      <t>タンイ</t>
    </rPh>
    <rPh sb="6" eb="7">
      <t>ワ</t>
    </rPh>
    <rPh sb="8" eb="9">
      <t>ア</t>
    </rPh>
    <rPh sb="22" eb="24">
      <t>セッテイ</t>
    </rPh>
    <rPh sb="24" eb="26">
      <t>カノウ</t>
    </rPh>
    <phoneticPr fontId="14"/>
  </si>
  <si>
    <t>個</t>
    <phoneticPr fontId="14"/>
  </si>
  <si>
    <t>・個
・フィート
・インチ
・ヤード
・センチメートル
・メートル
・ミリメートル
･ガロン
･リットル
・オンス
・トロイオンス
・ポンド
・グラム
・キログラム
・ミリ秒
・秒
・分
・時間
・日数
・週
・月数
・年
・Metric tons</t>
    <rPh sb="1" eb="2">
      <t>コ</t>
    </rPh>
    <rPh sb="86" eb="87">
      <t>ビョウ</t>
    </rPh>
    <rPh sb="89" eb="90">
      <t>ビョウ</t>
    </rPh>
    <rPh sb="92" eb="93">
      <t>フン</t>
    </rPh>
    <rPh sb="95" eb="97">
      <t>ジカン</t>
    </rPh>
    <rPh sb="99" eb="101">
      <t>ニッスウ</t>
    </rPh>
    <rPh sb="103" eb="104">
      <t>シュウ</t>
    </rPh>
    <rPh sb="106" eb="107">
      <t>ツキ</t>
    </rPh>
    <rPh sb="107" eb="108">
      <t>スウ</t>
    </rPh>
    <rPh sb="110" eb="111">
      <t>ネン</t>
    </rPh>
    <phoneticPr fontId="14"/>
  </si>
  <si>
    <t>固定単位</t>
    <rPh sb="0" eb="2">
      <t>コテイ</t>
    </rPh>
    <rPh sb="2" eb="4">
      <t>タンイ</t>
    </rPh>
    <phoneticPr fontId="14"/>
  </si>
  <si>
    <t>固定単位の割り当て</t>
    <rPh sb="0" eb="2">
      <t>コテイ</t>
    </rPh>
    <rPh sb="2" eb="4">
      <t>タンイ</t>
    </rPh>
    <rPh sb="5" eb="6">
      <t>ワ</t>
    </rPh>
    <rPh sb="7" eb="8">
      <t>ア</t>
    </rPh>
    <phoneticPr fontId="14"/>
  </si>
  <si>
    <t>割り当て</t>
    <rPh sb="0" eb="1">
      <t>ワ</t>
    </rPh>
    <rPh sb="2" eb="3">
      <t>ア</t>
    </rPh>
    <phoneticPr fontId="14"/>
  </si>
  <si>
    <t>Organization administration &gt; Setup &gt; Units &gt; Units</t>
    <phoneticPr fontId="14"/>
  </si>
  <si>
    <t>組織管理＞設定＞単位＞単位</t>
    <rPh sb="5" eb="7">
      <t>セッテイ</t>
    </rPh>
    <rPh sb="8" eb="10">
      <t>タンイ</t>
    </rPh>
    <rPh sb="11" eb="13">
      <t>タンイ</t>
    </rPh>
    <phoneticPr fontId="18"/>
  </si>
  <si>
    <t>単位</t>
    <phoneticPr fontId="14"/>
  </si>
  <si>
    <t>個</t>
    <rPh sb="0" eb="1">
      <t>コ</t>
    </rPh>
    <phoneticPr fontId="14"/>
  </si>
  <si>
    <t>足</t>
  </si>
  <si>
    <t>袋</t>
  </si>
  <si>
    <t>缶</t>
  </si>
  <si>
    <t>箱</t>
  </si>
  <si>
    <t>枚</t>
  </si>
  <si>
    <t>本</t>
  </si>
  <si>
    <t>式</t>
  </si>
  <si>
    <t>巻</t>
  </si>
  <si>
    <t>台</t>
  </si>
  <si>
    <t>冊</t>
  </si>
  <si>
    <t>ｾｯﾄ</t>
  </si>
  <si>
    <t>面積</t>
    <rPh sb="0" eb="2">
      <t>メンセキ</t>
    </rPh>
    <phoneticPr fontId="14"/>
  </si>
  <si>
    <t>㎡</t>
  </si>
  <si>
    <t>m</t>
  </si>
  <si>
    <t>質量</t>
    <rPh sb="0" eb="2">
      <t>シツリョウ</t>
    </rPh>
    <phoneticPr fontId="14"/>
  </si>
  <si>
    <t>㎏</t>
  </si>
  <si>
    <t>↓自動生成</t>
    <rPh sb="1" eb="3">
      <t>ジドウ</t>
    </rPh>
    <rPh sb="3" eb="5">
      <t>セイセイ</t>
    </rPh>
    <phoneticPr fontId="14"/>
  </si>
  <si>
    <t>小数点以下の精度</t>
    <rPh sb="0" eb="3">
      <t>ショウスウテン</t>
    </rPh>
    <rPh sb="3" eb="5">
      <t>イカ</t>
    </rPh>
    <rPh sb="6" eb="8">
      <t>セイド</t>
    </rPh>
    <phoneticPr fontId="14"/>
  </si>
  <si>
    <t>基本単位系</t>
    <rPh sb="0" eb="2">
      <t>キホン</t>
    </rPh>
    <rPh sb="2" eb="5">
      <t>タンイケイ</t>
    </rPh>
    <phoneticPr fontId="14"/>
  </si>
  <si>
    <t>変更不可</t>
    <rPh sb="0" eb="2">
      <t>ヘンコウ</t>
    </rPh>
    <rPh sb="2" eb="4">
      <t>フカ</t>
    </rPh>
    <phoneticPr fontId="14"/>
  </si>
  <si>
    <t>「クラス間換算-設定値」を参照</t>
    <rPh sb="4" eb="5">
      <t>カン</t>
    </rPh>
    <rPh sb="13" eb="15">
      <t>サンショウ</t>
    </rPh>
    <phoneticPr fontId="14"/>
  </si>
  <si>
    <t>・四捨五入
・切り上げ
・切り捨て</t>
    <rPh sb="1" eb="5">
      <t>シシャゴニュウ</t>
    </rPh>
    <rPh sb="7" eb="8">
      <t>キ</t>
    </rPh>
    <rPh sb="9" eb="10">
      <t>ア</t>
    </rPh>
    <rPh sb="13" eb="14">
      <t>キ</t>
    </rPh>
    <rPh sb="15" eb="16">
      <t>ス</t>
    </rPh>
    <phoneticPr fontId="14"/>
  </si>
  <si>
    <t>単位（ユーザー定義）</t>
    <rPh sb="0" eb="2">
      <t>タンイ</t>
    </rPh>
    <rPh sb="7" eb="9">
      <t>テイギ</t>
    </rPh>
    <phoneticPr fontId="14"/>
  </si>
  <si>
    <t>終了単位</t>
    <rPh sb="0" eb="4">
      <t>シュウリョウタンイ</t>
    </rPh>
    <phoneticPr fontId="14"/>
  </si>
  <si>
    <t>開始単位</t>
    <rPh sb="0" eb="4">
      <t>カイシタンイ</t>
    </rPh>
    <phoneticPr fontId="14"/>
  </si>
  <si>
    <t>システム自動入力</t>
    <rPh sb="4" eb="8">
      <t>ジドウニュウリョク</t>
    </rPh>
    <phoneticPr fontId="14"/>
  </si>
  <si>
    <t>定義</t>
    <rPh sb="0" eb="2">
      <t>テイギ</t>
    </rPh>
    <phoneticPr fontId="14"/>
  </si>
  <si>
    <t>製品（ユーザー定義）</t>
    <rPh sb="0" eb="2">
      <t>セイヒン</t>
    </rPh>
    <rPh sb="7" eb="9">
      <t>テイギ</t>
    </rPh>
    <phoneticPr fontId="14"/>
  </si>
  <si>
    <t>単位クラスが含む測定単位に対して製品固有の変換ルールを設定する</t>
    <phoneticPr fontId="14"/>
  </si>
  <si>
    <t>クラス間換算</t>
    <rPh sb="3" eb="4">
      <t>カン</t>
    </rPh>
    <rPh sb="4" eb="6">
      <t>カンサン</t>
    </rPh>
    <phoneticPr fontId="14"/>
  </si>
  <si>
    <t>「クラス内換算-設定値」を参照</t>
    <rPh sb="13" eb="15">
      <t>サンショウ</t>
    </rPh>
    <phoneticPr fontId="14"/>
  </si>
  <si>
    <t>同一単位クラス内の測定単位に対して製品固有の変換ルールを設定します</t>
    <phoneticPr fontId="14"/>
  </si>
  <si>
    <t>クラス内換算</t>
    <rPh sb="3" eb="4">
      <t>ナイ</t>
    </rPh>
    <rPh sb="4" eb="6">
      <t>カンサン</t>
    </rPh>
    <phoneticPr fontId="14"/>
  </si>
  <si>
    <t>「標準換算-設定値」を参照</t>
    <rPh sb="11" eb="13">
      <t>サンショウ</t>
    </rPh>
    <phoneticPr fontId="14"/>
  </si>
  <si>
    <t>すべての製品に対する標準変換ルールの設定</t>
    <phoneticPr fontId="14"/>
  </si>
  <si>
    <t>標準単位換算</t>
    <rPh sb="0" eb="6">
      <t>ヒョウジュンタンイカンサン</t>
    </rPh>
    <phoneticPr fontId="14"/>
  </si>
  <si>
    <t>Organization administration &gt; Setup &gt; Units &gt; Unit conversions</t>
    <phoneticPr fontId="14"/>
  </si>
  <si>
    <t>組織管理＞設定＞単位＞単位換算</t>
    <phoneticPr fontId="14"/>
  </si>
  <si>
    <t>単位換算</t>
  </si>
  <si>
    <t>（システム自動入力）</t>
    <rPh sb="5" eb="9">
      <t>ジドウニュウリョク</t>
    </rPh>
    <phoneticPr fontId="14"/>
  </si>
  <si>
    <t>#</t>
    <phoneticPr fontId="14"/>
  </si>
  <si>
    <t>「通貨の為替レート-設定値」を参照</t>
    <rPh sb="4" eb="6">
      <t>カワセ</t>
    </rPh>
    <phoneticPr fontId="14"/>
  </si>
  <si>
    <t>システム入力</t>
    <rPh sb="4" eb="6">
      <t>ニュウリョク</t>
    </rPh>
    <phoneticPr fontId="14"/>
  </si>
  <si>
    <t>開始通貨と終了通貨フィールドに表示される通貨の為替レートを入力します。</t>
  </si>
  <si>
    <t>交換価値</t>
    <rPh sb="0" eb="2">
      <t>コウカン</t>
    </rPh>
    <rPh sb="2" eb="4">
      <t>カチ</t>
    </rPh>
    <phoneticPr fontId="14"/>
  </si>
  <si>
    <t>現在の為替レートが有効な開始日を選択します。</t>
  </si>
  <si>
    <t>為替レート</t>
    <rPh sb="0" eb="2">
      <t>カワセ</t>
    </rPh>
    <phoneticPr fontId="14"/>
  </si>
  <si>
    <t>年月日(yyyy/MM/dd)</t>
    <phoneticPr fontId="14"/>
  </si>
  <si>
    <t>このレコードの有効開始日。</t>
    <rPh sb="7" eb="9">
      <t>ユウコウ</t>
    </rPh>
    <rPh sb="9" eb="12">
      <t>カイシビ</t>
    </rPh>
    <phoneticPr fontId="14"/>
  </si>
  <si>
    <t>開始日</t>
    <rPh sb="0" eb="3">
      <t>カイシビ</t>
    </rPh>
    <phoneticPr fontId="14"/>
  </si>
  <si>
    <t>終了日を選択して、為替レートをグリッドに表示します。</t>
  </si>
  <si>
    <t>終了日</t>
    <rPh sb="0" eb="2">
      <t>シュウリョウ</t>
    </rPh>
    <rPh sb="2" eb="3">
      <t>ヒ</t>
    </rPh>
    <phoneticPr fontId="14"/>
  </si>
  <si>
    <t>開始日を選択して、グリッドに為替レートを表示します。</t>
  </si>
  <si>
    <t>為替レートの追加または削除</t>
    <rPh sb="0" eb="2">
      <t>カワセ</t>
    </rPh>
    <rPh sb="6" eb="8">
      <t>ツイカ</t>
    </rPh>
    <rPh sb="11" eb="13">
      <t>サクジョ</t>
    </rPh>
    <phoneticPr fontId="14"/>
  </si>
  <si>
    <t>・1
・10
・100
・1000
・10000</t>
    <phoneticPr fontId="14"/>
  </si>
  <si>
    <t>為替レートのベースとなる他の通貨の単位数を選択します。値は、会計通貨として選択される通貨の通常の規則によって異なります。</t>
  </si>
  <si>
    <t>変換係数</t>
    <rPh sb="0" eb="2">
      <t>ヘンカン</t>
    </rPh>
    <rPh sb="2" eb="4">
      <t>ケイスウ</t>
    </rPh>
    <phoneticPr fontId="14"/>
  </si>
  <si>
    <t>通貨（ユーザー定義）</t>
    <rPh sb="0" eb="2">
      <t>ツウカ</t>
    </rPh>
    <phoneticPr fontId="14"/>
  </si>
  <si>
    <t>変換する通貨を選択します</t>
  </si>
  <si>
    <t>交換後通貨</t>
    <rPh sb="0" eb="2">
      <t>コウカン</t>
    </rPh>
    <rPh sb="2" eb="3">
      <t>ゴ</t>
    </rPh>
    <rPh sb="3" eb="5">
      <t>ツウカ</t>
    </rPh>
    <phoneticPr fontId="14"/>
  </si>
  <si>
    <t>変換する通貨を選択します。</t>
  </si>
  <si>
    <t>交換前通貨</t>
    <rPh sb="0" eb="2">
      <t>コウカン</t>
    </rPh>
    <rPh sb="2" eb="3">
      <t>マエ</t>
    </rPh>
    <rPh sb="3" eb="5">
      <t>ツウカ</t>
    </rPh>
    <phoneticPr fontId="14"/>
  </si>
  <si>
    <t>為替レートタイプ（システム定義）
・予算：既定の予算レート
・平均：既定の平均レート
・既定：既定のグローバルレート
・終了：既定の終了レート</t>
    <rPh sb="0" eb="2">
      <t>カワセ</t>
    </rPh>
    <rPh sb="13" eb="15">
      <t>テイギ</t>
    </rPh>
    <rPh sb="21" eb="23">
      <t>キテイ</t>
    </rPh>
    <rPh sb="24" eb="26">
      <t>ヨサン</t>
    </rPh>
    <rPh sb="34" eb="36">
      <t>キテイ</t>
    </rPh>
    <rPh sb="37" eb="39">
      <t>ヘイキン</t>
    </rPh>
    <rPh sb="47" eb="49">
      <t>キテイ</t>
    </rPh>
    <rPh sb="63" eb="65">
      <t>キテイ</t>
    </rPh>
    <rPh sb="66" eb="68">
      <t>シュウリョウ</t>
    </rPh>
    <phoneticPr fontId="14"/>
  </si>
  <si>
    <t>・予算
・平均
・既定
・終了</t>
    <rPh sb="1" eb="3">
      <t>ヨサン</t>
    </rPh>
    <rPh sb="5" eb="7">
      <t>ヘイキン</t>
    </rPh>
    <rPh sb="9" eb="11">
      <t>キテイ</t>
    </rPh>
    <rPh sb="13" eb="15">
      <t>シュウリョウ</t>
    </rPh>
    <phoneticPr fontId="14"/>
  </si>
  <si>
    <t>通貨の為替レートは為替レートの種類を選択します。</t>
  </si>
  <si>
    <t>為替レートタイプ</t>
    <rPh sb="0" eb="2">
      <t>カワセ</t>
    </rPh>
    <phoneticPr fontId="14"/>
  </si>
  <si>
    <t>通貨の為替レート</t>
    <rPh sb="0" eb="2">
      <t>ツウカ</t>
    </rPh>
    <rPh sb="3" eb="5">
      <t>カワセ</t>
    </rPh>
    <phoneticPr fontId="14"/>
  </si>
  <si>
    <t>General ledger &gt; Currencies &gt; Currency exchange rates</t>
    <phoneticPr fontId="14"/>
  </si>
  <si>
    <t>一般会計＞通貨＞通貨の為替レート</t>
    <rPh sb="5" eb="7">
      <t>ツウカ</t>
    </rPh>
    <rPh sb="8" eb="10">
      <t>ツウカ</t>
    </rPh>
    <rPh sb="11" eb="13">
      <t>カワセ</t>
    </rPh>
    <phoneticPr fontId="14"/>
  </si>
  <si>
    <t>通貨の為替レート</t>
    <phoneticPr fontId="14"/>
  </si>
  <si>
    <t xml:space="preserve">通貨（ユーザー定義）
</t>
    <rPh sb="0" eb="2">
      <t>ツウカ</t>
    </rPh>
    <phoneticPr fontId="14"/>
  </si>
  <si>
    <t>シート「顧客の価格割引グループ-設定値」を参照</t>
    <rPh sb="21" eb="23">
      <t>サンショウ</t>
    </rPh>
    <phoneticPr fontId="14"/>
  </si>
  <si>
    <t>価格グループ
行割引グループ
複数行割引グループ
割引合計グループ</t>
    <rPh sb="0" eb="2">
      <t>カカク</t>
    </rPh>
    <rPh sb="7" eb="8">
      <t>ギョウ</t>
    </rPh>
    <rPh sb="8" eb="10">
      <t>ワリビキ</t>
    </rPh>
    <rPh sb="15" eb="17">
      <t>フクスウ</t>
    </rPh>
    <rPh sb="17" eb="18">
      <t>ギョウ</t>
    </rPh>
    <rPh sb="18" eb="20">
      <t>ワリビキ</t>
    </rPh>
    <rPh sb="25" eb="27">
      <t>ワリビキ</t>
    </rPh>
    <rPh sb="27" eb="29">
      <t>ゴウケイ</t>
    </rPh>
    <phoneticPr fontId="14"/>
  </si>
  <si>
    <t>価格/割引グループ タイプ</t>
    <rPh sb="0" eb="2">
      <t>カカク</t>
    </rPh>
    <rPh sb="3" eb="5">
      <t>ワリビキ</t>
    </rPh>
    <phoneticPr fontId="14"/>
  </si>
  <si>
    <t>顧客の価格/割引グループ</t>
    <rPh sb="0" eb="2">
      <t>コキャク</t>
    </rPh>
    <rPh sb="3" eb="5">
      <t>カカク</t>
    </rPh>
    <rPh sb="6" eb="8">
      <t>ワリビキ</t>
    </rPh>
    <phoneticPr fontId="14"/>
  </si>
  <si>
    <t>Description（標準）</t>
    <phoneticPr fontId="18"/>
  </si>
  <si>
    <t>Sales and marketing &gt; Prices and discounts &gt; Customer price/discount groups</t>
  </si>
  <si>
    <t>販売とマーケティング ＞ 価格と割引 &gt; 顧客の価格/割引グループ</t>
  </si>
  <si>
    <t>価格グループ
行割引グループ
複数行割引グループ
割引合計グループ</t>
    <rPh sb="0" eb="2">
      <t>カカク</t>
    </rPh>
    <rPh sb="7" eb="8">
      <t>ギョウ</t>
    </rPh>
    <rPh sb="8" eb="10">
      <t>ワリビキ</t>
    </rPh>
    <rPh sb="15" eb="18">
      <t>フクスウギョウ</t>
    </rPh>
    <rPh sb="18" eb="20">
      <t>ワリビキ</t>
    </rPh>
    <rPh sb="25" eb="27">
      <t>ワリビキ</t>
    </rPh>
    <rPh sb="27" eb="29">
      <t>ゴウケイ</t>
    </rPh>
    <phoneticPr fontId="14"/>
  </si>
  <si>
    <t>文字列</t>
    <rPh sb="0" eb="2">
      <t>モジ</t>
    </rPh>
    <rPh sb="2" eb="3">
      <t>レツ</t>
    </rPh>
    <phoneticPr fontId="14"/>
  </si>
  <si>
    <t>割引グループ</t>
    <rPh sb="0" eb="2">
      <t>ワリビキ</t>
    </rPh>
    <phoneticPr fontId="14"/>
  </si>
  <si>
    <t>シート「売買契約仕訳帳名-設定値」を参照</t>
    <rPh sb="4" eb="6">
      <t>バイバイ</t>
    </rPh>
    <rPh sb="6" eb="11">
      <t>ケイヤクシワケチョウ</t>
    </rPh>
    <rPh sb="11" eb="12">
      <t>メイ</t>
    </rPh>
    <rPh sb="13" eb="15">
      <t>セッテイ</t>
    </rPh>
    <rPh sb="15" eb="16">
      <t>チ</t>
    </rPh>
    <rPh sb="18" eb="20">
      <t>サンショウ</t>
    </rPh>
    <phoneticPr fontId="14"/>
  </si>
  <si>
    <t>価格（購買）
行割引（仕入）
複数行割引（仕入）
割引合計（購買）
価格（販売）
行割引（販売側）
複数行割引（販売側）
割引合計（販売）
送料の割引</t>
    <rPh sb="0" eb="2">
      <t>カカク</t>
    </rPh>
    <rPh sb="3" eb="5">
      <t>コウバイ</t>
    </rPh>
    <rPh sb="7" eb="10">
      <t>ギョウワリビキ</t>
    </rPh>
    <rPh sb="11" eb="13">
      <t>シイレ</t>
    </rPh>
    <rPh sb="15" eb="17">
      <t>フクスウ</t>
    </rPh>
    <rPh sb="17" eb="18">
      <t>ギョウ</t>
    </rPh>
    <rPh sb="18" eb="20">
      <t>ワリビキ</t>
    </rPh>
    <rPh sb="21" eb="23">
      <t>シイレ</t>
    </rPh>
    <rPh sb="25" eb="27">
      <t>ワリビキ</t>
    </rPh>
    <rPh sb="27" eb="29">
      <t>ゴウケイ</t>
    </rPh>
    <rPh sb="30" eb="32">
      <t>コウバイ</t>
    </rPh>
    <rPh sb="34" eb="36">
      <t>カカク</t>
    </rPh>
    <rPh sb="37" eb="39">
      <t>ハンバイ</t>
    </rPh>
    <rPh sb="41" eb="44">
      <t>ギョウワリビキ</t>
    </rPh>
    <rPh sb="45" eb="47">
      <t>ハンバイ</t>
    </rPh>
    <rPh sb="47" eb="48">
      <t>ガワ</t>
    </rPh>
    <rPh sb="50" eb="52">
      <t>フクスウ</t>
    </rPh>
    <rPh sb="52" eb="53">
      <t>ギョウ</t>
    </rPh>
    <rPh sb="53" eb="55">
      <t>ワリビキ</t>
    </rPh>
    <rPh sb="56" eb="59">
      <t>ハンバイガワ</t>
    </rPh>
    <rPh sb="61" eb="63">
      <t>ワリビキ</t>
    </rPh>
    <rPh sb="63" eb="65">
      <t>ゴウケイ</t>
    </rPh>
    <rPh sb="66" eb="68">
      <t>ハンバイ</t>
    </rPh>
    <rPh sb="70" eb="72">
      <t>ソウリョウ</t>
    </rPh>
    <rPh sb="73" eb="75">
      <t>ワリビキ</t>
    </rPh>
    <phoneticPr fontId="14"/>
  </si>
  <si>
    <t>関係</t>
    <rPh sb="0" eb="2">
      <t>カンケイ</t>
    </rPh>
    <phoneticPr fontId="14"/>
  </si>
  <si>
    <t>売買契約仕訳帳名</t>
    <rPh sb="0" eb="8">
      <t>バイバイケイヤクシワケチョウメイ</t>
    </rPh>
    <phoneticPr fontId="14"/>
  </si>
  <si>
    <t>Sales and marketing&gt; Setup &gt; Prices and discounts &gt; Trade agreement journal names</t>
  </si>
  <si>
    <t>販売とマーケティング ＞ 設定 &gt; 価格と割引 ＞ 売買契約仕訳帳名</t>
  </si>
  <si>
    <t>含む</t>
    <rPh sb="0" eb="1">
      <t>フク</t>
    </rPh>
    <phoneticPr fontId="14"/>
  </si>
  <si>
    <t>含む
除外</t>
    <rPh sb="0" eb="1">
      <t>フク</t>
    </rPh>
    <rPh sb="3" eb="5">
      <t>ジョガイ</t>
    </rPh>
    <phoneticPr fontId="14"/>
  </si>
  <si>
    <t>Retail では、[製品] や [アドレス] クイック タブで、オンライン店舗で使用される荷渡方法から明細行を追加、または除外するかどうかを選択します。</t>
    <phoneticPr fontId="14"/>
  </si>
  <si>
    <t>行タイプ</t>
    <rPh sb="0" eb="1">
      <t>ギョウ</t>
    </rPh>
    <phoneticPr fontId="14"/>
  </si>
  <si>
    <t>都道府県（ユーザー定義）</t>
    <rPh sb="0" eb="4">
      <t>トドウフケン</t>
    </rPh>
    <phoneticPr fontId="14"/>
  </si>
  <si>
    <t>国/地域（ユーザー定義）</t>
    <rPh sb="0" eb="1">
      <t>クニ</t>
    </rPh>
    <rPh sb="2" eb="4">
      <t>チイキ</t>
    </rPh>
    <phoneticPr fontId="14"/>
  </si>
  <si>
    <t>製品バリアント（ユーザー定義）</t>
    <rPh sb="0" eb="2">
      <t>セイヒン</t>
    </rPh>
    <phoneticPr fontId="14"/>
  </si>
  <si>
    <t>製品バリアント</t>
    <rPh sb="0" eb="2">
      <t>セイヒン</t>
    </rPh>
    <phoneticPr fontId="14"/>
  </si>
  <si>
    <t>製品（ユーザー定義）</t>
    <rPh sb="0" eb="2">
      <t>セイヒン</t>
    </rPh>
    <phoneticPr fontId="14"/>
  </si>
  <si>
    <t>カテゴリ（ユーザー定義）</t>
  </si>
  <si>
    <t>組織階層からノードを選択する。
選択したノードの関係者IDがセットされる</t>
    <rPh sb="0" eb="2">
      <t>ソシキ</t>
    </rPh>
    <rPh sb="2" eb="4">
      <t>カイソウ</t>
    </rPh>
    <rPh sb="10" eb="12">
      <t>センタク</t>
    </rPh>
    <rPh sb="16" eb="18">
      <t>センタク</t>
    </rPh>
    <rPh sb="24" eb="27">
      <t>カンケイシャ</t>
    </rPh>
    <phoneticPr fontId="14"/>
  </si>
  <si>
    <t>関係者ID</t>
    <rPh sb="0" eb="3">
      <t>カンケイシャ</t>
    </rPh>
    <phoneticPr fontId="14"/>
  </si>
  <si>
    <t>組織階層からノードを選択する。
選択したノードの名前がセットされる</t>
    <rPh sb="0" eb="2">
      <t>ソシキ</t>
    </rPh>
    <rPh sb="2" eb="4">
      <t>カイソウ</t>
    </rPh>
    <rPh sb="10" eb="12">
      <t>センタク</t>
    </rPh>
    <rPh sb="16" eb="18">
      <t>センタク</t>
    </rPh>
    <rPh sb="24" eb="26">
      <t>ナマエ</t>
    </rPh>
    <phoneticPr fontId="14"/>
  </si>
  <si>
    <t>名前（ユーザー定義）</t>
    <rPh sb="0" eb="2">
      <t>ナマエ</t>
    </rPh>
    <phoneticPr fontId="14"/>
  </si>
  <si>
    <t>小売チャネル</t>
    <rPh sb="0" eb="2">
      <t>コウ</t>
    </rPh>
    <phoneticPr fontId="14"/>
  </si>
  <si>
    <t>急送（ユーザー定義）</t>
    <rPh sb="0" eb="1">
      <t>イソ</t>
    </rPh>
    <rPh sb="1" eb="2">
      <t>オク</t>
    </rPh>
    <phoneticPr fontId="14"/>
  </si>
  <si>
    <t>急送</t>
    <rPh sb="0" eb="1">
      <t>イソ</t>
    </rPh>
    <rPh sb="1" eb="2">
      <t>オク</t>
    </rPh>
    <phoneticPr fontId="14"/>
  </si>
  <si>
    <t>諸掛グループ（ユーザー定義）</t>
    <rPh sb="0" eb="2">
      <t>ショガカリ</t>
    </rPh>
    <phoneticPr fontId="14"/>
  </si>
  <si>
    <t>諸掛グループ</t>
    <rPh sb="0" eb="2">
      <t>ショガカリ</t>
    </rPh>
    <phoneticPr fontId="14"/>
  </si>
  <si>
    <t>現在の荷渡方法の詳細な説明を入力します。この説明は、販売注文や顧客請求書などの印刷用ページに記載されます。</t>
    <phoneticPr fontId="14"/>
  </si>
  <si>
    <t>荷渡方法を示すコードを英数字で入力します。コードは最大 10 文字まで入力できます。たとえば、United Parcel Service を UPS と入力し、Federal Express を FedEx と入力します。</t>
    <phoneticPr fontId="14"/>
  </si>
  <si>
    <t>荷渡方法</t>
    <rPh sb="0" eb="4">
      <t>ニワタリホウホウ</t>
    </rPh>
    <phoneticPr fontId="14"/>
  </si>
  <si>
    <t>Sales and marketing &gt; Setup &gt; Distribution &gt; Modes of delivery</t>
  </si>
  <si>
    <t>販売とマーケティング ＞ 設定 &gt; 配分 &gt; 荷渡方法</t>
  </si>
  <si>
    <t>荷渡方法</t>
    <rPh sb="0" eb="2">
      <t>ニワタ</t>
    </rPh>
    <rPh sb="2" eb="4">
      <t>ホウホウ</t>
    </rPh>
    <phoneticPr fontId="14"/>
  </si>
  <si>
    <t>荷渡方法(小売チャネル)</t>
    <rPh sb="0" eb="4">
      <t>ニワタリホウホウ</t>
    </rPh>
    <rPh sb="5" eb="7">
      <t>コウ</t>
    </rPh>
    <phoneticPr fontId="14"/>
  </si>
  <si>
    <t>含む/除外</t>
    <rPh sb="0" eb="1">
      <t>フク</t>
    </rPh>
    <rPh sb="3" eb="5">
      <t>ジョガイ</t>
    </rPh>
    <phoneticPr fontId="14"/>
  </si>
  <si>
    <t>製品バリアント（ユーザー定義）</t>
  </si>
  <si>
    <t>製品（ユーザー定義）</t>
  </si>
  <si>
    <t>荷渡方法(製品)</t>
    <rPh sb="0" eb="4">
      <t>ニワタリホウホウ</t>
    </rPh>
    <rPh sb="5" eb="7">
      <t>セイヒン</t>
    </rPh>
    <phoneticPr fontId="14"/>
  </si>
  <si>
    <t>国/地域（ユーザー定義）</t>
    <rPh sb="2" eb="4">
      <t>チイキ</t>
    </rPh>
    <phoneticPr fontId="14"/>
  </si>
  <si>
    <t>荷渡方法(住所)</t>
    <rPh sb="0" eb="4">
      <t>ニワタリホウホウ</t>
    </rPh>
    <rPh sb="5" eb="7">
      <t>ジュウショ</t>
    </rPh>
    <phoneticPr fontId="14"/>
  </si>
  <si>
    <t>「顧客-設定値」を参照</t>
    <rPh sb="1" eb="3">
      <t>コキャク</t>
    </rPh>
    <rPh sb="4" eb="7">
      <t>セッテイチ</t>
    </rPh>
    <rPh sb="9" eb="11">
      <t>サンショウ</t>
    </rPh>
    <phoneticPr fontId="14"/>
  </si>
  <si>
    <t>B2B管理者</t>
    <rPh sb="3" eb="6">
      <t>カンリシャ</t>
    </rPh>
    <phoneticPr fontId="14"/>
  </si>
  <si>
    <t>顧客階層ID</t>
    <rPh sb="0" eb="2">
      <t>コキャク</t>
    </rPh>
    <rPh sb="2" eb="4">
      <t>カイソウ</t>
    </rPh>
    <phoneticPr fontId="14"/>
  </si>
  <si>
    <t>B2B</t>
    <phoneticPr fontId="14"/>
  </si>
  <si>
    <t>Web活動を追跡しない</t>
    <rPh sb="3" eb="5">
      <t>カツドウ</t>
    </rPh>
    <rPh sb="6" eb="8">
      <t>ツイセキ</t>
    </rPh>
    <phoneticPr fontId="14"/>
  </si>
  <si>
    <t>個人用設定の無効化</t>
    <rPh sb="0" eb="5">
      <t>コジンヨウセッテイ</t>
    </rPh>
    <rPh sb="6" eb="9">
      <t>ムコウカ</t>
    </rPh>
    <phoneticPr fontId="14"/>
  </si>
  <si>
    <t>プライバシー</t>
    <phoneticPr fontId="14"/>
  </si>
  <si>
    <t>ロイヤルティ登録に対する顧客のブロック</t>
    <rPh sb="6" eb="8">
      <t>トウロク</t>
    </rPh>
    <rPh sb="9" eb="10">
      <t>タイ</t>
    </rPh>
    <rPh sb="12" eb="14">
      <t>コキャク</t>
    </rPh>
    <phoneticPr fontId="14"/>
  </si>
  <si>
    <t>ロイヤルティ登録</t>
    <rPh sb="6" eb="8">
      <t>トウロク</t>
    </rPh>
    <phoneticPr fontId="14"/>
  </si>
  <si>
    <t>受領書の電子メール</t>
    <rPh sb="0" eb="3">
      <t>ジュリョウショ</t>
    </rPh>
    <rPh sb="4" eb="6">
      <t>デンシ</t>
    </rPh>
    <phoneticPr fontId="14"/>
  </si>
  <si>
    <t>標準受領書</t>
    <rPh sb="0" eb="5">
      <t>ヒョウジュンジュリョウショ</t>
    </rPh>
    <phoneticPr fontId="14"/>
  </si>
  <si>
    <t>標準受領書
電子メール
両方</t>
    <rPh sb="0" eb="2">
      <t>ヒョウジュン</t>
    </rPh>
    <rPh sb="2" eb="5">
      <t>ジュリョウショ</t>
    </rPh>
    <rPh sb="6" eb="8">
      <t>デンシ</t>
    </rPh>
    <rPh sb="12" eb="14">
      <t>リョウホウ</t>
    </rPh>
    <phoneticPr fontId="14"/>
  </si>
  <si>
    <t>レシートオプション</t>
  </si>
  <si>
    <t>レシート</t>
  </si>
  <si>
    <t>注文番号参照の使用</t>
    <rPh sb="0" eb="2">
      <t>チュウモン</t>
    </rPh>
    <rPh sb="2" eb="4">
      <t>バンゴウ</t>
    </rPh>
    <rPh sb="4" eb="6">
      <t>サンショウ</t>
    </rPh>
    <rPh sb="7" eb="9">
      <t>シヨウ</t>
    </rPh>
    <phoneticPr fontId="14"/>
  </si>
  <si>
    <t>出荷として転記する</t>
    <rPh sb="0" eb="2">
      <t>シュッカ</t>
    </rPh>
    <rPh sb="5" eb="7">
      <t>テンキ</t>
    </rPh>
    <phoneticPr fontId="14"/>
  </si>
  <si>
    <t>（転記済金額ではなく）請求金額</t>
    <rPh sb="1" eb="3">
      <t>テンキ</t>
    </rPh>
    <rPh sb="3" eb="4">
      <t>ズ</t>
    </rPh>
    <rPh sb="4" eb="6">
      <t>キンガク</t>
    </rPh>
    <rPh sb="11" eb="13">
      <t>セイキュウ</t>
    </rPh>
    <rPh sb="13" eb="15">
      <t>キンガク</t>
    </rPh>
    <phoneticPr fontId="14"/>
  </si>
  <si>
    <t>小売</t>
    <rPh sb="0" eb="2">
      <t>コウリ</t>
    </rPh>
    <phoneticPr fontId="14"/>
  </si>
  <si>
    <t>コマース</t>
    <phoneticPr fontId="14"/>
  </si>
  <si>
    <t>年月日</t>
    <rPh sb="0" eb="3">
      <t>ネンガッピ</t>
    </rPh>
    <phoneticPr fontId="14"/>
  </si>
  <si>
    <t>変更日時</t>
    <rPh sb="0" eb="2">
      <t>ヘンコウ</t>
    </rPh>
    <rPh sb="2" eb="4">
      <t>ニチジ</t>
    </rPh>
    <phoneticPr fontId="14"/>
  </si>
  <si>
    <t>委任状の状態</t>
    <rPh sb="0" eb="3">
      <t>イニンジョウ</t>
    </rPh>
    <rPh sb="4" eb="6">
      <t>ジョウタイ</t>
    </rPh>
    <phoneticPr fontId="14"/>
  </si>
  <si>
    <t>繰返し</t>
    <rPh sb="0" eb="1">
      <t>ク</t>
    </rPh>
    <phoneticPr fontId="14"/>
  </si>
  <si>
    <t>繰返し
一時</t>
    <rPh sb="0" eb="2">
      <t>クリカエ</t>
    </rPh>
    <rPh sb="4" eb="6">
      <t>イチジ</t>
    </rPh>
    <phoneticPr fontId="14"/>
  </si>
  <si>
    <t>委任状スキーム</t>
    <rPh sb="0" eb="3">
      <t>イニンジョウ</t>
    </rPh>
    <phoneticPr fontId="14"/>
  </si>
  <si>
    <t>署名日</t>
    <rPh sb="0" eb="2">
      <t>ショメイ</t>
    </rPh>
    <rPh sb="2" eb="3">
      <t>ヒ</t>
    </rPh>
    <phoneticPr fontId="14"/>
  </si>
  <si>
    <t>銀行口座（ユーザー定義）</t>
    <rPh sb="0" eb="4">
      <t>ギンコウコウザ</t>
    </rPh>
    <phoneticPr fontId="14"/>
  </si>
  <si>
    <t>銀行口座</t>
    <rPh sb="0" eb="2">
      <t>ギンコウ</t>
    </rPh>
    <rPh sb="2" eb="4">
      <t>コウザ</t>
    </rPh>
    <phoneticPr fontId="14"/>
  </si>
  <si>
    <t>委任状ID</t>
    <rPh sb="0" eb="3">
      <t>イニンジョウ</t>
    </rPh>
    <phoneticPr fontId="14"/>
  </si>
  <si>
    <t>口座引落の委任状</t>
    <rPh sb="0" eb="3">
      <t>コウザヒ</t>
    </rPh>
    <rPh sb="3" eb="4">
      <t>オ</t>
    </rPh>
    <rPh sb="5" eb="8">
      <t>イニンジョウ</t>
    </rPh>
    <phoneticPr fontId="14"/>
  </si>
  <si>
    <t>速達船荷証券の受理</t>
    <rPh sb="0" eb="2">
      <t>ソクタツ</t>
    </rPh>
    <rPh sb="2" eb="3">
      <t>フネ</t>
    </rPh>
    <rPh sb="3" eb="4">
      <t>ニ</t>
    </rPh>
    <rPh sb="4" eb="6">
      <t>ショウケン</t>
    </rPh>
    <rPh sb="7" eb="9">
      <t>ジュリ</t>
    </rPh>
    <phoneticPr fontId="14"/>
  </si>
  <si>
    <t>船荷証券</t>
    <rPh sb="0" eb="1">
      <t>フネ</t>
    </rPh>
    <rPh sb="1" eb="2">
      <t>ニ</t>
    </rPh>
    <rPh sb="2" eb="4">
      <t>ショウケン</t>
    </rPh>
    <phoneticPr fontId="14"/>
  </si>
  <si>
    <t>輸送管理</t>
    <rPh sb="0" eb="2">
      <t>ユソウ</t>
    </rPh>
    <rPh sb="2" eb="4">
      <t>カンリ</t>
    </rPh>
    <phoneticPr fontId="14"/>
  </si>
  <si>
    <t>運賃の見越計上</t>
    <rPh sb="0" eb="2">
      <t>ウンチン</t>
    </rPh>
    <rPh sb="3" eb="5">
      <t>ミコ</t>
    </rPh>
    <rPh sb="5" eb="7">
      <t>ケイジョウ</t>
    </rPh>
    <phoneticPr fontId="14"/>
  </si>
  <si>
    <t>運賃</t>
    <rPh sb="0" eb="2">
      <t>ウンチン</t>
    </rPh>
    <phoneticPr fontId="14"/>
  </si>
  <si>
    <t>電子請求書の添付</t>
    <rPh sb="0" eb="2">
      <t>デンシ</t>
    </rPh>
    <rPh sb="2" eb="5">
      <t>セイキュウショ</t>
    </rPh>
    <rPh sb="6" eb="8">
      <t>テンプ</t>
    </rPh>
    <phoneticPr fontId="14"/>
  </si>
  <si>
    <t>eInvoice</t>
    <phoneticPr fontId="14"/>
  </si>
  <si>
    <t>E-INVOICE</t>
    <phoneticPr fontId="14"/>
  </si>
  <si>
    <t>文字列</t>
  </si>
  <si>
    <t>ライセンス番号</t>
    <rPh sb="5" eb="7">
      <t>バンゴウ</t>
    </rPh>
    <phoneticPr fontId="14"/>
  </si>
  <si>
    <t>梱包材費用</t>
    <rPh sb="0" eb="2">
      <t>コンポウ</t>
    </rPh>
    <rPh sb="2" eb="3">
      <t>ザイ</t>
    </rPh>
    <rPh sb="3" eb="5">
      <t>ヒヨウ</t>
    </rPh>
    <phoneticPr fontId="14"/>
  </si>
  <si>
    <t>文字列</t>
    <phoneticPr fontId="14"/>
  </si>
  <si>
    <t>梱包税ライセンス番号</t>
    <rPh sb="0" eb="2">
      <t>コンポウ</t>
    </rPh>
    <rPh sb="2" eb="3">
      <t>ゼイ</t>
    </rPh>
    <rPh sb="8" eb="10">
      <t>バンゴウ</t>
    </rPh>
    <phoneticPr fontId="14"/>
  </si>
  <si>
    <t>税込価格</t>
    <rPh sb="0" eb="2">
      <t>ゼイコミ</t>
    </rPh>
    <rPh sb="2" eb="4">
      <t>カカク</t>
    </rPh>
    <phoneticPr fontId="14"/>
  </si>
  <si>
    <t>課税控除番号（ユーザー定義）</t>
  </si>
  <si>
    <t>課税控除番号</t>
    <rPh sb="0" eb="2">
      <t>カゼイ</t>
    </rPh>
    <rPh sb="2" eb="4">
      <t>コウジョ</t>
    </rPh>
    <rPh sb="4" eb="6">
      <t>バンゴウ</t>
    </rPh>
    <phoneticPr fontId="14"/>
  </si>
  <si>
    <t>消費税グループ（ユーザー定義）</t>
  </si>
  <si>
    <t>消費税</t>
    <rPh sb="0" eb="3">
      <t>ショウヒゼイ</t>
    </rPh>
    <phoneticPr fontId="14"/>
  </si>
  <si>
    <t>作業時間カレンダー（ユーザー定義）</t>
  </si>
  <si>
    <t>入荷カレンダー</t>
    <rPh sb="0" eb="2">
      <t>ニュウカ</t>
    </rPh>
    <phoneticPr fontId="14"/>
  </si>
  <si>
    <t>行先コード（ユーザー定義）</t>
  </si>
  <si>
    <t>出荷先コード</t>
    <rPh sb="0" eb="2">
      <t>シュッカ</t>
    </rPh>
    <rPh sb="2" eb="3">
      <t>サキ</t>
    </rPh>
    <phoneticPr fontId="14"/>
  </si>
  <si>
    <t>配送理由（ユーザー定義）</t>
    <rPh sb="0" eb="2">
      <t>ハイソウ</t>
    </rPh>
    <rPh sb="2" eb="4">
      <t>リユウ</t>
    </rPh>
    <phoneticPr fontId="14"/>
  </si>
  <si>
    <t>配送理由</t>
    <rPh sb="0" eb="2">
      <t>ハイソウ</t>
    </rPh>
    <rPh sb="2" eb="4">
      <t>リユウ</t>
    </rPh>
    <phoneticPr fontId="14"/>
  </si>
  <si>
    <t>荷渡方法（ユーザー定義）</t>
    <rPh sb="0" eb="2">
      <t>ニワタ</t>
    </rPh>
    <rPh sb="2" eb="4">
      <t>ホウホウ</t>
    </rPh>
    <phoneticPr fontId="14"/>
  </si>
  <si>
    <t>荷渡方法</t>
    <rPh sb="0" eb="1">
      <t>ニ</t>
    </rPh>
    <rPh sb="1" eb="2">
      <t>ワタ</t>
    </rPh>
    <rPh sb="2" eb="4">
      <t>ホウホウ</t>
    </rPh>
    <phoneticPr fontId="14"/>
  </si>
  <si>
    <t>配送条件（ユーザー定義）</t>
    <rPh sb="0" eb="2">
      <t>ハイソウ</t>
    </rPh>
    <rPh sb="2" eb="4">
      <t>ジョウケン</t>
    </rPh>
    <phoneticPr fontId="14"/>
  </si>
  <si>
    <t>配送条件</t>
    <rPh sb="0" eb="2">
      <t>ハイソウ</t>
    </rPh>
    <rPh sb="2" eb="4">
      <t>ジョウケン</t>
    </rPh>
    <phoneticPr fontId="14"/>
  </si>
  <si>
    <t>UPSゾーン</t>
  </si>
  <si>
    <t>配送日</t>
    <rPh sb="0" eb="2">
      <t>ハイソウ</t>
    </rPh>
    <rPh sb="2" eb="3">
      <t>ビ</t>
    </rPh>
    <phoneticPr fontId="14"/>
  </si>
  <si>
    <t>プロジェクト請求書のレポート形式から選択</t>
    <rPh sb="6" eb="9">
      <t>セイキュウショ</t>
    </rPh>
    <rPh sb="14" eb="16">
      <t>ケイシキ</t>
    </rPh>
    <rPh sb="18" eb="20">
      <t>センタク</t>
    </rPh>
    <phoneticPr fontId="14"/>
  </si>
  <si>
    <t>PSAProjInvoice.Report
PSAProjInvoice.Report_JP</t>
    <phoneticPr fontId="14"/>
  </si>
  <si>
    <t>請求書テンプレート</t>
    <rPh sb="0" eb="3">
      <t>セイキュウショ</t>
    </rPh>
    <phoneticPr fontId="14"/>
  </si>
  <si>
    <t>番号順序グループ（ユーザー定義）</t>
    <phoneticPr fontId="14"/>
  </si>
  <si>
    <t>番号順序グループ</t>
    <rPh sb="0" eb="2">
      <t>バンゴウ</t>
    </rPh>
    <rPh sb="2" eb="4">
      <t>ジュンジョ</t>
    </rPh>
    <phoneticPr fontId="14"/>
  </si>
  <si>
    <t>請求先/元 ID</t>
  </si>
  <si>
    <t>請求先/元 ID
注文顧客</t>
    <rPh sb="0" eb="2">
      <t>セイキュウ</t>
    </rPh>
    <rPh sb="2" eb="3">
      <t>サキ</t>
    </rPh>
    <rPh sb="4" eb="5">
      <t>モト</t>
    </rPh>
    <rPh sb="9" eb="11">
      <t>チュウモン</t>
    </rPh>
    <rPh sb="11" eb="13">
      <t>コキャク</t>
    </rPh>
    <phoneticPr fontId="14"/>
  </si>
  <si>
    <t>顧客（ユーザー定義）</t>
    <rPh sb="0" eb="2">
      <t>コキャク</t>
    </rPh>
    <phoneticPr fontId="14"/>
  </si>
  <si>
    <t>請求先/元 ID</t>
    <rPh sb="0" eb="2">
      <t>セイキュウ</t>
    </rPh>
    <rPh sb="2" eb="3">
      <t>サキ</t>
    </rPh>
    <rPh sb="4" eb="5">
      <t>モト</t>
    </rPh>
    <phoneticPr fontId="14"/>
  </si>
  <si>
    <t>請求書と出荷</t>
    <rPh sb="0" eb="3">
      <t>セイキュウショ</t>
    </rPh>
    <rPh sb="4" eb="6">
      <t>シュッカ</t>
    </rPh>
    <phoneticPr fontId="14"/>
  </si>
  <si>
    <t>在庫状態（ユーザー定義）</t>
  </si>
  <si>
    <t>既定の在庫状態ID</t>
    <rPh sb="0" eb="2">
      <t>キテイ</t>
    </rPh>
    <rPh sb="3" eb="5">
      <t>ザイコ</t>
    </rPh>
    <rPh sb="5" eb="7">
      <t>ジョウタイ</t>
    </rPh>
    <phoneticPr fontId="14"/>
  </si>
  <si>
    <t>出荷全体の入力</t>
    <rPh sb="0" eb="2">
      <t>シュッカ</t>
    </rPh>
    <rPh sb="2" eb="4">
      <t>ゼンタイ</t>
    </rPh>
    <rPh sb="5" eb="7">
      <t>ニュウリョク</t>
    </rPh>
    <phoneticPr fontId="14"/>
  </si>
  <si>
    <t>出荷処理中</t>
    <rPh sb="0" eb="2">
      <t>シュッカ</t>
    </rPh>
    <rPh sb="2" eb="5">
      <t>ショリチュウ</t>
    </rPh>
    <phoneticPr fontId="14"/>
  </si>
  <si>
    <t>フルフィルメント ポリシー（ユーザー定義）</t>
  </si>
  <si>
    <t>フルフィルメントポリシー</t>
  </si>
  <si>
    <t>倉庫にリリース</t>
    <rPh sb="0" eb="2">
      <t>ソウコ</t>
    </rPh>
    <phoneticPr fontId="14"/>
  </si>
  <si>
    <t>ASNの生成</t>
    <rPh sb="4" eb="6">
      <t>セイセイ</t>
    </rPh>
    <phoneticPr fontId="14"/>
  </si>
  <si>
    <t>ASN</t>
    <phoneticPr fontId="14"/>
  </si>
  <si>
    <t>既定の財務分析コード</t>
    <rPh sb="0" eb="2">
      <t>キテイ</t>
    </rPh>
    <rPh sb="3" eb="5">
      <t>ザイム</t>
    </rPh>
    <rPh sb="5" eb="7">
      <t>ブンセキ</t>
    </rPh>
    <phoneticPr fontId="14"/>
  </si>
  <si>
    <t>財務分析コード</t>
    <rPh sb="0" eb="4">
      <t>ザイムブンセキ</t>
    </rPh>
    <phoneticPr fontId="14"/>
  </si>
  <si>
    <t>月次締め日</t>
    <rPh sb="0" eb="2">
      <t>ゲツジ</t>
    </rPh>
    <rPh sb="2" eb="3">
      <t>シ</t>
    </rPh>
    <rPh sb="4" eb="5">
      <t>ビ</t>
    </rPh>
    <phoneticPr fontId="14"/>
  </si>
  <si>
    <t>月次締めグループ</t>
    <rPh sb="0" eb="2">
      <t>ゲツジ</t>
    </rPh>
    <rPh sb="2" eb="3">
      <t>シ</t>
    </rPh>
    <phoneticPr fontId="14"/>
  </si>
  <si>
    <t>日数</t>
    <rPh sb="0" eb="2">
      <t>ニッスウ</t>
    </rPh>
    <phoneticPr fontId="14"/>
  </si>
  <si>
    <t>しきい値</t>
    <rPh sb="3" eb="4">
      <t>チ</t>
    </rPh>
    <phoneticPr fontId="14"/>
  </si>
  <si>
    <t>小切手の保留</t>
    <rPh sb="0" eb="3">
      <t>コギッテ</t>
    </rPh>
    <rPh sb="4" eb="6">
      <t>ホリュウ</t>
    </rPh>
    <phoneticPr fontId="14"/>
  </si>
  <si>
    <t>支払目的コード（ユーザー定義）</t>
  </si>
  <si>
    <t>中央銀行目的コード</t>
    <rPh sb="0" eb="2">
      <t>チュウオウ</t>
    </rPh>
    <rPh sb="2" eb="4">
      <t>ギンコウ</t>
    </rPh>
    <rPh sb="4" eb="6">
      <t>モクテキ</t>
    </rPh>
    <phoneticPr fontId="14"/>
  </si>
  <si>
    <t>中央銀行への通知</t>
    <rPh sb="0" eb="4">
      <t>チュウオウギンコウ</t>
    </rPh>
    <rPh sb="6" eb="8">
      <t>ツウチ</t>
    </rPh>
    <phoneticPr fontId="14"/>
  </si>
  <si>
    <t>標準
常時
なし</t>
    <rPh sb="0" eb="2">
      <t>ヒョウジュン</t>
    </rPh>
    <rPh sb="3" eb="5">
      <t>ジョウジ</t>
    </rPh>
    <phoneticPr fontId="14"/>
  </si>
  <si>
    <t>現金割引の使用</t>
    <rPh sb="0" eb="4">
      <t>ゲンキンワリビキ</t>
    </rPh>
    <rPh sb="5" eb="7">
      <t>シヨウ</t>
    </rPh>
    <phoneticPr fontId="14"/>
  </si>
  <si>
    <t>選択した銀行口座の銀行口座番号がセットされる</t>
    <rPh sb="0" eb="2">
      <t>センタク</t>
    </rPh>
    <rPh sb="4" eb="8">
      <t>ギンコウコウザ</t>
    </rPh>
    <rPh sb="9" eb="13">
      <t>ギンコウコウザ</t>
    </rPh>
    <rPh sb="13" eb="15">
      <t>バンゴウ</t>
    </rPh>
    <phoneticPr fontId="14"/>
  </si>
  <si>
    <t>銀行口座番号</t>
    <rPh sb="0" eb="2">
      <t>ギンコウ</t>
    </rPh>
    <rPh sb="2" eb="4">
      <t>コウザ</t>
    </rPh>
    <rPh sb="4" eb="6">
      <t>バンゴウ</t>
    </rPh>
    <phoneticPr fontId="14"/>
  </si>
  <si>
    <t>支払ID（ユーザー定義）</t>
    <rPh sb="0" eb="2">
      <t>シハラ</t>
    </rPh>
    <phoneticPr fontId="14"/>
  </si>
  <si>
    <t>支払IDタイプ</t>
    <rPh sb="0" eb="2">
      <t>シハラ</t>
    </rPh>
    <phoneticPr fontId="14"/>
  </si>
  <si>
    <t>適格な分割</t>
    <rPh sb="0" eb="2">
      <t>テキカク</t>
    </rPh>
    <rPh sb="3" eb="5">
      <t>ブンカツ</t>
    </rPh>
    <phoneticPr fontId="14"/>
  </si>
  <si>
    <t>チャネルのフロア制限仕様をブロック</t>
    <rPh sb="8" eb="10">
      <t>セイゲン</t>
    </rPh>
    <rPh sb="10" eb="12">
      <t>シヨウ</t>
    </rPh>
    <phoneticPr fontId="14"/>
  </si>
  <si>
    <t>内金の許可</t>
    <rPh sb="0" eb="2">
      <t>ウチキン</t>
    </rPh>
    <rPh sb="3" eb="5">
      <t>キョカ</t>
    </rPh>
    <phoneticPr fontId="14"/>
  </si>
  <si>
    <t>銀行口座（ユーザー定義）</t>
    <rPh sb="0" eb="2">
      <t>ギンコウ</t>
    </rPh>
    <rPh sb="2" eb="4">
      <t>コウザ</t>
    </rPh>
    <phoneticPr fontId="14"/>
  </si>
  <si>
    <t>支払期間基準日数</t>
    <rPh sb="0" eb="2">
      <t>シハライ</t>
    </rPh>
    <rPh sb="2" eb="4">
      <t>キカン</t>
    </rPh>
    <rPh sb="4" eb="6">
      <t>キジュン</t>
    </rPh>
    <rPh sb="6" eb="8">
      <t>ニッスウ</t>
    </rPh>
    <phoneticPr fontId="14"/>
  </si>
  <si>
    <t>現金割引（ユーザー定義）</t>
    <rPh sb="0" eb="4">
      <t>ゲンキンワリビキ</t>
    </rPh>
    <phoneticPr fontId="14"/>
  </si>
  <si>
    <t>現金割引</t>
    <rPh sb="0" eb="2">
      <t>ゲンキン</t>
    </rPh>
    <rPh sb="2" eb="4">
      <t>ワリビキ</t>
    </rPh>
    <phoneticPr fontId="14"/>
  </si>
  <si>
    <t>支払期日（ユーザー定義）</t>
  </si>
  <si>
    <t>支払期日</t>
    <rPh sb="0" eb="2">
      <t>シハライ</t>
    </rPh>
    <rPh sb="2" eb="4">
      <t>キジツ</t>
    </rPh>
    <phoneticPr fontId="14"/>
  </si>
  <si>
    <t>支払スケジュール（ユーザー定義）</t>
  </si>
  <si>
    <t>支払スケジュール</t>
    <rPh sb="0" eb="2">
      <t>シハライ</t>
    </rPh>
    <phoneticPr fontId="14"/>
  </si>
  <si>
    <t>支払詳細（ユーザー定義）</t>
  </si>
  <si>
    <t>支払詳細</t>
    <rPh sb="0" eb="2">
      <t>シハライ</t>
    </rPh>
    <rPh sb="2" eb="4">
      <t>ショウサイ</t>
    </rPh>
    <phoneticPr fontId="14"/>
  </si>
  <si>
    <t>支払方法（ユーザー定義）</t>
  </si>
  <si>
    <t>支払方法</t>
    <rPh sb="0" eb="2">
      <t>シハライ</t>
    </rPh>
    <rPh sb="2" eb="4">
      <t>ホウホウ</t>
    </rPh>
    <phoneticPr fontId="14"/>
  </si>
  <si>
    <t>支払条件（ユーザー定義）</t>
    <rPh sb="0" eb="2">
      <t>シハラ</t>
    </rPh>
    <rPh sb="2" eb="4">
      <t>ジョウケン</t>
    </rPh>
    <phoneticPr fontId="14"/>
  </si>
  <si>
    <t>支払条件</t>
    <rPh sb="0" eb="2">
      <t>シハライ</t>
    </rPh>
    <rPh sb="2" eb="4">
      <t>ジョウケン</t>
    </rPh>
    <phoneticPr fontId="14"/>
  </si>
  <si>
    <t>支払</t>
    <rPh sb="0" eb="2">
      <t>シハライ</t>
    </rPh>
    <phoneticPr fontId="14"/>
  </si>
  <si>
    <t>支払の既定値</t>
    <rPh sb="0" eb="2">
      <t>シハライ</t>
    </rPh>
    <rPh sb="3" eb="6">
      <t>キテイチ</t>
    </rPh>
    <phoneticPr fontId="14"/>
  </si>
  <si>
    <t>詳細なメモ グループ（ユーザー定義）</t>
  </si>
  <si>
    <t>詳細なメモ グループ</t>
    <rPh sb="0" eb="2">
      <t>ショウサイ</t>
    </rPh>
    <phoneticPr fontId="14"/>
  </si>
  <si>
    <t>詳細なメモ</t>
    <rPh sb="0" eb="2">
      <t>ショウサイ</t>
    </rPh>
    <phoneticPr fontId="14"/>
  </si>
  <si>
    <t>低-10</t>
    <phoneticPr fontId="14"/>
  </si>
  <si>
    <t>高-1
高-2
高-3
中-4
中-5
中-6
中-7
低-8
低-9
低-10</t>
    <rPh sb="0" eb="1">
      <t>コウ</t>
    </rPh>
    <rPh sb="12" eb="13">
      <t>チュウ</t>
    </rPh>
    <rPh sb="16" eb="17">
      <t>チュウ</t>
    </rPh>
    <rPh sb="20" eb="21">
      <t>チュウ</t>
    </rPh>
    <rPh sb="24" eb="25">
      <t>チュウ</t>
    </rPh>
    <rPh sb="28" eb="29">
      <t>ヒク</t>
    </rPh>
    <rPh sb="32" eb="33">
      <t>テイ</t>
    </rPh>
    <rPh sb="36" eb="37">
      <t>ヒク</t>
    </rPh>
    <phoneticPr fontId="14"/>
  </si>
  <si>
    <t>優先順位</t>
    <rPh sb="0" eb="2">
      <t>ユウセン</t>
    </rPh>
    <rPh sb="2" eb="4">
      <t>ジュンイ</t>
    </rPh>
    <phoneticPr fontId="14"/>
  </si>
  <si>
    <t>配賦</t>
    <rPh sb="0" eb="2">
      <t>ハイフ</t>
    </rPh>
    <phoneticPr fontId="14"/>
  </si>
  <si>
    <t>自動キャンセル</t>
    <rPh sb="0" eb="2">
      <t>ジドウ</t>
    </rPh>
    <phoneticPr fontId="14"/>
  </si>
  <si>
    <t>提供品グループ（ユーザー定義）</t>
  </si>
  <si>
    <t>提供品</t>
    <rPh sb="0" eb="2">
      <t>テイキョウ</t>
    </rPh>
    <rPh sb="2" eb="3">
      <t>ヒン</t>
    </rPh>
    <phoneticPr fontId="14"/>
  </si>
  <si>
    <t>価格/割引グループ（ユーザー定義）</t>
    <rPh sb="0" eb="2">
      <t>カカク</t>
    </rPh>
    <rPh sb="3" eb="5">
      <t>ワリビキ</t>
    </rPh>
    <phoneticPr fontId="14"/>
  </si>
  <si>
    <t>送料グループ</t>
    <rPh sb="0" eb="2">
      <t>ソウリョウ</t>
    </rPh>
    <phoneticPr fontId="14"/>
  </si>
  <si>
    <t>「価格/割引グループ」が「送料グループ」のレコードから選択</t>
    <rPh sb="1" eb="3">
      <t>カカク</t>
    </rPh>
    <rPh sb="4" eb="6">
      <t>ワリビキ</t>
    </rPh>
    <rPh sb="13" eb="15">
      <t>ソウリョウ</t>
    </rPh>
    <rPh sb="27" eb="29">
      <t>センタク</t>
    </rPh>
    <phoneticPr fontId="14"/>
  </si>
  <si>
    <t>顧客TMA グループ（ユーザー定義）</t>
    <rPh sb="0" eb="2">
      <t>コキャク</t>
    </rPh>
    <phoneticPr fontId="14"/>
  </si>
  <si>
    <t>顧客TWAグループ</t>
    <rPh sb="0" eb="2">
      <t>コキャク</t>
    </rPh>
    <phoneticPr fontId="14"/>
  </si>
  <si>
    <t>顧客リベートグループ (複数)（ユーザー定義）</t>
    <rPh sb="0" eb="2">
      <t>コキャク</t>
    </rPh>
    <phoneticPr fontId="14"/>
  </si>
  <si>
    <t>顧客リベートグループ</t>
    <rPh sb="0" eb="2">
      <t>コキャク</t>
    </rPh>
    <phoneticPr fontId="14"/>
  </si>
  <si>
    <t>「価格/割引グループ」が「行割引グループ」のレコードから選択</t>
    <rPh sb="1" eb="3">
      <t>カカク</t>
    </rPh>
    <rPh sb="4" eb="6">
      <t>ワリビキ</t>
    </rPh>
    <rPh sb="28" eb="30">
      <t>センタク</t>
    </rPh>
    <phoneticPr fontId="14"/>
  </si>
  <si>
    <t>行割引</t>
    <rPh sb="0" eb="1">
      <t>ギョウ</t>
    </rPh>
    <rPh sb="1" eb="3">
      <t>ワリビキ</t>
    </rPh>
    <phoneticPr fontId="14"/>
  </si>
  <si>
    <t>「価格/割引グループ」が「価格グループ」のレコードから選択</t>
    <rPh sb="1" eb="3">
      <t>カカク</t>
    </rPh>
    <rPh sb="4" eb="6">
      <t>ワリビキ</t>
    </rPh>
    <rPh sb="13" eb="15">
      <t>カカク</t>
    </rPh>
    <rPh sb="27" eb="29">
      <t>センタク</t>
    </rPh>
    <phoneticPr fontId="14"/>
  </si>
  <si>
    <t>価格</t>
    <rPh sb="0" eb="2">
      <t>カカク</t>
    </rPh>
    <phoneticPr fontId="14"/>
  </si>
  <si>
    <t>「価格/割引グループ」が「割引合計グループ」のレコードから選択</t>
    <rPh sb="1" eb="3">
      <t>カカク</t>
    </rPh>
    <rPh sb="4" eb="6">
      <t>ワリビキ</t>
    </rPh>
    <rPh sb="29" eb="31">
      <t>センタク</t>
    </rPh>
    <phoneticPr fontId="14"/>
  </si>
  <si>
    <t>割引合計</t>
    <rPh sb="0" eb="2">
      <t>ワリビキ</t>
    </rPh>
    <rPh sb="2" eb="4">
      <t>ゴウケイ</t>
    </rPh>
    <phoneticPr fontId="14"/>
  </si>
  <si>
    <t>「価格/割引グループ」が「複数行割引グループ」のレコードから選択</t>
    <rPh sb="1" eb="3">
      <t>カカク</t>
    </rPh>
    <rPh sb="4" eb="6">
      <t>ワリビキ</t>
    </rPh>
    <rPh sb="30" eb="32">
      <t>センタク</t>
    </rPh>
    <phoneticPr fontId="14"/>
  </si>
  <si>
    <t>複数割引行</t>
    <rPh sb="0" eb="2">
      <t>フクスウ</t>
    </rPh>
    <rPh sb="2" eb="4">
      <t>ワリビキ</t>
    </rPh>
    <rPh sb="4" eb="5">
      <t>ギョウ</t>
    </rPh>
    <phoneticPr fontId="14"/>
  </si>
  <si>
    <t>注文入力期限グループ（ユーザー定義）</t>
  </si>
  <si>
    <t>注文入力期限</t>
    <rPh sb="0" eb="2">
      <t>チュウモン</t>
    </rPh>
    <rPh sb="2" eb="4">
      <t>ニュウリョク</t>
    </rPh>
    <rPh sb="4" eb="6">
      <t>キゲン</t>
    </rPh>
    <phoneticPr fontId="14"/>
  </si>
  <si>
    <t>会社間</t>
    <rPh sb="0" eb="2">
      <t>カイシャ</t>
    </rPh>
    <rPh sb="2" eb="3">
      <t>カン</t>
    </rPh>
    <phoneticPr fontId="14"/>
  </si>
  <si>
    <t>勘定番号</t>
    <rPh sb="0" eb="2">
      <t>カンジョウ</t>
    </rPh>
    <rPh sb="2" eb="4">
      <t>バンゴウ</t>
    </rPh>
    <phoneticPr fontId="14"/>
  </si>
  <si>
    <t>注文管理グループ（ユーザー定義）</t>
  </si>
  <si>
    <t>販売注文管理グループ</t>
    <rPh sb="0" eb="2">
      <t>ハンバイ</t>
    </rPh>
    <rPh sb="2" eb="4">
      <t>チュウモン</t>
    </rPh>
    <rPh sb="4" eb="6">
      <t>カンリ</t>
    </rPh>
    <phoneticPr fontId="14"/>
  </si>
  <si>
    <t>コミッション売上グループ（ユーザー定義）</t>
  </si>
  <si>
    <t>売上グループ</t>
    <rPh sb="0" eb="2">
      <t>ウリアゲ</t>
    </rPh>
    <phoneticPr fontId="14"/>
  </si>
  <si>
    <t>コミッション顧客グループ（ユーザー定義）</t>
  </si>
  <si>
    <t>コミッショングループ</t>
  </si>
  <si>
    <t>外部品目説明（ユーザー定義）</t>
  </si>
  <si>
    <t>品目 - 顧客グループ</t>
    <rPh sb="0" eb="1">
      <t>ヒン</t>
    </rPh>
    <rPh sb="1" eb="2">
      <t>メ</t>
    </rPh>
    <rPh sb="5" eb="7">
      <t>コキャク</t>
    </rPh>
    <phoneticPr fontId="14"/>
  </si>
  <si>
    <t>倉庫（ユーザー定義）</t>
  </si>
  <si>
    <t>サイト（ユーザー定義）</t>
    <phoneticPr fontId="14"/>
  </si>
  <si>
    <t>サイト</t>
    <phoneticPr fontId="14"/>
  </si>
  <si>
    <t>顧客諸掛グループ（ユーザー定義）</t>
    <phoneticPr fontId="14"/>
  </si>
  <si>
    <t>諸掛グループ</t>
    <rPh sb="0" eb="2">
      <t>ショガカ</t>
    </rPh>
    <phoneticPr fontId="14"/>
  </si>
  <si>
    <t>販売注文</t>
    <rPh sb="0" eb="2">
      <t>ハンバイ</t>
    </rPh>
    <rPh sb="2" eb="4">
      <t>チュウモン</t>
    </rPh>
    <phoneticPr fontId="14"/>
  </si>
  <si>
    <t>販売注文の既定値</t>
    <rPh sb="0" eb="2">
      <t>ハンバイ</t>
    </rPh>
    <rPh sb="2" eb="4">
      <t>チュウモン</t>
    </rPh>
    <rPh sb="5" eb="8">
      <t>キテイチ</t>
    </rPh>
    <phoneticPr fontId="14"/>
  </si>
  <si>
    <t>回収手数料を除外</t>
    <rPh sb="0" eb="2">
      <t>カイシュウ</t>
    </rPh>
    <rPh sb="2" eb="5">
      <t>テスウリョウ</t>
    </rPh>
    <rPh sb="6" eb="8">
      <t>ジョガイ</t>
    </rPh>
    <phoneticPr fontId="14"/>
  </si>
  <si>
    <t>利息を除外します</t>
    <rPh sb="0" eb="2">
      <t>リソク</t>
    </rPh>
    <rPh sb="3" eb="5">
      <t>ジョガイ</t>
    </rPh>
    <phoneticPr fontId="14"/>
  </si>
  <si>
    <t>顧客損金処理理由コード（ユーザー定義）</t>
    <phoneticPr fontId="14"/>
  </si>
  <si>
    <t>既定の損金処理の理由</t>
    <rPh sb="0" eb="2">
      <t>キテイ</t>
    </rPh>
    <rPh sb="3" eb="5">
      <t>ソンキン</t>
    </rPh>
    <rPh sb="5" eb="7">
      <t>ショリ</t>
    </rPh>
    <rPh sb="8" eb="10">
      <t>リユウ</t>
    </rPh>
    <phoneticPr fontId="14"/>
  </si>
  <si>
    <t>関係者（ユーザー定義）</t>
    <rPh sb="0" eb="3">
      <t>カンケイシャ</t>
    </rPh>
    <phoneticPr fontId="14"/>
  </si>
  <si>
    <t>回収の連絡先</t>
    <rPh sb="0" eb="2">
      <t>カイシュウ</t>
    </rPh>
    <rPh sb="3" eb="6">
      <t>レンラクサキ</t>
    </rPh>
    <phoneticPr fontId="14"/>
  </si>
  <si>
    <t>いいえ
請求書
すべて
支払
要求
なし
発注書</t>
    <rPh sb="4" eb="7">
      <t>セイキュウショ</t>
    </rPh>
    <rPh sb="12" eb="14">
      <t>シハラ</t>
    </rPh>
    <rPh sb="15" eb="17">
      <t>ヨウキュウ</t>
    </rPh>
    <rPh sb="21" eb="24">
      <t>ハッチュウショ</t>
    </rPh>
    <phoneticPr fontId="14"/>
  </si>
  <si>
    <t>請求と出荷は保留中です</t>
    <rPh sb="0" eb="2">
      <t>セイキュウ</t>
    </rPh>
    <rPh sb="3" eb="5">
      <t>シュッカ</t>
    </rPh>
    <rPh sb="6" eb="9">
      <t>ホリュウチュウ</t>
    </rPh>
    <phoneticPr fontId="14"/>
  </si>
  <si>
    <t>取立</t>
    <rPh sb="0" eb="2">
      <t>トリタテ</t>
    </rPh>
    <phoneticPr fontId="14"/>
  </si>
  <si>
    <t>注記</t>
    <rPh sb="0" eb="2">
      <t>チュウキ</t>
    </rPh>
    <phoneticPr fontId="14"/>
  </si>
  <si>
    <t>初回購入</t>
    <rPh sb="0" eb="2">
      <t>ショカイ</t>
    </rPh>
    <rPh sb="2" eb="4">
      <t>コウニュウ</t>
    </rPh>
    <phoneticPr fontId="14"/>
  </si>
  <si>
    <t>事業の設立年</t>
    <rPh sb="0" eb="2">
      <t>ジギョウ</t>
    </rPh>
    <rPh sb="3" eb="6">
      <t>セツリツネン</t>
    </rPh>
    <phoneticPr fontId="14"/>
  </si>
  <si>
    <t>リスク</t>
    <phoneticPr fontId="14"/>
  </si>
  <si>
    <t>保留されたタイトル</t>
    <phoneticPr fontId="14"/>
  </si>
  <si>
    <t>督促代行業者あり</t>
    <phoneticPr fontId="14"/>
  </si>
  <si>
    <t>与信管理の理由で理由タイプ：状態のレコードの中から選択</t>
    <rPh sb="8" eb="10">
      <t>リユウ</t>
    </rPh>
    <rPh sb="14" eb="16">
      <t>ジョウタイ</t>
    </rPh>
    <rPh sb="22" eb="23">
      <t>ナカ</t>
    </rPh>
    <rPh sb="25" eb="27">
      <t>センタク</t>
    </rPh>
    <phoneticPr fontId="14"/>
  </si>
  <si>
    <t>与信管理の理由（ユーザー定義）</t>
    <phoneticPr fontId="14"/>
  </si>
  <si>
    <t>勘定状態の理由</t>
    <rPh sb="0" eb="2">
      <t>カンジョウ</t>
    </rPh>
    <rPh sb="2" eb="4">
      <t>ジョウタイ</t>
    </rPh>
    <rPh sb="5" eb="7">
      <t>リユウ</t>
    </rPh>
    <phoneticPr fontId="14"/>
  </si>
  <si>
    <t>勘定状態（ユーザー定義）</t>
    <rPh sb="0" eb="2">
      <t>カンジョウ</t>
    </rPh>
    <rPh sb="2" eb="4">
      <t>ジョウタイ</t>
    </rPh>
    <phoneticPr fontId="14"/>
  </si>
  <si>
    <t>勘定状態</t>
    <rPh sb="0" eb="2">
      <t>カンジョウ</t>
    </rPh>
    <rPh sb="2" eb="4">
      <t>ジョウタイ</t>
    </rPh>
    <phoneticPr fontId="14"/>
  </si>
  <si>
    <t>状態</t>
    <rPh sb="0" eb="2">
      <t>ジョウタイ</t>
    </rPh>
    <phoneticPr fontId="14"/>
  </si>
  <si>
    <t>適格な与信限度額の変更日</t>
    <phoneticPr fontId="14"/>
  </si>
  <si>
    <t>適格な与信限度額の通貨</t>
    <rPh sb="9" eb="11">
      <t>ツウカ</t>
    </rPh>
    <phoneticPr fontId="14"/>
  </si>
  <si>
    <t>適格な与信限度額</t>
    <phoneticPr fontId="14"/>
  </si>
  <si>
    <t>次にスケジュールされた確認日</t>
    <phoneticPr fontId="14"/>
  </si>
  <si>
    <t>最終確認日</t>
    <phoneticPr fontId="14"/>
  </si>
  <si>
    <t>与信の確認</t>
    <rPh sb="0" eb="2">
      <t>ヨシン</t>
    </rPh>
    <rPh sb="3" eb="5">
      <t>カクニン</t>
    </rPh>
    <phoneticPr fontId="14"/>
  </si>
  <si>
    <t>顧客与信グループ</t>
    <phoneticPr fontId="14"/>
  </si>
  <si>
    <t>与信限度額の変更日</t>
    <phoneticPr fontId="14"/>
  </si>
  <si>
    <t>与信限度額の有効期限日</t>
    <phoneticPr fontId="14"/>
  </si>
  <si>
    <t>合計与信限度額</t>
    <phoneticPr fontId="14"/>
  </si>
  <si>
    <t>保険および保証</t>
    <phoneticPr fontId="14"/>
  </si>
  <si>
    <t>顧客の通貨 (JPY) での与信限度額</t>
    <phoneticPr fontId="14"/>
  </si>
  <si>
    <t>与信限度額</t>
    <rPh sb="0" eb="5">
      <t>ヨシンゲンドガク</t>
    </rPh>
    <phoneticPr fontId="14"/>
  </si>
  <si>
    <t>合計与信限度額</t>
  </si>
  <si>
    <t>与信管理グループ（ユーザー定義）</t>
    <rPh sb="0" eb="2">
      <t>ヨシン</t>
    </rPh>
    <rPh sb="2" eb="4">
      <t>カンリ</t>
    </rPh>
    <phoneticPr fontId="14"/>
  </si>
  <si>
    <t>与信管理グループ</t>
    <rPh sb="0" eb="2">
      <t>ヨシン</t>
    </rPh>
    <rPh sb="2" eb="4">
      <t>カンリ</t>
    </rPh>
    <phoneticPr fontId="14"/>
  </si>
  <si>
    <t>与信管理から除外</t>
    <rPh sb="0" eb="4">
      <t>ヨシンカンリ</t>
    </rPh>
    <rPh sb="6" eb="8">
      <t>ジョガイ</t>
    </rPh>
    <phoneticPr fontId="14"/>
  </si>
  <si>
    <t>無制限の与信限度額</t>
    <rPh sb="0" eb="3">
      <t>ムセイゲン</t>
    </rPh>
    <rPh sb="4" eb="9">
      <t>ヨシンゲンドガク</t>
    </rPh>
    <phoneticPr fontId="14"/>
  </si>
  <si>
    <t>与信限度確認必須</t>
    <rPh sb="0" eb="2">
      <t>ヨシン</t>
    </rPh>
    <rPh sb="2" eb="4">
      <t>ゲンド</t>
    </rPh>
    <rPh sb="4" eb="6">
      <t>カクニン</t>
    </rPh>
    <rPh sb="6" eb="8">
      <t>ヒッス</t>
    </rPh>
    <phoneticPr fontId="14"/>
  </si>
  <si>
    <t>信用格付け</t>
    <rPh sb="0" eb="2">
      <t>シンヨウ</t>
    </rPh>
    <rPh sb="2" eb="4">
      <t>カクヅ</t>
    </rPh>
    <phoneticPr fontId="14"/>
  </si>
  <si>
    <t>一般</t>
    <phoneticPr fontId="14"/>
  </si>
  <si>
    <t>与信および回収</t>
    <rPh sb="0" eb="2">
      <t>ヨシン</t>
    </rPh>
    <rPh sb="5" eb="7">
      <t>カイシュウ</t>
    </rPh>
    <phoneticPr fontId="14"/>
  </si>
  <si>
    <t>ソースコード（ユーザー定義）</t>
    <phoneticPr fontId="14"/>
  </si>
  <si>
    <t>前回プロモーションのソース</t>
    <rPh sb="0" eb="2">
      <t>ゼンカイ</t>
    </rPh>
    <phoneticPr fontId="14"/>
  </si>
  <si>
    <t>前回注文のソース</t>
    <rPh sb="0" eb="2">
      <t>ゼンカイ</t>
    </rPh>
    <rPh sb="2" eb="4">
      <t>チュウモン</t>
    </rPh>
    <phoneticPr fontId="14"/>
  </si>
  <si>
    <t>ソースコード</t>
  </si>
  <si>
    <t>マーケティング</t>
  </si>
  <si>
    <t>JPY</t>
    <phoneticPr fontId="14"/>
  </si>
  <si>
    <t>販売地域（ユーザー定義）</t>
    <rPh sb="0" eb="2">
      <t>ハンバイ</t>
    </rPh>
    <rPh sb="2" eb="4">
      <t>チイキ</t>
    </rPh>
    <phoneticPr fontId="14"/>
  </si>
  <si>
    <t>販売地域</t>
    <rPh sb="0" eb="2">
      <t>ハンバイ</t>
    </rPh>
    <rPh sb="2" eb="4">
      <t>チイキ</t>
    </rPh>
    <phoneticPr fontId="14"/>
  </si>
  <si>
    <t>会社グループ（ユーザー定義）</t>
    <rPh sb="0" eb="2">
      <t>カイシャ</t>
    </rPh>
    <phoneticPr fontId="14"/>
  </si>
  <si>
    <t>会社グループ</t>
    <rPh sb="0" eb="2">
      <t>カイシャ</t>
    </rPh>
    <phoneticPr fontId="14"/>
  </si>
  <si>
    <t>小区分（ユーザー定義）</t>
    <rPh sb="0" eb="3">
      <t>ショウクブン</t>
    </rPh>
    <phoneticPr fontId="14"/>
  </si>
  <si>
    <t>小区分</t>
    <rPh sb="0" eb="3">
      <t>ショウクブン</t>
    </rPh>
    <phoneticPr fontId="14"/>
  </si>
  <si>
    <t>区分（ユーザー定義）</t>
    <rPh sb="0" eb="2">
      <t>クブン</t>
    </rPh>
    <phoneticPr fontId="14"/>
  </si>
  <si>
    <t>作業者（ユーザー定義）</t>
    <rPh sb="0" eb="3">
      <t>サギョウシャ</t>
    </rPh>
    <phoneticPr fontId="14"/>
  </si>
  <si>
    <t>担当従業員</t>
    <rPh sb="0" eb="2">
      <t>タントウ</t>
    </rPh>
    <rPh sb="2" eb="5">
      <t>ジュウギョウイン</t>
    </rPh>
    <phoneticPr fontId="14"/>
  </si>
  <si>
    <t>業種（ユーザー定義）</t>
    <rPh sb="0" eb="2">
      <t>ギョウシュ</t>
    </rPh>
    <phoneticPr fontId="14"/>
  </si>
  <si>
    <t>業種</t>
    <rPh sb="0" eb="2">
      <t>ギョウシュ</t>
    </rPh>
    <phoneticPr fontId="14"/>
  </si>
  <si>
    <t>連絡先（ユーザー定義）</t>
    <rPh sb="0" eb="3">
      <t>レンラクサキ</t>
    </rPh>
    <phoneticPr fontId="14"/>
  </si>
  <si>
    <t>基本連絡先</t>
    <rPh sb="0" eb="2">
      <t>キホン</t>
    </rPh>
    <rPh sb="2" eb="5">
      <t>レンラクサキ</t>
    </rPh>
    <phoneticPr fontId="14"/>
  </si>
  <si>
    <t>顧客情報</t>
    <rPh sb="0" eb="2">
      <t>コキャク</t>
    </rPh>
    <rPh sb="2" eb="4">
      <t>ジョウホウ</t>
    </rPh>
    <phoneticPr fontId="14"/>
  </si>
  <si>
    <t>間接注文明細行の作成</t>
    <rPh sb="0" eb="2">
      <t>カンセツ</t>
    </rPh>
    <rPh sb="2" eb="4">
      <t>チュウモン</t>
    </rPh>
    <rPh sb="4" eb="6">
      <t>メイサイ</t>
    </rPh>
    <rPh sb="6" eb="7">
      <t>ギョウ</t>
    </rPh>
    <rPh sb="8" eb="10">
      <t>サクセイ</t>
    </rPh>
    <phoneticPr fontId="14"/>
  </si>
  <si>
    <t>直納</t>
    <rPh sb="0" eb="2">
      <t>チョクノウ</t>
    </rPh>
    <phoneticPr fontId="14"/>
  </si>
  <si>
    <t>会社間注文の作成</t>
    <rPh sb="0" eb="2">
      <t>カイシャ</t>
    </rPh>
    <rPh sb="2" eb="3">
      <t>カン</t>
    </rPh>
    <rPh sb="3" eb="5">
      <t>チュウモン</t>
    </rPh>
    <rPh sb="6" eb="8">
      <t>サクセイ</t>
    </rPh>
    <phoneticPr fontId="14"/>
  </si>
  <si>
    <t>有効</t>
    <rPh sb="0" eb="2">
      <t>ユウコウ</t>
    </rPh>
    <phoneticPr fontId="14"/>
  </si>
  <si>
    <t>自動的な通知と取消の除外</t>
    <rPh sb="0" eb="2">
      <t>ジドウ</t>
    </rPh>
    <rPh sb="2" eb="3">
      <t>テキ</t>
    </rPh>
    <rPh sb="4" eb="6">
      <t>ツウチ</t>
    </rPh>
    <rPh sb="7" eb="9">
      <t>トリケシ</t>
    </rPh>
    <rPh sb="10" eb="12">
      <t>ジョガイ</t>
    </rPh>
    <phoneticPr fontId="14"/>
  </si>
  <si>
    <t>通知と取消の自動処理</t>
    <rPh sb="0" eb="2">
      <t>ツウチ</t>
    </rPh>
    <rPh sb="3" eb="5">
      <t>トリケシ</t>
    </rPh>
    <rPh sb="6" eb="8">
      <t>ジドウ</t>
    </rPh>
    <rPh sb="8" eb="10">
      <t>ショリ</t>
    </rPh>
    <phoneticPr fontId="14"/>
  </si>
  <si>
    <t>仕入先（ユーザー定義）</t>
    <rPh sb="0" eb="3">
      <t>シイレサキ</t>
    </rPh>
    <phoneticPr fontId="14"/>
  </si>
  <si>
    <t>送金</t>
    <rPh sb="0" eb="2">
      <t>ソウキン</t>
    </rPh>
    <phoneticPr fontId="14"/>
  </si>
  <si>
    <t>国/地域（システム定義）</t>
    <rPh sb="0" eb="1">
      <t>クニ</t>
    </rPh>
    <rPh sb="2" eb="4">
      <t>チイキ</t>
    </rPh>
    <rPh sb="9" eb="11">
      <t>テイギ</t>
    </rPh>
    <phoneticPr fontId="14"/>
  </si>
  <si>
    <t>国/地域</t>
    <rPh sb="0" eb="4">
      <t>クニ・チイキ</t>
    </rPh>
    <phoneticPr fontId="14"/>
  </si>
  <si>
    <t>ID番号</t>
    <rPh sb="2" eb="4">
      <t>バンゴウ</t>
    </rPh>
    <phoneticPr fontId="14"/>
  </si>
  <si>
    <t>政府ID</t>
    <rPh sb="0" eb="2">
      <t>セイフ</t>
    </rPh>
    <phoneticPr fontId="14"/>
  </si>
  <si>
    <t>Web注文</t>
    <rPh sb="3" eb="5">
      <t>チュウモン</t>
    </rPh>
    <phoneticPr fontId="14"/>
  </si>
  <si>
    <t>Web注文
すべての注文</t>
    <rPh sb="3" eb="5">
      <t>チュウモン</t>
    </rPh>
    <rPh sb="10" eb="12">
      <t>チュウモン</t>
    </rPh>
    <phoneticPr fontId="14"/>
  </si>
  <si>
    <t>顧客セルフサービス</t>
    <rPh sb="0" eb="2">
      <t>コキャク</t>
    </rPh>
    <phoneticPr fontId="14"/>
  </si>
  <si>
    <t>常時
四半期
半年毎
毎年
なし</t>
    <rPh sb="0" eb="2">
      <t>ジョウジ</t>
    </rPh>
    <rPh sb="3" eb="6">
      <t>シハンキ</t>
    </rPh>
    <rPh sb="7" eb="9">
      <t>ハントシ</t>
    </rPh>
    <rPh sb="9" eb="10">
      <t>ゴト</t>
    </rPh>
    <rPh sb="11" eb="13">
      <t>マイトシ</t>
    </rPh>
    <phoneticPr fontId="14"/>
  </si>
  <si>
    <t>統計グループ（ユーザー定義）</t>
    <rPh sb="0" eb="2">
      <t>トウケイ</t>
    </rPh>
    <phoneticPr fontId="14"/>
  </si>
  <si>
    <t>統計グループ</t>
    <rPh sb="0" eb="2">
      <t>トウケイ</t>
    </rPh>
    <phoneticPr fontId="14"/>
  </si>
  <si>
    <t>一時顧客</t>
    <rPh sb="0" eb="2">
      <t>イチジ</t>
    </rPh>
    <rPh sb="2" eb="4">
      <t>コキャク</t>
    </rPh>
    <phoneticPr fontId="14"/>
  </si>
  <si>
    <t>その他の詳細</t>
    <rPh sb="2" eb="3">
      <t>タ</t>
    </rPh>
    <rPh sb="4" eb="6">
      <t>ショウサイ</t>
    </rPh>
    <phoneticPr fontId="14"/>
  </si>
  <si>
    <t>チェック無</t>
    <rPh sb="4" eb="5">
      <t>ナシ</t>
    </rPh>
    <phoneticPr fontId="14"/>
  </si>
  <si>
    <t>タイプで以下を設定した場合に設定
電話
FAX</t>
  </si>
  <si>
    <t>連絡先の電話番号/住所</t>
    <rPh sb="0" eb="3">
      <t>レンラクサキ</t>
    </rPh>
    <rPh sb="4" eb="6">
      <t>デンワ</t>
    </rPh>
    <rPh sb="6" eb="8">
      <t>バンゴウ</t>
    </rPh>
    <rPh sb="9" eb="11">
      <t>ジュウショ</t>
    </rPh>
    <phoneticPr fontId="14"/>
  </si>
  <si>
    <t>電話
電子メールアドレス
URL
テレックス
FAX
Facebook
Twitter
LinkedIn</t>
    <rPh sb="0" eb="2">
      <t>デンワ</t>
    </rPh>
    <rPh sb="3" eb="5">
      <t>デンシ</t>
    </rPh>
    <phoneticPr fontId="14"/>
  </si>
  <si>
    <t>連絡先情報</t>
    <rPh sb="0" eb="3">
      <t>レンラクサキ</t>
    </rPh>
    <rPh sb="3" eb="5">
      <t>ジョウホウ</t>
    </rPh>
    <phoneticPr fontId="14"/>
  </si>
  <si>
    <t>プライベート</t>
  </si>
  <si>
    <t>業務
委託販売
配送
固定資産
本社
ホーム
請求書
船荷
その他
支払
実際の場所
採用
送金先
サービス
安定した組織
ステートメント
SWIFT
船降</t>
    <rPh sb="0" eb="2">
      <t>ギョウム</t>
    </rPh>
    <rPh sb="3" eb="5">
      <t>イタク</t>
    </rPh>
    <rPh sb="5" eb="7">
      <t>ハンバイ</t>
    </rPh>
    <rPh sb="8" eb="10">
      <t>ハイソウ</t>
    </rPh>
    <rPh sb="11" eb="13">
      <t>コテイ</t>
    </rPh>
    <rPh sb="13" eb="15">
      <t>シサン</t>
    </rPh>
    <rPh sb="16" eb="18">
      <t>ホンシャ</t>
    </rPh>
    <rPh sb="23" eb="26">
      <t>セイキュウショ</t>
    </rPh>
    <rPh sb="27" eb="29">
      <t>フナニ</t>
    </rPh>
    <rPh sb="32" eb="33">
      <t>タ</t>
    </rPh>
    <rPh sb="34" eb="36">
      <t>シハライ</t>
    </rPh>
    <rPh sb="37" eb="39">
      <t>ジッサイ</t>
    </rPh>
    <rPh sb="40" eb="42">
      <t>バショ</t>
    </rPh>
    <rPh sb="43" eb="45">
      <t>サイヨウ</t>
    </rPh>
    <rPh sb="46" eb="48">
      <t>ソウキン</t>
    </rPh>
    <rPh sb="48" eb="49">
      <t>サキ</t>
    </rPh>
    <rPh sb="55" eb="57">
      <t>アンテイ</t>
    </rPh>
    <rPh sb="59" eb="61">
      <t>ソシキ</t>
    </rPh>
    <rPh sb="76" eb="77">
      <t>フネ</t>
    </rPh>
    <rPh sb="77" eb="78">
      <t>コウ</t>
    </rPh>
    <phoneticPr fontId="14"/>
  </si>
  <si>
    <t>名前または説明</t>
    <rPh sb="0" eb="2">
      <t>ナマエ</t>
    </rPh>
    <rPh sb="5" eb="7">
      <t>セツメイ</t>
    </rPh>
    <phoneticPr fontId="14"/>
  </si>
  <si>
    <t>呼称</t>
    <rPh sb="0" eb="2">
      <t>コショウ</t>
    </rPh>
    <phoneticPr fontId="14"/>
  </si>
  <si>
    <t>カナ名</t>
    <rPh sb="2" eb="3">
      <t>メイ</t>
    </rPh>
    <phoneticPr fontId="14"/>
  </si>
  <si>
    <t>言語（システム定義）</t>
    <rPh sb="0" eb="2">
      <t>ゲンゴ</t>
    </rPh>
    <rPh sb="7" eb="9">
      <t>テイギ</t>
    </rPh>
    <phoneticPr fontId="14"/>
  </si>
  <si>
    <t>言語</t>
    <rPh sb="0" eb="2">
      <t>ゲンゴ</t>
    </rPh>
    <phoneticPr fontId="14"/>
  </si>
  <si>
    <t>アドレス帳（ユーザー定義）</t>
    <phoneticPr fontId="14"/>
  </si>
  <si>
    <t>その他の情報</t>
    <rPh sb="2" eb="3">
      <t>タ</t>
    </rPh>
    <rPh sb="4" eb="6">
      <t>ジョウホウ</t>
    </rPh>
    <phoneticPr fontId="14"/>
  </si>
  <si>
    <t>なし
A
B
C</t>
  </si>
  <si>
    <t>ABCコード</t>
  </si>
  <si>
    <t>組織番号</t>
    <rPh sb="0" eb="2">
      <t>ソシキ</t>
    </rPh>
    <rPh sb="2" eb="4">
      <t>バンゴウ</t>
    </rPh>
    <phoneticPr fontId="14"/>
  </si>
  <si>
    <t>従業員数</t>
    <rPh sb="0" eb="3">
      <t>ジュウギョウイン</t>
    </rPh>
    <rPh sb="3" eb="4">
      <t>スウ</t>
    </rPh>
    <phoneticPr fontId="14"/>
  </si>
  <si>
    <t>組織の詳細</t>
    <rPh sb="0" eb="2">
      <t>ソシキ</t>
    </rPh>
    <rPh sb="3" eb="5">
      <t>ショウサイ</t>
    </rPh>
    <phoneticPr fontId="14"/>
  </si>
  <si>
    <t>支払の優先順位</t>
    <rPh sb="0" eb="2">
      <t>シハライ</t>
    </rPh>
    <rPh sb="3" eb="5">
      <t>ユウセン</t>
    </rPh>
    <rPh sb="5" eb="7">
      <t>ジュンイ</t>
    </rPh>
    <phoneticPr fontId="14"/>
  </si>
  <si>
    <t>顧客分類グループ（ユーザー定義）</t>
    <phoneticPr fontId="14"/>
  </si>
  <si>
    <t>分類グループ</t>
    <rPh sb="0" eb="2">
      <t>ブンルイ</t>
    </rPh>
    <phoneticPr fontId="14"/>
  </si>
  <si>
    <t>顧客グループ（ユーザー定義）</t>
    <rPh sb="0" eb="2">
      <t>コキャク</t>
    </rPh>
    <phoneticPr fontId="14"/>
  </si>
  <si>
    <t>顧客グループ</t>
    <rPh sb="0" eb="2">
      <t>コキャク</t>
    </rPh>
    <phoneticPr fontId="14"/>
  </si>
  <si>
    <t>アカウント</t>
    <phoneticPr fontId="14"/>
  </si>
  <si>
    <t>「顧客-顧客の作成」を参照</t>
    <rPh sb="1" eb="3">
      <t>コキャク</t>
    </rPh>
    <rPh sb="4" eb="6">
      <t>コキャク</t>
    </rPh>
    <rPh sb="7" eb="9">
      <t>サクセイ</t>
    </rPh>
    <rPh sb="11" eb="13">
      <t>サンショウ</t>
    </rPh>
    <phoneticPr fontId="14"/>
  </si>
  <si>
    <t>「顧客-顧客の作成」を参照</t>
  </si>
  <si>
    <t>郵便番号</t>
    <rPh sb="0" eb="2">
      <t>ユウビン</t>
    </rPh>
    <rPh sb="2" eb="4">
      <t>バンゴウ</t>
    </rPh>
    <phoneticPr fontId="14"/>
  </si>
  <si>
    <t>支払条件</t>
    <rPh sb="0" eb="4">
      <t>シハライジョウケン</t>
    </rPh>
    <phoneticPr fontId="14"/>
  </si>
  <si>
    <t>姓</t>
    <rPh sb="0" eb="1">
      <t>セイ</t>
    </rPh>
    <phoneticPr fontId="14"/>
  </si>
  <si>
    <t>名</t>
    <rPh sb="0" eb="1">
      <t>メイ</t>
    </rPh>
    <phoneticPr fontId="14"/>
  </si>
  <si>
    <t>組織
個人</t>
    <rPh sb="0" eb="2">
      <t>ソシキ</t>
    </rPh>
    <rPh sb="3" eb="5">
      <t>コジン</t>
    </rPh>
    <phoneticPr fontId="14"/>
  </si>
  <si>
    <t>顧客ID</t>
    <rPh sb="0" eb="2">
      <t>コキャク</t>
    </rPh>
    <phoneticPr fontId="14"/>
  </si>
  <si>
    <t>詳細＞タイプ＞個人</t>
    <rPh sb="0" eb="2">
      <t>ショウサイ</t>
    </rPh>
    <rPh sb="7" eb="9">
      <t>コジン</t>
    </rPh>
    <phoneticPr fontId="14"/>
  </si>
  <si>
    <t>ソース コード（ユーザー定義）</t>
    <phoneticPr fontId="14"/>
  </si>
  <si>
    <t>課税控除番号（ユーザー定義）</t>
    <rPh sb="0" eb="2">
      <t>カゼイ</t>
    </rPh>
    <rPh sb="2" eb="4">
      <t>コウジョ</t>
    </rPh>
    <rPh sb="4" eb="6">
      <t>バンゴウ</t>
    </rPh>
    <phoneticPr fontId="14"/>
  </si>
  <si>
    <t>消費税グループ（ユーザー定義）</t>
    <rPh sb="0" eb="3">
      <t>ショウヒゼイ</t>
    </rPh>
    <phoneticPr fontId="14"/>
  </si>
  <si>
    <t>詳細＞タイプ＞組織</t>
    <rPh sb="0" eb="2">
      <t>ショウサイ</t>
    </rPh>
    <rPh sb="7" eb="9">
      <t>ソシキ</t>
    </rPh>
    <phoneticPr fontId="14"/>
  </si>
  <si>
    <t>顧客の作成</t>
    <phoneticPr fontId="14"/>
  </si>
  <si>
    <t>Accounts receivable &gt; Customers &gt; All customers</t>
  </si>
  <si>
    <t>売掛金管理＞顧客＞すべての顧客</t>
  </si>
  <si>
    <t>組織/個人</t>
    <rPh sb="0" eb="2">
      <t>ソシキ</t>
    </rPh>
    <rPh sb="3" eb="5">
      <t>コジン</t>
    </rPh>
    <phoneticPr fontId="14"/>
  </si>
  <si>
    <t>電子メールアドレス</t>
    <rPh sb="0" eb="2">
      <t>デンシ</t>
    </rPh>
    <phoneticPr fontId="14"/>
  </si>
  <si>
    <t>課税控除番号</t>
    <rPh sb="0" eb="4">
      <t>カゼイコウジョ</t>
    </rPh>
    <rPh sb="4" eb="6">
      <t>バンゴウ</t>
    </rPh>
    <phoneticPr fontId="14"/>
  </si>
  <si>
    <t>姓
（タイプ：個人）</t>
    <rPh sb="0" eb="1">
      <t>セイ</t>
    </rPh>
    <phoneticPr fontId="14"/>
  </si>
  <si>
    <t>姓の接尾語
（タイプ：個人）</t>
    <rPh sb="0" eb="1">
      <t>セイ</t>
    </rPh>
    <rPh sb="2" eb="5">
      <t>セツビゴ</t>
    </rPh>
    <phoneticPr fontId="14"/>
  </si>
  <si>
    <t>ミドルネーム
（タイプ：個人）</t>
  </si>
  <si>
    <t>名
（タイプ：個人）</t>
    <rPh sb="0" eb="1">
      <t>メイ</t>
    </rPh>
    <rPh sb="7" eb="9">
      <t>コジン</t>
    </rPh>
    <phoneticPr fontId="14"/>
  </si>
  <si>
    <t>名前
（タイプ：組織）</t>
    <rPh sb="0" eb="2">
      <t>ナマエ</t>
    </rPh>
    <rPh sb="8" eb="10">
      <t>ソシキ</t>
    </rPh>
    <phoneticPr fontId="14"/>
  </si>
  <si>
    <t>顧客の作成</t>
    <rPh sb="0" eb="2">
      <t>コキャク</t>
    </rPh>
    <rPh sb="3" eb="5">
      <t>サクセイ</t>
    </rPh>
    <phoneticPr fontId="14"/>
  </si>
  <si>
    <t>はい/いいえ</t>
  </si>
  <si>
    <t>繰返し / 一時</t>
    <rPh sb="0" eb="2">
      <t>クリカエ</t>
    </rPh>
    <rPh sb="6" eb="8">
      <t>イチジ</t>
    </rPh>
    <phoneticPr fontId="14"/>
  </si>
  <si>
    <t>番号順序グループ（ユーザー定義）</t>
    <rPh sb="0" eb="2">
      <t>バンゴウ</t>
    </rPh>
    <rPh sb="2" eb="4">
      <t>ジュンジョ</t>
    </rPh>
    <phoneticPr fontId="14"/>
  </si>
  <si>
    <t>請求先/元 ID / 注文顧客</t>
    <rPh sb="0" eb="2">
      <t>セイキュウ</t>
    </rPh>
    <rPh sb="2" eb="3">
      <t>サキ</t>
    </rPh>
    <rPh sb="4" eb="5">
      <t>モト</t>
    </rPh>
    <rPh sb="11" eb="13">
      <t>チュウモン</t>
    </rPh>
    <rPh sb="13" eb="15">
      <t>コキャク</t>
    </rPh>
    <phoneticPr fontId="14"/>
  </si>
  <si>
    <t>高-1
高-2
高-3
中-4
中-5
中-6
中-7
低-8
低-9
低-10</t>
    <rPh sb="0" eb="1">
      <t>タカ</t>
    </rPh>
    <rPh sb="4" eb="5">
      <t>コウ</t>
    </rPh>
    <rPh sb="8" eb="9">
      <t>コウ</t>
    </rPh>
    <rPh sb="12" eb="13">
      <t>ナカ</t>
    </rPh>
    <rPh sb="16" eb="17">
      <t>ナカ</t>
    </rPh>
    <rPh sb="20" eb="21">
      <t>ナカ</t>
    </rPh>
    <rPh sb="24" eb="25">
      <t>ナカ</t>
    </rPh>
    <rPh sb="28" eb="29">
      <t>テイ</t>
    </rPh>
    <rPh sb="32" eb="33">
      <t>テイ</t>
    </rPh>
    <rPh sb="36" eb="37">
      <t>テイ</t>
    </rPh>
    <phoneticPr fontId="14"/>
  </si>
  <si>
    <t>与信管理グループ（ユーザー定義）</t>
    <rPh sb="0" eb="4">
      <t>ヨシンカンリ</t>
    </rPh>
    <phoneticPr fontId="14"/>
  </si>
  <si>
    <t>Web注文 / すべての注文</t>
    <rPh sb="3" eb="5">
      <t>チュウモン</t>
    </rPh>
    <rPh sb="12" eb="14">
      <t>チュウモン</t>
    </rPh>
    <phoneticPr fontId="14"/>
  </si>
  <si>
    <t>チェック有/チェック無</t>
    <rPh sb="4" eb="5">
      <t>アリ</t>
    </rPh>
    <rPh sb="10" eb="11">
      <t>ナシ</t>
    </rPh>
    <phoneticPr fontId="14"/>
  </si>
  <si>
    <t>業務
委託販売
配送
固定資産
本社
ホーム
請求書
船荷
その他
支払
実際の場所
採用
送金先
サービス
安定した組織
ステートメント
SWIFT
船降</t>
    <rPh sb="0" eb="2">
      <t>ギョウム</t>
    </rPh>
    <rPh sb="3" eb="5">
      <t>イタク</t>
    </rPh>
    <rPh sb="5" eb="7">
      <t>ハンバイ</t>
    </rPh>
    <rPh sb="8" eb="10">
      <t>ハイソウ</t>
    </rPh>
    <rPh sb="11" eb="13">
      <t>コテイ</t>
    </rPh>
    <rPh sb="13" eb="15">
      <t>シサン</t>
    </rPh>
    <rPh sb="16" eb="18">
      <t>ホンシャ</t>
    </rPh>
    <rPh sb="23" eb="26">
      <t>セイキュウショ</t>
    </rPh>
    <rPh sb="27" eb="29">
      <t>フナニ</t>
    </rPh>
    <rPh sb="32" eb="33">
      <t>タ</t>
    </rPh>
    <rPh sb="34" eb="36">
      <t>シハライ</t>
    </rPh>
    <rPh sb="37" eb="39">
      <t>ジッサイ</t>
    </rPh>
    <rPh sb="40" eb="42">
      <t>バショ</t>
    </rPh>
    <rPh sb="43" eb="45">
      <t>サイヨウ</t>
    </rPh>
    <rPh sb="46" eb="48">
      <t>ソウキン</t>
    </rPh>
    <rPh sb="48" eb="49">
      <t>サキ</t>
    </rPh>
    <rPh sb="55" eb="57">
      <t>アンテイ</t>
    </rPh>
    <rPh sb="59" eb="61">
      <t>ソシキ</t>
    </rPh>
    <rPh sb="76" eb="77">
      <t>セン</t>
    </rPh>
    <rPh sb="77" eb="78">
      <t>コウ</t>
    </rPh>
    <phoneticPr fontId="14"/>
  </si>
  <si>
    <t>顧客分類グループ（ユーザー定義）</t>
    <rPh sb="0" eb="2">
      <t>コキャク</t>
    </rPh>
    <rPh sb="2" eb="4">
      <t>ブンルイ</t>
    </rPh>
    <phoneticPr fontId="14"/>
  </si>
  <si>
    <t>レシートの電子メール</t>
    <rPh sb="5" eb="7">
      <t>デンシ</t>
    </rPh>
    <phoneticPr fontId="14"/>
  </si>
  <si>
    <t>保留されたタイトル</t>
  </si>
  <si>
    <t>督促代行業者あり</t>
  </si>
  <si>
    <t>適格な与信限度額の変更日</t>
  </si>
  <si>
    <t>適格な与信限度額</t>
  </si>
  <si>
    <t>次にスケジュールされた確認日</t>
  </si>
  <si>
    <t>最終確認日</t>
  </si>
  <si>
    <t>顧客与信グループ</t>
  </si>
  <si>
    <t>与信限度額の変更日</t>
  </si>
  <si>
    <t>与信限度額の有効期限日</t>
  </si>
  <si>
    <t>保険および保証</t>
  </si>
  <si>
    <t>顧客の通貨 (JPY) での与信限度額</t>
  </si>
  <si>
    <t>支払優先順位</t>
    <rPh sb="0" eb="2">
      <t>シハライ</t>
    </rPh>
    <rPh sb="2" eb="4">
      <t>ユウセン</t>
    </rPh>
    <rPh sb="4" eb="6">
      <t>ジュンイ</t>
    </rPh>
    <phoneticPr fontId="14"/>
  </si>
  <si>
    <t>B2B</t>
  </si>
  <si>
    <t>プライバシー</t>
  </si>
  <si>
    <t>リスク</t>
  </si>
  <si>
    <t>一般&gt;その他の情報</t>
    <rPh sb="0" eb="2">
      <t>イッパン</t>
    </rPh>
    <rPh sb="5" eb="6">
      <t>タ</t>
    </rPh>
    <rPh sb="7" eb="9">
      <t>ジョウホウ</t>
    </rPh>
    <phoneticPr fontId="14"/>
  </si>
  <si>
    <t>一般&gt;組織の詳細</t>
    <rPh sb="0" eb="2">
      <t>イッパン</t>
    </rPh>
    <rPh sb="3" eb="5">
      <t>ソシキ</t>
    </rPh>
    <rPh sb="6" eb="8">
      <t>ショウサイ</t>
    </rPh>
    <phoneticPr fontId="14"/>
  </si>
  <si>
    <t>一般&gt;顧客</t>
    <rPh sb="3" eb="5">
      <t>コキャク</t>
    </rPh>
    <phoneticPr fontId="14"/>
  </si>
  <si>
    <t>連絡先情報</t>
    <rPh sb="0" eb="5">
      <t>レンラクサキジョウホウ</t>
    </rPh>
    <phoneticPr fontId="14"/>
  </si>
  <si>
    <t>すべての顧客</t>
    <rPh sb="4" eb="6">
      <t>コキャク</t>
    </rPh>
    <phoneticPr fontId="14"/>
  </si>
  <si>
    <t>「与信管理グループ-設定値」を参照</t>
    <rPh sb="1" eb="3">
      <t>ヨシン</t>
    </rPh>
    <rPh sb="3" eb="5">
      <t>カンリ</t>
    </rPh>
    <rPh sb="10" eb="13">
      <t>セッテイチ</t>
    </rPh>
    <rPh sb="15" eb="17">
      <t>サンショウ</t>
    </rPh>
    <phoneticPr fontId="14"/>
  </si>
  <si>
    <t>与信管理グループ</t>
    <rPh sb="0" eb="4">
      <t>ヨシンカンリ</t>
    </rPh>
    <phoneticPr fontId="14"/>
  </si>
  <si>
    <t>与信管理グループ</t>
    <rPh sb="0" eb="2">
      <t>ヨシン</t>
    </rPh>
    <rPh sb="2" eb="4">
      <t>カンリ</t>
    </rPh>
    <phoneticPr fontId="23"/>
  </si>
  <si>
    <t>Credit and collections＞Setup＞Credit management setup＞Credit management groups</t>
  </si>
  <si>
    <t>与信および回収＞設定＞与信管理設定＞与信管理グループ</t>
  </si>
  <si>
    <t>与信管理グループ</t>
    <rPh sb="0" eb="4">
      <t>ヨシンカンリ</t>
    </rPh>
    <phoneticPr fontId="23"/>
  </si>
  <si>
    <t>「既定で繰延される品目 - 設定値」参照</t>
    <rPh sb="1" eb="3">
      <t>キテイ</t>
    </rPh>
    <rPh sb="4" eb="6">
      <t>クリノベ</t>
    </rPh>
    <rPh sb="9" eb="11">
      <t>ヒンモク</t>
    </rPh>
    <rPh sb="14" eb="16">
      <t>セッテイ</t>
    </rPh>
    <rPh sb="16" eb="17">
      <t>アタイ</t>
    </rPh>
    <rPh sb="18" eb="20">
      <t>サンショウ</t>
    </rPh>
    <phoneticPr fontId="14"/>
  </si>
  <si>
    <t>カテゴリ階層（ユーザー定義）</t>
    <rPh sb="4" eb="6">
      <t>カイソウ</t>
    </rPh>
    <rPh sb="11" eb="13">
      <t>テイギ</t>
    </rPh>
    <phoneticPr fontId="14"/>
  </si>
  <si>
    <t>データベースのレコードの固有ID</t>
    <rPh sb="12" eb="14">
      <t>コユウ</t>
    </rPh>
    <phoneticPr fontId="14"/>
  </si>
  <si>
    <t>カテゴリの関係</t>
    <rPh sb="5" eb="7">
      <t>カンケイ</t>
    </rPh>
    <phoneticPr fontId="14"/>
  </si>
  <si>
    <t>[品目コード]で[グループ]を選択したとき
　⇒品目グループ（ユーザー定義）
[品目コード]で[テーブル]を選択したとき
　⇒リリースされた製品（ユーザー定義）
[品目コード]で[すべて]または[カテゴリ]を選択したとき
　⇒操作不可</t>
    <rPh sb="1" eb="3">
      <t>ヒンモク</t>
    </rPh>
    <rPh sb="15" eb="17">
      <t>センタク</t>
    </rPh>
    <rPh sb="24" eb="26">
      <t>ヒンモク</t>
    </rPh>
    <rPh sb="70" eb="72">
      <t>セイヒン</t>
    </rPh>
    <phoneticPr fontId="14"/>
  </si>
  <si>
    <t>品目グループ（ユーザー定義）
リリースされた製品（ユーザー定義）</t>
    <rPh sb="0" eb="2">
      <t>ヒンモク</t>
    </rPh>
    <rPh sb="22" eb="24">
      <t>セイヒン</t>
    </rPh>
    <rPh sb="29" eb="31">
      <t>テイギ</t>
    </rPh>
    <phoneticPr fontId="14"/>
  </si>
  <si>
    <t>テーブル</t>
    <phoneticPr fontId="14"/>
  </si>
  <si>
    <t>テーブル
グループ
カテゴリ</t>
    <phoneticPr fontId="14"/>
  </si>
  <si>
    <t>購買</t>
    <rPh sb="0" eb="2">
      <t>コウバイ</t>
    </rPh>
    <phoneticPr fontId="14"/>
  </si>
  <si>
    <t>販売注文</t>
    <rPh sb="0" eb="4">
      <t>ハンバイチュウモン</t>
    </rPh>
    <phoneticPr fontId="14"/>
  </si>
  <si>
    <t>Subscription billing＞Revenue and expense deferrals＞Setup＞Items deferred by default</t>
  </si>
  <si>
    <t>サブスクリプション請求管理＞収益および経費の繰延＞設定＞既定で繰延される品目</t>
    <phoneticPr fontId="14"/>
  </si>
  <si>
    <t>既定で繰延される品目</t>
    <rPh sb="0" eb="2">
      <t>キテイ</t>
    </rPh>
    <rPh sb="3" eb="5">
      <t>クリノベ</t>
    </rPh>
    <rPh sb="8" eb="10">
      <t>ヒンモク</t>
    </rPh>
    <phoneticPr fontId="14"/>
  </si>
  <si>
    <t>販売注文
購買</t>
    <rPh sb="0" eb="4">
      <t>ハンバイチュウモン</t>
    </rPh>
    <rPh sb="5" eb="7">
      <t>コウバイ</t>
    </rPh>
    <phoneticPr fontId="14"/>
  </si>
  <si>
    <t>品目関係</t>
    <rPh sb="0" eb="4">
      <t>ヒンモクカンケイ</t>
    </rPh>
    <phoneticPr fontId="14"/>
  </si>
  <si>
    <t>タブ</t>
    <phoneticPr fontId="14"/>
  </si>
  <si>
    <t>シート「仕入先の価格割引グループ-設定値」を参照</t>
    <rPh sb="4" eb="7">
      <t>シイレサキ</t>
    </rPh>
    <rPh sb="8" eb="10">
      <t>カカク</t>
    </rPh>
    <rPh sb="10" eb="12">
      <t>ワリビキ</t>
    </rPh>
    <rPh sb="17" eb="19">
      <t>セッテイ</t>
    </rPh>
    <rPh sb="19" eb="20">
      <t>チ</t>
    </rPh>
    <rPh sb="22" eb="24">
      <t>サンショウ</t>
    </rPh>
    <phoneticPr fontId="14"/>
  </si>
  <si>
    <t>仕入先の価格/割引グループ</t>
    <rPh sb="0" eb="3">
      <t>シイレサキ</t>
    </rPh>
    <rPh sb="4" eb="6">
      <t>カカク</t>
    </rPh>
    <rPh sb="7" eb="9">
      <t>ワリビキ</t>
    </rPh>
    <phoneticPr fontId="14"/>
  </si>
  <si>
    <t>Procurement and sourcing &gt; Prices and discounts &gt; Price/discount groups &gt; Vendor price/discount groups</t>
    <phoneticPr fontId="14"/>
  </si>
  <si>
    <t>調達 ＞ 価格と割引 &gt; 価格/割引グループ &gt; 仕入先の価格/割引グループ</t>
    <rPh sb="5" eb="7">
      <t>カカク</t>
    </rPh>
    <rPh sb="8" eb="10">
      <t>ワリビキ</t>
    </rPh>
    <rPh sb="13" eb="15">
      <t>カカク</t>
    </rPh>
    <rPh sb="16" eb="18">
      <t>ワリビキ</t>
    </rPh>
    <rPh sb="25" eb="28">
      <t>シイレサキ</t>
    </rPh>
    <rPh sb="29" eb="31">
      <t>カカク</t>
    </rPh>
    <rPh sb="32" eb="34">
      <t>ワリビキ</t>
    </rPh>
    <phoneticPr fontId="14"/>
  </si>
  <si>
    <t>Procurement and sourcing &gt; Setup &gt; Prices and discounts &gt; Trade agreement journal name</t>
    <phoneticPr fontId="14"/>
  </si>
  <si>
    <t>調達 ＞ 設定 &gt; 価格と割引 &gt; 売買契約仕訳帳名</t>
    <rPh sb="5" eb="7">
      <t>セッテイ</t>
    </rPh>
    <rPh sb="10" eb="12">
      <t>カカク</t>
    </rPh>
    <rPh sb="13" eb="15">
      <t>ワリビキ</t>
    </rPh>
    <rPh sb="18" eb="20">
      <t>バイバイ</t>
    </rPh>
    <rPh sb="20" eb="25">
      <t>ケイヤクシワケチョウ</t>
    </rPh>
    <rPh sb="25" eb="26">
      <t>メイ</t>
    </rPh>
    <phoneticPr fontId="14"/>
  </si>
  <si>
    <t>財務分析コード</t>
    <rPh sb="0" eb="2">
      <t>ザイム</t>
    </rPh>
    <rPh sb="2" eb="4">
      <t>ブンセキ</t>
    </rPh>
    <phoneticPr fontId="14"/>
  </si>
  <si>
    <t>「仕入先-設定値」を参照</t>
    <rPh sb="1" eb="4">
      <t>シイレサキ</t>
    </rPh>
    <rPh sb="5" eb="8">
      <t>セッテイチ</t>
    </rPh>
    <rPh sb="10" eb="12">
      <t>サンショウ</t>
    </rPh>
    <phoneticPr fontId="14"/>
  </si>
  <si>
    <t>色の接頭語</t>
    <rPh sb="0" eb="1">
      <t>イロ</t>
    </rPh>
    <rPh sb="2" eb="5">
      <t>セットウゴ</t>
    </rPh>
    <phoneticPr fontId="14"/>
  </si>
  <si>
    <t>サイズの接頭語</t>
    <rPh sb="4" eb="7">
      <t>セットウゴ</t>
    </rPh>
    <phoneticPr fontId="14"/>
  </si>
  <si>
    <t>スタイルの接頭語</t>
    <rPh sb="5" eb="8">
      <t>セットウゴ</t>
    </rPh>
    <phoneticPr fontId="14"/>
  </si>
  <si>
    <t>バリアント</t>
    <phoneticPr fontId="14"/>
  </si>
  <si>
    <t>サービスカテゴリ（ユーザー定義）</t>
    <phoneticPr fontId="14"/>
  </si>
  <si>
    <t>サービスカテゴリ</t>
  </si>
  <si>
    <t>補充</t>
    <rPh sb="0" eb="2">
      <t>ホジュウ</t>
    </rPh>
    <phoneticPr fontId="14"/>
  </si>
  <si>
    <t>番号順序（ユーザー定義）</t>
    <rPh sb="0" eb="4">
      <t>バンゴウジュンジョ</t>
    </rPh>
    <phoneticPr fontId="14"/>
  </si>
  <si>
    <t>バーコード番号順序</t>
    <rPh sb="5" eb="7">
      <t>バンゴウ</t>
    </rPh>
    <rPh sb="7" eb="9">
      <t>ジュンジョ</t>
    </rPh>
    <phoneticPr fontId="14"/>
  </si>
  <si>
    <t>必要に応じてバーコード作成</t>
    <rPh sb="0" eb="2">
      <t>ヒツヨウ</t>
    </rPh>
    <rPh sb="3" eb="4">
      <t>オウ</t>
    </rPh>
    <rPh sb="11" eb="13">
      <t>サクセイ</t>
    </rPh>
    <phoneticPr fontId="14"/>
  </si>
  <si>
    <t>バーコード</t>
  </si>
  <si>
    <t>カテゴリ階層（ユーザー定義）</t>
    <rPh sb="4" eb="6">
      <t>カイソウ</t>
    </rPh>
    <phoneticPr fontId="14"/>
  </si>
  <si>
    <t>小売仕入先製品階層</t>
    <rPh sb="0" eb="2">
      <t>コウリ</t>
    </rPh>
    <rPh sb="2" eb="5">
      <t>シイレサキ</t>
    </rPh>
    <rPh sb="5" eb="7">
      <t>セイヒン</t>
    </rPh>
    <rPh sb="7" eb="9">
      <t>カイソウ</t>
    </rPh>
    <phoneticPr fontId="14"/>
  </si>
  <si>
    <t>独自
サードパーティ</t>
    <rPh sb="0" eb="2">
      <t>ドクジ</t>
    </rPh>
    <phoneticPr fontId="14"/>
  </si>
  <si>
    <t>固定為替レート</t>
    <rPh sb="0" eb="2">
      <t>コテイ</t>
    </rPh>
    <rPh sb="2" eb="4">
      <t>カワセ</t>
    </rPh>
    <phoneticPr fontId="14"/>
  </si>
  <si>
    <t>固定レート</t>
    <rPh sb="0" eb="2">
      <t>コテイ</t>
    </rPh>
    <phoneticPr fontId="14"/>
  </si>
  <si>
    <t>[価格ポイント]を選択した場合のみ
⇒　切り上げ
　　 切り捨て
　　 四捨五入</t>
    <rPh sb="1" eb="3">
      <t>カカク</t>
    </rPh>
    <rPh sb="20" eb="21">
      <t>キ</t>
    </rPh>
    <rPh sb="22" eb="23">
      <t>ア</t>
    </rPh>
    <rPh sb="28" eb="29">
      <t>キ</t>
    </rPh>
    <rPh sb="30" eb="31">
      <t>ス</t>
    </rPh>
    <rPh sb="36" eb="40">
      <t>シシャゴニュウ</t>
    </rPh>
    <phoneticPr fontId="14"/>
  </si>
  <si>
    <t>[価格ポイント]を選択した場合のみ
　⇒文字列（ユーザー定義）</t>
    <rPh sb="1" eb="3">
      <t>カカク</t>
    </rPh>
    <rPh sb="20" eb="23">
      <t>モジレツ</t>
    </rPh>
    <phoneticPr fontId="14"/>
  </si>
  <si>
    <t>価格のポイントグループ</t>
    <rPh sb="0" eb="2">
      <t>カカク</t>
    </rPh>
    <phoneticPr fontId="14"/>
  </si>
  <si>
    <t>[丸め]を選択した場合のみ
　⇒文字列（ユーザー定義）</t>
    <rPh sb="1" eb="2">
      <t>マル</t>
    </rPh>
    <rPh sb="5" eb="7">
      <t>センタク</t>
    </rPh>
    <rPh sb="9" eb="11">
      <t>バアイ</t>
    </rPh>
    <rPh sb="16" eb="19">
      <t>モジレツ</t>
    </rPh>
    <phoneticPr fontId="14"/>
  </si>
  <si>
    <t>なし
丸め
価格ポイント</t>
    <rPh sb="3" eb="4">
      <t>マル</t>
    </rPh>
    <rPh sb="6" eb="8">
      <t>カカク</t>
    </rPh>
    <phoneticPr fontId="14"/>
  </si>
  <si>
    <t>通知内容</t>
    <rPh sb="0" eb="2">
      <t>ツウチ</t>
    </rPh>
    <rPh sb="2" eb="4">
      <t>ナイヨウ</t>
    </rPh>
    <phoneticPr fontId="14"/>
  </si>
  <si>
    <t>支払目的コード（ユーザー定義）</t>
    <rPh sb="0" eb="2">
      <t>シハライ</t>
    </rPh>
    <rPh sb="2" eb="4">
      <t>モクテキ</t>
    </rPh>
    <phoneticPr fontId="14"/>
  </si>
  <si>
    <t>中央銀行への通知</t>
    <rPh sb="0" eb="2">
      <t>チュウオウ</t>
    </rPh>
    <rPh sb="2" eb="4">
      <t>ギンコウ</t>
    </rPh>
    <rPh sb="6" eb="8">
      <t>ツウチ</t>
    </rPh>
    <phoneticPr fontId="14"/>
  </si>
  <si>
    <t>入力不可</t>
    <rPh sb="0" eb="4">
      <t>ニュウリョクフカ</t>
    </rPh>
    <phoneticPr fontId="14"/>
  </si>
  <si>
    <t>仕入先の支払手数料グループ</t>
    <rPh sb="0" eb="3">
      <t>シイレサキ</t>
    </rPh>
    <rPh sb="4" eb="6">
      <t>シハライ</t>
    </rPh>
    <rPh sb="6" eb="9">
      <t>テスウリョウ</t>
    </rPh>
    <phoneticPr fontId="14"/>
  </si>
  <si>
    <t>仕入先が支払手数料を支払う</t>
    <rPh sb="0" eb="3">
      <t>シイレサキ</t>
    </rPh>
    <rPh sb="4" eb="6">
      <t>シハライ</t>
    </rPh>
    <rPh sb="6" eb="9">
      <t>テスウリョウ</t>
    </rPh>
    <rPh sb="10" eb="12">
      <t>シハラ</t>
    </rPh>
    <phoneticPr fontId="14"/>
  </si>
  <si>
    <t>支払期日（ユーザー定義）</t>
    <rPh sb="0" eb="4">
      <t>シハライキジツ</t>
    </rPh>
    <phoneticPr fontId="14"/>
  </si>
  <si>
    <t>支払ID</t>
    <rPh sb="0" eb="2">
      <t>シハライ</t>
    </rPh>
    <phoneticPr fontId="14"/>
  </si>
  <si>
    <t>仕入先の銀行口座（ユーザー定義）</t>
    <rPh sb="0" eb="3">
      <t>シイレサキ</t>
    </rPh>
    <rPh sb="4" eb="6">
      <t>ギンコウ</t>
    </rPh>
    <rPh sb="6" eb="8">
      <t>コウザ</t>
    </rPh>
    <phoneticPr fontId="14"/>
  </si>
  <si>
    <t>支払スケジュール（ユーザー定義）</t>
    <rPh sb="0" eb="2">
      <t>シハライ</t>
    </rPh>
    <phoneticPr fontId="14"/>
  </si>
  <si>
    <t>支払詳細（ユーザー定義）</t>
    <rPh sb="0" eb="2">
      <t>シハライ</t>
    </rPh>
    <rPh sb="2" eb="4">
      <t>ショウサイ</t>
    </rPh>
    <phoneticPr fontId="14"/>
  </si>
  <si>
    <t>支払方法（ユーザー定義）</t>
    <rPh sb="0" eb="4">
      <t>シハライホウホウ</t>
    </rPh>
    <phoneticPr fontId="14"/>
  </si>
  <si>
    <t>支払条件（ユーザー定義）</t>
    <rPh sb="0" eb="4">
      <t>シハライジョウケン</t>
    </rPh>
    <phoneticPr fontId="14"/>
  </si>
  <si>
    <t>詳細なメモグループ（ユーザー定義）</t>
    <rPh sb="0" eb="2">
      <t>ショウサイ</t>
    </rPh>
    <rPh sb="14" eb="16">
      <t>テイギ</t>
    </rPh>
    <phoneticPr fontId="14"/>
  </si>
  <si>
    <t>詳細なメモグループ</t>
    <rPh sb="0" eb="2">
      <t>ショウサイ</t>
    </rPh>
    <phoneticPr fontId="14"/>
  </si>
  <si>
    <t>発注書ごとの設定の上書を許可</t>
    <rPh sb="0" eb="3">
      <t>ハッチュウショ</t>
    </rPh>
    <rPh sb="6" eb="8">
      <t>セッテイ</t>
    </rPh>
    <rPh sb="9" eb="11">
      <t>ウワガキ</t>
    </rPh>
    <rPh sb="12" eb="14">
      <t>キョカ</t>
    </rPh>
    <phoneticPr fontId="14"/>
  </si>
  <si>
    <t>変更管理の有効化</t>
    <rPh sb="0" eb="2">
      <t>ヘンコウ</t>
    </rPh>
    <rPh sb="2" eb="4">
      <t>カンリ</t>
    </rPh>
    <rPh sb="5" eb="8">
      <t>ユウコウカ</t>
    </rPh>
    <phoneticPr fontId="14"/>
  </si>
  <si>
    <t>上書きの設定</t>
    <rPh sb="0" eb="2">
      <t>ウワガ</t>
    </rPh>
    <rPh sb="4" eb="6">
      <t>セッテイ</t>
    </rPh>
    <phoneticPr fontId="14"/>
  </si>
  <si>
    <t>発注書の変更管理</t>
    <rPh sb="0" eb="3">
      <t>ハッチュウショ</t>
    </rPh>
    <rPh sb="4" eb="6">
      <t>ヘンコウ</t>
    </rPh>
    <rPh sb="6" eb="8">
      <t>カンリ</t>
    </rPh>
    <phoneticPr fontId="14"/>
  </si>
  <si>
    <t>提供品グループ（ユーザー定義）</t>
    <rPh sb="0" eb="2">
      <t>テイキョウ</t>
    </rPh>
    <rPh sb="2" eb="3">
      <t>ヒン</t>
    </rPh>
    <phoneticPr fontId="14"/>
  </si>
  <si>
    <t>提供品グループ</t>
    <rPh sb="0" eb="2">
      <t>テイキョウ</t>
    </rPh>
    <rPh sb="2" eb="3">
      <t>ヒン</t>
    </rPh>
    <phoneticPr fontId="14"/>
  </si>
  <si>
    <t>複数行割引</t>
    <rPh sb="0" eb="3">
      <t>フクスウギョウ</t>
    </rPh>
    <rPh sb="3" eb="5">
      <t>ワリビキ</t>
    </rPh>
    <phoneticPr fontId="14"/>
  </si>
  <si>
    <t>CXML 経由で発注書を送信します</t>
    <phoneticPr fontId="14"/>
  </si>
  <si>
    <t>作業時間カレンダー（ユーザー定義）</t>
    <rPh sb="0" eb="2">
      <t>サギョウ</t>
    </rPh>
    <rPh sb="2" eb="4">
      <t>ジカン</t>
    </rPh>
    <phoneticPr fontId="14"/>
  </si>
  <si>
    <t>購買カレンダー</t>
    <rPh sb="0" eb="2">
      <t>コウバイ</t>
    </rPh>
    <phoneticPr fontId="14"/>
  </si>
  <si>
    <t>発注書価格/金額</t>
    <rPh sb="0" eb="3">
      <t>ハッチュウショ</t>
    </rPh>
    <rPh sb="3" eb="5">
      <t>カカク</t>
    </rPh>
    <rPh sb="6" eb="8">
      <t>キンガク</t>
    </rPh>
    <phoneticPr fontId="14"/>
  </si>
  <si>
    <t>トランザクション通貨の金額</t>
    <rPh sb="8" eb="10">
      <t>ツウカ</t>
    </rPh>
    <rPh sb="11" eb="13">
      <t>キンガク</t>
    </rPh>
    <phoneticPr fontId="14"/>
  </si>
  <si>
    <t>自社の勘定番号</t>
    <rPh sb="0" eb="2">
      <t>ジシャ</t>
    </rPh>
    <rPh sb="3" eb="5">
      <t>カンジョウ</t>
    </rPh>
    <rPh sb="5" eb="7">
      <t>バンゴウ</t>
    </rPh>
    <phoneticPr fontId="14"/>
  </si>
  <si>
    <t>購買管理グループ（ユーザー定義）</t>
    <rPh sb="0" eb="2">
      <t>コウバイ</t>
    </rPh>
    <rPh sb="2" eb="4">
      <t>カンリ</t>
    </rPh>
    <phoneticPr fontId="14"/>
  </si>
  <si>
    <t>購買管理グループ</t>
    <rPh sb="0" eb="2">
      <t>コウバイ</t>
    </rPh>
    <rPh sb="2" eb="4">
      <t>カンリ</t>
    </rPh>
    <phoneticPr fontId="14"/>
  </si>
  <si>
    <t>外部品目説明グループ（ユーザー定義）</t>
    <rPh sb="0" eb="2">
      <t>ガイブ</t>
    </rPh>
    <rPh sb="2" eb="4">
      <t>ヒンモク</t>
    </rPh>
    <rPh sb="4" eb="6">
      <t>セツメイ</t>
    </rPh>
    <phoneticPr fontId="14"/>
  </si>
  <si>
    <t>品目-仕入先グループ</t>
    <rPh sb="0" eb="2">
      <t>ヒンモク</t>
    </rPh>
    <rPh sb="3" eb="6">
      <t>シイレサキ</t>
    </rPh>
    <phoneticPr fontId="14"/>
  </si>
  <si>
    <t>在庫状態（ユーザー定義）</t>
    <rPh sb="0" eb="4">
      <t>ザイコジョウタイ</t>
    </rPh>
    <phoneticPr fontId="14"/>
  </si>
  <si>
    <t>倉庫（ユーザー定義）</t>
    <rPh sb="0" eb="2">
      <t>ソウコ</t>
    </rPh>
    <phoneticPr fontId="14"/>
  </si>
  <si>
    <t>発注書</t>
    <rPh sb="0" eb="3">
      <t>ハッチュウショ</t>
    </rPh>
    <phoneticPr fontId="14"/>
  </si>
  <si>
    <t>発注書の既定値</t>
    <rPh sb="0" eb="3">
      <t>ハッチュウショ</t>
    </rPh>
    <rPh sb="4" eb="7">
      <t>キテイチ</t>
    </rPh>
    <phoneticPr fontId="14"/>
  </si>
  <si>
    <t>源泉徴収税グループ（ユーザー定義）</t>
    <rPh sb="0" eb="2">
      <t>ゲンセン</t>
    </rPh>
    <rPh sb="2" eb="4">
      <t>チョウシュウ</t>
    </rPh>
    <rPh sb="4" eb="5">
      <t>ゼイ</t>
    </rPh>
    <phoneticPr fontId="14"/>
  </si>
  <si>
    <t>源泉徴収税グループ</t>
    <rPh sb="0" eb="2">
      <t>ゲンセン</t>
    </rPh>
    <rPh sb="2" eb="4">
      <t>チョウシュウ</t>
    </rPh>
    <rPh sb="4" eb="5">
      <t>ゼイ</t>
    </rPh>
    <phoneticPr fontId="14"/>
  </si>
  <si>
    <t>源泉徴収税の計算</t>
    <rPh sb="0" eb="2">
      <t>ゲンセン</t>
    </rPh>
    <rPh sb="2" eb="4">
      <t>チョウシュウ</t>
    </rPh>
    <rPh sb="4" eb="5">
      <t>ゼイ</t>
    </rPh>
    <rPh sb="6" eb="8">
      <t>ケイサン</t>
    </rPh>
    <phoneticPr fontId="14"/>
  </si>
  <si>
    <t>源泉徴収税</t>
    <rPh sb="0" eb="4">
      <t>ゲンセンチョウシュウ</t>
    </rPh>
    <rPh sb="4" eb="5">
      <t>ゼイ</t>
    </rPh>
    <phoneticPr fontId="14"/>
  </si>
  <si>
    <t>出荷先コード（ユーザー定義）</t>
    <rPh sb="0" eb="3">
      <t>シュッカサキ</t>
    </rPh>
    <phoneticPr fontId="14"/>
  </si>
  <si>
    <t>荷渡方法（ユーザー定義）</t>
    <rPh sb="0" eb="2">
      <t>ニワタ</t>
    </rPh>
    <rPh sb="2" eb="4">
      <t>ホウホウ</t>
    </rPh>
    <rPh sb="9" eb="11">
      <t>テイギ</t>
    </rPh>
    <phoneticPr fontId="14"/>
  </si>
  <si>
    <t>配送条件（ユーザー定義）</t>
    <rPh sb="0" eb="4">
      <t>ハイソウジョウケン</t>
    </rPh>
    <phoneticPr fontId="14"/>
  </si>
  <si>
    <t>相手勘定</t>
    <rPh sb="0" eb="2">
      <t>アイテ</t>
    </rPh>
    <rPh sb="2" eb="4">
      <t>カンジョウ</t>
    </rPh>
    <phoneticPr fontId="14"/>
  </si>
  <si>
    <t>仕入先例外グループ（ユーザー定義）</t>
    <rPh sb="0" eb="3">
      <t>シイレサキ</t>
    </rPh>
    <rPh sb="3" eb="5">
      <t>レイガイ</t>
    </rPh>
    <phoneticPr fontId="14"/>
  </si>
  <si>
    <t>仕入先例外グループ</t>
    <rPh sb="0" eb="3">
      <t>シイレサキ</t>
    </rPh>
    <rPh sb="3" eb="5">
      <t>レイガイ</t>
    </rPh>
    <phoneticPr fontId="14"/>
  </si>
  <si>
    <t>仕入先価格許容範囲グループ（ユーザー定義）</t>
    <rPh sb="0" eb="3">
      <t>シイレサキ</t>
    </rPh>
    <rPh sb="3" eb="5">
      <t>カカク</t>
    </rPh>
    <rPh sb="5" eb="7">
      <t>キョヨウ</t>
    </rPh>
    <rPh sb="7" eb="9">
      <t>ハンイ</t>
    </rPh>
    <phoneticPr fontId="14"/>
  </si>
  <si>
    <t>仕入先価格許容範囲グループ</t>
    <rPh sb="0" eb="3">
      <t>シイレサキ</t>
    </rPh>
    <rPh sb="3" eb="5">
      <t>カカク</t>
    </rPh>
    <rPh sb="5" eb="7">
      <t>キョヨウ</t>
    </rPh>
    <rPh sb="7" eb="9">
      <t>ハンイ</t>
    </rPh>
    <phoneticPr fontId="14"/>
  </si>
  <si>
    <t>チェーン</t>
  </si>
  <si>
    <t>購買に関する顧客方法</t>
    <rPh sb="0" eb="2">
      <t>コウバイ</t>
    </rPh>
    <rPh sb="3" eb="4">
      <t>カン</t>
    </rPh>
    <rPh sb="6" eb="8">
      <t>コキャク</t>
    </rPh>
    <rPh sb="8" eb="10">
      <t>ホウホウ</t>
    </rPh>
    <phoneticPr fontId="14"/>
  </si>
  <si>
    <t>所有者は身体障碍者</t>
    <rPh sb="0" eb="3">
      <t>ショユウシャ</t>
    </rPh>
    <rPh sb="4" eb="6">
      <t>シンタイ</t>
    </rPh>
    <rPh sb="6" eb="9">
      <t>ショウガイシャ</t>
    </rPh>
    <phoneticPr fontId="14"/>
  </si>
  <si>
    <t>所有者は退役軍人</t>
    <rPh sb="0" eb="3">
      <t>ショユウシャ</t>
    </rPh>
    <rPh sb="4" eb="6">
      <t>タイエキ</t>
    </rPh>
    <rPh sb="6" eb="8">
      <t>グンジン</t>
    </rPh>
    <phoneticPr fontId="14"/>
  </si>
  <si>
    <t>出身民族</t>
    <rPh sb="0" eb="2">
      <t>シュッシン</t>
    </rPh>
    <rPh sb="2" eb="4">
      <t>ミンゾク</t>
    </rPh>
    <phoneticPr fontId="14"/>
  </si>
  <si>
    <t>小規模ビジネス</t>
    <rPh sb="0" eb="3">
      <t>ショウキボ</t>
    </rPh>
    <phoneticPr fontId="14"/>
  </si>
  <si>
    <t>ローカル所有</t>
    <rPh sb="4" eb="6">
      <t>ショユウ</t>
    </rPh>
    <phoneticPr fontId="14"/>
  </si>
  <si>
    <t>一時仕入先</t>
    <rPh sb="0" eb="2">
      <t>イチジ</t>
    </rPh>
    <rPh sb="2" eb="5">
      <t>シイレサキ</t>
    </rPh>
    <phoneticPr fontId="14"/>
  </si>
  <si>
    <t>入札のみ</t>
    <rPh sb="0" eb="2">
      <t>ニュウサツ</t>
    </rPh>
    <phoneticPr fontId="14"/>
  </si>
  <si>
    <t>仕入先のプロファイル</t>
    <rPh sb="0" eb="3">
      <t>シイレサキ</t>
    </rPh>
    <phoneticPr fontId="14"/>
  </si>
  <si>
    <t>過剰/過少許容範囲グループ（ユーザー定義）</t>
    <rPh sb="0" eb="2">
      <t>カジョウ</t>
    </rPh>
    <rPh sb="3" eb="5">
      <t>カショウ</t>
    </rPh>
    <rPh sb="5" eb="7">
      <t>キョヨウ</t>
    </rPh>
    <rPh sb="7" eb="9">
      <t>ハンイ</t>
    </rPh>
    <rPh sb="18" eb="20">
      <t>テイギ</t>
    </rPh>
    <phoneticPr fontId="14"/>
  </si>
  <si>
    <t>過剰/過少許容範囲グループ</t>
    <rPh sb="0" eb="2">
      <t>カジョウ</t>
    </rPh>
    <rPh sb="3" eb="5">
      <t>カショウ</t>
    </rPh>
    <rPh sb="5" eb="7">
      <t>キョヨウ</t>
    </rPh>
    <rPh sb="7" eb="9">
      <t>ハンイ</t>
    </rPh>
    <phoneticPr fontId="14"/>
  </si>
  <si>
    <t>サービスプロバイダー</t>
    <phoneticPr fontId="14"/>
  </si>
  <si>
    <t>仕入先（ユーザー定義）</t>
    <rPh sb="0" eb="3">
      <t>シイレサキ</t>
    </rPh>
    <rPh sb="8" eb="10">
      <t>テイギ</t>
    </rPh>
    <phoneticPr fontId="14"/>
  </si>
  <si>
    <t>出荷会社</t>
    <rPh sb="0" eb="4">
      <t>シュッカガイシャ</t>
    </rPh>
    <phoneticPr fontId="14"/>
  </si>
  <si>
    <t>輸入原価仕入先</t>
    <rPh sb="0" eb="4">
      <t>ユニュウゲンカ</t>
    </rPh>
    <rPh sb="4" eb="7">
      <t>シイレサキ</t>
    </rPh>
    <phoneticPr fontId="14"/>
  </si>
  <si>
    <t>エージェント</t>
    <phoneticPr fontId="14"/>
  </si>
  <si>
    <t>出荷港（ユーザー定義）</t>
    <rPh sb="0" eb="3">
      <t>シュッカミナト</t>
    </rPh>
    <rPh sb="8" eb="10">
      <t>テイギ</t>
    </rPh>
    <phoneticPr fontId="14"/>
  </si>
  <si>
    <t>出荷元港</t>
    <rPh sb="0" eb="4">
      <t>シュッカモトミナト</t>
    </rPh>
    <phoneticPr fontId="14"/>
  </si>
  <si>
    <t>原価タイプグループ（ユーザー定義）</t>
    <rPh sb="0" eb="2">
      <t>ゲンカ</t>
    </rPh>
    <rPh sb="14" eb="16">
      <t>テイギ</t>
    </rPh>
    <phoneticPr fontId="14"/>
  </si>
  <si>
    <t>原価タイプグループ</t>
    <rPh sb="0" eb="2">
      <t>ゲンカ</t>
    </rPh>
    <phoneticPr fontId="14"/>
  </si>
  <si>
    <t>なし
出荷会社
関税ブローカー
エージェント</t>
    <rPh sb="3" eb="7">
      <t>シュッカガイシャ</t>
    </rPh>
    <rPh sb="8" eb="10">
      <t>カンゼイ</t>
    </rPh>
    <phoneticPr fontId="14"/>
  </si>
  <si>
    <t>出荷タイプ</t>
    <rPh sb="0" eb="2">
      <t>シュッカ</t>
    </rPh>
    <phoneticPr fontId="14"/>
  </si>
  <si>
    <t>航海</t>
    <rPh sb="0" eb="2">
      <t>コウカイ</t>
    </rPh>
    <phoneticPr fontId="14"/>
  </si>
  <si>
    <t>仕入先リベートグループ（ユーザー定義）</t>
    <rPh sb="0" eb="3">
      <t>シイレサキ</t>
    </rPh>
    <rPh sb="16" eb="18">
      <t>テイギ</t>
    </rPh>
    <phoneticPr fontId="14"/>
  </si>
  <si>
    <t>仕入先リベートグループ</t>
    <rPh sb="0" eb="3">
      <t>シイレサキ</t>
    </rPh>
    <phoneticPr fontId="14"/>
  </si>
  <si>
    <t>選択可能な会社の ID</t>
  </si>
  <si>
    <t>仕入先保留のリリース日</t>
    <rPh sb="0" eb="3">
      <t>シイレサキ</t>
    </rPh>
    <rPh sb="3" eb="5">
      <t>ホリュウ</t>
    </rPh>
    <rPh sb="10" eb="11">
      <t>ビ</t>
    </rPh>
    <phoneticPr fontId="14"/>
  </si>
  <si>
    <t>理由コード</t>
    <rPh sb="0" eb="2">
      <t>リユウ</t>
    </rPh>
    <phoneticPr fontId="14"/>
  </si>
  <si>
    <t>仕入先保留</t>
    <rPh sb="0" eb="3">
      <t>シイレサキ</t>
    </rPh>
    <rPh sb="3" eb="5">
      <t>ホリュウ</t>
    </rPh>
    <phoneticPr fontId="14"/>
  </si>
  <si>
    <t>現在の保留状態</t>
    <rPh sb="0" eb="2">
      <t>ゲンザイ</t>
    </rPh>
    <rPh sb="3" eb="5">
      <t>ホリュウ</t>
    </rPh>
    <rPh sb="5" eb="7">
      <t>ジョウタイ</t>
    </rPh>
    <phoneticPr fontId="14"/>
  </si>
  <si>
    <t>購入担当グループ（ユーザー定義）</t>
    <rPh sb="0" eb="2">
      <t>コウニュウ</t>
    </rPh>
    <rPh sb="2" eb="4">
      <t>タントウ</t>
    </rPh>
    <rPh sb="13" eb="15">
      <t>テイギ</t>
    </rPh>
    <phoneticPr fontId="14"/>
  </si>
  <si>
    <t>購入担当グループ</t>
    <rPh sb="0" eb="2">
      <t>コウニュウ</t>
    </rPh>
    <rPh sb="2" eb="4">
      <t>タントウ</t>
    </rPh>
    <phoneticPr fontId="14"/>
  </si>
  <si>
    <t>管理</t>
    <rPh sb="0" eb="2">
      <t>カンリ</t>
    </rPh>
    <phoneticPr fontId="14"/>
  </si>
  <si>
    <t>標準通貨金額 (国の通貨)</t>
  </si>
  <si>
    <t>与信限度額</t>
    <rPh sb="0" eb="2">
      <t>ヨシン</t>
    </rPh>
    <rPh sb="2" eb="4">
      <t>ゲンド</t>
    </rPh>
    <rPh sb="4" eb="5">
      <t>ガク</t>
    </rPh>
    <phoneticPr fontId="14"/>
  </si>
  <si>
    <t>タイプ＞個人　用の設定シートなし</t>
    <rPh sb="4" eb="6">
      <t>コジン</t>
    </rPh>
    <rPh sb="7" eb="8">
      <t>ヨウ</t>
    </rPh>
    <rPh sb="9" eb="11">
      <t>セッテイ</t>
    </rPh>
    <phoneticPr fontId="14"/>
  </si>
  <si>
    <t>無効
有効（POは自動で確認されません）
有効（POが自動で確認されます）</t>
  </si>
  <si>
    <t>仕入先コラボレーションを有効にするかどうかを選択します。有効とする場合、仕入先が発注書を受け入れる際に、発注書が自動確認されるかどうかを選択できます。</t>
  </si>
  <si>
    <t>仕入先コラボレーション
タイプ＞個人</t>
    <rPh sb="0" eb="3">
      <t>シイレサキ</t>
    </rPh>
    <phoneticPr fontId="14"/>
  </si>
  <si>
    <t>趣味</t>
    <rPh sb="0" eb="2">
      <t>シュミ</t>
    </rPh>
    <phoneticPr fontId="14"/>
  </si>
  <si>
    <t>子</t>
    <rPh sb="0" eb="1">
      <t>コ</t>
    </rPh>
    <phoneticPr fontId="14"/>
  </si>
  <si>
    <t>アドレス帳（ユーザー定義）</t>
    <rPh sb="4" eb="5">
      <t>チョウ</t>
    </rPh>
    <phoneticPr fontId="14"/>
  </si>
  <si>
    <t>その他の情報
タイプ＞個人</t>
    <rPh sb="2" eb="3">
      <t>タ</t>
    </rPh>
    <rPh sb="4" eb="6">
      <t>ジョウホウ</t>
    </rPh>
    <phoneticPr fontId="14"/>
  </si>
  <si>
    <t>1月
2月
3月
4月
5月
6月
7月
8月
9月
10月
11月
12月</t>
  </si>
  <si>
    <t>記念日
タイプ＞個人</t>
    <rPh sb="0" eb="3">
      <t>キネンビ</t>
    </rPh>
    <phoneticPr fontId="14"/>
  </si>
  <si>
    <t>1月
2月
3月
4月
5月
6月
7月
8月
9月
10月
11月
12月</t>
    <rPh sb="1" eb="2">
      <t>ガツ</t>
    </rPh>
    <rPh sb="4" eb="5">
      <t>ガツ</t>
    </rPh>
    <rPh sb="7" eb="8">
      <t>ガツ</t>
    </rPh>
    <rPh sb="10" eb="11">
      <t>ガツ</t>
    </rPh>
    <rPh sb="13" eb="14">
      <t>ガツ</t>
    </rPh>
    <rPh sb="16" eb="17">
      <t>ガツ</t>
    </rPh>
    <rPh sb="19" eb="20">
      <t>ガツ</t>
    </rPh>
    <rPh sb="22" eb="23">
      <t>ガツ</t>
    </rPh>
    <rPh sb="25" eb="26">
      <t>ガツ</t>
    </rPh>
    <rPh sb="29" eb="30">
      <t>ガツ</t>
    </rPh>
    <rPh sb="33" eb="34">
      <t>ガツ</t>
    </rPh>
    <rPh sb="37" eb="38">
      <t>ガツ</t>
    </rPh>
    <phoneticPr fontId="14"/>
  </si>
  <si>
    <t>生年月日
タイプ＞個人</t>
    <rPh sb="0" eb="2">
      <t>セイネン</t>
    </rPh>
    <rPh sb="2" eb="4">
      <t>ガッピ</t>
    </rPh>
    <phoneticPr fontId="14"/>
  </si>
  <si>
    <t>なし
未婚
既婚
離婚
死別</t>
    <rPh sb="3" eb="5">
      <t>ミコン</t>
    </rPh>
    <rPh sb="6" eb="8">
      <t>キコン</t>
    </rPh>
    <rPh sb="9" eb="11">
      <t>リコン</t>
    </rPh>
    <rPh sb="12" eb="14">
      <t>シベツ</t>
    </rPh>
    <phoneticPr fontId="14"/>
  </si>
  <si>
    <t>男性
女性
不特定</t>
    <rPh sb="0" eb="2">
      <t>ダンセイ</t>
    </rPh>
    <rPh sb="3" eb="5">
      <t>ジョセイ</t>
    </rPh>
    <rPh sb="6" eb="9">
      <t>フトクテイ</t>
    </rPh>
    <phoneticPr fontId="14"/>
  </si>
  <si>
    <t>性別</t>
    <rPh sb="0" eb="2">
      <t>セイベツ</t>
    </rPh>
    <phoneticPr fontId="14"/>
  </si>
  <si>
    <t>個人情報
タイプ＞個人</t>
    <rPh sb="0" eb="2">
      <t>コジン</t>
    </rPh>
    <rPh sb="2" eb="4">
      <t>ジョウホウ</t>
    </rPh>
    <phoneticPr fontId="14"/>
  </si>
  <si>
    <t>姓（ふりがな）</t>
    <rPh sb="0" eb="1">
      <t>セイ</t>
    </rPh>
    <phoneticPr fontId="14"/>
  </si>
  <si>
    <t>ミドルネーム（ふりがな）</t>
  </si>
  <si>
    <t>名（ふりがな）</t>
    <rPh sb="0" eb="1">
      <t>メイ</t>
    </rPh>
    <phoneticPr fontId="14"/>
  </si>
  <si>
    <t>職務の接尾語</t>
    <rPh sb="0" eb="2">
      <t>ショクム</t>
    </rPh>
    <rPh sb="3" eb="6">
      <t>セツビゴ</t>
    </rPh>
    <phoneticPr fontId="14"/>
  </si>
  <si>
    <t>職務の肩書き</t>
    <rPh sb="0" eb="2">
      <t>ショクム</t>
    </rPh>
    <rPh sb="3" eb="5">
      <t>カタガキ</t>
    </rPh>
    <phoneticPr fontId="14"/>
  </si>
  <si>
    <t>名前の順序（ユーザー定義）</t>
    <rPh sb="10" eb="12">
      <t>テイギ</t>
    </rPh>
    <phoneticPr fontId="14"/>
  </si>
  <si>
    <t>イニシャル</t>
    <phoneticPr fontId="14"/>
  </si>
  <si>
    <t>名前の詳細
タイプ＞個人</t>
    <rPh sb="0" eb="2">
      <t>ナマエ</t>
    </rPh>
    <rPh sb="3" eb="5">
      <t>ショウサイ</t>
    </rPh>
    <rPh sb="10" eb="12">
      <t>コジン</t>
    </rPh>
    <phoneticPr fontId="14"/>
  </si>
  <si>
    <t>仕入先グループ（ユーザー定義）</t>
    <rPh sb="0" eb="3">
      <t>シイレサキ</t>
    </rPh>
    <phoneticPr fontId="14"/>
  </si>
  <si>
    <t>名前のタイトルまたは接尾語（ユーザー定義）</t>
    <rPh sb="18" eb="20">
      <t>テイギ</t>
    </rPh>
    <phoneticPr fontId="14"/>
  </si>
  <si>
    <t>支払優先順位の ID です。</t>
    <phoneticPr fontId="14"/>
  </si>
  <si>
    <t>個人
組織</t>
    <rPh sb="0" eb="2">
      <t>コジン</t>
    </rPh>
    <rPh sb="3" eb="5">
      <t>ソシキ</t>
    </rPh>
    <phoneticPr fontId="14"/>
  </si>
  <si>
    <t>ID
タイプ＞個人</t>
    <rPh sb="7" eb="9">
      <t>コジン</t>
    </rPh>
    <phoneticPr fontId="14"/>
  </si>
  <si>
    <t>仕入先コラボレーション
タイプ＞組織</t>
    <rPh sb="0" eb="3">
      <t>シイレサキ</t>
    </rPh>
    <rPh sb="16" eb="18">
      <t>ソシキ</t>
    </rPh>
    <phoneticPr fontId="14"/>
  </si>
  <si>
    <t>言語（ユーザー定義）</t>
    <rPh sb="0" eb="2">
      <t>ゲンゴ</t>
    </rPh>
    <rPh sb="7" eb="9">
      <t>テイギ</t>
    </rPh>
    <phoneticPr fontId="14"/>
  </si>
  <si>
    <t>アドレス帳（ユーザー定義）</t>
    <rPh sb="4" eb="5">
      <t>チョウ</t>
    </rPh>
    <rPh sb="10" eb="12">
      <t>テイギ</t>
    </rPh>
    <phoneticPr fontId="14"/>
  </si>
  <si>
    <t>その他の情報
タイプ＞組織</t>
    <rPh sb="2" eb="3">
      <t>タ</t>
    </rPh>
    <rPh sb="4" eb="6">
      <t>ジョウホウ</t>
    </rPh>
    <rPh sb="11" eb="13">
      <t>ソシキ</t>
    </rPh>
    <phoneticPr fontId="14"/>
  </si>
  <si>
    <t>なし
A
B
C</t>
    <phoneticPr fontId="14"/>
  </si>
  <si>
    <t>組織番号</t>
    <rPh sb="0" eb="4">
      <t>ソシキバンゴウ</t>
    </rPh>
    <phoneticPr fontId="14"/>
  </si>
  <si>
    <t>従業員数</t>
    <rPh sb="0" eb="4">
      <t>ジュウギョウインスウ</t>
    </rPh>
    <phoneticPr fontId="14"/>
  </si>
  <si>
    <t>組織の詳細
タイプ＞組織</t>
    <rPh sb="0" eb="2">
      <t>ソシキ</t>
    </rPh>
    <rPh sb="3" eb="5">
      <t>ショウサイ</t>
    </rPh>
    <rPh sb="10" eb="12">
      <t>ソシキ</t>
    </rPh>
    <phoneticPr fontId="14"/>
  </si>
  <si>
    <t>ID
タイプ＞組織</t>
    <rPh sb="7" eb="9">
      <t>ソシキ</t>
    </rPh>
    <phoneticPr fontId="14"/>
  </si>
  <si>
    <t>新しい関係者レコード</t>
    <rPh sb="0" eb="1">
      <t>アタラ</t>
    </rPh>
    <rPh sb="3" eb="6">
      <t>カンケイシャ</t>
    </rPh>
    <phoneticPr fontId="14"/>
  </si>
  <si>
    <t>関連付けられている当事者</t>
    <rPh sb="0" eb="3">
      <t>カンレンヅ</t>
    </rPh>
    <rPh sb="9" eb="12">
      <t>トウジシャ</t>
    </rPh>
    <phoneticPr fontId="14"/>
  </si>
  <si>
    <t>勘定</t>
    <rPh sb="0" eb="2">
      <t>カンジョウ</t>
    </rPh>
    <phoneticPr fontId="14"/>
  </si>
  <si>
    <t>関係者の関連付けの変更</t>
    <rPh sb="0" eb="3">
      <t>カンケイシャ</t>
    </rPh>
    <rPh sb="4" eb="7">
      <t>カンレンヅ</t>
    </rPh>
    <rPh sb="9" eb="11">
      <t>ヘンコウ</t>
    </rPh>
    <phoneticPr fontId="14"/>
  </si>
  <si>
    <t>Accounts payable &gt; Vendors &gt;  All vendors</t>
  </si>
  <si>
    <t>買掛金管理＞仕入先＞すべての仕入先</t>
    <rPh sb="0" eb="5">
      <t>カイカケキンカンリ</t>
    </rPh>
    <rPh sb="6" eb="9">
      <t>シイレサキ</t>
    </rPh>
    <rPh sb="14" eb="17">
      <t>シイレサキ</t>
    </rPh>
    <phoneticPr fontId="18"/>
  </si>
  <si>
    <t>仕入先</t>
    <phoneticPr fontId="14"/>
  </si>
  <si>
    <t>文字列（ユーザー定義）
※リスト選択</t>
    <rPh sb="0" eb="3">
      <t>モジレツ</t>
    </rPh>
    <rPh sb="16" eb="18">
      <t>センタク</t>
    </rPh>
    <phoneticPr fontId="14"/>
  </si>
  <si>
    <t>[価格ポイント]を選択した場合のみ
⇒　切り上げ / 切り捨て / 四捨五入</t>
    <rPh sb="1" eb="3">
      <t>カカク</t>
    </rPh>
    <rPh sb="20" eb="21">
      <t>キ</t>
    </rPh>
    <rPh sb="22" eb="23">
      <t>ア</t>
    </rPh>
    <rPh sb="27" eb="28">
      <t>キ</t>
    </rPh>
    <rPh sb="29" eb="30">
      <t>ス</t>
    </rPh>
    <rPh sb="34" eb="38">
      <t>シシャゴニュウ</t>
    </rPh>
    <phoneticPr fontId="14"/>
  </si>
  <si>
    <t xml:space="preserve">[丸め]を選択した場合のみ
　⇒文字列（ユーザー定義）
</t>
    <rPh sb="1" eb="2">
      <t>マル</t>
    </rPh>
    <rPh sb="5" eb="7">
      <t>センタク</t>
    </rPh>
    <rPh sb="9" eb="11">
      <t>バアイ</t>
    </rPh>
    <phoneticPr fontId="14"/>
  </si>
  <si>
    <t>なし
丸め
価格ポイント</t>
    <rPh sb="3" eb="4">
      <t>マル</t>
    </rPh>
    <rPh sb="6" eb="8">
      <t>カカク</t>
    </rPh>
    <phoneticPr fontId="27"/>
  </si>
  <si>
    <t>支払目的コード（ユーザー定義）</t>
    <rPh sb="0" eb="2">
      <t>シハライ</t>
    </rPh>
    <rPh sb="2" eb="4">
      <t>モクテキ</t>
    </rPh>
    <phoneticPr fontId="27"/>
  </si>
  <si>
    <t>標準
常時
なし</t>
    <rPh sb="0" eb="2">
      <t>ヒョウジュン</t>
    </rPh>
    <rPh sb="3" eb="5">
      <t>ジョウジ</t>
    </rPh>
    <phoneticPr fontId="27"/>
  </si>
  <si>
    <t>支払期日（ユーザー定義）</t>
    <rPh sb="0" eb="4">
      <t>シハライキジツ</t>
    </rPh>
    <phoneticPr fontId="27"/>
  </si>
  <si>
    <t>仕入先の銀行口座（ユーザー定義）</t>
    <rPh sb="0" eb="3">
      <t>シイレサキ</t>
    </rPh>
    <rPh sb="4" eb="6">
      <t>ギンコウ</t>
    </rPh>
    <rPh sb="6" eb="8">
      <t>コウザ</t>
    </rPh>
    <phoneticPr fontId="27"/>
  </si>
  <si>
    <t>現金割引（ユーザー定義）</t>
    <rPh sb="0" eb="4">
      <t>ゲンキンワリビキ</t>
    </rPh>
    <phoneticPr fontId="27"/>
  </si>
  <si>
    <t>支払スケジュール（ユーザー定義）</t>
    <rPh sb="0" eb="2">
      <t>シハライ</t>
    </rPh>
    <phoneticPr fontId="27"/>
  </si>
  <si>
    <t>支払詳細（ユーザー定義）</t>
    <rPh sb="0" eb="2">
      <t>シハライ</t>
    </rPh>
    <rPh sb="2" eb="4">
      <t>ショウサイ</t>
    </rPh>
    <phoneticPr fontId="27"/>
  </si>
  <si>
    <t>支払方法（ユーザー定義）</t>
    <rPh sb="0" eb="2">
      <t>シハライ</t>
    </rPh>
    <rPh sb="2" eb="4">
      <t>ホウホウ</t>
    </rPh>
    <phoneticPr fontId="14"/>
  </si>
  <si>
    <t xml:space="preserve">支払条件（ユーザー定義）
</t>
    <rPh sb="0" eb="2">
      <t>シハライ</t>
    </rPh>
    <rPh sb="2" eb="4">
      <t>ジョウケン</t>
    </rPh>
    <phoneticPr fontId="14"/>
  </si>
  <si>
    <t>詳細なメモグループ（ユーザー定義）</t>
    <rPh sb="0" eb="2">
      <t>ショウサイ</t>
    </rPh>
    <rPh sb="14" eb="16">
      <t>テイギ</t>
    </rPh>
    <phoneticPr fontId="27"/>
  </si>
  <si>
    <t>提供品グループ（ユーザー定義）</t>
    <rPh sb="0" eb="2">
      <t>テイキョウ</t>
    </rPh>
    <rPh sb="2" eb="3">
      <t>ヒン</t>
    </rPh>
    <phoneticPr fontId="27"/>
  </si>
  <si>
    <t>価格/割引グループ（ユーザー定義）</t>
    <rPh sb="0" eb="2">
      <t>カカク</t>
    </rPh>
    <rPh sb="3" eb="5">
      <t>ワリビキ</t>
    </rPh>
    <phoneticPr fontId="27"/>
  </si>
  <si>
    <t>作業時間カレンダー（ユーザー定義）</t>
    <rPh sb="0" eb="2">
      <t>サギョウ</t>
    </rPh>
    <rPh sb="2" eb="4">
      <t>ジカン</t>
    </rPh>
    <phoneticPr fontId="27"/>
  </si>
  <si>
    <t>自動入力</t>
    <rPh sb="0" eb="4">
      <t>ジドウニュウリョク</t>
    </rPh>
    <phoneticPr fontId="14"/>
  </si>
  <si>
    <t>購買管理グループ（ユーザー定義）</t>
    <rPh sb="0" eb="2">
      <t>コウバイ</t>
    </rPh>
    <rPh sb="2" eb="4">
      <t>カンリ</t>
    </rPh>
    <phoneticPr fontId="27"/>
  </si>
  <si>
    <t>外部品目説明グループ（ユーザー定義）</t>
    <rPh sb="0" eb="2">
      <t>ガイブ</t>
    </rPh>
    <rPh sb="2" eb="4">
      <t>ヒンモク</t>
    </rPh>
    <rPh sb="4" eb="6">
      <t>セツメイ</t>
    </rPh>
    <phoneticPr fontId="27"/>
  </si>
  <si>
    <t>在庫状態（ユーザー定義）</t>
    <rPh sb="0" eb="4">
      <t>ザイコジョウタイ</t>
    </rPh>
    <phoneticPr fontId="27"/>
  </si>
  <si>
    <t>倉庫（ユーザー定義）</t>
    <rPh sb="0" eb="2">
      <t>ソウコ</t>
    </rPh>
    <phoneticPr fontId="27"/>
  </si>
  <si>
    <t>サイト（ユーザー定義）</t>
    <phoneticPr fontId="27"/>
  </si>
  <si>
    <t>諸掛グループ（ユーザー定義）</t>
    <rPh sb="0" eb="2">
      <t>ショガカリ</t>
    </rPh>
    <phoneticPr fontId="27"/>
  </si>
  <si>
    <t>源泉徴収税グループ（ユーザー定義）</t>
    <rPh sb="0" eb="2">
      <t>ゲンセン</t>
    </rPh>
    <rPh sb="2" eb="4">
      <t>チョウシュウ</t>
    </rPh>
    <rPh sb="4" eb="5">
      <t>ゼイ</t>
    </rPh>
    <phoneticPr fontId="27"/>
  </si>
  <si>
    <t>課税控除番号（ユーザー定義）</t>
    <rPh sb="0" eb="2">
      <t>カゼイ</t>
    </rPh>
    <rPh sb="2" eb="4">
      <t>コウジョ</t>
    </rPh>
    <rPh sb="4" eb="6">
      <t>バンゴウ</t>
    </rPh>
    <phoneticPr fontId="27"/>
  </si>
  <si>
    <t>消費税グループ（ユーザー定義）</t>
    <rPh sb="0" eb="3">
      <t>ショウヒゼイ</t>
    </rPh>
    <phoneticPr fontId="27"/>
  </si>
  <si>
    <t>出荷先コード（ユーザー定義）</t>
    <rPh sb="0" eb="3">
      <t>シュッカサキ</t>
    </rPh>
    <phoneticPr fontId="27"/>
  </si>
  <si>
    <t>荷渡方法（ユーザー定義）</t>
    <rPh sb="0" eb="2">
      <t>ニワタ</t>
    </rPh>
    <rPh sb="2" eb="4">
      <t>ホウホウ</t>
    </rPh>
    <rPh sb="9" eb="11">
      <t>テイギ</t>
    </rPh>
    <phoneticPr fontId="27"/>
  </si>
  <si>
    <t>配送条件（ユーザー定義）</t>
    <rPh sb="0" eb="4">
      <t>ハイソウジョウケン</t>
    </rPh>
    <phoneticPr fontId="27"/>
  </si>
  <si>
    <t>仕入先例外グループ（ユーザー定義）</t>
    <rPh sb="0" eb="3">
      <t>シイレサキ</t>
    </rPh>
    <rPh sb="3" eb="5">
      <t>レイガイ</t>
    </rPh>
    <phoneticPr fontId="27"/>
  </si>
  <si>
    <t>仕入先価格許容範囲グループ（ユーザー定義）</t>
    <rPh sb="0" eb="3">
      <t>シイレサキ</t>
    </rPh>
    <rPh sb="3" eb="5">
      <t>カカク</t>
    </rPh>
    <rPh sb="5" eb="7">
      <t>キョヨウ</t>
    </rPh>
    <rPh sb="7" eb="9">
      <t>ハンイ</t>
    </rPh>
    <phoneticPr fontId="27"/>
  </si>
  <si>
    <t>番号順序グループ（ユーザー定義）</t>
    <rPh sb="0" eb="2">
      <t>バンゴウ</t>
    </rPh>
    <rPh sb="2" eb="4">
      <t>ジュンジョ</t>
    </rPh>
    <phoneticPr fontId="27"/>
  </si>
  <si>
    <t>仕入先（ユーザー定義）</t>
    <rPh sb="0" eb="3">
      <t>シイレサキ</t>
    </rPh>
    <phoneticPr fontId="27"/>
  </si>
  <si>
    <t>会社グループ（ユーザー定義）</t>
    <rPh sb="0" eb="2">
      <t>カイシャ</t>
    </rPh>
    <phoneticPr fontId="27"/>
  </si>
  <si>
    <t>小区分（ユーザー定義）</t>
    <rPh sb="0" eb="3">
      <t>ショウクブン</t>
    </rPh>
    <phoneticPr fontId="27"/>
  </si>
  <si>
    <t>区分（ユーザー定義）</t>
    <rPh sb="0" eb="2">
      <t>クブン</t>
    </rPh>
    <phoneticPr fontId="27"/>
  </si>
  <si>
    <t>作業者（ユーザー定義）</t>
    <rPh sb="0" eb="3">
      <t>サギョウシャ</t>
    </rPh>
    <phoneticPr fontId="27"/>
  </si>
  <si>
    <t>業種（ユーザー定義）</t>
    <rPh sb="0" eb="2">
      <t>ギョウシュ</t>
    </rPh>
    <phoneticPr fontId="27"/>
  </si>
  <si>
    <t>連絡先（ユーザー定義）</t>
    <rPh sb="0" eb="3">
      <t>レンラクサキ</t>
    </rPh>
    <phoneticPr fontId="27"/>
  </si>
  <si>
    <t>通貨（ユーザー定義）</t>
    <rPh sb="0" eb="2">
      <t>ツウカ</t>
    </rPh>
    <phoneticPr fontId="27"/>
  </si>
  <si>
    <t>過剰/過少許容範囲グループ（ユーザー定義）</t>
    <rPh sb="0" eb="2">
      <t>カジョウ</t>
    </rPh>
    <rPh sb="3" eb="5">
      <t>カショウ</t>
    </rPh>
    <rPh sb="5" eb="7">
      <t>キョヨウ</t>
    </rPh>
    <rPh sb="7" eb="9">
      <t>ハンイ</t>
    </rPh>
    <rPh sb="18" eb="20">
      <t>テイギ</t>
    </rPh>
    <phoneticPr fontId="27"/>
  </si>
  <si>
    <t>仕入先（ユーザー定義）</t>
    <rPh sb="0" eb="3">
      <t>シイレサキ</t>
    </rPh>
    <rPh sb="8" eb="10">
      <t>テイギ</t>
    </rPh>
    <phoneticPr fontId="27"/>
  </si>
  <si>
    <t>出荷港（ユーザー定義）</t>
    <rPh sb="0" eb="3">
      <t>シュッカミナト</t>
    </rPh>
    <rPh sb="8" eb="10">
      <t>テイギ</t>
    </rPh>
    <phoneticPr fontId="27"/>
  </si>
  <si>
    <t>原価タイプグループ（ユーザー定義）</t>
    <rPh sb="0" eb="2">
      <t>ゲンカ</t>
    </rPh>
    <rPh sb="14" eb="16">
      <t>テイギ</t>
    </rPh>
    <phoneticPr fontId="27"/>
  </si>
  <si>
    <t>なし
出荷会社
関税ブローカー
エージェント</t>
    <rPh sb="3" eb="7">
      <t>シュッカガイシャ</t>
    </rPh>
    <rPh sb="8" eb="10">
      <t>カンゼイ</t>
    </rPh>
    <phoneticPr fontId="27"/>
  </si>
  <si>
    <t>仕入先リベートグループ（ユーザー定義）</t>
    <rPh sb="0" eb="3">
      <t>シイレサキ</t>
    </rPh>
    <rPh sb="16" eb="18">
      <t>テイギ</t>
    </rPh>
    <phoneticPr fontId="27"/>
  </si>
  <si>
    <t>なし/A/B/C</t>
    <phoneticPr fontId="14"/>
  </si>
  <si>
    <t xml:space="preserve">文字列
</t>
    <rPh sb="0" eb="3">
      <t>モジレツ</t>
    </rPh>
    <phoneticPr fontId="14"/>
  </si>
  <si>
    <t>個人
組織</t>
  </si>
  <si>
    <t>詳細なメモグループ</t>
    <rPh sb="0" eb="2">
      <t>ショウサイ</t>
    </rPh>
    <phoneticPr fontId="27"/>
  </si>
  <si>
    <t>CXML 経由で発注書を送信します</t>
  </si>
  <si>
    <t>荷渡方法</t>
    <rPh sb="0" eb="2">
      <t>ニワタ</t>
    </rPh>
    <rPh sb="2" eb="4">
      <t>ホウホウ</t>
    </rPh>
    <phoneticPr fontId="27"/>
  </si>
  <si>
    <t>過剰/過少許容範囲グループ</t>
    <rPh sb="0" eb="2">
      <t>カジョウ</t>
    </rPh>
    <rPh sb="3" eb="5">
      <t>カショウ</t>
    </rPh>
    <rPh sb="5" eb="7">
      <t>キョヨウ</t>
    </rPh>
    <rPh sb="7" eb="9">
      <t>ハンイ</t>
    </rPh>
    <phoneticPr fontId="27"/>
  </si>
  <si>
    <t>サービスプロバイダー</t>
  </si>
  <si>
    <t>出荷会社</t>
    <rPh sb="0" eb="4">
      <t>シュッカガイシャ</t>
    </rPh>
    <phoneticPr fontId="27"/>
  </si>
  <si>
    <t>輸入原価仕入先</t>
    <rPh sb="0" eb="4">
      <t>ユニュウゲンカ</t>
    </rPh>
    <rPh sb="4" eb="7">
      <t>シイレサキ</t>
    </rPh>
    <phoneticPr fontId="27"/>
  </si>
  <si>
    <t>エージェント</t>
  </si>
  <si>
    <t>出荷元港</t>
    <rPh sb="0" eb="4">
      <t>シュッカモトミナト</t>
    </rPh>
    <phoneticPr fontId="27"/>
  </si>
  <si>
    <t>原価タイプグループ</t>
    <rPh sb="0" eb="2">
      <t>ゲンカ</t>
    </rPh>
    <phoneticPr fontId="27"/>
  </si>
  <si>
    <t>購入担当者グループ</t>
    <rPh sb="0" eb="2">
      <t>コウニュウ</t>
    </rPh>
    <rPh sb="2" eb="5">
      <t>タントウシャ</t>
    </rPh>
    <phoneticPr fontId="14"/>
  </si>
  <si>
    <t>仕入先コラボレーション</t>
    <rPh sb="0" eb="3">
      <t>シイレサキ</t>
    </rPh>
    <phoneticPr fontId="14"/>
  </si>
  <si>
    <t>連絡先情報</t>
    <rPh sb="0" eb="2">
      <t>レンラク</t>
    </rPh>
    <rPh sb="2" eb="3">
      <t>サキ</t>
    </rPh>
    <rPh sb="3" eb="5">
      <t>ジョウホウ</t>
    </rPh>
    <phoneticPr fontId="14"/>
  </si>
  <si>
    <t>サイト</t>
  </si>
  <si>
    <t>通路</t>
    <rPh sb="0" eb="2">
      <t>ツウロ</t>
    </rPh>
    <phoneticPr fontId="14"/>
  </si>
  <si>
    <t>在庫場所</t>
    <rPh sb="0" eb="2">
      <t>ザイコ</t>
    </rPh>
    <rPh sb="2" eb="4">
      <t>バショ</t>
    </rPh>
    <phoneticPr fontId="14"/>
  </si>
  <si>
    <t>モバイル デバイス ユーザーが別の倉庫で入庫処理を行うことができるようにする</t>
  </si>
  <si>
    <t>在庫状態（ユーザー定義）</t>
    <rPh sb="0" eb="2">
      <t>ザイコ</t>
    </rPh>
    <rPh sb="2" eb="4">
      <t>ジョウタイ</t>
    </rPh>
    <rPh sb="9" eb="11">
      <t>テイギ</t>
    </rPh>
    <phoneticPr fontId="14"/>
  </si>
  <si>
    <t>サイトを階層表示する</t>
    <rPh sb="4" eb="6">
      <t>カイソウ</t>
    </rPh>
    <rPh sb="6" eb="8">
      <t>ヒョウジ</t>
    </rPh>
    <phoneticPr fontId="14"/>
  </si>
  <si>
    <t>階層全体を展開</t>
  </si>
  <si>
    <t>業務
委託販売
配送
固定資産
本社
ホーム
請求書
船荷
その他
支払
実際の場所
採用
送金先
サービス
安定した組織
ステートメント
SWIFT
船降</t>
    <rPh sb="0" eb="2">
      <t>ギョウム</t>
    </rPh>
    <rPh sb="3" eb="7">
      <t>イタクハンバイ</t>
    </rPh>
    <rPh sb="8" eb="10">
      <t>ハイソウ</t>
    </rPh>
    <rPh sb="11" eb="15">
      <t>コテイシサン</t>
    </rPh>
    <rPh sb="16" eb="18">
      <t>ホンシャ</t>
    </rPh>
    <rPh sb="23" eb="26">
      <t>セイキュウショ</t>
    </rPh>
    <rPh sb="27" eb="28">
      <t>フネ</t>
    </rPh>
    <rPh sb="32" eb="33">
      <t>タ</t>
    </rPh>
    <rPh sb="34" eb="36">
      <t>シハライ</t>
    </rPh>
    <rPh sb="37" eb="39">
      <t>ジッサイ</t>
    </rPh>
    <rPh sb="40" eb="42">
      <t>バショ</t>
    </rPh>
    <rPh sb="43" eb="45">
      <t>サイヨウ</t>
    </rPh>
    <rPh sb="46" eb="48">
      <t>ソウキン</t>
    </rPh>
    <rPh sb="48" eb="49">
      <t>サキ</t>
    </rPh>
    <rPh sb="55" eb="57">
      <t>アンテイ</t>
    </rPh>
    <rPh sb="59" eb="61">
      <t>ソシキ</t>
    </rPh>
    <rPh sb="76" eb="77">
      <t>セン</t>
    </rPh>
    <rPh sb="77" eb="78">
      <t>コウ</t>
    </rPh>
    <phoneticPr fontId="14"/>
  </si>
  <si>
    <t>サイトに対して入力されている既定の配送先住所。住所は、[住所の設定] ページで指定された住所の形式の設定に従って表示されます。</t>
  </si>
  <si>
    <t>サイト内の移動に振替仕訳帳を使用</t>
  </si>
  <si>
    <t>マスタープラン</t>
  </si>
  <si>
    <t>(GMT+09:00) Osaka, Sapporo, Tokyo</t>
  </si>
  <si>
    <t>世界105カ所のタイムゾーンが選択可能</t>
    <rPh sb="0" eb="2">
      <t>セカイ</t>
    </rPh>
    <rPh sb="6" eb="7">
      <t>ショ</t>
    </rPh>
    <rPh sb="15" eb="17">
      <t>センタク</t>
    </rPh>
    <rPh sb="17" eb="19">
      <t>カノウ</t>
    </rPh>
    <phoneticPr fontId="14"/>
  </si>
  <si>
    <t>選択したサイトに適用するタイム ゾーンを選択します。タイム ゾーン情報は、販売注文、販売見積、および移動オーダーの注文入力期限を出荷場所のタイム ゾーンで計算して表示するために使用されます。</t>
  </si>
  <si>
    <t>注文入力期限グループ（ユーザー定義）</t>
    <rPh sb="15" eb="17">
      <t>テイギ</t>
    </rPh>
    <phoneticPr fontId="14"/>
  </si>
  <si>
    <t>選択したサイトに適用する注文入力期限グループを選択します。注文入力期限グループでは、特定の顧客のグループに対して注文入力期限が指定されます。</t>
  </si>
  <si>
    <t>注文入力期限グループ</t>
    <rPh sb="0" eb="2">
      <t>チュウモン</t>
    </rPh>
    <rPh sb="2" eb="4">
      <t>ニュウリョク</t>
    </rPh>
    <rPh sb="4" eb="6">
      <t>キゲン</t>
    </rPh>
    <phoneticPr fontId="14"/>
  </si>
  <si>
    <t>注文入力</t>
  </si>
  <si>
    <t>Inventory management &gt; Setup &gt; Inventory breakdown &gt; Sites</t>
  </si>
  <si>
    <t>在庫管理＞設定＞在庫詳細＞サイト</t>
    <phoneticPr fontId="18"/>
  </si>
  <si>
    <t>国/地域（システム定義）</t>
  </si>
  <si>
    <t>注文入力期限グループ（ユーザー定義）</t>
    <rPh sb="0" eb="2">
      <t>チュウモン</t>
    </rPh>
    <rPh sb="2" eb="4">
      <t>ニュウリョク</t>
    </rPh>
    <rPh sb="4" eb="6">
      <t>キゲン</t>
    </rPh>
    <rPh sb="15" eb="16">
      <t>サダム</t>
    </rPh>
    <phoneticPr fontId="14"/>
  </si>
  <si>
    <t>モバイル デバイス ユーザーが別の倉庫で入庫処理を行うことができるようにする</t>
    <rPh sb="15" eb="16">
      <t>ベツ</t>
    </rPh>
    <rPh sb="17" eb="19">
      <t>ソウコ</t>
    </rPh>
    <rPh sb="20" eb="22">
      <t>ニュウコ</t>
    </rPh>
    <rPh sb="22" eb="24">
      <t>ショリ</t>
    </rPh>
    <rPh sb="25" eb="26">
      <t>オコナ</t>
    </rPh>
    <phoneticPr fontId="14"/>
  </si>
  <si>
    <t>既定の在庫状態ID</t>
    <rPh sb="0" eb="2">
      <t>キテイ</t>
    </rPh>
    <rPh sb="3" eb="7">
      <t>ザイコジョウタイ</t>
    </rPh>
    <phoneticPr fontId="14"/>
  </si>
  <si>
    <t>折りたたみ</t>
    <rPh sb="0" eb="1">
      <t>オ</t>
    </rPh>
    <phoneticPr fontId="14"/>
  </si>
  <si>
    <t>新しい住所＞主要</t>
    <rPh sb="0" eb="1">
      <t>アタラ</t>
    </rPh>
    <rPh sb="3" eb="5">
      <t>ジュウショ</t>
    </rPh>
    <rPh sb="6" eb="8">
      <t>シュヨウ</t>
    </rPh>
    <phoneticPr fontId="14"/>
  </si>
  <si>
    <t>新しい住所＞都道府県</t>
    <rPh sb="0" eb="1">
      <t>アタラ</t>
    </rPh>
    <rPh sb="3" eb="5">
      <t>ジュウショ</t>
    </rPh>
    <rPh sb="6" eb="10">
      <t>トドウフケン</t>
    </rPh>
    <phoneticPr fontId="14"/>
  </si>
  <si>
    <t>新しい住所＞市町村</t>
    <rPh sb="0" eb="1">
      <t>アタラ</t>
    </rPh>
    <rPh sb="3" eb="5">
      <t>ジュウショ</t>
    </rPh>
    <rPh sb="6" eb="9">
      <t>シチョウソン</t>
    </rPh>
    <phoneticPr fontId="14"/>
  </si>
  <si>
    <t>新しい住所＞住所</t>
    <rPh sb="0" eb="1">
      <t>アタラ</t>
    </rPh>
    <rPh sb="3" eb="5">
      <t>ジュウショ</t>
    </rPh>
    <rPh sb="6" eb="8">
      <t>ジュウショ</t>
    </rPh>
    <phoneticPr fontId="14"/>
  </si>
  <si>
    <t>新しい住所＞郵便番号</t>
    <rPh sb="0" eb="1">
      <t>アタラ</t>
    </rPh>
    <rPh sb="3" eb="5">
      <t>ジュウショ</t>
    </rPh>
    <rPh sb="6" eb="10">
      <t>ユウビンバンゴウ</t>
    </rPh>
    <phoneticPr fontId="14"/>
  </si>
  <si>
    <t>新しい住所＞国/地域</t>
    <rPh sb="0" eb="1">
      <t>アタラ</t>
    </rPh>
    <rPh sb="3" eb="5">
      <t>ジュウショ</t>
    </rPh>
    <rPh sb="6" eb="7">
      <t>クニ</t>
    </rPh>
    <rPh sb="8" eb="10">
      <t>チイキ</t>
    </rPh>
    <phoneticPr fontId="14"/>
  </si>
  <si>
    <t>新しい住所＞目的</t>
    <rPh sb="0" eb="1">
      <t>アタラ</t>
    </rPh>
    <rPh sb="3" eb="5">
      <t>ジュウショ</t>
    </rPh>
    <rPh sb="6" eb="8">
      <t>モクテキ</t>
    </rPh>
    <phoneticPr fontId="14"/>
  </si>
  <si>
    <t>新しい住所＞名前または説明</t>
    <rPh sb="0" eb="1">
      <t>アタラ</t>
    </rPh>
    <rPh sb="3" eb="5">
      <t>ジュウショ</t>
    </rPh>
    <rPh sb="6" eb="8">
      <t>ナマエ</t>
    </rPh>
    <rPh sb="11" eb="13">
      <t>セツメイ</t>
    </rPh>
    <phoneticPr fontId="14"/>
  </si>
  <si>
    <t>新しい住所＞場所ID</t>
    <rPh sb="0" eb="1">
      <t>アタラ</t>
    </rPh>
    <rPh sb="3" eb="5">
      <t>ジュウショ</t>
    </rPh>
    <rPh sb="6" eb="8">
      <t>バショ</t>
    </rPh>
    <phoneticPr fontId="14"/>
  </si>
  <si>
    <t>マスタープラン＞サイト内の移動に振替仕訳帳を使用</t>
  </si>
  <si>
    <t>注文入力＞タイムゾーン</t>
    <rPh sb="0" eb="2">
      <t>チュウモン</t>
    </rPh>
    <rPh sb="2" eb="4">
      <t>ニュウリョク</t>
    </rPh>
    <phoneticPr fontId="14"/>
  </si>
  <si>
    <t>注文入力＞注文入力期限グループ</t>
    <rPh sb="0" eb="4">
      <t>チュウモンニュウリョク</t>
    </rPh>
    <rPh sb="5" eb="7">
      <t>チュウモン</t>
    </rPh>
    <rPh sb="7" eb="9">
      <t>ニュウリョク</t>
    </rPh>
    <rPh sb="9" eb="11">
      <t>キゲン</t>
    </rPh>
    <phoneticPr fontId="14"/>
  </si>
  <si>
    <t>サイト</t>
    <phoneticPr fontId="23"/>
  </si>
  <si>
    <t>　　　　　　　　↓</t>
    <phoneticPr fontId="14"/>
  </si>
  <si>
    <t>「倉庫-設定値」参照</t>
    <rPh sb="8" eb="10">
      <t>サンショウ</t>
    </rPh>
    <phoneticPr fontId="14"/>
  </si>
  <si>
    <t>配送モードで分割</t>
    <rPh sb="0" eb="2">
      <t>ハイソウ</t>
    </rPh>
    <rPh sb="6" eb="8">
      <t>ブンカツ</t>
    </rPh>
    <phoneticPr fontId="14"/>
  </si>
  <si>
    <t>単独出荷で分割</t>
    <rPh sb="0" eb="2">
      <t>タンドク</t>
    </rPh>
    <rPh sb="2" eb="4">
      <t>シュッカ</t>
    </rPh>
    <rPh sb="5" eb="7">
      <t>ブンカツ</t>
    </rPh>
    <phoneticPr fontId="14"/>
  </si>
  <si>
    <t>ピッキングリストの最大明細行</t>
    <rPh sb="9" eb="11">
      <t>サイダイ</t>
    </rPh>
    <rPh sb="11" eb="13">
      <t>メイサイ</t>
    </rPh>
    <rPh sb="13" eb="14">
      <t>ギョウ</t>
    </rPh>
    <phoneticPr fontId="14"/>
  </si>
  <si>
    <t>バッチごとのピッキングリスト数</t>
    <rPh sb="14" eb="15">
      <t>スウ</t>
    </rPh>
    <phoneticPr fontId="14"/>
  </si>
  <si>
    <t>ピッキングワークベンチ</t>
  </si>
  <si>
    <t>言語（ユーザー定義）</t>
    <rPh sb="0" eb="2">
      <t>ゲンゴ</t>
    </rPh>
    <phoneticPr fontId="14"/>
  </si>
  <si>
    <t>国際出荷に関連付けられている危険物レポートの既定の言語を選択します。</t>
    <rPh sb="0" eb="2">
      <t>コクサイ</t>
    </rPh>
    <rPh sb="2" eb="4">
      <t>シュッカ</t>
    </rPh>
    <rPh sb="5" eb="8">
      <t>カンレンヅ</t>
    </rPh>
    <rPh sb="14" eb="17">
      <t>キケンブツ</t>
    </rPh>
    <rPh sb="22" eb="24">
      <t>キテイ</t>
    </rPh>
    <rPh sb="25" eb="27">
      <t>ゲンゴ</t>
    </rPh>
    <rPh sb="28" eb="30">
      <t>センタク</t>
    </rPh>
    <phoneticPr fontId="14"/>
  </si>
  <si>
    <t>危険物輸出レポートの言語</t>
    <rPh sb="0" eb="3">
      <t>キケンブツ</t>
    </rPh>
    <rPh sb="3" eb="5">
      <t>ユシュツ</t>
    </rPh>
    <rPh sb="10" eb="12">
      <t>ゲンゴ</t>
    </rPh>
    <phoneticPr fontId="14"/>
  </si>
  <si>
    <t>国内出荷に関連付けられている危険物レポートの既定の言語を選択します。</t>
    <rPh sb="0" eb="4">
      <t>コクナイシュッカ</t>
    </rPh>
    <rPh sb="5" eb="8">
      <t>カンレンヅ</t>
    </rPh>
    <rPh sb="14" eb="17">
      <t>キケンブツ</t>
    </rPh>
    <rPh sb="22" eb="24">
      <t>キテイ</t>
    </rPh>
    <rPh sb="25" eb="27">
      <t>ゲンゴ</t>
    </rPh>
    <rPh sb="28" eb="30">
      <t>センタク</t>
    </rPh>
    <phoneticPr fontId="14"/>
  </si>
  <si>
    <t>危険物国内レポートの言語</t>
    <rPh sb="0" eb="3">
      <t>キケンブツ</t>
    </rPh>
    <rPh sb="3" eb="5">
      <t>コクナイ</t>
    </rPh>
    <rPh sb="10" eb="12">
      <t>ゲンゴ</t>
    </rPh>
    <phoneticPr fontId="14"/>
  </si>
  <si>
    <t>危険物レポートの言語</t>
    <rPh sb="0" eb="3">
      <t>キケンブツ</t>
    </rPh>
    <rPh sb="8" eb="10">
      <t>ゲンゴ</t>
    </rPh>
    <phoneticPr fontId="14"/>
  </si>
  <si>
    <t>このオプションは[はい]に設定すると、引当済数量の一括引落しを許可できます。</t>
    <rPh sb="13" eb="15">
      <t>セッテイ</t>
    </rPh>
    <rPh sb="19" eb="22">
      <t>ヒキアテズ</t>
    </rPh>
    <rPh sb="22" eb="24">
      <t>スウリョウ</t>
    </rPh>
    <rPh sb="25" eb="27">
      <t>イッカツ</t>
    </rPh>
    <rPh sb="27" eb="29">
      <t>ヒキオト</t>
    </rPh>
    <rPh sb="31" eb="33">
      <t>キョカ</t>
    </rPh>
    <phoneticPr fontId="14"/>
  </si>
  <si>
    <t>一括引落しでは引当済数量を使用する必要があります</t>
    <rPh sb="0" eb="2">
      <t>イッカツ</t>
    </rPh>
    <rPh sb="2" eb="4">
      <t>ヒキオトシ</t>
    </rPh>
    <rPh sb="7" eb="9">
      <t>ヒキアテ</t>
    </rPh>
    <rPh sb="9" eb="10">
      <t>ズ</t>
    </rPh>
    <rPh sb="10" eb="12">
      <t>スウリョウ</t>
    </rPh>
    <rPh sb="13" eb="15">
      <t>シヨウ</t>
    </rPh>
    <rPh sb="17" eb="19">
      <t>ヒツヨウ</t>
    </rPh>
    <phoneticPr fontId="14"/>
  </si>
  <si>
    <t>製造オーダー</t>
    <rPh sb="0" eb="2">
      <t>セイゾウ</t>
    </rPh>
    <phoneticPr fontId="14"/>
  </si>
  <si>
    <t>有効にすると、この倉庫で作成された品質指示で、品質品目サンプリング作業および品質指示作業を含む倉庫プロセス機能の品質指示が使用されます。無効にすると、品質指示機能はサポートされますが、倉庫作業は統合されません。</t>
    <rPh sb="0" eb="2">
      <t>ユウコウ</t>
    </rPh>
    <rPh sb="9" eb="11">
      <t>ソウコ</t>
    </rPh>
    <rPh sb="12" eb="14">
      <t>サクセイ</t>
    </rPh>
    <rPh sb="17" eb="21">
      <t>ヒンシツシジ</t>
    </rPh>
    <rPh sb="23" eb="27">
      <t>ヒンシツヒンモク</t>
    </rPh>
    <rPh sb="33" eb="35">
      <t>サギョウ</t>
    </rPh>
    <rPh sb="38" eb="40">
      <t>ヒンシツ</t>
    </rPh>
    <rPh sb="40" eb="44">
      <t>シジサギョウ</t>
    </rPh>
    <rPh sb="45" eb="46">
      <t>フク</t>
    </rPh>
    <rPh sb="47" eb="49">
      <t>ソウコ</t>
    </rPh>
    <rPh sb="53" eb="55">
      <t>キノウ</t>
    </rPh>
    <rPh sb="56" eb="60">
      <t>ヒンシツシジ</t>
    </rPh>
    <rPh sb="61" eb="63">
      <t>シヨウ</t>
    </rPh>
    <rPh sb="68" eb="70">
      <t>ムコウ</t>
    </rPh>
    <phoneticPr fontId="14"/>
  </si>
  <si>
    <t>倉庫プロセスに対して品質指示を有効にする</t>
    <rPh sb="0" eb="2">
      <t>ソウコ</t>
    </rPh>
    <rPh sb="7" eb="8">
      <t>タイ</t>
    </rPh>
    <rPh sb="10" eb="12">
      <t>ヒンシツ</t>
    </rPh>
    <rPh sb="12" eb="14">
      <t>シジ</t>
    </rPh>
    <rPh sb="15" eb="17">
      <t>ユウコウ</t>
    </rPh>
    <phoneticPr fontId="14"/>
  </si>
  <si>
    <t>この倉庫で労働基準計算を実行できるようにするには、このオプションを選択します。このオプションをはいに設定すると、倉庫でのパフォーマンスに影響があります。</t>
  </si>
  <si>
    <t>労務標準の許可</t>
    <rPh sb="0" eb="2">
      <t>ロウム</t>
    </rPh>
    <rPh sb="2" eb="4">
      <t>ヒョウジュン</t>
    </rPh>
    <rPh sb="5" eb="7">
      <t>キョカ</t>
    </rPh>
    <phoneticPr fontId="14"/>
  </si>
  <si>
    <t>労務標準</t>
    <rPh sb="0" eb="2">
      <t>ロウム</t>
    </rPh>
    <rPh sb="2" eb="4">
      <t>ヒョウジュン</t>
    </rPh>
    <phoneticPr fontId="14"/>
  </si>
  <si>
    <t>在庫状態が変更された場合に在庫ブロックを削除するオプションを選択します。このオプションは、品目が消費または使用から自動的にブロックされているとき、および品質検査が終了した後に在庫のステータスが変更したときに、品質検査で使用されます。</t>
  </si>
  <si>
    <t>在庫ブロックの削除</t>
    <rPh sb="0" eb="2">
      <t>ザイコ</t>
    </rPh>
    <rPh sb="7" eb="9">
      <t>サクジョ</t>
    </rPh>
    <phoneticPr fontId="14"/>
  </si>
  <si>
    <t>なし
引当
マーキングと引当</t>
    <rPh sb="3" eb="5">
      <t>ヒキアテ</t>
    </rPh>
    <rPh sb="12" eb="14">
      <t>ヒキアテ</t>
    </rPh>
    <phoneticPr fontId="14"/>
  </si>
  <si>
    <t>在庫状態が変更した場合の、引当とマーキングの処置を選択します。</t>
  </si>
  <si>
    <t>引当とマーキングの削除</t>
    <rPh sb="0" eb="2">
      <t>ヒキアテ</t>
    </rPh>
    <rPh sb="9" eb="11">
      <t>サクジョ</t>
    </rPh>
    <phoneticPr fontId="14"/>
  </si>
  <si>
    <t>在庫状態の変更</t>
    <rPh sb="0" eb="2">
      <t>ザイコ</t>
    </rPh>
    <rPh sb="2" eb="4">
      <t>ジョウタイ</t>
    </rPh>
    <rPh sb="5" eb="7">
      <t>ヘンコウ</t>
    </rPh>
    <phoneticPr fontId="14"/>
  </si>
  <si>
    <t>コンテナー タイプ（ユーザー定義）</t>
    <phoneticPr fontId="14"/>
  </si>
  <si>
    <t>ライセンス プレートに使用される既定のコンテナー タイプを選択します。コンテナー タイプは、ケージ、ボックス、パレット、または出荷コンテナーなどの有形の在庫維持単位の物理的特性を定義します。</t>
  </si>
  <si>
    <t>既定のコンテナータイプ</t>
    <rPh sb="0" eb="2">
      <t>キテイ</t>
    </rPh>
    <phoneticPr fontId="14"/>
  </si>
  <si>
    <t>在庫状態（ユーザー定義）</t>
    <rPh sb="0" eb="2">
      <t>ザイコ</t>
    </rPh>
    <rPh sb="2" eb="4">
      <t>ジョウタイ</t>
    </rPh>
    <phoneticPr fontId="14"/>
  </si>
  <si>
    <t>この倉庫の在庫について、発注書明細行、販売注文明細行、および移動オーダー明細行に既定で表示されるステータスを選択します。</t>
  </si>
  <si>
    <t>在庫</t>
    <rPh sb="0" eb="2">
      <t>ザイコ</t>
    </rPh>
    <phoneticPr fontId="14"/>
  </si>
  <si>
    <t>このオプションにより、ピッキング済数量が減少した場合に、積荷明細行が削減されます。 これは、ピッキング済数量が減少しても全積荷を出荷する必要がある場合に便利です。</t>
    <phoneticPr fontId="14"/>
  </si>
  <si>
    <t>減分積荷明細行</t>
    <rPh sb="0" eb="1">
      <t>ヘ</t>
    </rPh>
    <rPh sb="1" eb="2">
      <t>ブン</t>
    </rPh>
    <rPh sb="2" eb="4">
      <t>ツミニ</t>
    </rPh>
    <rPh sb="4" eb="6">
      <t>メイサイ</t>
    </rPh>
    <rPh sb="6" eb="7">
      <t>ギョウ</t>
    </rPh>
    <phoneticPr fontId="14"/>
  </si>
  <si>
    <t>ピッキング済数量の削減</t>
    <rPh sb="5" eb="6">
      <t>ス</t>
    </rPh>
    <rPh sb="6" eb="8">
      <t>スウリョウ</t>
    </rPh>
    <rPh sb="9" eb="11">
      <t>サクゲン</t>
    </rPh>
    <phoneticPr fontId="14"/>
  </si>
  <si>
    <t>このオプションを選択して、場所ごとに一意のチェック ディジットがあることを確認します。 ディジットを設定するため、倉庫管理 &gt; 設定 &gt; 倉庫 &gt; 場所 の順に移動します。 チェック ディジットを選択します。</t>
    <phoneticPr fontId="14"/>
  </si>
  <si>
    <t>一意のチェックディジットを使用</t>
    <rPh sb="0" eb="1">
      <t>イチ</t>
    </rPh>
    <rPh sb="1" eb="2">
      <t>イ</t>
    </rPh>
    <rPh sb="13" eb="15">
      <t>シヨウ</t>
    </rPh>
    <phoneticPr fontId="14"/>
  </si>
  <si>
    <t>チェックディジット</t>
    <phoneticPr fontId="14"/>
  </si>
  <si>
    <t>このオプションにより、ライセンス プレートが棚卸を行っている場所と異なる場所にある場合に、棚卸中に在庫移動が完了します。</t>
    <phoneticPr fontId="14"/>
  </si>
  <si>
    <t>循環棚卸中にライセンスプレートの移動を許可する</t>
    <rPh sb="0" eb="2">
      <t>ジュンカン</t>
    </rPh>
    <rPh sb="2" eb="5">
      <t>タナオロシチュウ</t>
    </rPh>
    <rPh sb="16" eb="18">
      <t>イドウ</t>
    </rPh>
    <rPh sb="19" eb="21">
      <t>キョカ</t>
    </rPh>
    <phoneticPr fontId="14"/>
  </si>
  <si>
    <t>循環棚卸</t>
    <rPh sb="0" eb="2">
      <t>ジュンカン</t>
    </rPh>
    <rPh sb="2" eb="4">
      <t>タナオロシ</t>
    </rPh>
    <phoneticPr fontId="14"/>
  </si>
  <si>
    <t>現物マイナス在庫</t>
    <rPh sb="0" eb="2">
      <t>ゲンブツ</t>
    </rPh>
    <rPh sb="6" eb="8">
      <t>ザイコ</t>
    </rPh>
    <phoneticPr fontId="14"/>
  </si>
  <si>
    <t>このオプションを使用すると、財務上更新された手持在庫が存在しない場合でも、ステータスが売却済の販売注文が請求できます。つまり、在庫がマイナスの資産になる可能性があります。このオプションを有効にすると、入庫在庫を財務上更新する前に、財務的に有効な在庫分析コードまたは倉庫間で在庫を転送する必要がある場合に便利です。 このオプションがいいえに設定されている場合、品目のすべての手持在庫が物理的に更新または入庫されていても、請求書を作成することはできません。</t>
  </si>
  <si>
    <t>財務マイナス在庫</t>
    <rPh sb="0" eb="2">
      <t>ザイム</t>
    </rPh>
    <rPh sb="6" eb="8">
      <t>ザイコ</t>
    </rPh>
    <phoneticPr fontId="14"/>
  </si>
  <si>
    <t>マイナス在庫</t>
    <rPh sb="4" eb="6">
      <t>ザイコ</t>
    </rPh>
    <phoneticPr fontId="14"/>
  </si>
  <si>
    <t>積荷転記時の在庫引当を”はい”にすることで設定可能</t>
    <rPh sb="0" eb="2">
      <t>ツミニ</t>
    </rPh>
    <rPh sb="2" eb="5">
      <t>テンキジ</t>
    </rPh>
    <rPh sb="6" eb="8">
      <t>ザイコ</t>
    </rPh>
    <rPh sb="8" eb="10">
      <t>ヒキアテ</t>
    </rPh>
    <rPh sb="21" eb="23">
      <t>セッテイ</t>
    </rPh>
    <rPh sb="23" eb="25">
      <t>カノウ</t>
    </rPh>
    <phoneticPr fontId="14"/>
  </si>
  <si>
    <t>エラーを生成
警告を生成</t>
    <rPh sb="4" eb="6">
      <t>セイセイ</t>
    </rPh>
    <rPh sb="7" eb="9">
      <t>ケイコク</t>
    </rPh>
    <rPh sb="10" eb="12">
      <t>セイセイ</t>
    </rPh>
    <phoneticPr fontId="14"/>
  </si>
  <si>
    <t>不十分な数量の応答</t>
    <rPh sb="0" eb="3">
      <t>フジュウブン</t>
    </rPh>
    <rPh sb="4" eb="6">
      <t>スウリョウ</t>
    </rPh>
    <rPh sb="7" eb="9">
      <t>オウトウ</t>
    </rPh>
    <phoneticPr fontId="14"/>
  </si>
  <si>
    <t>倉庫管理プロセスの使用を”はい”にすることで設定可能</t>
    <rPh sb="0" eb="4">
      <t>ソウコカンリ</t>
    </rPh>
    <rPh sb="9" eb="11">
      <t>シヨウ</t>
    </rPh>
    <rPh sb="22" eb="26">
      <t>セッテイカノウ</t>
    </rPh>
    <phoneticPr fontId="14"/>
  </si>
  <si>
    <t>該当なし
部分引当の許可
完全引当の必要</t>
    <rPh sb="0" eb="2">
      <t>ガイトウ</t>
    </rPh>
    <rPh sb="5" eb="7">
      <t>ブブン</t>
    </rPh>
    <rPh sb="7" eb="8">
      <t>ヒ</t>
    </rPh>
    <rPh sb="8" eb="9">
      <t>ア</t>
    </rPh>
    <rPh sb="10" eb="12">
      <t>キョカ</t>
    </rPh>
    <rPh sb="13" eb="17">
      <t>カンゼンヒキアテ</t>
    </rPh>
    <rPh sb="18" eb="20">
      <t>ヒツヨウ</t>
    </rPh>
    <phoneticPr fontId="14"/>
  </si>
  <si>
    <t>注文明細行の部分的なリリースを許可するかどうかを制御します。完全な予約を要求に設定すると、注文明細行が物理的に予約されない、またはクロスドッキングが計画されない場合、注文をリリースできません</t>
    <rPh sb="0" eb="5">
      <t>チュウモンメイサイギョウ</t>
    </rPh>
    <rPh sb="6" eb="9">
      <t>ブブンテキ</t>
    </rPh>
    <rPh sb="15" eb="17">
      <t>キョカ</t>
    </rPh>
    <rPh sb="24" eb="26">
      <t>セイギョ</t>
    </rPh>
    <rPh sb="30" eb="32">
      <t>カンゼン</t>
    </rPh>
    <rPh sb="33" eb="35">
      <t>ヨヤク</t>
    </rPh>
    <rPh sb="36" eb="38">
      <t>ヨウキュウ</t>
    </rPh>
    <rPh sb="39" eb="41">
      <t>セッテイ</t>
    </rPh>
    <rPh sb="45" eb="50">
      <t>チュウモンメイサイギョウ</t>
    </rPh>
    <rPh sb="51" eb="53">
      <t>ブツリ</t>
    </rPh>
    <rPh sb="53" eb="54">
      <t>テキ</t>
    </rPh>
    <rPh sb="55" eb="57">
      <t>ヨヤク</t>
    </rPh>
    <rPh sb="74" eb="76">
      <t>ケイカク</t>
    </rPh>
    <rPh sb="80" eb="82">
      <t>バアイ</t>
    </rPh>
    <rPh sb="83" eb="85">
      <t>チュウモン</t>
    </rPh>
    <phoneticPr fontId="14"/>
  </si>
  <si>
    <t>在庫引当の要件</t>
    <rPh sb="0" eb="4">
      <t>ザイコヒキアテ</t>
    </rPh>
    <rPh sb="5" eb="7">
      <t>ヨウケン</t>
    </rPh>
    <phoneticPr fontId="14"/>
  </si>
  <si>
    <t>バッチ ジョブが倉庫への注文をリリースするのに使用される場合、在庫を自動的に引当するには、このオプションを選択します。</t>
  </si>
  <si>
    <t>バッチジョブによってオーダーがリリースされたときに引き当てる</t>
    <rPh sb="25" eb="26">
      <t>ヒ</t>
    </rPh>
    <rPh sb="27" eb="28">
      <t>ア</t>
    </rPh>
    <phoneticPr fontId="14"/>
  </si>
  <si>
    <t>倉庫への負荷がリリースされるときに、在庫を自動的に引当するには、このオプションを選択します。</t>
  </si>
  <si>
    <t>積荷転記時の在庫引当</t>
    <rPh sb="0" eb="2">
      <t>ツミニ</t>
    </rPh>
    <rPh sb="2" eb="4">
      <t>テンキ</t>
    </rPh>
    <rPh sb="4" eb="5">
      <t>ジ</t>
    </rPh>
    <rPh sb="6" eb="8">
      <t>ザイコ</t>
    </rPh>
    <rPh sb="8" eb="10">
      <t>ヒキアテ</t>
    </rPh>
    <phoneticPr fontId="14"/>
  </si>
  <si>
    <t>生産部品表の倉庫のみを引当</t>
    <rPh sb="0" eb="2">
      <t>セイサン</t>
    </rPh>
    <rPh sb="2" eb="4">
      <t>ブヒン</t>
    </rPh>
    <rPh sb="4" eb="5">
      <t>ヒョウ</t>
    </rPh>
    <rPh sb="6" eb="8">
      <t>ソウコ</t>
    </rPh>
    <rPh sb="11" eb="13">
      <t>ヒキアテ</t>
    </rPh>
    <phoneticPr fontId="14"/>
  </si>
  <si>
    <t>数量減少
常時</t>
    <rPh sb="0" eb="4">
      <t>スウリョウゲンショウ</t>
    </rPh>
    <rPh sb="5" eb="7">
      <t>ジョウジ</t>
    </rPh>
    <phoneticPr fontId="14"/>
  </si>
  <si>
    <t>このパラメーターで出荷を自動的にいつ更新するか選択できます。販売や移動オーダー明細行の数量が減少したときに、出荷を自動的に更新するには数量減少を選択します。販売や移動オーダー明細行の数量が減少したとき、または新しい行が追加されて増加したときに、出荷を自動的に更新するには常時を選択します。</t>
    <rPh sb="9" eb="11">
      <t>シュッカ</t>
    </rPh>
    <rPh sb="12" eb="15">
      <t>ジドウテキ</t>
    </rPh>
    <rPh sb="18" eb="20">
      <t>コウシン</t>
    </rPh>
    <rPh sb="23" eb="25">
      <t>センタク</t>
    </rPh>
    <rPh sb="30" eb="32">
      <t>ハンバイ</t>
    </rPh>
    <rPh sb="33" eb="35">
      <t>イドウ</t>
    </rPh>
    <rPh sb="69" eb="71">
      <t>ゲンショウ</t>
    </rPh>
    <phoneticPr fontId="14"/>
  </si>
  <si>
    <t>出荷の自動更新</t>
    <rPh sb="0" eb="2">
      <t>シュッカ</t>
    </rPh>
    <rPh sb="3" eb="7">
      <t>ジドウコウシン</t>
    </rPh>
    <phoneticPr fontId="14"/>
  </si>
  <si>
    <t>作業処理 ポリシー（ユーザー定義）</t>
    <rPh sb="0" eb="2">
      <t>サギョウ</t>
    </rPh>
    <rPh sb="2" eb="4">
      <t>ショリ</t>
    </rPh>
    <phoneticPr fontId="14"/>
  </si>
  <si>
    <t>ポリシーが倉庫で定義されている場合は、倉庫パラメーターで定義された既定のポリシーの代わりにそれが使用されます。</t>
    <rPh sb="5" eb="7">
      <t>ソウコ</t>
    </rPh>
    <rPh sb="8" eb="10">
      <t>テイギ</t>
    </rPh>
    <rPh sb="15" eb="17">
      <t>バアイ</t>
    </rPh>
    <rPh sb="19" eb="21">
      <t>ソウコ</t>
    </rPh>
    <rPh sb="28" eb="30">
      <t>テイギ</t>
    </rPh>
    <rPh sb="33" eb="35">
      <t>キテイ</t>
    </rPh>
    <rPh sb="41" eb="42">
      <t>カ</t>
    </rPh>
    <rPh sb="48" eb="50">
      <t>シヨウ</t>
    </rPh>
    <phoneticPr fontId="14"/>
  </si>
  <si>
    <t>作業処理ポリシー名</t>
    <rPh sb="0" eb="2">
      <t>サギョウ</t>
    </rPh>
    <rPh sb="2" eb="4">
      <t>ショリ</t>
    </rPh>
    <rPh sb="8" eb="9">
      <t>メイ</t>
    </rPh>
    <phoneticPr fontId="14"/>
  </si>
  <si>
    <t>Select this option if you want to print the bill of lading (BOL) before you confirm the shipment. By default, the bill of lading prints after the shipment has been confirmed.</t>
  </si>
  <si>
    <t>出荷確認の前にBOLを印刷</t>
    <rPh sb="0" eb="2">
      <t>シュッカ</t>
    </rPh>
    <rPh sb="2" eb="4">
      <t>カクニン</t>
    </rPh>
    <rPh sb="5" eb="6">
      <t>マエ</t>
    </rPh>
    <rPh sb="11" eb="13">
      <t>インサツ</t>
    </rPh>
    <phoneticPr fontId="14"/>
  </si>
  <si>
    <t>最適化された倉庫レイアウトおよび作業処理に対する倉庫アプリを使用するオプションを選択します。</t>
  </si>
  <si>
    <t>倉庫管理プロセスの使用</t>
    <rPh sb="0" eb="2">
      <t>ソウコ</t>
    </rPh>
    <rPh sb="2" eb="4">
      <t>カンリ</t>
    </rPh>
    <rPh sb="9" eb="11">
      <t>シヨウ</t>
    </rPh>
    <phoneticPr fontId="14"/>
  </si>
  <si>
    <t>情報コード番号（ユーザー定義）</t>
    <rPh sb="0" eb="2">
      <t>ジョウホウ</t>
    </rPh>
    <rPh sb="5" eb="7">
      <t>バンゴウ</t>
    </rPh>
    <phoneticPr fontId="14"/>
  </si>
  <si>
    <t>注文明細行を拒否する</t>
    <rPh sb="0" eb="2">
      <t>チュウモン</t>
    </rPh>
    <rPh sb="2" eb="4">
      <t>メイサイ</t>
    </rPh>
    <rPh sb="4" eb="5">
      <t>ギョウ</t>
    </rPh>
    <rPh sb="6" eb="8">
      <t>キョヒ</t>
    </rPh>
    <phoneticPr fontId="14"/>
  </si>
  <si>
    <t>情報コード</t>
    <rPh sb="0" eb="2">
      <t>ジョウホウ</t>
    </rPh>
    <phoneticPr fontId="14"/>
  </si>
  <si>
    <t>在庫場所（ユーザー定義）</t>
    <rPh sb="0" eb="4">
      <t>ザイコバショ</t>
    </rPh>
    <phoneticPr fontId="14"/>
  </si>
  <si>
    <t>既定の場所</t>
    <rPh sb="0" eb="2">
      <t>キテイ</t>
    </rPh>
    <rPh sb="3" eb="5">
      <t>バショ</t>
    </rPh>
    <phoneticPr fontId="14"/>
  </si>
  <si>
    <t>保管分析コード</t>
    <rPh sb="0" eb="2">
      <t>ホカン</t>
    </rPh>
    <rPh sb="2" eb="4">
      <t>ブンセキ</t>
    </rPh>
    <phoneticPr fontId="14"/>
  </si>
  <si>
    <t>既定の返品場所</t>
    <rPh sb="0" eb="2">
      <t>キテイ</t>
    </rPh>
    <rPh sb="3" eb="5">
      <t>ヘンピン</t>
    </rPh>
    <rPh sb="5" eb="7">
      <t>バショ</t>
    </rPh>
    <phoneticPr fontId="14"/>
  </si>
  <si>
    <t>返品</t>
    <rPh sb="0" eb="2">
      <t>ヘンピン</t>
    </rPh>
    <phoneticPr fontId="14"/>
  </si>
  <si>
    <t>店舗</t>
    <rPh sb="0" eb="2">
      <t>テンポ</t>
    </rPh>
    <phoneticPr fontId="14"/>
  </si>
  <si>
    <t>重量</t>
    <rPh sb="0" eb="2">
      <t>ジュウリョウ</t>
    </rPh>
    <phoneticPr fontId="14"/>
  </si>
  <si>
    <t>場所の補充</t>
    <rPh sb="0" eb="2">
      <t>バショ</t>
    </rPh>
    <rPh sb="3" eb="5">
      <t>ホジュウ</t>
    </rPh>
    <phoneticPr fontId="14"/>
  </si>
  <si>
    <t>「詳細」より編集可能</t>
    <rPh sb="1" eb="3">
      <t>ショウサイ</t>
    </rPh>
    <phoneticPr fontId="14"/>
  </si>
  <si>
    <t>詳細より以下を入力することで反映される
国/地域
郵便番号
住所
市町村
都道府県</t>
    <rPh sb="0" eb="2">
      <t>ショウサイ</t>
    </rPh>
    <rPh sb="4" eb="6">
      <t>イカ</t>
    </rPh>
    <rPh sb="20" eb="21">
      <t>クニ</t>
    </rPh>
    <rPh sb="22" eb="24">
      <t>チイキ</t>
    </rPh>
    <rPh sb="30" eb="32">
      <t>ジュウショ</t>
    </rPh>
    <rPh sb="37" eb="41">
      <t>トドウフケン</t>
    </rPh>
    <phoneticPr fontId="14"/>
  </si>
  <si>
    <t>例</t>
    <rPh sb="0" eb="1">
      <t>レイ</t>
    </rPh>
    <phoneticPr fontId="14"/>
  </si>
  <si>
    <t>在庫置場を含める</t>
    <rPh sb="0" eb="2">
      <t>ザイコ</t>
    </rPh>
    <rPh sb="2" eb="3">
      <t>オ</t>
    </rPh>
    <rPh sb="3" eb="4">
      <t>バ</t>
    </rPh>
    <rPh sb="5" eb="6">
      <t>フク</t>
    </rPh>
    <phoneticPr fontId="14"/>
  </si>
  <si>
    <t>位置</t>
    <rPh sb="0" eb="2">
      <t>イチ</t>
    </rPh>
    <phoneticPr fontId="14"/>
  </si>
  <si>
    <t>棚を含める</t>
    <rPh sb="0" eb="1">
      <t>タナ</t>
    </rPh>
    <rPh sb="2" eb="3">
      <t>フク</t>
    </rPh>
    <phoneticPr fontId="14"/>
  </si>
  <si>
    <t>レベル</t>
    <phoneticPr fontId="14"/>
  </si>
  <si>
    <t>ラックを含める</t>
    <rPh sb="4" eb="5">
      <t>フク</t>
    </rPh>
    <phoneticPr fontId="14"/>
  </si>
  <si>
    <t>ラック</t>
    <phoneticPr fontId="14"/>
  </si>
  <si>
    <t>通路を含める</t>
    <rPh sb="0" eb="2">
      <t>ツウロ</t>
    </rPh>
    <rPh sb="3" eb="4">
      <t>フク</t>
    </rPh>
    <phoneticPr fontId="14"/>
  </si>
  <si>
    <t>場所の名前</t>
    <rPh sb="0" eb="2">
      <t>バショ</t>
    </rPh>
    <rPh sb="3" eb="5">
      <t>ナマエ</t>
    </rPh>
    <phoneticPr fontId="14"/>
  </si>
  <si>
    <t>倉庫に割り当てられている棚卸理由コードポリシー。</t>
    <rPh sb="0" eb="2">
      <t>ソウコ</t>
    </rPh>
    <rPh sb="3" eb="4">
      <t>ワ</t>
    </rPh>
    <rPh sb="5" eb="6">
      <t>ア</t>
    </rPh>
    <rPh sb="12" eb="14">
      <t>タナオロシ</t>
    </rPh>
    <rPh sb="14" eb="16">
      <t>リユウ</t>
    </rPh>
    <phoneticPr fontId="14"/>
  </si>
  <si>
    <t>棚卸理由コードポリシー</t>
    <rPh sb="0" eb="2">
      <t>タナオロシ</t>
    </rPh>
    <rPh sb="2" eb="4">
      <t>リユウ</t>
    </rPh>
    <phoneticPr fontId="14"/>
  </si>
  <si>
    <t>在庫場所（ユーザー定義）</t>
    <rPh sb="0" eb="2">
      <t>ザイコ</t>
    </rPh>
    <rPh sb="2" eb="4">
      <t>バショ</t>
    </rPh>
    <phoneticPr fontId="14"/>
  </si>
  <si>
    <t>コンテナパッキングポリシー [倉庫] が [倉庫グループ] または [すべて] に設定されている場合に、コンテナパッキング処理で使用する既定の仕分け場所を指定します。</t>
    <phoneticPr fontId="14"/>
  </si>
  <si>
    <t>並び替えに使用される既定の場所</t>
    <rPh sb="0" eb="1">
      <t>ナラ</t>
    </rPh>
    <rPh sb="2" eb="3">
      <t>カ</t>
    </rPh>
    <rPh sb="5" eb="7">
      <t>シヨウ</t>
    </rPh>
    <rPh sb="10" eb="12">
      <t>キテイ</t>
    </rPh>
    <rPh sb="13" eb="15">
      <t>バショ</t>
    </rPh>
    <phoneticPr fontId="14"/>
  </si>
  <si>
    <t>コンテナ パッキング ポリシー[倉庫] が [倉庫グループ] または [すべて] に設定されている場合に、コンテナパッキング処理で使用される既定の最終出荷場所を指定します。</t>
    <phoneticPr fontId="14"/>
  </si>
  <si>
    <t>最終出荷の既定の場所</t>
    <rPh sb="0" eb="4">
      <t>サイシュウシュッカ</t>
    </rPh>
    <rPh sb="5" eb="7">
      <t>キテイ</t>
    </rPh>
    <rPh sb="8" eb="10">
      <t>バショ</t>
    </rPh>
    <phoneticPr fontId="14"/>
  </si>
  <si>
    <t>ここで指定した場所は、品質チェックが却下され、作業が作成されない場合に使用されます。在庫はすぐにこの場所に移動され、この場所を使用するように品質指示が更新されます。</t>
    <rPh sb="3" eb="5">
      <t>シテイ</t>
    </rPh>
    <rPh sb="7" eb="9">
      <t>バショ</t>
    </rPh>
    <rPh sb="11" eb="13">
      <t>ヒンシツ</t>
    </rPh>
    <rPh sb="18" eb="20">
      <t>キャッカ</t>
    </rPh>
    <rPh sb="23" eb="25">
      <t>サギョウ</t>
    </rPh>
    <rPh sb="26" eb="28">
      <t>サクセイ</t>
    </rPh>
    <rPh sb="32" eb="34">
      <t>バアイ</t>
    </rPh>
    <rPh sb="35" eb="37">
      <t>シヨウ</t>
    </rPh>
    <rPh sb="42" eb="44">
      <t>ザイコ</t>
    </rPh>
    <rPh sb="50" eb="52">
      <t>バショ</t>
    </rPh>
    <rPh sb="53" eb="55">
      <t>イドウ</t>
    </rPh>
    <rPh sb="60" eb="62">
      <t>バショ</t>
    </rPh>
    <rPh sb="63" eb="65">
      <t>シヨウ</t>
    </rPh>
    <rPh sb="70" eb="74">
      <t>ヒンシツシジ</t>
    </rPh>
    <rPh sb="75" eb="77">
      <t>コウシン</t>
    </rPh>
    <phoneticPr fontId="14"/>
  </si>
  <si>
    <t>既定の品質メンテナンスの場所</t>
    <rPh sb="0" eb="2">
      <t>キテイ</t>
    </rPh>
    <rPh sb="3" eb="5">
      <t>ヒンシツ</t>
    </rPh>
    <rPh sb="12" eb="14">
      <t>バショ</t>
    </rPh>
    <phoneticPr fontId="14"/>
  </si>
  <si>
    <t>作業処理ポリシー名</t>
    <rPh sb="0" eb="4">
      <t>サギョウショリ</t>
    </rPh>
    <rPh sb="8" eb="9">
      <t>メイ</t>
    </rPh>
    <phoneticPr fontId="14"/>
  </si>
  <si>
    <t>貸方のみの返品の既定の場所</t>
    <rPh sb="0" eb="2">
      <t>カシカタ</t>
    </rPh>
    <rPh sb="5" eb="7">
      <t>ヘンピン</t>
    </rPh>
    <rPh sb="8" eb="10">
      <t>キテイ</t>
    </rPh>
    <rPh sb="11" eb="13">
      <t>バショ</t>
    </rPh>
    <phoneticPr fontId="14"/>
  </si>
  <si>
    <t>既定の出荷管理場所</t>
    <rPh sb="0" eb="2">
      <t>キテイ</t>
    </rPh>
    <rPh sb="3" eb="5">
      <t>シュッカ</t>
    </rPh>
    <rPh sb="5" eb="7">
      <t>カンリ</t>
    </rPh>
    <rPh sb="7" eb="9">
      <t>バショ</t>
    </rPh>
    <phoneticPr fontId="14"/>
  </si>
  <si>
    <t>かんばんオーダーが完了すると、これは完成品に対して使用される場所です。</t>
  </si>
  <si>
    <t>既定のかんばん完成品の場所</t>
    <rPh sb="0" eb="2">
      <t>キテイ</t>
    </rPh>
    <rPh sb="7" eb="10">
      <t>カンセイヒン</t>
    </rPh>
    <rPh sb="11" eb="13">
      <t>バショ</t>
    </rPh>
    <phoneticPr fontId="14"/>
  </si>
  <si>
    <t>ピッキング済
引当現物</t>
    <rPh sb="5" eb="6">
      <t>ズ</t>
    </rPh>
    <rPh sb="7" eb="8">
      <t>ヒ</t>
    </rPh>
    <rPh sb="8" eb="9">
      <t>ア</t>
    </rPh>
    <rPh sb="9" eb="11">
      <t>ゲンブツ</t>
    </rPh>
    <phoneticPr fontId="14"/>
  </si>
  <si>
    <t>原材料ピッキングが完了した場合に使用されるステータスを選択します。ピッキング済を選択すると、現物手持在庫が削減されます。引当済現物を選択する場合、材料は、倉庫作業が完了した入力の場所で引当される現物手持在庫として表示されます。</t>
  </si>
  <si>
    <t>原材料ピッキング後の払出ステータス</t>
    <rPh sb="0" eb="3">
      <t>ゲンザイリョウ</t>
    </rPh>
    <rPh sb="8" eb="9">
      <t>ゴ</t>
    </rPh>
    <rPh sb="10" eb="12">
      <t>ハライダシ</t>
    </rPh>
    <phoneticPr fontId="14"/>
  </si>
  <si>
    <t>これは原材料消費が行われる場所です。</t>
  </si>
  <si>
    <t>既定の生産入庫の場所</t>
    <rPh sb="0" eb="2">
      <t>キテイ</t>
    </rPh>
    <rPh sb="3" eb="5">
      <t>セイサン</t>
    </rPh>
    <rPh sb="5" eb="7">
      <t>ニュウコ</t>
    </rPh>
    <rPh sb="8" eb="10">
      <t>バショ</t>
    </rPh>
    <phoneticPr fontId="14"/>
  </si>
  <si>
    <t>製造オーダーが完了すると、これは完成品に対して使用される場所です。</t>
  </si>
  <si>
    <t>既定の生産完成品の場所</t>
    <rPh sb="0" eb="2">
      <t>キテイ</t>
    </rPh>
    <rPh sb="3" eb="5">
      <t>セイサン</t>
    </rPh>
    <rPh sb="5" eb="8">
      <t>カンセイヒン</t>
    </rPh>
    <rPh sb="9" eb="11">
      <t>バショ</t>
    </rPh>
    <phoneticPr fontId="14"/>
  </si>
  <si>
    <t>出荷プロセス中に使用される場所。これは、有効な場所分析コードで保管分析コード グループを使用する品目のあるトランザクションに対しても使用される場所です。 高度な倉庫プロセスを使用する場合、この設定は無視されます。</t>
  </si>
  <si>
    <t>既定の払出場所</t>
    <rPh sb="0" eb="2">
      <t>キテイ</t>
    </rPh>
    <rPh sb="3" eb="5">
      <t>ハライダシ</t>
    </rPh>
    <rPh sb="5" eb="7">
      <t>バショ</t>
    </rPh>
    <phoneticPr fontId="14"/>
  </si>
  <si>
    <t>手持在庫が入庫プロセス中に登録されている場合に使用される場所。これは、有効な場所分析コードで保管分析コード グループを使用する品目のあるトランザクションに対しても使用される場所です。 倉庫アプリを使用する場合、場所がライセンス プレートにより制御されていることが必要です。</t>
  </si>
  <si>
    <t>既定の受入場所</t>
    <rPh sb="0" eb="2">
      <t>キテイ</t>
    </rPh>
    <rPh sb="3" eb="5">
      <t>ウケイレ</t>
    </rPh>
    <rPh sb="5" eb="7">
      <t>バショ</t>
    </rPh>
    <phoneticPr fontId="14"/>
  </si>
  <si>
    <t>在庫および倉庫管理</t>
    <rPh sb="0" eb="2">
      <t>ザイコ</t>
    </rPh>
    <rPh sb="5" eb="7">
      <t>ソウコ</t>
    </rPh>
    <rPh sb="7" eb="9">
      <t>カンリ</t>
    </rPh>
    <phoneticPr fontId="14"/>
  </si>
  <si>
    <t>操作不可</t>
    <rPh sb="0" eb="2">
      <t>ソウサ</t>
    </rPh>
    <rPh sb="2" eb="4">
      <t>フカ</t>
    </rPh>
    <phoneticPr fontId="14"/>
  </si>
  <si>
    <t>倉庫のレベル</t>
    <rPh sb="0" eb="2">
      <t>ソウコ</t>
    </rPh>
    <phoneticPr fontId="14"/>
  </si>
  <si>
    <t>主要倉庫</t>
    <rPh sb="0" eb="2">
      <t>シュヨウ</t>
    </rPh>
    <rPh sb="2" eb="4">
      <t>ソウコ</t>
    </rPh>
    <phoneticPr fontId="14"/>
  </si>
  <si>
    <t>カレンダー</t>
  </si>
  <si>
    <t>品目補充</t>
    <rPh sb="0" eb="2">
      <t>ヒンモク</t>
    </rPh>
    <rPh sb="2" eb="4">
      <t>ホジュウ</t>
    </rPh>
    <phoneticPr fontId="14"/>
  </si>
  <si>
    <t>過少配送倉庫</t>
    <rPh sb="0" eb="4">
      <t>カショウハイソウ</t>
    </rPh>
    <rPh sb="4" eb="6">
      <t>ソウコ</t>
    </rPh>
    <phoneticPr fontId="14"/>
  </si>
  <si>
    <t>輸送中の商品の倉庫</t>
    <rPh sb="0" eb="3">
      <t>ユソウチュウ</t>
    </rPh>
    <rPh sb="4" eb="6">
      <t>ショウヒン</t>
    </rPh>
    <rPh sb="7" eb="9">
      <t>ソウコ</t>
    </rPh>
    <phoneticPr fontId="14"/>
  </si>
  <si>
    <t>流通倉庫は、倉庫間で転送中の移動オーダーの追跡に使用されます。これにより、商品の転送中に、手持在庫情報の追跡ができます。たとえば、倉庫間で転送中である注文は、流通倉庫で手持在庫に表示されます。</t>
  </si>
  <si>
    <t>トランジット倉庫</t>
    <rPh sb="6" eb="8">
      <t>ソウコ</t>
    </rPh>
    <phoneticPr fontId="14"/>
  </si>
  <si>
    <t>検査指示を作成する前に、各倉庫が個別の検査倉庫に関連付けられている必要があります。</t>
  </si>
  <si>
    <t>検査倉庫</t>
    <rPh sb="0" eb="2">
      <t>ケンサ</t>
    </rPh>
    <rPh sb="2" eb="4">
      <t>ソウコ</t>
    </rPh>
    <phoneticPr fontId="14"/>
  </si>
  <si>
    <t>既定
検査
通過</t>
    <rPh sb="0" eb="2">
      <t>キテイ</t>
    </rPh>
    <rPh sb="3" eb="5">
      <t>ケンサ</t>
    </rPh>
    <rPh sb="6" eb="8">
      <t>ツウカ</t>
    </rPh>
    <phoneticPr fontId="14"/>
  </si>
  <si>
    <t>Inventory management &gt; Setup &gt; Inventory breakdown &gt; Warehouse</t>
  </si>
  <si>
    <t>在庫管理&gt;設定＞在庫詳細＞倉庫</t>
    <rPh sb="0" eb="2">
      <t>ザイコ</t>
    </rPh>
    <rPh sb="2" eb="4">
      <t>カンリ</t>
    </rPh>
    <rPh sb="5" eb="7">
      <t>セッテイ</t>
    </rPh>
    <rPh sb="8" eb="10">
      <t>ザイコ</t>
    </rPh>
    <rPh sb="10" eb="12">
      <t>ショウサイ</t>
    </rPh>
    <rPh sb="13" eb="15">
      <t>ソウコ</t>
    </rPh>
    <phoneticPr fontId="14"/>
  </si>
  <si>
    <t>倉庫</t>
  </si>
  <si>
    <t>なし/引当/マーキングと引当</t>
    <rPh sb="3" eb="5">
      <t>ヒキアテ</t>
    </rPh>
    <rPh sb="12" eb="14">
      <t>ヒキアテ</t>
    </rPh>
    <phoneticPr fontId="14"/>
  </si>
  <si>
    <t xml:space="preserve">文字列
</t>
    <phoneticPr fontId="14"/>
  </si>
  <si>
    <t>コンテナー タイプ（ユーザー定義）</t>
  </si>
  <si>
    <t xml:space="preserve">在庫場所（ユーザー定義）
</t>
    <rPh sb="0" eb="4">
      <t>ザイコバショ</t>
    </rPh>
    <phoneticPr fontId="14"/>
  </si>
  <si>
    <t>ピッキング済/引当現物</t>
    <rPh sb="5" eb="6">
      <t>ズ</t>
    </rPh>
    <rPh sb="7" eb="8">
      <t>ヒ</t>
    </rPh>
    <rPh sb="8" eb="9">
      <t>ア</t>
    </rPh>
    <rPh sb="9" eb="11">
      <t>ゲンブツ</t>
    </rPh>
    <phoneticPr fontId="14"/>
  </si>
  <si>
    <t>既定/検査/通過</t>
    <rPh sb="0" eb="2">
      <t>キテイ</t>
    </rPh>
    <rPh sb="3" eb="5">
      <t>ケンサ</t>
    </rPh>
    <rPh sb="6" eb="8">
      <t>ツウカ</t>
    </rPh>
    <phoneticPr fontId="14"/>
  </si>
  <si>
    <t>サイト（ユーザー定義）</t>
  </si>
  <si>
    <t>国/地域に関する基本事項</t>
  </si>
  <si>
    <t>棚卸理由コードポリシー</t>
  </si>
  <si>
    <t>既定かんばん完成品の場所</t>
    <rPh sb="0" eb="2">
      <t>キテイ</t>
    </rPh>
    <rPh sb="6" eb="9">
      <t>カンセイヒン</t>
    </rPh>
    <rPh sb="10" eb="12">
      <t>バショ</t>
    </rPh>
    <phoneticPr fontId="14"/>
  </si>
  <si>
    <t>倉庫レベル</t>
    <rPh sb="0" eb="2">
      <t>ソウコ</t>
    </rPh>
    <phoneticPr fontId="14"/>
  </si>
  <si>
    <t>過少配送倉庫</t>
    <phoneticPr fontId="14"/>
  </si>
  <si>
    <t>輸送中の商品の倉庫</t>
    <phoneticPr fontId="14"/>
  </si>
  <si>
    <t>在庫状態の確認</t>
    <rPh sb="0" eb="2">
      <t>ザイコ</t>
    </rPh>
    <rPh sb="2" eb="4">
      <t>ジョウタイ</t>
    </rPh>
    <rPh sb="5" eb="7">
      <t>カクニン</t>
    </rPh>
    <phoneticPr fontId="14"/>
  </si>
  <si>
    <t>保管分析コード</t>
    <rPh sb="0" eb="4">
      <t>ホカンブンセキ</t>
    </rPh>
    <phoneticPr fontId="14"/>
  </si>
  <si>
    <t>品目補充</t>
    <rPh sb="0" eb="4">
      <t>ヒンモクホジュウ</t>
    </rPh>
    <phoneticPr fontId="14"/>
  </si>
  <si>
    <t>本シートにある倉庫列、名前列の内容参照</t>
    <rPh sb="0" eb="1">
      <t>ホン</t>
    </rPh>
    <rPh sb="7" eb="9">
      <t>ソウコ</t>
    </rPh>
    <rPh sb="9" eb="10">
      <t>レツ</t>
    </rPh>
    <rPh sb="11" eb="13">
      <t>ナマエ</t>
    </rPh>
    <rPh sb="13" eb="14">
      <t>レツ</t>
    </rPh>
    <rPh sb="15" eb="17">
      <t>ナイヨウ</t>
    </rPh>
    <rPh sb="17" eb="19">
      <t>サンショウ</t>
    </rPh>
    <phoneticPr fontId="14"/>
  </si>
  <si>
    <t>「出荷の配送業者-設定値」を参照</t>
    <rPh sb="1" eb="3">
      <t>シュッカ</t>
    </rPh>
    <rPh sb="4" eb="8">
      <t>ハイソウギョウシャ</t>
    </rPh>
    <phoneticPr fontId="14"/>
  </si>
  <si>
    <t>日時</t>
    <rPh sb="0" eb="2">
      <t>ニチジ</t>
    </rPh>
    <phoneticPr fontId="14"/>
  </si>
  <si>
    <t>有効終了日時</t>
    <rPh sb="0" eb="2">
      <t>ユウコウ</t>
    </rPh>
    <rPh sb="2" eb="5">
      <t>シュウリョウビ</t>
    </rPh>
    <rPh sb="5" eb="6">
      <t>ジ</t>
    </rPh>
    <phoneticPr fontId="14"/>
  </si>
  <si>
    <t>有効開始日時</t>
    <rPh sb="0" eb="6">
      <t>ユウコウカイシニチジ</t>
    </rPh>
    <phoneticPr fontId="14"/>
  </si>
  <si>
    <t>配送業者の燃料インデックス（ユーザー定義）</t>
    <phoneticPr fontId="14"/>
  </si>
  <si>
    <t>配送業者の燃料インデックス</t>
    <rPh sb="0" eb="4">
      <t>ハイソウギョウシャ</t>
    </rPh>
    <rPh sb="5" eb="7">
      <t>ネンリョウ</t>
    </rPh>
    <phoneticPr fontId="14"/>
  </si>
  <si>
    <t>輸送時間エンジン（ユーザー定義）</t>
    <phoneticPr fontId="14"/>
  </si>
  <si>
    <t>輸送時間エンジン</t>
    <rPh sb="0" eb="4">
      <t>ユソウジカン</t>
    </rPh>
    <phoneticPr fontId="14"/>
  </si>
  <si>
    <t>レートマスタ</t>
    <phoneticPr fontId="14"/>
  </si>
  <si>
    <t>レートエンジン（ユーザー定義）</t>
    <phoneticPr fontId="14"/>
  </si>
  <si>
    <t>レートエンジン</t>
    <phoneticPr fontId="14"/>
  </si>
  <si>
    <t>評価プロファイル</t>
    <rPh sb="0" eb="2">
      <t>ヒョウカ</t>
    </rPh>
    <phoneticPr fontId="14"/>
  </si>
  <si>
    <t>容積係数</t>
    <rPh sb="0" eb="2">
      <t>ヨウセキ</t>
    </rPh>
    <rPh sb="2" eb="4">
      <t>ケイスウ</t>
    </rPh>
    <phoneticPr fontId="14"/>
  </si>
  <si>
    <t>請求グループ（ユーザー定義）</t>
    <rPh sb="0" eb="2">
      <t>セイキュウ</t>
    </rPh>
    <rPh sb="11" eb="13">
      <t>テイギ</t>
    </rPh>
    <phoneticPr fontId="14"/>
  </si>
  <si>
    <t>請求グループID</t>
    <rPh sb="0" eb="2">
      <t>セイキュウ</t>
    </rPh>
    <phoneticPr fontId="14"/>
  </si>
  <si>
    <t>外部コード</t>
    <rPh sb="0" eb="2">
      <t>ガイブ</t>
    </rPh>
    <phoneticPr fontId="14"/>
  </si>
  <si>
    <t>出荷の配送業者+"-"+配送サービスの文字列が自動的に入力される。</t>
    <rPh sb="19" eb="22">
      <t>モジレツ</t>
    </rPh>
    <rPh sb="23" eb="26">
      <t>ジドウテキ</t>
    </rPh>
    <rPh sb="27" eb="29">
      <t>ニュウリョク</t>
    </rPh>
    <phoneticPr fontId="14"/>
  </si>
  <si>
    <t>荷渡方法</t>
    <rPh sb="0" eb="4">
      <t>ニワタシホウホウ</t>
    </rPh>
    <phoneticPr fontId="14"/>
  </si>
  <si>
    <t>輸送方法（ユーザー定義）</t>
    <rPh sb="0" eb="4">
      <t>ユソウホウホウ</t>
    </rPh>
    <rPh sb="9" eb="11">
      <t>テイギ</t>
    </rPh>
    <phoneticPr fontId="14"/>
  </si>
  <si>
    <t>輸送方法</t>
    <rPh sb="0" eb="4">
      <t>ユソウホウホウ</t>
    </rPh>
    <phoneticPr fontId="14"/>
  </si>
  <si>
    <t>積荷テンプレート（ユーザー定義）</t>
    <rPh sb="0" eb="2">
      <t>ツミニ</t>
    </rPh>
    <rPh sb="13" eb="15">
      <t>テイギ</t>
    </rPh>
    <phoneticPr fontId="14"/>
  </si>
  <si>
    <t>積載テンプレートID</t>
    <rPh sb="0" eb="2">
      <t>セキサイ</t>
    </rPh>
    <phoneticPr fontId="14"/>
  </si>
  <si>
    <t>配送サービス</t>
    <rPh sb="0" eb="2">
      <t>ハイソウ</t>
    </rPh>
    <phoneticPr fontId="14"/>
  </si>
  <si>
    <t>サービス</t>
    <phoneticPr fontId="14"/>
  </si>
  <si>
    <t>コンテナーの平均重量</t>
    <rPh sb="6" eb="8">
      <t>ヘイキン</t>
    </rPh>
    <rPh sb="8" eb="10">
      <t>ジュウリョウ</t>
    </rPh>
    <phoneticPr fontId="14"/>
  </si>
  <si>
    <t>配送業者の評価をアクティブ化</t>
    <rPh sb="0" eb="2">
      <t>ハイソウ</t>
    </rPh>
    <rPh sb="2" eb="4">
      <t>ギョウシャ</t>
    </rPh>
    <rPh sb="5" eb="7">
      <t>ヒョウカ</t>
    </rPh>
    <rPh sb="13" eb="14">
      <t>カ</t>
    </rPh>
    <phoneticPr fontId="14"/>
  </si>
  <si>
    <t>番号順序（ユーザー定義）</t>
    <rPh sb="0" eb="2">
      <t>バンゴウ</t>
    </rPh>
    <rPh sb="2" eb="4">
      <t>ジュンジョ</t>
    </rPh>
    <phoneticPr fontId="14"/>
  </si>
  <si>
    <t>汎用輸送管理エンジンに関連付けられている番号順序を選択します。</t>
    <phoneticPr fontId="14"/>
  </si>
  <si>
    <t>製品番号順序</t>
    <rPh sb="0" eb="6">
      <t>セイヒンバンゴウジュンジョ</t>
    </rPh>
    <phoneticPr fontId="14"/>
  </si>
  <si>
    <t>SCAC (Standard Carrier Alpha Code) の ID を入力します。</t>
    <phoneticPr fontId="14"/>
  </si>
  <si>
    <t>SCAC</t>
    <phoneticPr fontId="14"/>
  </si>
  <si>
    <t>なし
手動
EDI</t>
    <rPh sb="3" eb="5">
      <t>シュドウ</t>
    </rPh>
    <phoneticPr fontId="14"/>
  </si>
  <si>
    <t>輸送業者の詳細を更新する方法を選択します。[輸送業者] ページを使用して、手動で輸送業者の詳細を更新します。[EDI] : [輸送業者] ページで電子データ交換 (EDI) を使用して、輸送業者の詳細を自動的に更新します。</t>
    <phoneticPr fontId="14"/>
  </si>
  <si>
    <t>輸送業者タイプ</t>
    <rPh sb="0" eb="4">
      <t>ユソウギョウシャ</t>
    </rPh>
    <phoneticPr fontId="14"/>
  </si>
  <si>
    <t>追跡URL</t>
    <rPh sb="0" eb="2">
      <t>ツイセキ</t>
    </rPh>
    <phoneticPr fontId="14"/>
  </si>
  <si>
    <t>WebサイトURL</t>
    <phoneticPr fontId="14"/>
  </si>
  <si>
    <t>出荷配送業者の有効化</t>
    <rPh sb="0" eb="2">
      <t>シュッカ</t>
    </rPh>
    <rPh sb="2" eb="4">
      <t>ハイソウ</t>
    </rPh>
    <rPh sb="4" eb="6">
      <t>ギョウシャ</t>
    </rPh>
    <rPh sb="7" eb="10">
      <t>ユウコウカ</t>
    </rPh>
    <phoneticPr fontId="14"/>
  </si>
  <si>
    <t>方法</t>
    <rPh sb="0" eb="2">
      <t>ホウホウ</t>
    </rPh>
    <phoneticPr fontId="14"/>
  </si>
  <si>
    <t>出荷の配送業者</t>
    <rPh sb="0" eb="2">
      <t>シュッカ</t>
    </rPh>
    <rPh sb="3" eb="7">
      <t>ハイソウギョウシャ</t>
    </rPh>
    <phoneticPr fontId="14"/>
  </si>
  <si>
    <t>ヘッダー</t>
    <phoneticPr fontId="14"/>
  </si>
  <si>
    <t>Inventory management &gt; Setup &gt; Shipping carrier &gt; Shipping carriers</t>
  </si>
  <si>
    <t>在庫管理＞設定＞出荷の配送業者＞出荷の配送業者</t>
  </si>
  <si>
    <t>出荷の配送業者</t>
  </si>
  <si>
    <t>レートマスタ</t>
  </si>
  <si>
    <t>レートエンジン</t>
  </si>
  <si>
    <t>SCAC</t>
  </si>
  <si>
    <t>WebサイトURL</t>
  </si>
  <si>
    <t>「職務-設定値」を参照</t>
    <rPh sb="9" eb="11">
      <t>サンショウ</t>
    </rPh>
    <phoneticPr fontId="14"/>
  </si>
  <si>
    <t>担当領域（ユーザー定義）</t>
    <rPh sb="0" eb="2">
      <t>タントウ</t>
    </rPh>
    <rPh sb="2" eb="4">
      <t>リョウイキ</t>
    </rPh>
    <rPh sb="9" eb="11">
      <t>テイギ</t>
    </rPh>
    <phoneticPr fontId="14"/>
  </si>
  <si>
    <t>ジョブの能力要件に追加する担当領域を選択します。このフィールドの情報は、[担当領域] ページで管理されます。</t>
    <phoneticPr fontId="14"/>
  </si>
  <si>
    <t>担当領域</t>
    <rPh sb="0" eb="2">
      <t>タントウ</t>
    </rPh>
    <rPh sb="2" eb="4">
      <t>リョウイキ</t>
    </rPh>
    <phoneticPr fontId="14"/>
  </si>
  <si>
    <t>担当領域</t>
    <rPh sb="0" eb="4">
      <t>タントウリョウイキ</t>
    </rPh>
    <phoneticPr fontId="14"/>
  </si>
  <si>
    <t>職務タスク（ユーザー定義）</t>
    <rPh sb="10" eb="12">
      <t>テイギ</t>
    </rPh>
    <phoneticPr fontId="14"/>
  </si>
  <si>
    <t>ジョブに割り当てるジョブ タスクを選択します。このフィールドの情報は [ジョブ タスク] ページで管理されます。</t>
    <phoneticPr fontId="14"/>
  </si>
  <si>
    <t>職務</t>
    <rPh sb="0" eb="2">
      <t>ショクム</t>
    </rPh>
    <phoneticPr fontId="14"/>
  </si>
  <si>
    <t>職務タスク</t>
    <rPh sb="0" eb="2">
      <t>ショクム</t>
    </rPh>
    <phoneticPr fontId="14"/>
  </si>
  <si>
    <t>審査の説明</t>
    <rPh sb="0" eb="2">
      <t>シンサ</t>
    </rPh>
    <rPh sb="3" eb="5">
      <t>セツメイ</t>
    </rPh>
    <phoneticPr fontId="14"/>
  </si>
  <si>
    <t>審査タイプ（ユーザー定義）</t>
    <rPh sb="10" eb="12">
      <t>テイギ</t>
    </rPh>
    <phoneticPr fontId="14"/>
  </si>
  <si>
    <t>ジョブの能力要件に追加する審査タイプを選択します。このフィールドの情報は [審査タイプ] ページで管理されます。</t>
    <phoneticPr fontId="14"/>
  </si>
  <si>
    <t>審査タイプ</t>
    <rPh sb="0" eb="2">
      <t>シンサ</t>
    </rPh>
    <phoneticPr fontId="14"/>
  </si>
  <si>
    <t>審査</t>
    <rPh sb="0" eb="2">
      <t>シンサ</t>
    </rPh>
    <phoneticPr fontId="14"/>
  </si>
  <si>
    <t>なし/1-最小/2/3/4/5/6-最大</t>
    <rPh sb="5" eb="7">
      <t>サイショウ</t>
    </rPh>
    <rPh sb="18" eb="20">
      <t>サイダイ</t>
    </rPh>
    <phoneticPr fontId="14"/>
  </si>
  <si>
    <t>重要性</t>
    <rPh sb="0" eb="3">
      <t>ジュウヨウセイ</t>
    </rPh>
    <phoneticPr fontId="14"/>
  </si>
  <si>
    <t>教育訓練（ユーザー定義）</t>
    <rPh sb="0" eb="2">
      <t>キョウイク</t>
    </rPh>
    <rPh sb="2" eb="4">
      <t>クンレン</t>
    </rPh>
    <rPh sb="9" eb="11">
      <t>テイギ</t>
    </rPh>
    <phoneticPr fontId="14"/>
  </si>
  <si>
    <t>ジョブの能力要件に追加する教育訓練を選択します。このフィールドの情報は、[教育訓練] ページで管理されます。</t>
    <phoneticPr fontId="14"/>
  </si>
  <si>
    <t>教育</t>
    <rPh sb="0" eb="2">
      <t>キョウイク</t>
    </rPh>
    <phoneticPr fontId="14"/>
  </si>
  <si>
    <t>テスト タイプ（ユーザー定義）</t>
    <rPh sb="12" eb="14">
      <t>テイギ</t>
    </rPh>
    <phoneticPr fontId="14"/>
  </si>
  <si>
    <t>ジョブの能力要件に追加するテスト タイプを選択します。このフィールドの情報は、[コンピテンシー -テスト] ページで管理されます。</t>
    <phoneticPr fontId="14"/>
  </si>
  <si>
    <t>テストタイプ</t>
    <phoneticPr fontId="14"/>
  </si>
  <si>
    <t>テスト</t>
    <phoneticPr fontId="14"/>
  </si>
  <si>
    <t>証明書タイプ（ユーザー定義）</t>
    <rPh sb="0" eb="3">
      <t>ショウメイショ</t>
    </rPh>
    <rPh sb="11" eb="13">
      <t>テイギ</t>
    </rPh>
    <phoneticPr fontId="14"/>
  </si>
  <si>
    <t>ジョブの能力要件に追加する証明書タイプを選択します。このフィールドの情報は、[コンピテンシー - 証明書] ページで管理されます。</t>
    <phoneticPr fontId="14"/>
  </si>
  <si>
    <t>証明書タイプ</t>
    <rPh sb="0" eb="3">
      <t>ショウメイショ</t>
    </rPh>
    <phoneticPr fontId="14"/>
  </si>
  <si>
    <t>証明書</t>
    <rPh sb="0" eb="3">
      <t>ショウメイショ</t>
    </rPh>
    <phoneticPr fontId="14"/>
  </si>
  <si>
    <t>評価モデル（ユーザー定義）</t>
    <rPh sb="10" eb="12">
      <t>テイギ</t>
    </rPh>
    <phoneticPr fontId="14"/>
  </si>
  <si>
    <t>スキル（ユーザー定義）</t>
    <rPh sb="8" eb="10">
      <t>テイギ</t>
    </rPh>
    <phoneticPr fontId="14"/>
  </si>
  <si>
    <t>スキル</t>
    <phoneticPr fontId="14"/>
  </si>
  <si>
    <t>0.0000</t>
    <phoneticPr fontId="14"/>
  </si>
  <si>
    <t>最大しきい値</t>
    <rPh sb="0" eb="2">
      <t>サイダイ</t>
    </rPh>
    <rPh sb="5" eb="6">
      <t>アタイ</t>
    </rPh>
    <phoneticPr fontId="14"/>
  </si>
  <si>
    <t>標準職務給</t>
    <rPh sb="0" eb="2">
      <t>ヒョウジュン</t>
    </rPh>
    <rPh sb="2" eb="5">
      <t>ショクムキュウ</t>
    </rPh>
    <phoneticPr fontId="14"/>
  </si>
  <si>
    <t>最小しきい値</t>
    <rPh sb="0" eb="2">
      <t>サイショウ</t>
    </rPh>
    <rPh sb="5" eb="6">
      <t>アタイ</t>
    </rPh>
    <phoneticPr fontId="14"/>
  </si>
  <si>
    <t>ソース</t>
    <phoneticPr fontId="14"/>
  </si>
  <si>
    <t>参照職務</t>
    <rPh sb="0" eb="2">
      <t>サンショウ</t>
    </rPh>
    <rPh sb="2" eb="4">
      <t>ショクム</t>
    </rPh>
    <phoneticPr fontId="14"/>
  </si>
  <si>
    <t>調査会社（ユーザー定義）</t>
    <rPh sb="0" eb="2">
      <t>チョウサ</t>
    </rPh>
    <rPh sb="2" eb="4">
      <t>ガイシャ</t>
    </rPh>
    <rPh sb="9" eb="11">
      <t>テイギ</t>
    </rPh>
    <phoneticPr fontId="14"/>
  </si>
  <si>
    <t>データベースのレコードの固有 ID</t>
    <phoneticPr fontId="14"/>
  </si>
  <si>
    <t>調査会社</t>
    <rPh sb="0" eb="2">
      <t>チョウサ</t>
    </rPh>
    <rPh sb="2" eb="4">
      <t>カイシャ</t>
    </rPh>
    <phoneticPr fontId="14"/>
  </si>
  <si>
    <t>レベル（ユーザー定義）</t>
    <rPh sb="8" eb="10">
      <t>テイギ</t>
    </rPh>
    <phoneticPr fontId="14"/>
  </si>
  <si>
    <t>報酬</t>
    <rPh sb="0" eb="2">
      <t>ホウシュウ</t>
    </rPh>
    <phoneticPr fontId="14"/>
  </si>
  <si>
    <t>POS アクセス許可グループ（ユーザー定義）</t>
    <rPh sb="19" eb="21">
      <t>テイギ</t>
    </rPh>
    <phoneticPr fontId="14"/>
  </si>
  <si>
    <t>POSアクセス許可グループ</t>
    <rPh sb="7" eb="9">
      <t>キョカ</t>
    </rPh>
    <phoneticPr fontId="14"/>
  </si>
  <si>
    <t>ジョブ ファミリ（ユーザー定義）</t>
    <rPh sb="13" eb="15">
      <t>テイギ</t>
    </rPh>
    <phoneticPr fontId="14"/>
  </si>
  <si>
    <t>ジョブ ファミリ</t>
  </si>
  <si>
    <t>職務タイプ（ユーザー定義）</t>
    <rPh sb="10" eb="12">
      <t>テイギ</t>
    </rPh>
    <phoneticPr fontId="14"/>
  </si>
  <si>
    <t>ジョブのジョブ タイプを選択します。このフィールドの情報は [ジョブ タイプと除外ステータス] ページで管理されます。</t>
    <phoneticPr fontId="14"/>
  </si>
  <si>
    <t>ジョブタイプ</t>
    <phoneticPr fontId="14"/>
  </si>
  <si>
    <t>職務機能（ユーザー定義）</t>
    <rPh sb="9" eb="11">
      <t>テイギ</t>
    </rPh>
    <phoneticPr fontId="14"/>
  </si>
  <si>
    <t>選択したジョブに関連付ける機能を選択します。このフィールドの情報は [ジョブ機能] ページで管理されます。</t>
  </si>
  <si>
    <t>ジョブ分類</t>
    <rPh sb="3" eb="5">
      <t>ブンルイ</t>
    </rPh>
    <phoneticPr fontId="14"/>
  </si>
  <si>
    <t>最大職位数/無制限</t>
    <rPh sb="0" eb="2">
      <t>サイダイ</t>
    </rPh>
    <rPh sb="2" eb="4">
      <t>ショクイ</t>
    </rPh>
    <rPh sb="4" eb="5">
      <t>スウ</t>
    </rPh>
    <rPh sb="6" eb="9">
      <t>ムセイゲン</t>
    </rPh>
    <phoneticPr fontId="14"/>
  </si>
  <si>
    <t>職位の最大数</t>
    <rPh sb="0" eb="2">
      <t>ショクイ</t>
    </rPh>
    <rPh sb="3" eb="5">
      <t>サイダイ</t>
    </rPh>
    <rPh sb="5" eb="6">
      <t>スウ</t>
    </rPh>
    <phoneticPr fontId="14"/>
  </si>
  <si>
    <t>1.00</t>
    <phoneticPr fontId="14"/>
  </si>
  <si>
    <t>0 ～ 1 の雇用係数を入力します。値 1 は、フルタイムのジョブを示します。パートタイムの雇用の場合、0 ～ 1 の間の数値を入力します。たとえば、パートタイムのジョブの場合、0.5 とします。</t>
    <phoneticPr fontId="14"/>
  </si>
  <si>
    <t>フルタイム相当</t>
    <rPh sb="5" eb="7">
      <t>ソウトウ</t>
    </rPh>
    <phoneticPr fontId="14"/>
  </si>
  <si>
    <t>タイトル（ユーザー定義）</t>
    <rPh sb="9" eb="11">
      <t>テイギ</t>
    </rPh>
    <phoneticPr fontId="14"/>
  </si>
  <si>
    <t>タイトル</t>
    <phoneticPr fontId="14"/>
  </si>
  <si>
    <t>一般</t>
    <rPh sb="0" eb="2">
      <t>イッパン</t>
    </rPh>
    <phoneticPr fontId="23"/>
  </si>
  <si>
    <t>Human resources &gt; Jobs &gt; Jobs</t>
  </si>
  <si>
    <t>人事管理＞職務＞職務</t>
  </si>
  <si>
    <t>職務</t>
    <phoneticPr fontId="14"/>
  </si>
  <si>
    <t>テストタイプ</t>
  </si>
  <si>
    <t>レベル</t>
  </si>
  <si>
    <t>スキル</t>
  </si>
  <si>
    <t>ソース</t>
  </si>
  <si>
    <t>ジョブタイプ</t>
  </si>
  <si>
    <t>タイトル</t>
  </si>
  <si>
    <t>職務タスク</t>
    <phoneticPr fontId="14"/>
  </si>
  <si>
    <t>「リソースグループ-設定値」を参照</t>
    <rPh sb="15" eb="17">
      <t>サンショウ</t>
    </rPh>
    <phoneticPr fontId="14"/>
  </si>
  <si>
    <t>既定の財務分析コード</t>
    <rPh sb="0" eb="2">
      <t>キテイ</t>
    </rPh>
    <rPh sb="3" eb="7">
      <t>ザイムブンセキ</t>
    </rPh>
    <phoneticPr fontId="14"/>
  </si>
  <si>
    <t>主勘定（ユーザー定義）</t>
    <rPh sb="0" eb="3">
      <t>シュカンジョウ</t>
    </rPh>
    <rPh sb="8" eb="10">
      <t>テイギ</t>
    </rPh>
    <phoneticPr fontId="14"/>
  </si>
  <si>
    <t>消費された製造原価、仕掛品</t>
    <rPh sb="0" eb="2">
      <t>ショウヒ</t>
    </rPh>
    <rPh sb="5" eb="7">
      <t>セイゾウ</t>
    </rPh>
    <rPh sb="7" eb="9">
      <t>ゲンカ</t>
    </rPh>
    <rPh sb="10" eb="12">
      <t>シカカリ</t>
    </rPh>
    <rPh sb="12" eb="13">
      <t>ヒン</t>
    </rPh>
    <phoneticPr fontId="14"/>
  </si>
  <si>
    <t>配賦された製造原価</t>
    <rPh sb="0" eb="2">
      <t>ハイフ</t>
    </rPh>
    <rPh sb="5" eb="9">
      <t>セイゾウゲンカ</t>
    </rPh>
    <phoneticPr fontId="14"/>
  </si>
  <si>
    <t>勘定 - 財務</t>
    <rPh sb="0" eb="2">
      <t>カンジョウ</t>
    </rPh>
    <rPh sb="5" eb="7">
      <t>ザイム</t>
    </rPh>
    <phoneticPr fontId="14"/>
  </si>
  <si>
    <t>消費された見積製造原価、仕掛品</t>
    <rPh sb="0" eb="2">
      <t>ショウヒ</t>
    </rPh>
    <rPh sb="5" eb="7">
      <t>ミツ</t>
    </rPh>
    <rPh sb="7" eb="9">
      <t>セイゾウ</t>
    </rPh>
    <rPh sb="9" eb="11">
      <t>ゲンカ</t>
    </rPh>
    <rPh sb="12" eb="15">
      <t>シカカリヒン</t>
    </rPh>
    <phoneticPr fontId="14"/>
  </si>
  <si>
    <t>配賦された見積製造原価</t>
    <rPh sb="0" eb="2">
      <t>ハイフ</t>
    </rPh>
    <rPh sb="5" eb="7">
      <t>ミツ</t>
    </rPh>
    <rPh sb="7" eb="9">
      <t>セイゾウ</t>
    </rPh>
    <rPh sb="9" eb="11">
      <t>ゲンカ</t>
    </rPh>
    <phoneticPr fontId="14"/>
  </si>
  <si>
    <t>勘定 - 現物</t>
    <rPh sb="0" eb="2">
      <t>カンジョウ</t>
    </rPh>
    <rPh sb="5" eb="7">
      <t>ゲンブツ</t>
    </rPh>
    <phoneticPr fontId="14"/>
  </si>
  <si>
    <t>元帳転記</t>
    <rPh sb="0" eb="4">
      <t>モトチョウテンキ</t>
    </rPh>
    <phoneticPr fontId="14"/>
  </si>
  <si>
    <t>元帳転記</t>
    <rPh sb="0" eb="2">
      <t>モトチョウ</t>
    </rPh>
    <rPh sb="2" eb="4">
      <t>テンキ</t>
    </rPh>
    <phoneticPr fontId="14"/>
  </si>
  <si>
    <t>「リソースグループ-作業セルの能力-設定値」を参照</t>
    <rPh sb="10" eb="12">
      <t>サギョウ</t>
    </rPh>
    <rPh sb="15" eb="17">
      <t>ノウリョク</t>
    </rPh>
    <rPh sb="18" eb="21">
      <t>セッテイチ</t>
    </rPh>
    <rPh sb="23" eb="25">
      <t>サンショウ</t>
    </rPh>
    <phoneticPr fontId="14"/>
  </si>
  <si>
    <t>有効期限</t>
    <rPh sb="0" eb="2">
      <t>ユウコウ</t>
    </rPh>
    <rPh sb="2" eb="4">
      <t>キゲン</t>
    </rPh>
    <phoneticPr fontId="14"/>
  </si>
  <si>
    <t>有効日</t>
    <rPh sb="0" eb="2">
      <t>ユウコウ</t>
    </rPh>
    <rPh sb="2" eb="3">
      <t>ヒ</t>
    </rPh>
    <phoneticPr fontId="14"/>
  </si>
  <si>
    <t>平均スループット数量</t>
    <rPh sb="0" eb="2">
      <t>ヘイキン</t>
    </rPh>
    <rPh sb="8" eb="10">
      <t>スウリョウ</t>
    </rPh>
    <phoneticPr fontId="14"/>
  </si>
  <si>
    <t>標準作業日
週
月</t>
    <rPh sb="0" eb="2">
      <t>ヒョウジュン</t>
    </rPh>
    <rPh sb="2" eb="4">
      <t>サギョウ</t>
    </rPh>
    <rPh sb="4" eb="5">
      <t>ヒ</t>
    </rPh>
    <rPh sb="6" eb="7">
      <t>シュウ</t>
    </rPh>
    <rPh sb="8" eb="9">
      <t>ツキ</t>
    </rPh>
    <phoneticPr fontId="14"/>
  </si>
  <si>
    <t>能力期間</t>
    <rPh sb="0" eb="2">
      <t>ノウリョク</t>
    </rPh>
    <rPh sb="2" eb="4">
      <t>キカン</t>
    </rPh>
    <phoneticPr fontId="14"/>
  </si>
  <si>
    <t>生産フロー モデルのモデルタイプ（ユーザー定義）</t>
    <rPh sb="0" eb="2">
      <t>セイサン</t>
    </rPh>
    <rPh sb="21" eb="23">
      <t>テイギ</t>
    </rPh>
    <phoneticPr fontId="14"/>
  </si>
  <si>
    <t>モデル タイプ</t>
    <phoneticPr fontId="14"/>
  </si>
  <si>
    <t>生産フロー モデル（ユーザー定義）</t>
    <rPh sb="0" eb="2">
      <t>セイサン</t>
    </rPh>
    <rPh sb="14" eb="16">
      <t>テイギ</t>
    </rPh>
    <phoneticPr fontId="14"/>
  </si>
  <si>
    <t>生産フロー モデル</t>
    <rPh sb="0" eb="2">
      <t>セイサン</t>
    </rPh>
    <phoneticPr fontId="14"/>
  </si>
  <si>
    <t>作業セルの能力</t>
    <rPh sb="0" eb="2">
      <t>サギョウ</t>
    </rPh>
    <rPh sb="5" eb="7">
      <t>ノウリョク</t>
    </rPh>
    <phoneticPr fontId="14"/>
  </si>
  <si>
    <t>「リソースグループ-カレンダー誤差-設定値」を参照</t>
    <rPh sb="15" eb="17">
      <t>ゴサ</t>
    </rPh>
    <rPh sb="18" eb="21">
      <t>セッテイチ</t>
    </rPh>
    <rPh sb="23" eb="25">
      <t>サンショウ</t>
    </rPh>
    <phoneticPr fontId="14"/>
  </si>
  <si>
    <t>デフォルト値として、カレンダーの名前が設定される</t>
    <rPh sb="5" eb="6">
      <t>チ</t>
    </rPh>
    <rPh sb="16" eb="18">
      <t>ナマエ</t>
    </rPh>
    <rPh sb="19" eb="21">
      <t>セッテイ</t>
    </rPh>
    <phoneticPr fontId="14"/>
  </si>
  <si>
    <t>デフォルト値として、カレンダーが設定される</t>
    <rPh sb="5" eb="6">
      <t>チ</t>
    </rPh>
    <rPh sb="16" eb="18">
      <t>セッテイ</t>
    </rPh>
    <phoneticPr fontId="14"/>
  </si>
  <si>
    <t>作業時間カレンダー（ユーザー定義）</t>
    <rPh sb="0" eb="2">
      <t>サギョウ</t>
    </rPh>
    <rPh sb="2" eb="4">
      <t>ジカン</t>
    </rPh>
    <rPh sb="14" eb="16">
      <t>テイギ</t>
    </rPh>
    <phoneticPr fontId="14"/>
  </si>
  <si>
    <t>カレンダー</t>
    <phoneticPr fontId="14"/>
  </si>
  <si>
    <t>デフォルト値として、本日から2か月先の日付が設定される</t>
    <rPh sb="5" eb="6">
      <t>チ</t>
    </rPh>
    <rPh sb="10" eb="12">
      <t>ホンジツ</t>
    </rPh>
    <rPh sb="16" eb="17">
      <t>ゲツ</t>
    </rPh>
    <rPh sb="17" eb="18">
      <t>サキ</t>
    </rPh>
    <rPh sb="19" eb="21">
      <t>ヒヅケ</t>
    </rPh>
    <rPh sb="22" eb="24">
      <t>セッテイ</t>
    </rPh>
    <phoneticPr fontId="14"/>
  </si>
  <si>
    <t>日付(Month)</t>
    <rPh sb="0" eb="2">
      <t>ヒヅケ</t>
    </rPh>
    <phoneticPr fontId="14"/>
  </si>
  <si>
    <t>月曜/火曜/水曜/木曜/金曜/土曜/日曜</t>
    <rPh sb="0" eb="2">
      <t>ゲツヨウ</t>
    </rPh>
    <rPh sb="3" eb="5">
      <t>カヨウ</t>
    </rPh>
    <rPh sb="6" eb="8">
      <t>スイヨウ</t>
    </rPh>
    <rPh sb="9" eb="11">
      <t>モクヨウ</t>
    </rPh>
    <rPh sb="12" eb="14">
      <t>キンヨウ</t>
    </rPh>
    <rPh sb="15" eb="17">
      <t>ドヨウ</t>
    </rPh>
    <rPh sb="18" eb="20">
      <t>ニチヨウ</t>
    </rPh>
    <phoneticPr fontId="14"/>
  </si>
  <si>
    <t>カレンダー誤差</t>
    <rPh sb="5" eb="7">
      <t>ゴサ</t>
    </rPh>
    <phoneticPr fontId="14"/>
  </si>
  <si>
    <t>「リソースグループ-リソース-設定値」を参照</t>
    <rPh sb="15" eb="18">
      <t>セッテイチ</t>
    </rPh>
    <rPh sb="20" eb="22">
      <t>サンショウ</t>
    </rPh>
    <phoneticPr fontId="14"/>
  </si>
  <si>
    <t>場所（ユーザー定義）</t>
    <rPh sb="0" eb="2">
      <t>バショ</t>
    </rPh>
    <rPh sb="7" eb="9">
      <t>テイギ</t>
    </rPh>
    <phoneticPr fontId="14"/>
  </si>
  <si>
    <t>出荷場所</t>
    <rPh sb="0" eb="2">
      <t>シュッカ</t>
    </rPh>
    <rPh sb="2" eb="4">
      <t>バショ</t>
    </rPh>
    <phoneticPr fontId="14"/>
  </si>
  <si>
    <t>倉庫（ユーザー定義）</t>
    <rPh sb="0" eb="2">
      <t>ソウコ</t>
    </rPh>
    <rPh sb="7" eb="9">
      <t>テイギ</t>
    </rPh>
    <phoneticPr fontId="14"/>
  </si>
  <si>
    <t>出荷倉庫</t>
    <rPh sb="0" eb="2">
      <t>シュッカ</t>
    </rPh>
    <rPh sb="2" eb="4">
      <t>ソウコ</t>
    </rPh>
    <phoneticPr fontId="14"/>
  </si>
  <si>
    <t>入庫場所</t>
    <rPh sb="0" eb="2">
      <t>ニュウコ</t>
    </rPh>
    <rPh sb="2" eb="4">
      <t>バショ</t>
    </rPh>
    <phoneticPr fontId="14"/>
  </si>
  <si>
    <t>入庫倉庫</t>
    <rPh sb="0" eb="2">
      <t>ニュウコ</t>
    </rPh>
    <rPh sb="2" eb="4">
      <t>ソウコ</t>
    </rPh>
    <phoneticPr fontId="14"/>
  </si>
  <si>
    <t>有効期限</t>
    <rPh sb="0" eb="4">
      <t>ユウコウキゲン</t>
    </rPh>
    <phoneticPr fontId="14"/>
  </si>
  <si>
    <t>リソース（ユーザー定義）</t>
    <rPh sb="9" eb="11">
      <t>テイギ</t>
    </rPh>
    <phoneticPr fontId="14"/>
  </si>
  <si>
    <t>「リソースグループ-カレンダー-設定値」を参照</t>
    <rPh sb="16" eb="19">
      <t>セッテイチ</t>
    </rPh>
    <rPh sb="21" eb="23">
      <t>サンショウ</t>
    </rPh>
    <phoneticPr fontId="14"/>
  </si>
  <si>
    <t>0.00</t>
    <phoneticPr fontId="14"/>
  </si>
  <si>
    <t>バッチ生産能力</t>
    <rPh sb="3" eb="5">
      <t>セイサン</t>
    </rPh>
    <rPh sb="5" eb="7">
      <t>ノウリョク</t>
    </rPh>
    <phoneticPr fontId="14"/>
  </si>
  <si>
    <t>生産能力</t>
    <rPh sb="0" eb="2">
      <t>セイサン</t>
    </rPh>
    <rPh sb="2" eb="4">
      <t>ノウリョク</t>
    </rPh>
    <phoneticPr fontId="14"/>
  </si>
  <si>
    <t>ストローク/時間
m/時
キログラム/時間
日/時間</t>
    <rPh sb="6" eb="8">
      <t>ジカン</t>
    </rPh>
    <rPh sb="11" eb="12">
      <t>ジ</t>
    </rPh>
    <rPh sb="19" eb="21">
      <t>ジカン</t>
    </rPh>
    <rPh sb="22" eb="23">
      <t>ヒ</t>
    </rPh>
    <rPh sb="24" eb="26">
      <t>ジカン</t>
    </rPh>
    <phoneticPr fontId="14"/>
  </si>
  <si>
    <t>能力単位</t>
    <rPh sb="0" eb="2">
      <t>ノウリョク</t>
    </rPh>
    <rPh sb="2" eb="4">
      <t>タンイ</t>
    </rPh>
    <phoneticPr fontId="14"/>
  </si>
  <si>
    <t>順序グループ（ユーザー定義）</t>
    <rPh sb="0" eb="2">
      <t>ジュンジョ</t>
    </rPh>
    <rPh sb="11" eb="13">
      <t>テイギ</t>
    </rPh>
    <phoneticPr fontId="14"/>
  </si>
  <si>
    <t>順序グループ ID</t>
    <rPh sb="0" eb="2">
      <t>ジュンジョ</t>
    </rPh>
    <phoneticPr fontId="14"/>
  </si>
  <si>
    <t>ボトルネック リソース</t>
    <phoneticPr fontId="14"/>
  </si>
  <si>
    <t>有限能力</t>
    <rPh sb="0" eb="4">
      <t>ユウゲンノウリョク</t>
    </rPh>
    <phoneticPr fontId="14"/>
  </si>
  <si>
    <t>100.00</t>
    <phoneticPr fontId="14"/>
  </si>
  <si>
    <t>工程のスケジューリング率</t>
    <rPh sb="0" eb="2">
      <t>コウテイ</t>
    </rPh>
    <rPh sb="11" eb="12">
      <t>リツ</t>
    </rPh>
    <phoneticPr fontId="14"/>
  </si>
  <si>
    <t>スケジューリング</t>
    <phoneticPr fontId="14"/>
  </si>
  <si>
    <t>原価カテゴリ（ユーザー定義）</t>
    <rPh sb="0" eb="2">
      <t>ゲンカ</t>
    </rPh>
    <rPh sb="11" eb="13">
      <t>テイギ</t>
    </rPh>
    <phoneticPr fontId="14"/>
  </si>
  <si>
    <t>数量カテゴリ</t>
    <rPh sb="0" eb="2">
      <t>スウリョウ</t>
    </rPh>
    <phoneticPr fontId="14"/>
  </si>
  <si>
    <t>実行時間カテゴリ</t>
    <rPh sb="0" eb="2">
      <t>ジッコウ</t>
    </rPh>
    <rPh sb="2" eb="4">
      <t>ジカン</t>
    </rPh>
    <phoneticPr fontId="14"/>
  </si>
  <si>
    <t>段取りカテゴリ</t>
    <rPh sb="0" eb="2">
      <t>ダンド</t>
    </rPh>
    <phoneticPr fontId="14"/>
  </si>
  <si>
    <t>原価カテゴリ</t>
    <rPh sb="0" eb="2">
      <t>ゲンカ</t>
    </rPh>
    <phoneticPr fontId="14"/>
  </si>
  <si>
    <t>仕損率</t>
    <rPh sb="0" eb="3">
      <t>シソンリツ</t>
    </rPh>
    <phoneticPr fontId="14"/>
  </si>
  <si>
    <t>工順</t>
    <rPh sb="0" eb="2">
      <t>コウジュン</t>
    </rPh>
    <phoneticPr fontId="14"/>
  </si>
  <si>
    <t>工程</t>
    <rPh sb="0" eb="2">
      <t>コウテイ</t>
    </rPh>
    <phoneticPr fontId="14"/>
  </si>
  <si>
    <t>作業セル</t>
    <rPh sb="0" eb="2">
      <t>サギョウ</t>
    </rPh>
    <phoneticPr fontId="14"/>
  </si>
  <si>
    <t>生産単位（ユーザー定義）</t>
    <rPh sb="0" eb="2">
      <t>セイサン</t>
    </rPh>
    <rPh sb="2" eb="4">
      <t>タンイ</t>
    </rPh>
    <rPh sb="9" eb="11">
      <t>テイギ</t>
    </rPh>
    <phoneticPr fontId="14"/>
  </si>
  <si>
    <t>生産単位</t>
    <rPh sb="0" eb="2">
      <t>セイサン</t>
    </rPh>
    <rPh sb="2" eb="4">
      <t>タンイ</t>
    </rPh>
    <phoneticPr fontId="14"/>
  </si>
  <si>
    <t>サイト（ユーザー定義）</t>
    <rPh sb="8" eb="10">
      <t>テイギ</t>
    </rPh>
    <phoneticPr fontId="14"/>
  </si>
  <si>
    <t>リソースグループ</t>
    <phoneticPr fontId="14"/>
  </si>
  <si>
    <t>Production control &gt; Setup &gt; Resources &gt; Resource groups</t>
  </si>
  <si>
    <t>生産管理 ＞設定＞リソース＞リソースグループ</t>
  </si>
  <si>
    <t>分析コード値（ユーザー定義）</t>
    <rPh sb="0" eb="2">
      <t>ブンセキ</t>
    </rPh>
    <rPh sb="5" eb="6">
      <t>チ</t>
    </rPh>
    <rPh sb="11" eb="13">
      <t>テイギ</t>
    </rPh>
    <phoneticPr fontId="14"/>
  </si>
  <si>
    <t>場所（ユーザー定義）</t>
    <rPh sb="0" eb="2">
      <t>バショ</t>
    </rPh>
    <phoneticPr fontId="14"/>
  </si>
  <si>
    <t>倉庫（ユーザー定義）</t>
    <phoneticPr fontId="14"/>
  </si>
  <si>
    <t>消費された製造原価、仕掛品</t>
    <rPh sb="0" eb="2">
      <t>ショウヒ</t>
    </rPh>
    <rPh sb="5" eb="7">
      <t>セイゾウ</t>
    </rPh>
    <rPh sb="7" eb="9">
      <t>ゲンカ</t>
    </rPh>
    <rPh sb="10" eb="13">
      <t>シカカリヒン</t>
    </rPh>
    <phoneticPr fontId="14"/>
  </si>
  <si>
    <t>配賦された製造原価</t>
    <rPh sb="0" eb="2">
      <t>ハイフ</t>
    </rPh>
    <rPh sb="5" eb="7">
      <t>セイゾウ</t>
    </rPh>
    <rPh sb="7" eb="9">
      <t>ゲンカ</t>
    </rPh>
    <phoneticPr fontId="14"/>
  </si>
  <si>
    <t>配賦された見積製造原価</t>
    <rPh sb="0" eb="2">
      <t>ハイフ</t>
    </rPh>
    <rPh sb="5" eb="7">
      <t>ミツモリ</t>
    </rPh>
    <rPh sb="7" eb="9">
      <t>セイゾウ</t>
    </rPh>
    <rPh sb="9" eb="11">
      <t>ゲンカ</t>
    </rPh>
    <phoneticPr fontId="14"/>
  </si>
  <si>
    <t>バッチ生産能力</t>
    <rPh sb="3" eb="7">
      <t>セイサンノウリョク</t>
    </rPh>
    <phoneticPr fontId="14"/>
  </si>
  <si>
    <t>順序グループID</t>
    <rPh sb="0" eb="2">
      <t>ジュンジョ</t>
    </rPh>
    <phoneticPr fontId="14"/>
  </si>
  <si>
    <t>ボトルベック リソース</t>
    <phoneticPr fontId="14"/>
  </si>
  <si>
    <t>出庫場所</t>
    <rPh sb="0" eb="4">
      <t>シュッコバショ</t>
    </rPh>
    <phoneticPr fontId="14"/>
  </si>
  <si>
    <t>出庫倉庫</t>
    <rPh sb="0" eb="2">
      <t>シュッコ</t>
    </rPh>
    <rPh sb="2" eb="4">
      <t>ソウコ</t>
    </rPh>
    <phoneticPr fontId="14"/>
  </si>
  <si>
    <t>入庫場所</t>
    <rPh sb="0" eb="4">
      <t>ニュウコバショ</t>
    </rPh>
    <phoneticPr fontId="14"/>
  </si>
  <si>
    <t>リソースグループ-カレンダー-設定値</t>
    <rPh sb="15" eb="18">
      <t>セッテイチ</t>
    </rPh>
    <phoneticPr fontId="14"/>
  </si>
  <si>
    <t>リソースグループ-リソース-設定値</t>
    <rPh sb="14" eb="17">
      <t>セッテイチ</t>
    </rPh>
    <phoneticPr fontId="14"/>
  </si>
  <si>
    <t>作業時間カレンダー（ユーザー定義）</t>
    <phoneticPr fontId="14"/>
  </si>
  <si>
    <t>リソースグループ-カレンダー誤差-設定値</t>
    <rPh sb="14" eb="16">
      <t>ゴサ</t>
    </rPh>
    <rPh sb="17" eb="20">
      <t>セッテイチ</t>
    </rPh>
    <phoneticPr fontId="14"/>
  </si>
  <si>
    <t>標準作業日/週/月</t>
    <rPh sb="0" eb="2">
      <t>ヒョウジュン</t>
    </rPh>
    <rPh sb="2" eb="4">
      <t>サギョウ</t>
    </rPh>
    <rPh sb="4" eb="5">
      <t>ヒ</t>
    </rPh>
    <rPh sb="6" eb="7">
      <t>シュウ</t>
    </rPh>
    <rPh sb="8" eb="9">
      <t>ガツ</t>
    </rPh>
    <phoneticPr fontId="14"/>
  </si>
  <si>
    <t>能力時間</t>
    <rPh sb="0" eb="2">
      <t>ノウリョク</t>
    </rPh>
    <rPh sb="2" eb="4">
      <t>ジカン</t>
    </rPh>
    <phoneticPr fontId="14"/>
  </si>
  <si>
    <t>リソースグループ-作業セルの能力-設定値</t>
    <rPh sb="9" eb="11">
      <t>サギョウ</t>
    </rPh>
    <rPh sb="14" eb="16">
      <t>ノウリョク</t>
    </rPh>
    <rPh sb="17" eb="20">
      <t>セッテイチ</t>
    </rPh>
    <phoneticPr fontId="14"/>
  </si>
  <si>
    <t>「リソース-設定値」を参照</t>
    <rPh sb="6" eb="9">
      <t>セッテイチ</t>
    </rPh>
    <rPh sb="11" eb="13">
      <t>サンショウ</t>
    </rPh>
    <phoneticPr fontId="14"/>
  </si>
  <si>
    <t>「リソース-リソースグループ-設定値」を参照</t>
    <rPh sb="15" eb="18">
      <t>セッテイチ</t>
    </rPh>
    <rPh sb="20" eb="22">
      <t>サンショウ</t>
    </rPh>
    <phoneticPr fontId="14"/>
  </si>
  <si>
    <t>割り当てられたリソースに使用される入庫倉庫の場所。リソースで定義されている倉庫と場所の設定は、リソース グループに定義されている倉庫と場所の設定より優先されます。</t>
    <phoneticPr fontId="14"/>
  </si>
  <si>
    <t>このレコードの有効終了日。</t>
    <rPh sb="7" eb="12">
      <t>ユウコウシュウリョウビ</t>
    </rPh>
    <phoneticPr fontId="14"/>
  </si>
  <si>
    <t>リソース グループ（ユーザー定義）</t>
    <rPh sb="14" eb="16">
      <t>テイギ</t>
    </rPh>
    <phoneticPr fontId="14"/>
  </si>
  <si>
    <t>リソース グループ</t>
    <phoneticPr fontId="14"/>
  </si>
  <si>
    <t>「リソース-処理能力-設定値」を参照</t>
    <rPh sb="6" eb="10">
      <t>ショリノウリョク</t>
    </rPh>
    <rPh sb="11" eb="14">
      <t>セッテイチ</t>
    </rPh>
    <rPh sb="16" eb="18">
      <t>サンショウ</t>
    </rPh>
    <phoneticPr fontId="14"/>
  </si>
  <si>
    <t>能力の優先順位。値 1 が最も優先順位が高く、次に 2、3 などの順です。複数のリソースに同じ機能があり、レベル基準を達成できる場合、生産のスケジューリング時に [優先順位] フィールドで最小値のリソースが最初に選択されます。</t>
    <phoneticPr fontId="14"/>
  </si>
  <si>
    <t>リソースの能力（ユーザー定義）</t>
    <rPh sb="5" eb="7">
      <t>ノウリョク</t>
    </rPh>
    <rPh sb="12" eb="14">
      <t>テイギ</t>
    </rPh>
    <phoneticPr fontId="14"/>
  </si>
  <si>
    <t>能力</t>
    <rPh sb="0" eb="2">
      <t>ノウリョク</t>
    </rPh>
    <phoneticPr fontId="14"/>
  </si>
  <si>
    <t>処理能力</t>
    <rPh sb="0" eb="2">
      <t>ショリ</t>
    </rPh>
    <rPh sb="2" eb="4">
      <t>ノウリョク</t>
    </rPh>
    <phoneticPr fontId="14"/>
  </si>
  <si>
    <t>処理能力</t>
    <rPh sb="0" eb="4">
      <t>ショリノウリョク</t>
    </rPh>
    <phoneticPr fontId="14"/>
  </si>
  <si>
    <t>「リソース-カレンダー-設定値」を参照</t>
    <rPh sb="12" eb="15">
      <t>セッテイチ</t>
    </rPh>
    <rPh sb="17" eb="19">
      <t>サンショウ</t>
    </rPh>
    <phoneticPr fontId="14"/>
  </si>
  <si>
    <t>現在のリソースをボトルネック リソースとして定義する場合は、このオプションをオンにします。ボトルネック リソースは、マスタ プラン ページで [有限能力] フィールドと [ボトルネック スケジューリング] フィールドが選択されている場合に、有限能力を使用してスケジュールされます。</t>
    <phoneticPr fontId="14"/>
  </si>
  <si>
    <t>基本工程と二次工程を使用する場合は、このオプションをオンにすると、リソースがそのジョブ専用に確保されます。このリソースで進行中のジョブは、他のジョブによって中断されなくなります。たとえば、一次リソースが占有されています。二次リソースのスケジュールに休暇がある場合でも、基本リソースを他のジョブ向けに確保することはできません。別の例として、二次リソースが占有されています。工程を実行するために二次リソースで必要な負荷は 50% です。二次リソースが 50% の負荷で操業している場合でも、二次リソースの負荷は 100% 確保済であり、そのジョブが完了するまでリソースに他のジョブをスケジュール設定することはできません。このオプションがオフの場合、確保済能力の間に間隔が存在するか、リソースの能力が 100% 使用されていなければ、他のジョブ向けに能力を確保できます。</t>
    <phoneticPr fontId="14"/>
  </si>
  <si>
    <t>ジョブ占有</t>
    <rPh sb="3" eb="5">
      <t>センユウ</t>
    </rPh>
    <phoneticPr fontId="14"/>
  </si>
  <si>
    <t>リソースのプロパティを制限付きとして定義する場合は、このオプションをオンにします。リソースの処理に対して制限付きのプロパティを指定すると、リソースの段取り時間が短縮されるように、特定の時間に特定の工程がスケジュールされます。</t>
    <rPh sb="11" eb="13">
      <t>セイゲン</t>
    </rPh>
    <rPh sb="13" eb="14">
      <t>ツ</t>
    </rPh>
    <rPh sb="18" eb="20">
      <t>テイギ</t>
    </rPh>
    <rPh sb="22" eb="24">
      <t>バアイ</t>
    </rPh>
    <rPh sb="46" eb="48">
      <t>ショリ</t>
    </rPh>
    <rPh sb="49" eb="50">
      <t>タイ</t>
    </rPh>
    <rPh sb="52" eb="54">
      <t>セイゲン</t>
    </rPh>
    <rPh sb="54" eb="55">
      <t>ツ</t>
    </rPh>
    <rPh sb="63" eb="65">
      <t>シテイ</t>
    </rPh>
    <rPh sb="74" eb="76">
      <t>ダンド</t>
    </rPh>
    <rPh sb="77" eb="79">
      <t>ジカン</t>
    </rPh>
    <rPh sb="80" eb="82">
      <t>タンシュク</t>
    </rPh>
    <rPh sb="89" eb="91">
      <t>トクテイ</t>
    </rPh>
    <rPh sb="92" eb="94">
      <t>ジカン</t>
    </rPh>
    <rPh sb="95" eb="97">
      <t>トクテイ</t>
    </rPh>
    <rPh sb="98" eb="100">
      <t>コウテイ</t>
    </rPh>
    <phoneticPr fontId="14"/>
  </si>
  <si>
    <t>作業タイプ指定</t>
    <rPh sb="0" eb="2">
      <t>サギョウ</t>
    </rPh>
    <rPh sb="5" eb="7">
      <t>シテイ</t>
    </rPh>
    <phoneticPr fontId="14"/>
  </si>
  <si>
    <t>このオプションをオンにすると、能力が制限付きとして指定されます。このオプションをオフにすると、能力は制限なしになります。有限能力を使用する場合、工程またはジョブのスケジュールは、リソース グループまたはリソースで実際に利用できる能力に基づいて設定されます。引当済のリソース能力の量は考慮されません。</t>
    <rPh sb="121" eb="123">
      <t>セッテイ</t>
    </rPh>
    <rPh sb="128" eb="131">
      <t>ヒキアテズ</t>
    </rPh>
    <rPh sb="136" eb="138">
      <t>ノウリョク</t>
    </rPh>
    <rPh sb="139" eb="140">
      <t>リョウ</t>
    </rPh>
    <rPh sb="141" eb="143">
      <t>コウリョ</t>
    </rPh>
    <phoneticPr fontId="14"/>
  </si>
  <si>
    <t>有限能力</t>
    <rPh sb="0" eb="2">
      <t>ユウゲン</t>
    </rPh>
    <rPh sb="2" eb="4">
      <t>ノウリョク</t>
    </rPh>
    <phoneticPr fontId="14"/>
  </si>
  <si>
    <t>生産ごとに工程をスケジュール設定できるリソースの１日あたり能力の最大割合を指定します。</t>
    <rPh sb="0" eb="2">
      <t>セイサン</t>
    </rPh>
    <rPh sb="5" eb="7">
      <t>コウテイ</t>
    </rPh>
    <rPh sb="14" eb="16">
      <t>セッテイ</t>
    </rPh>
    <rPh sb="25" eb="26">
      <t>ニチ</t>
    </rPh>
    <rPh sb="29" eb="31">
      <t>ノウリョク</t>
    </rPh>
    <rPh sb="32" eb="34">
      <t>サイダイ</t>
    </rPh>
    <rPh sb="34" eb="36">
      <t>ワリアイ</t>
    </rPh>
    <rPh sb="37" eb="39">
      <t>シテイ</t>
    </rPh>
    <phoneticPr fontId="14"/>
  </si>
  <si>
    <t>特定のリソースに対して 1 日あたりにスケジュール設定される、カレンダー上での稼働時間の割合。効率を利用して、個々のジョブの 1 日あたり処理時間を増減できます。たとえば、ジョブの設定で 6 時間が必要な場合、リソースの効率が 50% であれば、そのジョブには１日目に３時間の能力が確保され、２日目に３時間の能力が確保されます。</t>
    <rPh sb="131" eb="132">
      <t>ニチ</t>
    </rPh>
    <rPh sb="132" eb="133">
      <t>メ</t>
    </rPh>
    <rPh sb="135" eb="137">
      <t>ジカン</t>
    </rPh>
    <rPh sb="138" eb="140">
      <t>ノウリョク</t>
    </rPh>
    <rPh sb="141" eb="143">
      <t>カクホ</t>
    </rPh>
    <rPh sb="147" eb="149">
      <t>カメ</t>
    </rPh>
    <rPh sb="151" eb="153">
      <t>ジカン</t>
    </rPh>
    <rPh sb="154" eb="156">
      <t>ノウリョク</t>
    </rPh>
    <rPh sb="157" eb="159">
      <t>カクホ</t>
    </rPh>
    <phoneticPr fontId="14"/>
  </si>
  <si>
    <t>効率</t>
    <rPh sb="0" eb="2">
      <t>コウリツ</t>
    </rPh>
    <phoneticPr fontId="14"/>
  </si>
  <si>
    <t>係数1を使用して計算時にリソースが実行ごとに処理できる最大個数を指定します。</t>
    <rPh sb="0" eb="2">
      <t>ケイスウ</t>
    </rPh>
    <rPh sb="4" eb="6">
      <t>シヨウ</t>
    </rPh>
    <rPh sb="8" eb="10">
      <t>ケイサン</t>
    </rPh>
    <rPh sb="10" eb="11">
      <t>ジ</t>
    </rPh>
    <rPh sb="17" eb="19">
      <t>ジッコウ</t>
    </rPh>
    <rPh sb="22" eb="24">
      <t>ショリ</t>
    </rPh>
    <rPh sb="27" eb="29">
      <t>サイダイ</t>
    </rPh>
    <rPh sb="29" eb="31">
      <t>コスウ</t>
    </rPh>
    <rPh sb="32" eb="34">
      <t>シテイ</t>
    </rPh>
    <phoneticPr fontId="14"/>
  </si>
  <si>
    <t>時間あたりのリソース能力。能力の単位は、[能力単位]フィールドで指定します。</t>
    <rPh sb="0" eb="2">
      <t>ジカン</t>
    </rPh>
    <rPh sb="10" eb="12">
      <t>ノウリョク</t>
    </rPh>
    <rPh sb="13" eb="15">
      <t>ノウリョク</t>
    </rPh>
    <rPh sb="16" eb="18">
      <t>タンイ</t>
    </rPh>
    <rPh sb="21" eb="23">
      <t>ノウリョク</t>
    </rPh>
    <rPh sb="23" eb="25">
      <t>タンイ</t>
    </rPh>
    <rPh sb="32" eb="34">
      <t>シテイ</t>
    </rPh>
    <phoneticPr fontId="14"/>
  </si>
  <si>
    <t>連続しているリソース間で移動できる数量です。</t>
    <rPh sb="0" eb="2">
      <t>レンゾク</t>
    </rPh>
    <rPh sb="10" eb="11">
      <t>カン</t>
    </rPh>
    <rPh sb="12" eb="14">
      <t>イドウ</t>
    </rPh>
    <rPh sb="17" eb="19">
      <t>スウリョウ</t>
    </rPh>
    <phoneticPr fontId="14"/>
  </si>
  <si>
    <t>転送バッチ</t>
    <rPh sb="0" eb="2">
      <t>テンソウ</t>
    </rPh>
    <phoneticPr fontId="14"/>
  </si>
  <si>
    <t>重複</t>
    <rPh sb="0" eb="2">
      <t>チョウフク</t>
    </rPh>
    <phoneticPr fontId="14"/>
  </si>
  <si>
    <t>1.0000</t>
    <phoneticPr fontId="14"/>
  </si>
  <si>
    <t>小数点以下 2 桁の時間に変換するために工程で指定された時間の変換係数。次の式が使用されます: 時間 = 工程時間 * 時間変換係数。たとえば、工程時間が時間単位である場合、[時間変換係数] は 1.0000 です。工程時間が 0.50 (半時間)の場合に時間を計算する式は、0.50*1.0000=0.50時間となります。工程時間が分単位である場合は、[時間変換係数]が0.0167に設定されます。工程時間が30分の場合に時間を計算する式は、30.00*0.0167=0.50時間となります。リソースを選択している場合、フィールド値は工順工程に転送されます。</t>
    <rPh sb="120" eb="121">
      <t>ハン</t>
    </rPh>
    <rPh sb="121" eb="123">
      <t>ジカン</t>
    </rPh>
    <rPh sb="125" eb="127">
      <t>バアイ</t>
    </rPh>
    <rPh sb="128" eb="130">
      <t>ジカン</t>
    </rPh>
    <rPh sb="131" eb="133">
      <t>ケイサン</t>
    </rPh>
    <rPh sb="135" eb="136">
      <t>シキ</t>
    </rPh>
    <rPh sb="154" eb="156">
      <t>ジカン</t>
    </rPh>
    <rPh sb="162" eb="164">
      <t>コウテイ</t>
    </rPh>
    <rPh sb="164" eb="166">
      <t>ジカン</t>
    </rPh>
    <rPh sb="167" eb="168">
      <t>ブン</t>
    </rPh>
    <rPh sb="168" eb="170">
      <t>タンイ</t>
    </rPh>
    <rPh sb="173" eb="175">
      <t>バアイ</t>
    </rPh>
    <rPh sb="178" eb="180">
      <t>ジカン</t>
    </rPh>
    <rPh sb="180" eb="182">
      <t>ヘンカン</t>
    </rPh>
    <rPh sb="182" eb="184">
      <t>ケイスウ</t>
    </rPh>
    <rPh sb="193" eb="195">
      <t>セッテイ</t>
    </rPh>
    <rPh sb="200" eb="202">
      <t>コウテイ</t>
    </rPh>
    <rPh sb="202" eb="204">
      <t>ジカン</t>
    </rPh>
    <rPh sb="207" eb="208">
      <t>フン</t>
    </rPh>
    <rPh sb="209" eb="211">
      <t>バアイ</t>
    </rPh>
    <rPh sb="212" eb="214">
      <t>ジカン</t>
    </rPh>
    <rPh sb="215" eb="217">
      <t>ケイサン</t>
    </rPh>
    <rPh sb="219" eb="220">
      <t>シキ</t>
    </rPh>
    <rPh sb="239" eb="241">
      <t>ジカン</t>
    </rPh>
    <rPh sb="252" eb="254">
      <t>センタク</t>
    </rPh>
    <rPh sb="258" eb="260">
      <t>バアイ</t>
    </rPh>
    <rPh sb="266" eb="267">
      <t>アタイ</t>
    </rPh>
    <rPh sb="268" eb="270">
      <t>コウジュン</t>
    </rPh>
    <rPh sb="270" eb="272">
      <t>コウテイ</t>
    </rPh>
    <rPh sb="273" eb="275">
      <t>テンソウ</t>
    </rPh>
    <phoneticPr fontId="14"/>
  </si>
  <si>
    <t>時間変換係数</t>
    <rPh sb="0" eb="2">
      <t>ジカン</t>
    </rPh>
    <rPh sb="2" eb="4">
      <t>ヘンカン</t>
    </rPh>
    <rPh sb="4" eb="6">
      <t>ケイスウ</t>
    </rPh>
    <phoneticPr fontId="14"/>
  </si>
  <si>
    <t>工程が完了した後、次の工程を開始できるようになるまでの待ち時間。値は正である必要があり、[作業時間] フィールドで工順グループに指定された作業時間に応じて決まります。待ち時間は、グレゴリオ暦または現在の作業時間カレンダーに従って設定できます。リソースを原価計算のリソースとして選択すると、値が工順工程に送られます。たとえば、次の工程を開始する前に品目を乾燥されるために必要な時間を指定します。</t>
    <rPh sb="126" eb="128">
      <t>ゲンカ</t>
    </rPh>
    <rPh sb="128" eb="130">
      <t>ケイサン</t>
    </rPh>
    <rPh sb="138" eb="140">
      <t>センタク</t>
    </rPh>
    <rPh sb="144" eb="145">
      <t>アタイ</t>
    </rPh>
    <rPh sb="146" eb="148">
      <t>コウジュン</t>
    </rPh>
    <rPh sb="148" eb="150">
      <t>コウテイ</t>
    </rPh>
    <rPh sb="151" eb="152">
      <t>オク</t>
    </rPh>
    <rPh sb="162" eb="163">
      <t>ツギ</t>
    </rPh>
    <rPh sb="164" eb="166">
      <t>コウテイ</t>
    </rPh>
    <rPh sb="167" eb="169">
      <t>カイシ</t>
    </rPh>
    <rPh sb="171" eb="172">
      <t>マエ</t>
    </rPh>
    <rPh sb="173" eb="175">
      <t>ヒンモク</t>
    </rPh>
    <rPh sb="176" eb="178">
      <t>カンソウ</t>
    </rPh>
    <rPh sb="184" eb="186">
      <t>ヒツヨウ</t>
    </rPh>
    <rPh sb="187" eb="189">
      <t>ジカン</t>
    </rPh>
    <rPh sb="190" eb="192">
      <t>シテイ</t>
    </rPh>
    <phoneticPr fontId="14"/>
  </si>
  <si>
    <t>作業後待ち時間</t>
    <rPh sb="0" eb="2">
      <t>サギョウ</t>
    </rPh>
    <rPh sb="2" eb="3">
      <t>ゴ</t>
    </rPh>
    <rPh sb="3" eb="4">
      <t>マ</t>
    </rPh>
    <rPh sb="5" eb="7">
      <t>ジカン</t>
    </rPh>
    <phoneticPr fontId="14"/>
  </si>
  <si>
    <t>2 つのリソース間で、または最後の工程から在庫へと品目を移動するために必要な輸送時間。輸送時間は、工程工順グループの設定内容に応じて使用されます。この輸送時間は正の値にする必要があります。リソースを選択している場合、フィールド値は工順工程に転送されます。</t>
    <rPh sb="120" eb="122">
      <t>テンソウ</t>
    </rPh>
    <phoneticPr fontId="14"/>
  </si>
  <si>
    <t>輸送時間</t>
    <rPh sb="0" eb="2">
      <t>ユソウ</t>
    </rPh>
    <rPh sb="2" eb="4">
      <t>ジカン</t>
    </rPh>
    <phoneticPr fontId="14"/>
  </si>
  <si>
    <t>特定の処理時間内で生産できる品目数。このフィールドには 0 よりも大きい値を指定する必要があります。リソースを原価計算のリソースとして選択すると、フィールドの値が工順工程に送られます。</t>
    <phoneticPr fontId="14"/>
  </si>
  <si>
    <t>処理数量</t>
    <rPh sb="0" eb="2">
      <t>ショリ</t>
    </rPh>
    <rPh sb="2" eb="4">
      <t>スウリョウ</t>
    </rPh>
    <phoneticPr fontId="14"/>
  </si>
  <si>
    <t>処理数量を計算するために必要な時間。工順工程またはリソースの [時間変換係数] フィールドで換算係数を指定しなかった場合、実行時間には小数点以下 2 桁までの時間が自動的に入力されます。工順工程の [時間変換係数] フィールドで換算係数を指定した場合、リソースの[時間変換係数]フィールドの値が上書きされます。単位数量あたりの処理時間は、正の値をしているする必要があります。実行時間のスケジュール設定は、工程の工順グループを基準にして行われます。</t>
    <rPh sb="119" eb="121">
      <t>シテイ</t>
    </rPh>
    <rPh sb="123" eb="125">
      <t>バアイ</t>
    </rPh>
    <rPh sb="132" eb="134">
      <t>ジカン</t>
    </rPh>
    <rPh sb="134" eb="136">
      <t>ヘンカン</t>
    </rPh>
    <rPh sb="136" eb="138">
      <t>ケイスウ</t>
    </rPh>
    <rPh sb="145" eb="146">
      <t>アタイ</t>
    </rPh>
    <rPh sb="147" eb="149">
      <t>ウワガ</t>
    </rPh>
    <rPh sb="155" eb="157">
      <t>タンイ</t>
    </rPh>
    <rPh sb="157" eb="159">
      <t>スウリョウ</t>
    </rPh>
    <rPh sb="163" eb="165">
      <t>ショリ</t>
    </rPh>
    <rPh sb="165" eb="167">
      <t>ジカン</t>
    </rPh>
    <rPh sb="169" eb="170">
      <t>セイ</t>
    </rPh>
    <rPh sb="171" eb="172">
      <t>アタイ</t>
    </rPh>
    <rPh sb="179" eb="181">
      <t>ヒツヨウ</t>
    </rPh>
    <rPh sb="187" eb="189">
      <t>ジッコウ</t>
    </rPh>
    <rPh sb="189" eb="191">
      <t>ジカン</t>
    </rPh>
    <rPh sb="198" eb="200">
      <t>セッテイ</t>
    </rPh>
    <rPh sb="202" eb="204">
      <t>コウテイ</t>
    </rPh>
    <rPh sb="205" eb="207">
      <t>コウジュン</t>
    </rPh>
    <rPh sb="212" eb="214">
      <t>キジュン</t>
    </rPh>
    <rPh sb="217" eb="218">
      <t>オコナ</t>
    </rPh>
    <phoneticPr fontId="14"/>
  </si>
  <si>
    <t>実行時間</t>
    <rPh sb="0" eb="2">
      <t>ジッコウ</t>
    </rPh>
    <rPh sb="2" eb="4">
      <t>ジカン</t>
    </rPh>
    <phoneticPr fontId="14"/>
  </si>
  <si>
    <t>段取り時間は、リソースを準備するためにかかる固定時間であり、正の値にする必要があります。能力を確保する必要があるかどうか、作業時間カレンダーを遵守する必要があるかどうかは、工順グループに応じて決まります。リソースを原価計算のリソースとして選択すると、このフィールドの値が工順工程の[段取り時間]フィールドに送られます。</t>
    <rPh sb="0" eb="2">
      <t>ダンド</t>
    </rPh>
    <rPh sb="3" eb="5">
      <t>ジカン</t>
    </rPh>
    <rPh sb="12" eb="14">
      <t>ジュンビ</t>
    </rPh>
    <rPh sb="22" eb="24">
      <t>コテイ</t>
    </rPh>
    <rPh sb="24" eb="26">
      <t>ジカン</t>
    </rPh>
    <rPh sb="30" eb="31">
      <t>セイ</t>
    </rPh>
    <rPh sb="32" eb="33">
      <t>アタイ</t>
    </rPh>
    <rPh sb="36" eb="38">
      <t>ヒツヨウ</t>
    </rPh>
    <rPh sb="44" eb="46">
      <t>ノウリョク</t>
    </rPh>
    <rPh sb="47" eb="49">
      <t>カクホ</t>
    </rPh>
    <rPh sb="51" eb="53">
      <t>ヒツヨウ</t>
    </rPh>
    <rPh sb="61" eb="63">
      <t>サギョウ</t>
    </rPh>
    <rPh sb="63" eb="65">
      <t>ジカン</t>
    </rPh>
    <rPh sb="71" eb="73">
      <t>ジュンシュ</t>
    </rPh>
    <rPh sb="75" eb="77">
      <t>ヒツヨウ</t>
    </rPh>
    <rPh sb="86" eb="88">
      <t>コウジュン</t>
    </rPh>
    <rPh sb="93" eb="94">
      <t>オウ</t>
    </rPh>
    <rPh sb="96" eb="97">
      <t>キ</t>
    </rPh>
    <rPh sb="107" eb="109">
      <t>ゲンカ</t>
    </rPh>
    <rPh sb="109" eb="111">
      <t>ケイサン</t>
    </rPh>
    <rPh sb="119" eb="121">
      <t>センタク</t>
    </rPh>
    <rPh sb="133" eb="134">
      <t>アタイ</t>
    </rPh>
    <rPh sb="135" eb="137">
      <t>コウジュン</t>
    </rPh>
    <rPh sb="137" eb="139">
      <t>コウテイ</t>
    </rPh>
    <rPh sb="141" eb="143">
      <t>ダンド</t>
    </rPh>
    <rPh sb="144" eb="146">
      <t>ジカン</t>
    </rPh>
    <rPh sb="153" eb="154">
      <t>オク</t>
    </rPh>
    <phoneticPr fontId="14"/>
  </si>
  <si>
    <t>段取り時間</t>
    <rPh sb="0" eb="2">
      <t>ダンド</t>
    </rPh>
    <rPh sb="3" eb="5">
      <t>ジカン</t>
    </rPh>
    <phoneticPr fontId="14"/>
  </si>
  <si>
    <t>工程が開始できるようになるまでの待ち時間。このフィールドの値は正である必要があります。この値を工順グループで設定しておくと、待ち時間をスケジュール設定する必要があるかどうか、および使用するカレンダーを決定できます。たとえば、待ち時間を外注業社の作業に使用することができます。リソースを原価計算のリソースとして選択すると、このフィールドの値が工順工程の[作業前待ち時間]フィールドに送られます。</t>
    <rPh sb="120" eb="121">
      <t>シャ</t>
    </rPh>
    <rPh sb="122" eb="124">
      <t>サギョウ</t>
    </rPh>
    <rPh sb="125" eb="127">
      <t>シヨウ</t>
    </rPh>
    <rPh sb="142" eb="144">
      <t>ゲンカ</t>
    </rPh>
    <rPh sb="144" eb="146">
      <t>ケイサン</t>
    </rPh>
    <rPh sb="154" eb="156">
      <t>センタク</t>
    </rPh>
    <rPh sb="168" eb="169">
      <t>アタイ</t>
    </rPh>
    <rPh sb="170" eb="172">
      <t>コウジュン</t>
    </rPh>
    <rPh sb="172" eb="174">
      <t>コウテイ</t>
    </rPh>
    <rPh sb="176" eb="178">
      <t>サギョウ</t>
    </rPh>
    <rPh sb="178" eb="179">
      <t>マエ</t>
    </rPh>
    <rPh sb="179" eb="180">
      <t>マ</t>
    </rPh>
    <rPh sb="181" eb="183">
      <t>ジカン</t>
    </rPh>
    <rPh sb="190" eb="191">
      <t>オク</t>
    </rPh>
    <phoneticPr fontId="14"/>
  </si>
  <si>
    <t>作業前待ち時間</t>
    <rPh sb="0" eb="2">
      <t>サギョウ</t>
    </rPh>
    <rPh sb="2" eb="3">
      <t>マエ</t>
    </rPh>
    <rPh sb="3" eb="4">
      <t>マ</t>
    </rPh>
    <rPh sb="5" eb="7">
      <t>ジカン</t>
    </rPh>
    <phoneticPr fontId="14"/>
  </si>
  <si>
    <t>時間</t>
    <rPh sb="0" eb="2">
      <t>ジカン</t>
    </rPh>
    <phoneticPr fontId="14"/>
  </si>
  <si>
    <t>工程で予想される追加消費。この追加消費は、現在の工程の材料消費および運営リソース消費の計算で考慮されます。この値は正の値である必要があります。仕損率は、現在の工順の [累計] フィールドに集計されます。累計した仕損率は、工順の個別の工程にお</t>
    <phoneticPr fontId="14"/>
  </si>
  <si>
    <t>工順グループ（ユーザー定義）</t>
    <rPh sb="0" eb="2">
      <t>コウジュン</t>
    </rPh>
    <rPh sb="11" eb="13">
      <t>テイギ</t>
    </rPh>
    <phoneticPr fontId="14"/>
  </si>
  <si>
    <t>関連の作成中にリソースを選択する際に使用される、既定の工順グループを指定します。</t>
    <rPh sb="0" eb="2">
      <t>カンレン</t>
    </rPh>
    <rPh sb="3" eb="5">
      <t>サクセイ</t>
    </rPh>
    <rPh sb="5" eb="6">
      <t>チュウ</t>
    </rPh>
    <rPh sb="12" eb="14">
      <t>センタク</t>
    </rPh>
    <rPh sb="16" eb="17">
      <t>サイ</t>
    </rPh>
    <rPh sb="18" eb="20">
      <t>シヨウ</t>
    </rPh>
    <rPh sb="24" eb="26">
      <t>キテイ</t>
    </rPh>
    <rPh sb="27" eb="29">
      <t>コウジュン</t>
    </rPh>
    <rPh sb="34" eb="36">
      <t>シテイ</t>
    </rPh>
    <phoneticPr fontId="14"/>
  </si>
  <si>
    <t>工順グループ</t>
    <rPh sb="0" eb="2">
      <t>コウジュン</t>
    </rPh>
    <phoneticPr fontId="14"/>
  </si>
  <si>
    <t>作業者名</t>
    <rPh sb="0" eb="3">
      <t>サギョウシャ</t>
    </rPh>
    <rPh sb="3" eb="4">
      <t>メイ</t>
    </rPh>
    <phoneticPr fontId="14"/>
  </si>
  <si>
    <t>作業者（ユーザー定義）</t>
    <rPh sb="0" eb="3">
      <t>サギョウシャ</t>
    </rPh>
    <rPh sb="8" eb="10">
      <t>テイギ</t>
    </rPh>
    <phoneticPr fontId="14"/>
  </si>
  <si>
    <t>作業者の個人番号を入力します。これは、[リソース] フィールドで [人事管理] がリソース タイプとして選択されている場合にのみ必要です。</t>
    <phoneticPr fontId="14"/>
  </si>
  <si>
    <t>作業者</t>
    <rPh sb="0" eb="3">
      <t>サギョウシャ</t>
    </rPh>
    <phoneticPr fontId="14"/>
  </si>
  <si>
    <t>すべての仕入先（ユーザー定義）</t>
    <rPh sb="4" eb="6">
      <t>シイレ</t>
    </rPh>
    <rPh sb="6" eb="7">
      <t>サキ</t>
    </rPh>
    <rPh sb="12" eb="14">
      <t>テイギ</t>
    </rPh>
    <phoneticPr fontId="14"/>
  </si>
  <si>
    <t>リソースの仕入先を選択します。このフィールドは、[リソース] フィールドで [仕入先] が選択されている場合にのみ使用できます。生産をスケジュール設定する際、このタイプに割り当てられているリソースの容量は計算されません。</t>
    <phoneticPr fontId="14"/>
  </si>
  <si>
    <t>仕入先/作業員/機械/工具/保管場所/リソースグループ/設備</t>
    <rPh sb="0" eb="3">
      <t>シイレサキ</t>
    </rPh>
    <rPh sb="4" eb="7">
      <t>サギョウイン</t>
    </rPh>
    <rPh sb="8" eb="10">
      <t>キカイ</t>
    </rPh>
    <rPh sb="11" eb="13">
      <t>コウグ</t>
    </rPh>
    <rPh sb="14" eb="16">
      <t>ホカン</t>
    </rPh>
    <rPh sb="16" eb="18">
      <t>バショ</t>
    </rPh>
    <rPh sb="28" eb="30">
      <t>セツビ</t>
    </rPh>
    <phoneticPr fontId="14"/>
  </si>
  <si>
    <t>次の値の一つを選択します: 仕入先 (リソースは協力会社などの外部運営リソースです; 部品表 (BOM) 明細行または生産ラインに基づいて協力会社への購買を生成できます)、人事管理 (リソースは個々の作業者または作業者のグループをスケジュール設定する場合のみ、1 人以上の作業者です; 工程とリソースの両方について複数のオペレータを標準として指定でき、リソースで消費されるオペレータ時間をオペレータのプロファイルで追跡することもできます; 従業員の能力が限定されている場合、一般的にはリソース タイプ [人事管理] でスケジュール設定します)、機械 (リソースは生産機械です)、ツール (リソースはツールと見なされる機器またはデバイスです; 工具、機械、人員を同時にスケジュール設定する場合には、利用できる能力を決定する基本リソースを選択する必要があります)、場所 (リソースは特定のサイズの組み立てエリアなど物理的な場所です)。</t>
    <phoneticPr fontId="14"/>
  </si>
  <si>
    <t>Production control &gt; Setup &gt; Resources &gt; Resources</t>
  </si>
  <si>
    <t>生産管理 ＞設定＞リソース＞リソース</t>
  </si>
  <si>
    <t>リソースグループ（ユーザー定義）</t>
    <rPh sb="13" eb="15">
      <t>テイギ</t>
    </rPh>
    <phoneticPr fontId="14"/>
  </si>
  <si>
    <t>カテゴリ階層</t>
    <rPh sb="4" eb="6">
      <t>カイソウ</t>
    </rPh>
    <phoneticPr fontId="14"/>
  </si>
  <si>
    <t>カテゴリページ</t>
    <phoneticPr fontId="14"/>
  </si>
  <si>
    <t>階層名</t>
    <rPh sb="0" eb="2">
      <t>カイソウ</t>
    </rPh>
    <rPh sb="2" eb="3">
      <t>メイ</t>
    </rPh>
    <phoneticPr fontId="14"/>
  </si>
  <si>
    <t>商品コード</t>
    <rPh sb="0" eb="2">
      <t>ショウヒン</t>
    </rPh>
    <phoneticPr fontId="14"/>
  </si>
  <si>
    <t>継承元</t>
    <rPh sb="0" eb="2">
      <t>ケイショウ</t>
    </rPh>
    <rPh sb="2" eb="3">
      <t>モト</t>
    </rPh>
    <phoneticPr fontId="14"/>
  </si>
  <si>
    <t>属性タイプ</t>
    <rPh sb="0" eb="2">
      <t>ゾクセイ</t>
    </rPh>
    <phoneticPr fontId="14"/>
  </si>
  <si>
    <t>親カテゴリからカテゴリ属性を継承</t>
    <rPh sb="0" eb="1">
      <t>オヤ</t>
    </rPh>
    <rPh sb="11" eb="13">
      <t>ゾクセイ</t>
    </rPh>
    <rPh sb="14" eb="16">
      <t>ケイショウ</t>
    </rPh>
    <phoneticPr fontId="14"/>
  </si>
  <si>
    <t>カテゴリ属性</t>
    <rPh sb="4" eb="6">
      <t>ゾクセイ</t>
    </rPh>
    <phoneticPr fontId="14"/>
  </si>
  <si>
    <t>この値は、カテゴリでの製品の並べ替え順序を決定するのに役立ちます。</t>
    <phoneticPr fontId="14"/>
  </si>
  <si>
    <t>製品の表示順序</t>
    <rPh sb="0" eb="2">
      <t>セイヒン</t>
    </rPh>
    <rPh sb="3" eb="5">
      <t>ヒョウジ</t>
    </rPh>
    <rPh sb="5" eb="7">
      <t>ジュンジョ</t>
    </rPh>
    <phoneticPr fontId="14"/>
  </si>
  <si>
    <t>製品名</t>
    <rPh sb="0" eb="3">
      <t>セイヒンメイ</t>
    </rPh>
    <phoneticPr fontId="14"/>
  </si>
  <si>
    <t>製品番号</t>
    <rPh sb="0" eb="2">
      <t>セイヒン</t>
    </rPh>
    <rPh sb="2" eb="4">
      <t>バンゴウ</t>
    </rPh>
    <phoneticPr fontId="14"/>
  </si>
  <si>
    <t>この値は、カテゴリの並べ替え順序を決定するのに役立ちます。</t>
    <phoneticPr fontId="14"/>
  </si>
  <si>
    <t>カテゴリの表示順序</t>
    <phoneticPr fontId="14"/>
  </si>
  <si>
    <t>キーワード</t>
    <phoneticPr fontId="14"/>
  </si>
  <si>
    <t>新しいカテゴリ</t>
    <rPh sb="0" eb="1">
      <t>アタラ</t>
    </rPh>
    <phoneticPr fontId="14"/>
  </si>
  <si>
    <t>フレンドリ名</t>
    <rPh sb="5" eb="6">
      <t>メイ</t>
    </rPh>
    <phoneticPr fontId="14"/>
  </si>
  <si>
    <t>課税対象製品として分類</t>
    <rPh sb="0" eb="2">
      <t>カゼイ</t>
    </rPh>
    <rPh sb="2" eb="4">
      <t>タイショウ</t>
    </rPh>
    <rPh sb="4" eb="6">
      <t>セイヒン</t>
    </rPh>
    <rPh sb="9" eb="11">
      <t>ブンルイ</t>
    </rPh>
    <phoneticPr fontId="14"/>
  </si>
  <si>
    <t>ユーザー</t>
    <phoneticPr fontId="14"/>
  </si>
  <si>
    <t>更新者</t>
    <rPh sb="0" eb="3">
      <t>コウシンシャ</t>
    </rPh>
    <phoneticPr fontId="14"/>
  </si>
  <si>
    <t>更新日時</t>
    <rPh sb="0" eb="2">
      <t>コウシン</t>
    </rPh>
    <rPh sb="2" eb="4">
      <t>ニチジ</t>
    </rPh>
    <phoneticPr fontId="14"/>
  </si>
  <si>
    <t>更新日</t>
    <rPh sb="0" eb="2">
      <t>コウシン</t>
    </rPh>
    <rPh sb="2" eb="3">
      <t>ビ</t>
    </rPh>
    <phoneticPr fontId="14"/>
  </si>
  <si>
    <t>作成者</t>
    <rPh sb="0" eb="3">
      <t>サクセイシャ</t>
    </rPh>
    <phoneticPr fontId="14"/>
  </si>
  <si>
    <t>作成日時</t>
    <rPh sb="0" eb="2">
      <t>サクセイ</t>
    </rPh>
    <rPh sb="2" eb="4">
      <t>ニチジ</t>
    </rPh>
    <phoneticPr fontId="14"/>
  </si>
  <si>
    <t>作成日</t>
    <rPh sb="0" eb="3">
      <t>サクセイビ</t>
    </rPh>
    <phoneticPr fontId="14"/>
  </si>
  <si>
    <t>適用できません</t>
    <rPh sb="0" eb="2">
      <t>テキヨウ</t>
    </rPh>
    <phoneticPr fontId="14"/>
  </si>
  <si>
    <t>インポートステータス</t>
    <phoneticPr fontId="14"/>
  </si>
  <si>
    <t>コード</t>
    <phoneticPr fontId="14"/>
  </si>
  <si>
    <t>カテゴリノード</t>
    <phoneticPr fontId="14"/>
  </si>
  <si>
    <t>最終更新者</t>
    <rPh sb="0" eb="2">
      <t>サイシュウ</t>
    </rPh>
    <rPh sb="2" eb="5">
      <t>コウシンシャ</t>
    </rPh>
    <phoneticPr fontId="14"/>
  </si>
  <si>
    <t>最終更新日</t>
    <rPh sb="0" eb="2">
      <t>サイシュウ</t>
    </rPh>
    <rPh sb="2" eb="5">
      <t>コウシンビ</t>
    </rPh>
    <phoneticPr fontId="14"/>
  </si>
  <si>
    <t>Product information management &gt; Setup &gt; Categories and attributes &gt; Category hierarchies</t>
    <phoneticPr fontId="14"/>
  </si>
  <si>
    <t>製品情報管理＞設定 ＞ カテゴリと属性＞カテゴリ階層</t>
  </si>
  <si>
    <t>カテゴリ階層-設定値</t>
  </si>
  <si>
    <t>調達カテゴリ階層
販売カテゴリ階層
コマース製品階層
商品コード階層
派生財務分析階層
補助小売階層
小売仕入先製品階層
小売チャネルナビゲーション階層
Packing material hierarchy
Common Data Service
原価管理階層</t>
    <rPh sb="0" eb="2">
      <t>チョウタツ</t>
    </rPh>
    <rPh sb="6" eb="8">
      <t>カイソウ</t>
    </rPh>
    <rPh sb="9" eb="11">
      <t>ハンバイ</t>
    </rPh>
    <rPh sb="15" eb="17">
      <t>カイソウ</t>
    </rPh>
    <rPh sb="22" eb="24">
      <t>セイヒン</t>
    </rPh>
    <rPh sb="24" eb="26">
      <t>カイソウ</t>
    </rPh>
    <rPh sb="27" eb="29">
      <t>ショウヒン</t>
    </rPh>
    <rPh sb="32" eb="34">
      <t>カイソウ</t>
    </rPh>
    <rPh sb="35" eb="37">
      <t>ハセイ</t>
    </rPh>
    <rPh sb="37" eb="39">
      <t>ザイム</t>
    </rPh>
    <rPh sb="39" eb="41">
      <t>ブンセキ</t>
    </rPh>
    <rPh sb="41" eb="43">
      <t>カイソウ</t>
    </rPh>
    <rPh sb="44" eb="46">
      <t>ホジョ</t>
    </rPh>
    <rPh sb="46" eb="48">
      <t>コウリ</t>
    </rPh>
    <rPh sb="48" eb="50">
      <t>カイソウ</t>
    </rPh>
    <rPh sb="51" eb="53">
      <t>コウリ</t>
    </rPh>
    <rPh sb="53" eb="55">
      <t>シイレ</t>
    </rPh>
    <rPh sb="55" eb="56">
      <t>サキ</t>
    </rPh>
    <rPh sb="56" eb="58">
      <t>セイヒン</t>
    </rPh>
    <rPh sb="58" eb="60">
      <t>カイソウ</t>
    </rPh>
    <rPh sb="61" eb="63">
      <t>コウリ</t>
    </rPh>
    <rPh sb="74" eb="76">
      <t>カイソウ</t>
    </rPh>
    <rPh sb="124" eb="126">
      <t>ゲンカ</t>
    </rPh>
    <rPh sb="126" eb="128">
      <t>カンリ</t>
    </rPh>
    <rPh sb="128" eb="130">
      <t>カイソウ</t>
    </rPh>
    <phoneticPr fontId="14"/>
  </si>
  <si>
    <t>カテゴリ階層タイプ</t>
    <rPh sb="4" eb="6">
      <t>カイソウ</t>
    </rPh>
    <phoneticPr fontId="14"/>
  </si>
  <si>
    <t>カテゴリ階層ロールのアソシエーション</t>
    <phoneticPr fontId="14"/>
  </si>
  <si>
    <t>Product information management &gt; Setup &gt; Categories and attributes &gt; Category hierarchy role associations</t>
    <phoneticPr fontId="14"/>
  </si>
  <si>
    <t>製品情報管理＞設定 ＞ カテゴリと属性＞カテゴリ階層ロールのアソシエーション</t>
    <phoneticPr fontId="14"/>
  </si>
  <si>
    <t xml:space="preserve">カテゴリ階層ロールのアソシエーション </t>
  </si>
  <si>
    <t>リスト値</t>
    <rPh sb="3" eb="4">
      <t>アタイ</t>
    </rPh>
    <phoneticPr fontId="14"/>
  </si>
  <si>
    <t>カテゴリ階層ロールのアソシエーション</t>
  </si>
  <si>
    <t>カテゴリ階層ロールのアソシエーション -設定値</t>
  </si>
  <si>
    <t>システム管理＞セキュリティ＞ユーザーをロールに割り当てる</t>
  </si>
  <si>
    <t>System administration &gt; Security &gt; Assign users to roles</t>
  </si>
  <si>
    <t>ロールへのユーザーの動的割り当てルール</t>
    <phoneticPr fontId="14"/>
  </si>
  <si>
    <t>メンバーシップ ルール名</t>
    <phoneticPr fontId="14"/>
  </si>
  <si>
    <t>自動ロールメンバーシップルールの名前</t>
    <rPh sb="0" eb="2">
      <t>ジドウ</t>
    </rPh>
    <rPh sb="16" eb="18">
      <t>ナマエ</t>
    </rPh>
    <phoneticPr fontId="14"/>
  </si>
  <si>
    <t>メンバーシップ ルールの説明</t>
    <phoneticPr fontId="14"/>
  </si>
  <si>
    <t>自動ロールメンバーシップルールの説明</t>
    <rPh sb="0" eb="2">
      <t>ジドウ</t>
    </rPh>
    <rPh sb="16" eb="18">
      <t>セツメイ</t>
    </rPh>
    <phoneticPr fontId="14"/>
  </si>
  <si>
    <t>クエリプレビュー</t>
    <phoneticPr fontId="14"/>
  </si>
  <si>
    <t>ロール自動割り当てルールの基準として使用されるクエリを表示します。</t>
    <rPh sb="3" eb="5">
      <t>ジドウ</t>
    </rPh>
    <rPh sb="5" eb="6">
      <t>ワ</t>
    </rPh>
    <rPh sb="7" eb="8">
      <t>ア</t>
    </rPh>
    <rPh sb="13" eb="15">
      <t>キジュン</t>
    </rPh>
    <rPh sb="18" eb="20">
      <t>シヨウ</t>
    </rPh>
    <rPh sb="27" eb="29">
      <t>ヒョウジ</t>
    </rPh>
    <phoneticPr fontId="14"/>
  </si>
  <si>
    <t>ロールに割り当てられたユーザー</t>
    <rPh sb="4" eb="5">
      <t>ワ</t>
    </rPh>
    <rPh sb="6" eb="7">
      <t>ア</t>
    </rPh>
    <phoneticPr fontId="14"/>
  </si>
  <si>
    <t>ユーザー名</t>
    <rPh sb="4" eb="5">
      <t>メイ</t>
    </rPh>
    <phoneticPr fontId="14"/>
  </si>
  <si>
    <t>エイリアス</t>
    <phoneticPr fontId="14"/>
  </si>
  <si>
    <t>割り当てモード</t>
    <rPh sb="0" eb="1">
      <t>ワ</t>
    </rPh>
    <rPh sb="2" eb="3">
      <t>ア</t>
    </rPh>
    <phoneticPr fontId="14"/>
  </si>
  <si>
    <t>ユーザーID</t>
  </si>
  <si>
    <t>ユーザーID</t>
    <phoneticPr fontId="14"/>
  </si>
  <si>
    <t>「ロールへのユーザーの動的割り当てのルール-設定値」を参照</t>
    <rPh sb="27" eb="29">
      <t>サンショウ</t>
    </rPh>
    <phoneticPr fontId="14"/>
  </si>
  <si>
    <t>メンバーシップ ルール名</t>
    <rPh sb="11" eb="12">
      <t>メイ</t>
    </rPh>
    <phoneticPr fontId="14"/>
  </si>
  <si>
    <t>メンバーシップ ルールの説明</t>
    <rPh sb="12" eb="14">
      <t>セツメイ</t>
    </rPh>
    <phoneticPr fontId="14"/>
  </si>
  <si>
    <t>ロール名</t>
    <rPh sb="3" eb="4">
      <t>メイ</t>
    </rPh>
    <phoneticPr fontId="14"/>
  </si>
  <si>
    <t>ユーザー側の設定に準ずる</t>
    <rPh sb="4" eb="5">
      <t>ガワ</t>
    </rPh>
    <rPh sb="6" eb="8">
      <t>セッテイ</t>
    </rPh>
    <rPh sb="9" eb="10">
      <t>ジュン</t>
    </rPh>
    <phoneticPr fontId="14"/>
  </si>
  <si>
    <t>ユーザーIDへの作業者の割当</t>
    <phoneticPr fontId="14"/>
  </si>
  <si>
    <t>「ユーザーIDへの作業者の割当-設定値」を参照</t>
    <rPh sb="21" eb="23">
      <t>サンショウ</t>
    </rPh>
    <phoneticPr fontId="14"/>
  </si>
  <si>
    <t>ユーザーの詳細</t>
    <rPh sb="5" eb="7">
      <t>ショウサイ</t>
    </rPh>
    <phoneticPr fontId="14"/>
  </si>
  <si>
    <t>ユーザーのロール</t>
    <phoneticPr fontId="14"/>
  </si>
  <si>
    <t>プロバイダー</t>
  </si>
  <si>
    <t>プロバイダー</t>
    <phoneticPr fontId="14"/>
  </si>
  <si>
    <t>選択可能な会社ID（ログイン時のデフォルトの会社ID）</t>
    <rPh sb="0" eb="2">
      <t>センタク</t>
    </rPh>
    <rPh sb="2" eb="4">
      <t>カノウ</t>
    </rPh>
    <rPh sb="5" eb="7">
      <t>カイシャ</t>
    </rPh>
    <rPh sb="14" eb="15">
      <t>ジ</t>
    </rPh>
    <rPh sb="22" eb="24">
      <t>カイシャ</t>
    </rPh>
    <phoneticPr fontId="14"/>
  </si>
  <si>
    <t>テレメトリID</t>
  </si>
  <si>
    <t>テレメトリID</t>
    <phoneticPr fontId="14"/>
  </si>
  <si>
    <t>従業員（作業者）の割り当て</t>
    <rPh sb="0" eb="3">
      <t>ジュウギョウイン</t>
    </rPh>
    <rPh sb="4" eb="7">
      <t>サギョウシャ</t>
    </rPh>
    <rPh sb="9" eb="10">
      <t>ワ</t>
    </rPh>
    <rPh sb="11" eb="12">
      <t>ア</t>
    </rPh>
    <phoneticPr fontId="14"/>
  </si>
  <si>
    <t>FOユーザーとしての有効/無効</t>
    <rPh sb="10" eb="12">
      <t>ユウコウ</t>
    </rPh>
    <rPh sb="13" eb="15">
      <t>ムコウ</t>
    </rPh>
    <phoneticPr fontId="14"/>
  </si>
  <si>
    <t>ユーザーの電子メールアドレス</t>
    <rPh sb="5" eb="7">
      <t>デンシ</t>
    </rPh>
    <phoneticPr fontId="14"/>
  </si>
  <si>
    <t>AADとの連携が必要</t>
    <rPh sb="5" eb="7">
      <t>レンケイ</t>
    </rPh>
    <rPh sb="8" eb="10">
      <t>ヒツヨウ</t>
    </rPh>
    <phoneticPr fontId="14"/>
  </si>
  <si>
    <t>ユーザーに対しての割り当てロール</t>
    <rPh sb="5" eb="6">
      <t>タイ</t>
    </rPh>
    <rPh sb="9" eb="10">
      <t>ワ</t>
    </rPh>
    <rPh sb="11" eb="12">
      <t>ア</t>
    </rPh>
    <phoneticPr fontId="14"/>
  </si>
  <si>
    <t>従業員（作業者）マスタから選択</t>
    <rPh sb="13" eb="15">
      <t>センタク</t>
    </rPh>
    <phoneticPr fontId="14"/>
  </si>
  <si>
    <t>ログイン時のデフォルトの会社IDを選択</t>
    <rPh sb="17" eb="19">
      <t>センタク</t>
    </rPh>
    <phoneticPr fontId="14"/>
  </si>
  <si>
    <t>必要ロールを複数設定</t>
    <rPh sb="0" eb="2">
      <t>ヒツヨウ</t>
    </rPh>
    <rPh sb="6" eb="8">
      <t>フクスウ</t>
    </rPh>
    <rPh sb="8" eb="10">
      <t>セッテイ</t>
    </rPh>
    <phoneticPr fontId="14"/>
  </si>
  <si>
    <t>通路</t>
    <phoneticPr fontId="14"/>
  </si>
  <si>
    <t>在庫管理＞設定＞在庫詳細＞通路</t>
  </si>
  <si>
    <t>Inventory management &gt; Setup &gt; Inventory breakdown &gt; Inventory aisles</t>
    <phoneticPr fontId="14"/>
  </si>
  <si>
    <t>開始値</t>
    <rPh sb="0" eb="2">
      <t>カイシ</t>
    </rPh>
    <rPh sb="2" eb="3">
      <t>チ</t>
    </rPh>
    <phoneticPr fontId="14"/>
  </si>
  <si>
    <t>通路番号</t>
    <rPh sb="0" eb="2">
      <t>ツウロ</t>
    </rPh>
    <rPh sb="2" eb="4">
      <t>バンゴウ</t>
    </rPh>
    <phoneticPr fontId="14"/>
  </si>
  <si>
    <t>通路を含む倉庫の識別子。この情報を通路の名前と組み合わせて、通路を識別します。</t>
    <rPh sb="0" eb="2">
      <t>ツウロ</t>
    </rPh>
    <rPh sb="3" eb="4">
      <t>フク</t>
    </rPh>
    <rPh sb="5" eb="7">
      <t>ソウコ</t>
    </rPh>
    <rPh sb="8" eb="11">
      <t>シキベツシ</t>
    </rPh>
    <rPh sb="14" eb="16">
      <t>ジョウホウ</t>
    </rPh>
    <rPh sb="17" eb="19">
      <t>ツウロ</t>
    </rPh>
    <rPh sb="20" eb="22">
      <t>ナマエ</t>
    </rPh>
    <rPh sb="23" eb="24">
      <t>ク</t>
    </rPh>
    <rPh sb="25" eb="26">
      <t>ア</t>
    </rPh>
    <rPh sb="30" eb="32">
      <t>ツウロ</t>
    </rPh>
    <rPh sb="33" eb="35">
      <t>シキベツ</t>
    </rPh>
    <phoneticPr fontId="14"/>
  </si>
  <si>
    <t>通路の名前。この情報を倉庫のIDと組み合わせて、通路を識別します。</t>
    <rPh sb="0" eb="2">
      <t>ツウロ</t>
    </rPh>
    <rPh sb="3" eb="5">
      <t>ナマエ</t>
    </rPh>
    <rPh sb="8" eb="10">
      <t>ジョウホウ</t>
    </rPh>
    <rPh sb="11" eb="13">
      <t>ソウコ</t>
    </rPh>
    <rPh sb="17" eb="18">
      <t>ク</t>
    </rPh>
    <rPh sb="19" eb="20">
      <t>ア</t>
    </rPh>
    <rPh sb="24" eb="26">
      <t>ツウロ</t>
    </rPh>
    <rPh sb="27" eb="29">
      <t>シキベツ</t>
    </rPh>
    <phoneticPr fontId="14"/>
  </si>
  <si>
    <t>このオプションを選択すると、通路内の場所がピッキングルートのために棚番号の降順で並べ替えられます。</t>
    <rPh sb="8" eb="10">
      <t>センタク</t>
    </rPh>
    <rPh sb="14" eb="16">
      <t>ツウロ</t>
    </rPh>
    <rPh sb="16" eb="17">
      <t>ナイ</t>
    </rPh>
    <rPh sb="18" eb="20">
      <t>バショ</t>
    </rPh>
    <rPh sb="33" eb="34">
      <t>タナ</t>
    </rPh>
    <rPh sb="34" eb="36">
      <t>バンゴウ</t>
    </rPh>
    <rPh sb="37" eb="39">
      <t>コウジュン</t>
    </rPh>
    <rPh sb="40" eb="41">
      <t>ナラ</t>
    </rPh>
    <rPh sb="42" eb="43">
      <t>カ</t>
    </rPh>
    <phoneticPr fontId="14"/>
  </si>
  <si>
    <t>場所の並べ替えコードが更新された場合に、通路の並べ替えに使用される数値フィールド。</t>
    <rPh sb="0" eb="2">
      <t>バショ</t>
    </rPh>
    <rPh sb="3" eb="4">
      <t>ナラ</t>
    </rPh>
    <rPh sb="5" eb="6">
      <t>カ</t>
    </rPh>
    <rPh sb="11" eb="13">
      <t>コウシン</t>
    </rPh>
    <rPh sb="16" eb="18">
      <t>バアイ</t>
    </rPh>
    <rPh sb="20" eb="22">
      <t>ツウロ</t>
    </rPh>
    <rPh sb="23" eb="24">
      <t>ナラ</t>
    </rPh>
    <rPh sb="25" eb="26">
      <t>カ</t>
    </rPh>
    <rPh sb="28" eb="30">
      <t>シヨウ</t>
    </rPh>
    <rPh sb="33" eb="35">
      <t>スウチ</t>
    </rPh>
    <phoneticPr fontId="14"/>
  </si>
  <si>
    <t>0</t>
    <phoneticPr fontId="14"/>
  </si>
  <si>
    <t>チェック無し</t>
    <rPh sb="4" eb="5">
      <t>ナシ</t>
    </rPh>
    <phoneticPr fontId="14"/>
  </si>
  <si>
    <t>チェック/チェック無し</t>
    <rPh sb="9" eb="10">
      <t>ナシ</t>
    </rPh>
    <phoneticPr fontId="14"/>
  </si>
  <si>
    <t>「通路-設定値」を参照</t>
    <rPh sb="1" eb="3">
      <t>ツウロ</t>
    </rPh>
    <phoneticPr fontId="14"/>
  </si>
  <si>
    <t>「倉庫-設定値」を参照</t>
    <rPh sb="1" eb="3">
      <t>ソウコ</t>
    </rPh>
    <phoneticPr fontId="14"/>
  </si>
  <si>
    <t>開始値</t>
    <phoneticPr fontId="14"/>
  </si>
  <si>
    <t>降順</t>
    <phoneticPr fontId="14"/>
  </si>
  <si>
    <t>通路番号</t>
    <phoneticPr fontId="14"/>
  </si>
  <si>
    <t>チェック/チェック無し</t>
    <phoneticPr fontId="14"/>
  </si>
  <si>
    <t>在庫場所</t>
    <phoneticPr fontId="14"/>
  </si>
  <si>
    <t>在庫管理＞設定＞在庫詳細＞在庫場所</t>
  </si>
  <si>
    <t>Inventory management &gt; Setup &gt; Inventory breakdown &gt; Inventory locations</t>
    <phoneticPr fontId="14"/>
  </si>
  <si>
    <t>場所のタイプ</t>
    <rPh sb="0" eb="2">
      <t>バショ</t>
    </rPh>
    <phoneticPr fontId="14"/>
  </si>
  <si>
    <t>負荷</t>
    <rPh sb="0" eb="2">
      <t>フカ</t>
    </rPh>
    <phoneticPr fontId="14"/>
  </si>
  <si>
    <t>ツリー構造</t>
    <rPh sb="3" eb="5">
      <t>コウゾウ</t>
    </rPh>
    <phoneticPr fontId="14"/>
  </si>
  <si>
    <t>棚</t>
    <rPh sb="0" eb="1">
      <t>タナ</t>
    </rPh>
    <phoneticPr fontId="14"/>
  </si>
  <si>
    <t>在庫置場</t>
    <rPh sb="0" eb="2">
      <t>ザイコ</t>
    </rPh>
    <rPh sb="2" eb="3">
      <t>オ</t>
    </rPh>
    <rPh sb="3" eb="4">
      <t>バ</t>
    </rPh>
    <phoneticPr fontId="14"/>
  </si>
  <si>
    <t>手動更新</t>
    <rPh sb="0" eb="2">
      <t>シュドウ</t>
    </rPh>
    <rPh sb="2" eb="4">
      <t>コウシン</t>
    </rPh>
    <phoneticPr fontId="14"/>
  </si>
  <si>
    <t>物理的寸法</t>
    <rPh sb="0" eb="2">
      <t>ブツリ</t>
    </rPh>
    <rPh sb="2" eb="3">
      <t>テキ</t>
    </rPh>
    <rPh sb="3" eb="5">
      <t>スンポウ</t>
    </rPh>
    <phoneticPr fontId="14"/>
  </si>
  <si>
    <t>高さ</t>
    <rPh sb="0" eb="1">
      <t>タカ</t>
    </rPh>
    <phoneticPr fontId="14"/>
  </si>
  <si>
    <t>幅</t>
    <rPh sb="0" eb="1">
      <t>ハバ</t>
    </rPh>
    <phoneticPr fontId="14"/>
  </si>
  <si>
    <t>容量</t>
    <rPh sb="0" eb="2">
      <t>ヨウリョウ</t>
    </rPh>
    <phoneticPr fontId="14"/>
  </si>
  <si>
    <t>絶対高度</t>
    <rPh sb="0" eb="2">
      <t>ゼッタイ</t>
    </rPh>
    <rPh sb="2" eb="4">
      <t>コウド</t>
    </rPh>
    <phoneticPr fontId="14"/>
  </si>
  <si>
    <t>現在の量</t>
    <rPh sb="0" eb="2">
      <t>ゲンザイ</t>
    </rPh>
    <rPh sb="3" eb="4">
      <t>リョウ</t>
    </rPh>
    <phoneticPr fontId="14"/>
  </si>
  <si>
    <t>可能な量</t>
    <rPh sb="0" eb="2">
      <t>カノウ</t>
    </rPh>
    <rPh sb="3" eb="4">
      <t>リョウ</t>
    </rPh>
    <phoneticPr fontId="14"/>
  </si>
  <si>
    <t>最大量</t>
    <rPh sb="0" eb="2">
      <t>サイダイ</t>
    </rPh>
    <rPh sb="2" eb="3">
      <t>リョウ</t>
    </rPh>
    <phoneticPr fontId="14"/>
  </si>
  <si>
    <t>現在の重量</t>
    <rPh sb="0" eb="2">
      <t>ゲンザイ</t>
    </rPh>
    <rPh sb="3" eb="5">
      <t>ジュウリョウ</t>
    </rPh>
    <phoneticPr fontId="14"/>
  </si>
  <si>
    <t>可能な重量</t>
    <rPh sb="0" eb="2">
      <t>カノウ</t>
    </rPh>
    <rPh sb="3" eb="5">
      <t>ジュウリョウ</t>
    </rPh>
    <phoneticPr fontId="14"/>
  </si>
  <si>
    <t>最大重量</t>
    <rPh sb="0" eb="2">
      <t>サイダイ</t>
    </rPh>
    <rPh sb="2" eb="4">
      <t>ジュウリョウ</t>
    </rPh>
    <phoneticPr fontId="14"/>
  </si>
  <si>
    <t>チェック ディジット</t>
  </si>
  <si>
    <t>チェック ディジット</t>
    <phoneticPr fontId="14"/>
  </si>
  <si>
    <t>行先の場所</t>
    <rPh sb="0" eb="2">
      <t>イキサキ</t>
    </rPh>
    <rPh sb="3" eb="5">
      <t>バショ</t>
    </rPh>
    <phoneticPr fontId="14"/>
  </si>
  <si>
    <t>ブロック</t>
    <phoneticPr fontId="14"/>
  </si>
  <si>
    <t>ブロックされている入荷</t>
    <rPh sb="9" eb="11">
      <t>ニュウカ</t>
    </rPh>
    <phoneticPr fontId="14"/>
  </si>
  <si>
    <t>ブロックされている出荷</t>
    <rPh sb="9" eb="11">
      <t>シュッカ</t>
    </rPh>
    <phoneticPr fontId="14"/>
  </si>
  <si>
    <t>並べ替え</t>
    <rPh sb="0" eb="1">
      <t>ナラ</t>
    </rPh>
    <rPh sb="2" eb="3">
      <t>カ</t>
    </rPh>
    <phoneticPr fontId="14"/>
  </si>
  <si>
    <t>並び替えコード</t>
    <rPh sb="0" eb="1">
      <t>ナラ</t>
    </rPh>
    <rPh sb="2" eb="3">
      <t>カ</t>
    </rPh>
    <phoneticPr fontId="14"/>
  </si>
  <si>
    <t>保管場所がある倉庫。保管場所の名前と組み合わせて、倉庫は保管場所の参照として使用されます。</t>
    <phoneticPr fontId="14"/>
  </si>
  <si>
    <t>場所の名前。倉庫と組み合わせて、保管場所の名前は保管場所の参照として使用されます。通常、場所の名前は、保管場所のコーディネーター (通路、ラック、棚、および在庫置場) に基づいて自動的に生成されます。これらの座標は、このページの設定に基づきます。名前を手動で入力するには、最初に [一般] タブの [手動更新] オプションを選択する必要があります。</t>
    <phoneticPr fontId="14"/>
  </si>
  <si>
    <t>場所の用途を識別する、場所タイプ。次のタイプが使用できます。[入庫ドック] 品目が入庫および登録される保管場所を識別します。[出荷ドック] 品目が出荷前に収集される保管場所を識別します。[バルク場所] 品目が出荷ドックに移動されるかピッキング場所への補充に使用されるまで格納される保管場所を識別します。[ピッキング場所] 品目の固定のピッキング場所がある保管場所を識別します。この場所タイプは、出荷数量がパレット全体より少ない場合に使用されます。[検査場所] 品質管理を経なければならない品目の保管場所を識別します。[生産入庫の場所] 品質管理を経なければならない品目の保管場所を識別します。[生産入庫の場所] コンポーネントまたは製品の製造に使用される原材料の保管場所を識別します。</t>
    <phoneticPr fontId="14"/>
  </si>
  <si>
    <t>「在庫場所-設定値」を参照</t>
    <rPh sb="1" eb="3">
      <t>ザイコ</t>
    </rPh>
    <rPh sb="3" eb="5">
      <t>バショ</t>
    </rPh>
    <phoneticPr fontId="14"/>
  </si>
  <si>
    <t>場所の通路座標。倉庫に対して作成された通路を選択します。</t>
    <rPh sb="0" eb="2">
      <t>バショ</t>
    </rPh>
    <rPh sb="3" eb="5">
      <t>ツウロ</t>
    </rPh>
    <rPh sb="5" eb="7">
      <t>ザヒョウ</t>
    </rPh>
    <rPh sb="8" eb="10">
      <t>ソウコ</t>
    </rPh>
    <rPh sb="11" eb="12">
      <t>タイ</t>
    </rPh>
    <rPh sb="14" eb="16">
      <t>サクセイ</t>
    </rPh>
    <rPh sb="19" eb="21">
      <t>ツウロ</t>
    </rPh>
    <rPh sb="22" eb="24">
      <t>センタク</t>
    </rPh>
    <phoneticPr fontId="14"/>
  </si>
  <si>
    <t>場所の名前を手動で指定する場合は、このオプションを選択します。このオプションをオフにすると、場所の名前は割り当てられたコーディネーターに基づいて自動的に生成されます。コーディネーターは通路、ラック、棚、および在庫置場です。倉庫と保管場所の名前の両方により、保管場所を一意に識別できます。</t>
    <phoneticPr fontId="14"/>
  </si>
  <si>
    <t>場所の高さ。パレットで使用可能な高さを指定します。棚の間の指示構造物は含めません。</t>
    <rPh sb="0" eb="2">
      <t>バショ</t>
    </rPh>
    <rPh sb="3" eb="4">
      <t>タカ</t>
    </rPh>
    <rPh sb="11" eb="13">
      <t>シヨウ</t>
    </rPh>
    <rPh sb="13" eb="15">
      <t>カノウ</t>
    </rPh>
    <rPh sb="16" eb="17">
      <t>タカ</t>
    </rPh>
    <rPh sb="19" eb="21">
      <t>シテイ</t>
    </rPh>
    <rPh sb="25" eb="26">
      <t>タナ</t>
    </rPh>
    <rPh sb="27" eb="28">
      <t>アイダ</t>
    </rPh>
    <rPh sb="29" eb="33">
      <t>シジコウゾウ</t>
    </rPh>
    <rPh sb="33" eb="34">
      <t>ブツ</t>
    </rPh>
    <rPh sb="35" eb="36">
      <t>フク</t>
    </rPh>
    <phoneticPr fontId="14"/>
  </si>
  <si>
    <t>場所の容量。高さ、重量、および奥行きを使用して計算されます。</t>
    <rPh sb="0" eb="2">
      <t>バショ</t>
    </rPh>
    <rPh sb="3" eb="5">
      <t>ヨウリョウ</t>
    </rPh>
    <rPh sb="6" eb="7">
      <t>タカ</t>
    </rPh>
    <rPh sb="9" eb="11">
      <t>ジュウリョウ</t>
    </rPh>
    <rPh sb="15" eb="17">
      <t>オクユ</t>
    </rPh>
    <rPh sb="19" eb="21">
      <t>シヨウ</t>
    </rPh>
    <rPh sb="23" eb="25">
      <t>ケイサン</t>
    </rPh>
    <phoneticPr fontId="14"/>
  </si>
  <si>
    <t>保管場所の地表面からの高さを入力します。この高さとフォークリフトの最大高さに基づいて、フォークリフトで扱える配送のみを確実に選択できます。</t>
    <phoneticPr fontId="14"/>
  </si>
  <si>
    <t>保管する品目の配送先。これは通常、実際の保管場所です。ただし、たとえばドライブスルー ラックに対しては品目をラックの背部で配送する必要があります。フォークリフト操縦者は、品目が受け渡されるときではなく、場所がラックの背部に指定されたときに背部に誘導されます。</t>
    <phoneticPr fontId="14"/>
  </si>
  <si>
    <t>システムが品目の保管場所を検索するときにこの保管場所が選択されないようにするには、ブロックの原因を選択します。詳細については、「ブロックの原因 (フォーム)」を参照してください。</t>
    <phoneticPr fontId="14"/>
  </si>
  <si>
    <t>システムが出荷を予約するときにこの保管場所が選択されないようにするには、ブロックの原因を選択します。</t>
    <phoneticPr fontId="14"/>
  </si>
  <si>
    <t>ピッキング ラインを並べ替えるときに使用される並べ替えコード。このコードは在庫内の最適なピッキング ルートを示します。</t>
    <phoneticPr fontId="14"/>
  </si>
  <si>
    <t>表示の形式</t>
    <rPh sb="0" eb="2">
      <t>ヒョウジ</t>
    </rPh>
    <rPh sb="3" eb="5">
      <t>ケイシキ</t>
    </rPh>
    <phoneticPr fontId="14"/>
  </si>
  <si>
    <t>（システム自動入力）</t>
    <phoneticPr fontId="14"/>
  </si>
  <si>
    <t>（システム自動入力）
※通路を選択したら自動で反映</t>
    <rPh sb="12" eb="14">
      <t>ツウロ</t>
    </rPh>
    <rPh sb="15" eb="17">
      <t>センタク</t>
    </rPh>
    <rPh sb="20" eb="22">
      <t>ジドウ</t>
    </rPh>
    <rPh sb="23" eb="25">
      <t>ハンエイ</t>
    </rPh>
    <phoneticPr fontId="14"/>
  </si>
  <si>
    <t>通路（ユーザー定義）</t>
    <rPh sb="0" eb="2">
      <t>ツウロ</t>
    </rPh>
    <phoneticPr fontId="14"/>
  </si>
  <si>
    <t>バルク場所
ピッキング場所
入庫ドック
出荷ドック
生産入庫の場所
検査場所
かんばんスーパーマーケット</t>
    <rPh sb="3" eb="5">
      <t>バショ</t>
    </rPh>
    <rPh sb="11" eb="13">
      <t>バショ</t>
    </rPh>
    <rPh sb="14" eb="16">
      <t>ニュウコ</t>
    </rPh>
    <rPh sb="20" eb="22">
      <t>シュッカ</t>
    </rPh>
    <rPh sb="26" eb="28">
      <t>セイサン</t>
    </rPh>
    <rPh sb="28" eb="30">
      <t>ニュウコ</t>
    </rPh>
    <rPh sb="29" eb="30">
      <t>サンニュウ</t>
    </rPh>
    <rPh sb="31" eb="33">
      <t>バショ</t>
    </rPh>
    <rPh sb="34" eb="36">
      <t>ケンサ</t>
    </rPh>
    <rPh sb="36" eb="38">
      <t>バショ</t>
    </rPh>
    <phoneticPr fontId="14"/>
  </si>
  <si>
    <t>奥行き</t>
    <rPh sb="0" eb="2">
      <t>オクユキ</t>
    </rPh>
    <phoneticPr fontId="14"/>
  </si>
  <si>
    <t>ブロックの原因（ユーザー定義）</t>
    <rPh sb="5" eb="7">
      <t>ゲンイン</t>
    </rPh>
    <phoneticPr fontId="14"/>
  </si>
  <si>
    <t>倉庫</t>
    <phoneticPr fontId="14"/>
  </si>
  <si>
    <t>場所</t>
    <phoneticPr fontId="14"/>
  </si>
  <si>
    <t>場所のタイプ</t>
    <phoneticPr fontId="14"/>
  </si>
  <si>
    <t>バルク場所
ピッキング場所
入庫ドック
出荷ドック
生産入庫の場所
検査場所
かんばんスーパーマーケット</t>
    <phoneticPr fontId="14"/>
  </si>
  <si>
    <t>物理的寸法</t>
    <phoneticPr fontId="14"/>
  </si>
  <si>
    <t>ブロックされている入荷</t>
    <phoneticPr fontId="14"/>
  </si>
  <si>
    <t>ブロックされている出荷</t>
    <phoneticPr fontId="14"/>
  </si>
  <si>
    <t>手動更新</t>
    <phoneticPr fontId="14"/>
  </si>
  <si>
    <t>並び替えコード</t>
    <phoneticPr fontId="14"/>
  </si>
  <si>
    <t>場所（ユーザー定義）</t>
    <phoneticPr fontId="14"/>
  </si>
  <si>
    <t>ブロックの原因（ユーザー定義）</t>
    <phoneticPr fontId="14"/>
  </si>
  <si>
    <t>（システム自動入力）
※自動反映</t>
    <rPh sb="12" eb="14">
      <t>ジドウ</t>
    </rPh>
    <rPh sb="14" eb="16">
      <t>ハンエイ</t>
    </rPh>
    <phoneticPr fontId="14"/>
  </si>
  <si>
    <t>配送日数</t>
    <phoneticPr fontId="14"/>
  </si>
  <si>
    <t>在庫管理＞設定＞配分＞配送日数</t>
  </si>
  <si>
    <t>Inventory management &gt; Setup &gt; Distribution &gt; Transport days</t>
  </si>
  <si>
    <t>「配送日数-設定値」を参照</t>
    <rPh sb="1" eb="3">
      <t>ハイソウ</t>
    </rPh>
    <rPh sb="3" eb="5">
      <t>ニッスウ</t>
    </rPh>
    <phoneticPr fontId="14"/>
  </si>
  <si>
    <t>配送</t>
    <rPh sb="0" eb="2">
      <t>ハイソウ</t>
    </rPh>
    <phoneticPr fontId="14"/>
  </si>
  <si>
    <t>配送日数</t>
    <rPh sb="0" eb="2">
      <t>ハイソウ</t>
    </rPh>
    <rPh sb="2" eb="4">
      <t>ニッスウ</t>
    </rPh>
    <phoneticPr fontId="14"/>
  </si>
  <si>
    <t>入荷場所</t>
    <rPh sb="0" eb="2">
      <t>ニュウカ</t>
    </rPh>
    <rPh sb="2" eb="4">
      <t>バショ</t>
    </rPh>
    <phoneticPr fontId="14"/>
  </si>
  <si>
    <t>入荷倉庫</t>
    <rPh sb="0" eb="2">
      <t>ニュウカ</t>
    </rPh>
    <rPh sb="2" eb="4">
      <t>ソウコ</t>
    </rPh>
    <phoneticPr fontId="14"/>
  </si>
  <si>
    <t>この配送の出荷場所として使用される倉庫を選択します。倉庫の作成または編集は、倉庫ページで行います。</t>
    <rPh sb="2" eb="4">
      <t>ハイソウ</t>
    </rPh>
    <rPh sb="5" eb="7">
      <t>シュッカ</t>
    </rPh>
    <rPh sb="7" eb="9">
      <t>バショ</t>
    </rPh>
    <rPh sb="12" eb="14">
      <t>シヨウ</t>
    </rPh>
    <rPh sb="17" eb="19">
      <t>ソウコ</t>
    </rPh>
    <rPh sb="20" eb="22">
      <t>センタク</t>
    </rPh>
    <rPh sb="26" eb="28">
      <t>ソウコ</t>
    </rPh>
    <rPh sb="29" eb="31">
      <t>サクセイ</t>
    </rPh>
    <rPh sb="34" eb="36">
      <t>ヘンシュウ</t>
    </rPh>
    <rPh sb="38" eb="40">
      <t>ソウコ</t>
    </rPh>
    <rPh sb="44" eb="45">
      <t>オコナ</t>
    </rPh>
    <phoneticPr fontId="14"/>
  </si>
  <si>
    <t>この配送に対する入荷場所の倉庫の ID を選択します ([タイプ] リストで [倉庫] を選択した場合のみ関係します)。倉庫の作成または編集は、倉庫ページで行います。</t>
    <phoneticPr fontId="14"/>
  </si>
  <si>
    <t>この配送に対する入荷場所の国 / 地域を選択します。これは、タイプ リストで住所を選択した場合に関係します。郵便番号が選択され、国/地域を特定できる場合は、対応する国/地域が自動的に選択されます。</t>
    <phoneticPr fontId="14"/>
  </si>
  <si>
    <t>この配送に対する入荷場所の都道府県を選択します ([タイプ] リストで [住所] を選択した場合のみ関係します)。郵便番号が選択され、都道府県を特定できる場合は、対応する都道府県が自動的に選択されます。</t>
    <phoneticPr fontId="14"/>
  </si>
  <si>
    <t>この配送に対する入荷場所の地域 (米国の場合は市区郡) を選択します ([タイプ] リストで [住所] を選択した場合のみ関係します)。郵便番号が選択され、市区郡を特定できる場合は、対応する市区郡が自動的に選択されます。</t>
    <phoneticPr fontId="14"/>
  </si>
  <si>
    <t>この配送に対する入荷場所の市町村を入力します ([タイプ] リストで [住所] を選択した場合のみ関係します)。郵便番号が選択され、市町村を特定できる場合は、対応する市町村が自動的に選択されます。</t>
    <phoneticPr fontId="14"/>
  </si>
  <si>
    <t>この配送に対する入荷場所の郵便番号を選択します ([タイプ] リストで [住所] を選択した場合のみ関係します)。郵便番号を選択すると、自動的に国 / 地域、都道府県、および国または地域フィールドが設定されます。</t>
    <phoneticPr fontId="14"/>
  </si>
  <si>
    <t>荷渡方法ごとの配送日数</t>
    <rPh sb="0" eb="2">
      <t>ニワタ</t>
    </rPh>
    <rPh sb="2" eb="4">
      <t>ホウホウ</t>
    </rPh>
    <rPh sb="7" eb="9">
      <t>ハイソウ</t>
    </rPh>
    <rPh sb="9" eb="11">
      <t>ニッスウ</t>
    </rPh>
    <phoneticPr fontId="14"/>
  </si>
  <si>
    <t>配送方法を選択します。配送方法は、荷渡方法のページで作成または変更できます。</t>
    <phoneticPr fontId="14"/>
  </si>
  <si>
    <t>荷渡方法の説明。この説明は、荷渡方法のページで作成または変更できます。</t>
    <phoneticPr fontId="14"/>
  </si>
  <si>
    <t>チェック無</t>
    <rPh sb="3" eb="4">
      <t>ナシ</t>
    </rPh>
    <phoneticPr fontId="14"/>
  </si>
  <si>
    <t>チェック/チェック無</t>
    <rPh sb="9" eb="10">
      <t>ナシ</t>
    </rPh>
    <phoneticPr fontId="14"/>
  </si>
  <si>
    <t>荷渡方法マスタの「説明」が自動反映</t>
  </si>
  <si>
    <t>荷渡方法マスタの「説明」が自動反映</t>
    <phoneticPr fontId="14"/>
  </si>
  <si>
    <t>郵便番号（ユーザー定義）</t>
    <rPh sb="0" eb="4">
      <t>ユウビンバンゴウ</t>
    </rPh>
    <phoneticPr fontId="14"/>
  </si>
  <si>
    <t>国/地域（選択）</t>
    <rPh sb="5" eb="7">
      <t>センタク</t>
    </rPh>
    <phoneticPr fontId="14"/>
  </si>
  <si>
    <t>市区群（ユーザー定義）</t>
    <rPh sb="0" eb="2">
      <t>シク</t>
    </rPh>
    <rPh sb="2" eb="3">
      <t>グン</t>
    </rPh>
    <phoneticPr fontId="14"/>
  </si>
  <si>
    <t>出荷倉庫</t>
    <rPh sb="0" eb="4">
      <t>シュッカソウコ</t>
    </rPh>
    <phoneticPr fontId="14"/>
  </si>
  <si>
    <t>荷渡方法ごとの配送日数</t>
    <phoneticPr fontId="14"/>
  </si>
  <si>
    <t>リリースされた製品</t>
    <phoneticPr fontId="14"/>
  </si>
  <si>
    <t>製品</t>
    <phoneticPr fontId="14"/>
  </si>
  <si>
    <t>製品情報管理＞製品＞すべての製品および製品マスター</t>
  </si>
  <si>
    <t>Product information management &gt; Products &gt; All products and product masters</t>
  </si>
  <si>
    <t>「製品-設定値」を参照</t>
    <rPh sb="1" eb="3">
      <t>セイヒン</t>
    </rPh>
    <phoneticPr fontId="14"/>
  </si>
  <si>
    <t>製品名</t>
    <rPh sb="0" eb="2">
      <t>セイヒン</t>
    </rPh>
    <rPh sb="2" eb="3">
      <t>メイ</t>
    </rPh>
    <phoneticPr fontId="14"/>
  </si>
  <si>
    <t>製品分析コードグループ</t>
    <rPh sb="0" eb="2">
      <t>セイヒン</t>
    </rPh>
    <rPh sb="2" eb="4">
      <t>ブンセキ</t>
    </rPh>
    <phoneticPr fontId="14"/>
  </si>
  <si>
    <t>保管分析コードグループ</t>
    <rPh sb="0" eb="4">
      <t>ホカンブンセキ</t>
    </rPh>
    <phoneticPr fontId="14"/>
  </si>
  <si>
    <t>追跡用分析コードグループ</t>
    <rPh sb="0" eb="2">
      <t>ツイセキ</t>
    </rPh>
    <rPh sb="2" eb="3">
      <t>ヨウ</t>
    </rPh>
    <rPh sb="3" eb="5">
      <t>ブンセキ</t>
    </rPh>
    <phoneticPr fontId="14"/>
  </si>
  <si>
    <t>スタイルグループ</t>
    <phoneticPr fontId="14"/>
  </si>
  <si>
    <t>サイズグループ</t>
    <phoneticPr fontId="14"/>
  </si>
  <si>
    <t>コンフィギュレーションテクノロジ</t>
  </si>
  <si>
    <t>コンフィギュレーションテクノロジ</t>
    <phoneticPr fontId="14"/>
  </si>
  <si>
    <t>同じコンフィギュレーションを許可</t>
  </si>
  <si>
    <t>同じコンフィギュレーションを許可</t>
    <phoneticPr fontId="14"/>
  </si>
  <si>
    <t>製品マスターでは、このオプションを選択して、既存の製品バリアントと同一の製品バリアントを作成することができます。このオプションは、製品マスターに対するコンフィギュレーション テクノロジが分析コードベースのコンフィギュレーションに設定されている場合にのみ使用できます。</t>
    <phoneticPr fontId="14"/>
  </si>
  <si>
    <t>バリアントの自動生成</t>
    <rPh sb="6" eb="8">
      <t>ジドウ</t>
    </rPh>
    <rPh sb="8" eb="10">
      <t>セイセイ</t>
    </rPh>
    <phoneticPr fontId="14"/>
  </si>
  <si>
    <t>測定単位換算の有効化</t>
    <rPh sb="0" eb="2">
      <t>ソクテイ</t>
    </rPh>
    <rPh sb="2" eb="4">
      <t>タンイ</t>
    </rPh>
    <rPh sb="4" eb="6">
      <t>カンザン</t>
    </rPh>
    <rPh sb="7" eb="10">
      <t>ユウコウカ</t>
    </rPh>
    <phoneticPr fontId="14"/>
  </si>
  <si>
    <t>番号の分類を使用</t>
    <rPh sb="0" eb="2">
      <t>バンゴウ</t>
    </rPh>
    <rPh sb="3" eb="5">
      <t>ブンルイ</t>
    </rPh>
    <rPh sb="6" eb="8">
      <t>シヨウ</t>
    </rPh>
    <phoneticPr fontId="14"/>
  </si>
  <si>
    <t>製品バリアント番号の分類</t>
    <rPh sb="0" eb="2">
      <t>セイヒン</t>
    </rPh>
    <rPh sb="7" eb="9">
      <t>バンゴウ</t>
    </rPh>
    <rPh sb="10" eb="12">
      <t>ブンルイ</t>
    </rPh>
    <phoneticPr fontId="14"/>
  </si>
  <si>
    <t>名前の分類を使用</t>
    <rPh sb="0" eb="2">
      <t>ナマエ</t>
    </rPh>
    <rPh sb="3" eb="5">
      <t>ブンルイ</t>
    </rPh>
    <rPh sb="6" eb="8">
      <t>シヨウ</t>
    </rPh>
    <phoneticPr fontId="14"/>
  </si>
  <si>
    <t>製品バリアント名の分類</t>
    <rPh sb="0" eb="2">
      <t>セイヒン</t>
    </rPh>
    <rPh sb="7" eb="8">
      <t>メイ</t>
    </rPh>
    <rPh sb="9" eb="11">
      <t>ブンルイ</t>
    </rPh>
    <phoneticPr fontId="14"/>
  </si>
  <si>
    <t>CW</t>
    <phoneticPr fontId="14"/>
  </si>
  <si>
    <t>CW製品</t>
    <rPh sb="2" eb="4">
      <t>セイヒン</t>
    </rPh>
    <phoneticPr fontId="14"/>
  </si>
  <si>
    <t>全国自動車輸送品種別規則 (NMFC: NATIONAL MOTOR FREIGHT CLASSIFICATION)</t>
    <phoneticPr fontId="14"/>
  </si>
  <si>
    <t>NMFC コード</t>
    <phoneticPr fontId="14"/>
  </si>
  <si>
    <t>追加のコード</t>
    <rPh sb="0" eb="2">
      <t>ツイカ</t>
    </rPh>
    <phoneticPr fontId="14"/>
  </si>
  <si>
    <t>STCC コード</t>
  </si>
  <si>
    <t>STCC コード</t>
    <phoneticPr fontId="14"/>
  </si>
  <si>
    <t>国際統一商品分類</t>
  </si>
  <si>
    <t>国際統一商品分類</t>
    <phoneticPr fontId="14"/>
  </si>
  <si>
    <t>生産の名前。製品名を指定しない場合、製品番号が製品名として適用されます。</t>
    <phoneticPr fontId="14"/>
  </si>
  <si>
    <t>製品検索に使用される短い名前。検索名を指定しない場合、製品番号が検索名として適用されます。</t>
    <rPh sb="2" eb="4">
      <t>ケンサク</t>
    </rPh>
    <rPh sb="5" eb="7">
      <t>シヨウ</t>
    </rPh>
    <rPh sb="10" eb="11">
      <t>ミジカ</t>
    </rPh>
    <rPh sb="12" eb="14">
      <t>ナマエ</t>
    </rPh>
    <rPh sb="15" eb="17">
      <t>ケンサク</t>
    </rPh>
    <rPh sb="17" eb="18">
      <t>メイ</t>
    </rPh>
    <rPh sb="19" eb="21">
      <t>シテイ</t>
    </rPh>
    <rPh sb="24" eb="26">
      <t>バアイ</t>
    </rPh>
    <rPh sb="27" eb="29">
      <t>セイヒン</t>
    </rPh>
    <rPh sb="29" eb="31">
      <t>バンゴウ</t>
    </rPh>
    <rPh sb="32" eb="35">
      <t>ケンサクメイ</t>
    </rPh>
    <rPh sb="38" eb="40">
      <t>テキヨウ</t>
    </rPh>
    <phoneticPr fontId="14"/>
  </si>
  <si>
    <t>製品の追加説明。製品の作成時に説明を作成および編集できます。製品をリリースすると、説明は変更できません。</t>
    <rPh sb="0" eb="2">
      <t>セイヒン</t>
    </rPh>
    <rPh sb="3" eb="5">
      <t>ツイカ</t>
    </rPh>
    <rPh sb="5" eb="7">
      <t>セツメイ</t>
    </rPh>
    <rPh sb="8" eb="10">
      <t>セイヒン</t>
    </rPh>
    <rPh sb="11" eb="13">
      <t>サクセイ</t>
    </rPh>
    <rPh sb="13" eb="14">
      <t>ジ</t>
    </rPh>
    <rPh sb="15" eb="17">
      <t>セツメイ</t>
    </rPh>
    <rPh sb="18" eb="20">
      <t>サクセイ</t>
    </rPh>
    <rPh sb="23" eb="25">
      <t>ヘンシュウ</t>
    </rPh>
    <rPh sb="30" eb="32">
      <t>セイヒン</t>
    </rPh>
    <rPh sb="41" eb="43">
      <t>セツメイ</t>
    </rPh>
    <rPh sb="44" eb="46">
      <t>ヘンコウ</t>
    </rPh>
    <phoneticPr fontId="14"/>
  </si>
  <si>
    <t>製品マスターに関連付けられた製品分析コード グループ。製品分析コード グループは、作成時に製品マスターに関連付けられ、変更することはできません。</t>
    <phoneticPr fontId="14"/>
  </si>
  <si>
    <t>製品マスターに製品分析コードを作成するときに新しい製品バリアントを生成するには、このオプションを選択します。このオプションは、製品マスターに対するコンフィギュレーション テクノロジが分析コードベースのコンフィギュレーションまたは事前に定義されたバリエーションに設定されている場合にのみ使用できます。</t>
    <phoneticPr fontId="14"/>
  </si>
  <si>
    <t>製品数量は Catch Weight 単位で測定されます。</t>
    <rPh sb="0" eb="2">
      <t>セイヒン</t>
    </rPh>
    <rPh sb="2" eb="4">
      <t>スウリョウ</t>
    </rPh>
    <rPh sb="19" eb="21">
      <t>タンイ</t>
    </rPh>
    <rPh sb="22" eb="24">
      <t>ソクテイ</t>
    </rPh>
    <phoneticPr fontId="14"/>
  </si>
  <si>
    <t>製品分析コードグループ（ユーザー定義）</t>
  </si>
  <si>
    <t>製品分析コードグループ（ユーザー定義）</t>
    <phoneticPr fontId="14"/>
  </si>
  <si>
    <t>保管分析コードグループ（ユーザー定義）</t>
  </si>
  <si>
    <t>保管分析コードグループ（ユーザー定義）</t>
    <phoneticPr fontId="14"/>
  </si>
  <si>
    <t>追跡用分析コードグループ（ユーザー定義）</t>
  </si>
  <si>
    <t>追跡用分析コードグループ（ユーザー定義）</t>
    <phoneticPr fontId="14"/>
  </si>
  <si>
    <t>色グループ</t>
    <rPh sb="0" eb="1">
      <t>イロ</t>
    </rPh>
    <phoneticPr fontId="14"/>
  </si>
  <si>
    <t>製品サービスタイプ</t>
    <rPh sb="0" eb="2">
      <t>セイヒン</t>
    </rPh>
    <phoneticPr fontId="14"/>
  </si>
  <si>
    <t>指定なし/保証</t>
    <rPh sb="0" eb="2">
      <t>シテイ</t>
    </rPh>
    <rPh sb="5" eb="7">
      <t>ホショウ</t>
    </rPh>
    <phoneticPr fontId="14"/>
  </si>
  <si>
    <t>指定なし</t>
    <rPh sb="0" eb="2">
      <t>シテイ</t>
    </rPh>
    <phoneticPr fontId="14"/>
  </si>
  <si>
    <t>製品タイプ：サービス、製品サブタイプ：製品
の場合に選択可能</t>
    <rPh sb="0" eb="2">
      <t>セイヒン</t>
    </rPh>
    <rPh sb="11" eb="13">
      <t>セイヒン</t>
    </rPh>
    <rPh sb="19" eb="21">
      <t>セイヒン</t>
    </rPh>
    <rPh sb="23" eb="25">
      <t>バアイ</t>
    </rPh>
    <rPh sb="26" eb="28">
      <t>センタク</t>
    </rPh>
    <rPh sb="28" eb="30">
      <t>カノウ</t>
    </rPh>
    <phoneticPr fontId="14"/>
  </si>
  <si>
    <t>小売カテゴリ</t>
    <rPh sb="0" eb="2">
      <t>コウリ</t>
    </rPh>
    <phoneticPr fontId="14"/>
  </si>
  <si>
    <t>製品キット</t>
    <rPh sb="0" eb="2">
      <t>セイヒン</t>
    </rPh>
    <phoneticPr fontId="14"/>
  </si>
  <si>
    <t>製品サブタイプ：製品マスターの場合に選択可能</t>
    <rPh sb="0" eb="2">
      <t>セイヒン</t>
    </rPh>
    <rPh sb="8" eb="10">
      <t>セイヒン</t>
    </rPh>
    <rPh sb="15" eb="17">
      <t>バアイ</t>
    </rPh>
    <rPh sb="18" eb="20">
      <t>センタク</t>
    </rPh>
    <rPh sb="20" eb="22">
      <t>カノウ</t>
    </rPh>
    <phoneticPr fontId="14"/>
  </si>
  <si>
    <t>事前に定義されたバリエーション
分析コードベースのコンフィギュレーション
制約ベースのコンフィギュレーション</t>
    <rPh sb="0" eb="2">
      <t>ジゼン</t>
    </rPh>
    <rPh sb="3" eb="5">
      <t>テイギ</t>
    </rPh>
    <rPh sb="16" eb="18">
      <t>ブンセキ</t>
    </rPh>
    <rPh sb="37" eb="39">
      <t>セイヤク</t>
    </rPh>
    <phoneticPr fontId="14"/>
  </si>
  <si>
    <t>事前に定義されたバリエーション</t>
    <phoneticPr fontId="14"/>
  </si>
  <si>
    <t>製品の分類（ユーザー定義）</t>
    <rPh sb="0" eb="2">
      <t>セイヒン</t>
    </rPh>
    <rPh sb="3" eb="5">
      <t>ブンルイ</t>
    </rPh>
    <phoneticPr fontId="14"/>
  </si>
  <si>
    <t>色グループ（ユーザー定義）</t>
    <phoneticPr fontId="14"/>
  </si>
  <si>
    <t>※新規作成時の項目</t>
    <rPh sb="1" eb="3">
      <t>シンキ</t>
    </rPh>
    <rPh sb="3" eb="5">
      <t>サクセイ</t>
    </rPh>
    <rPh sb="5" eb="6">
      <t>ジ</t>
    </rPh>
    <rPh sb="7" eb="9">
      <t>コウモク</t>
    </rPh>
    <phoneticPr fontId="14"/>
  </si>
  <si>
    <t>製品タイプ：品目の場合に選択可能
製品キット：はいの場合は選択不可</t>
    <rPh sb="0" eb="2">
      <t>セイヒン</t>
    </rPh>
    <rPh sb="6" eb="8">
      <t>ヒンモク</t>
    </rPh>
    <rPh sb="9" eb="11">
      <t>バアイ</t>
    </rPh>
    <rPh sb="12" eb="14">
      <t>センタク</t>
    </rPh>
    <rPh sb="14" eb="16">
      <t>カノウ</t>
    </rPh>
    <rPh sb="26" eb="28">
      <t>バアイ</t>
    </rPh>
    <rPh sb="29" eb="31">
      <t>センタク</t>
    </rPh>
    <rPh sb="31" eb="33">
      <t>フカ</t>
    </rPh>
    <phoneticPr fontId="14"/>
  </si>
  <si>
    <t>NMFC コード（ユーザー定義）</t>
    <phoneticPr fontId="14"/>
  </si>
  <si>
    <t>STCC (標準輸送商品コード)（ユーザー定義）</t>
    <phoneticPr fontId="14"/>
  </si>
  <si>
    <t>統一税率スケジュール（ユーザー定義）</t>
    <phoneticPr fontId="14"/>
  </si>
  <si>
    <t>品目/サービス</t>
    <rPh sb="0" eb="2">
      <t>ヒンモク</t>
    </rPh>
    <phoneticPr fontId="14"/>
  </si>
  <si>
    <t>製品/製品マスター</t>
    <rPh sb="0" eb="2">
      <t>セイヒン</t>
    </rPh>
    <rPh sb="3" eb="5">
      <t>セイヒン</t>
    </rPh>
    <phoneticPr fontId="14"/>
  </si>
  <si>
    <t>※新規作成時の項目</t>
    <phoneticPr fontId="14"/>
  </si>
  <si>
    <t>全国自動車輸送品種別規則 
(NMFC: NATIONAL MOTOR FREIGHT CLASSIFICATION)</t>
    <phoneticPr fontId="14"/>
  </si>
  <si>
    <t>製品情報管理＞製品＞リリースされた製品</t>
  </si>
  <si>
    <t>Product information management &gt; Products &gt; Released products</t>
  </si>
  <si>
    <t>「リリースされた製品-設定値」を参照</t>
    <rPh sb="8" eb="10">
      <t>セイヒン</t>
    </rPh>
    <phoneticPr fontId="14"/>
  </si>
  <si>
    <t>品目番号</t>
    <rPh sb="0" eb="2">
      <t>ヒンモク</t>
    </rPh>
    <rPh sb="2" eb="4">
      <t>バンゴウ</t>
    </rPh>
    <phoneticPr fontId="14"/>
  </si>
  <si>
    <t>詳細ID</t>
    <rPh sb="0" eb="2">
      <t>ショウサイ</t>
    </rPh>
    <phoneticPr fontId="14"/>
  </si>
  <si>
    <t>保管分析コードグループ</t>
    <rPh sb="0" eb="2">
      <t>ホカン</t>
    </rPh>
    <rPh sb="2" eb="4">
      <t>ブンセキ</t>
    </rPh>
    <phoneticPr fontId="14"/>
  </si>
  <si>
    <t>追跡用分析コードグループ</t>
    <rPh sb="0" eb="3">
      <t>ツイセキヨウ</t>
    </rPh>
    <rPh sb="3" eb="5">
      <t>ブンセキ</t>
    </rPh>
    <phoneticPr fontId="14"/>
  </si>
  <si>
    <t>品目モデルグループ</t>
    <rPh sb="0" eb="2">
      <t>ヒンモク</t>
    </rPh>
    <phoneticPr fontId="14"/>
  </si>
  <si>
    <t>引当階層</t>
    <rPh sb="0" eb="2">
      <t>ヒキアテ</t>
    </rPh>
    <rPh sb="2" eb="4">
      <t>カイソウ</t>
    </rPh>
    <phoneticPr fontId="14"/>
  </si>
  <si>
    <t>製品ライフサイクルの状態</t>
    <rPh sb="0" eb="2">
      <t>セイヒン</t>
    </rPh>
    <rPh sb="10" eb="12">
      <t>ジョウタイ</t>
    </rPh>
    <phoneticPr fontId="14"/>
  </si>
  <si>
    <t>超過配送</t>
    <rPh sb="0" eb="2">
      <t>チョウカ</t>
    </rPh>
    <rPh sb="2" eb="4">
      <t>ハイソウ</t>
    </rPh>
    <phoneticPr fontId="14"/>
  </si>
  <si>
    <t>過少配送</t>
    <rPh sb="0" eb="2">
      <t>カショウ</t>
    </rPh>
    <rPh sb="2" eb="4">
      <t>ハイソウ</t>
    </rPh>
    <phoneticPr fontId="14"/>
  </si>
  <si>
    <t>会社間関係の停止</t>
    <rPh sb="0" eb="2">
      <t>カイシャ</t>
    </rPh>
    <rPh sb="2" eb="3">
      <t>カン</t>
    </rPh>
    <rPh sb="3" eb="5">
      <t>カンケイ</t>
    </rPh>
    <rPh sb="6" eb="8">
      <t>テイシ</t>
    </rPh>
    <phoneticPr fontId="14"/>
  </si>
  <si>
    <t>価格許容範囲品目グループ</t>
    <rPh sb="0" eb="2">
      <t>カカク</t>
    </rPh>
    <rPh sb="2" eb="4">
      <t>キョヨウ</t>
    </rPh>
    <rPh sb="4" eb="6">
      <t>ハンイ</t>
    </rPh>
    <rPh sb="6" eb="8">
      <t>ヒンモク</t>
    </rPh>
    <phoneticPr fontId="14"/>
  </si>
  <si>
    <t>課税</t>
    <rPh sb="0" eb="2">
      <t>カゼイ</t>
    </rPh>
    <phoneticPr fontId="14"/>
  </si>
  <si>
    <t>品目消費税グループ</t>
    <rPh sb="0" eb="2">
      <t>ヒンモク</t>
    </rPh>
    <rPh sb="2" eb="5">
      <t>ショウヒゼイ</t>
    </rPh>
    <phoneticPr fontId="14"/>
  </si>
  <si>
    <t>価格の更新</t>
    <rPh sb="0" eb="2">
      <t>カカク</t>
    </rPh>
    <rPh sb="3" eb="5">
      <t>コウシン</t>
    </rPh>
    <phoneticPr fontId="14"/>
  </si>
  <si>
    <t>最新購買価格</t>
    <rPh sb="0" eb="2">
      <t>サイシン</t>
    </rPh>
    <rPh sb="2" eb="4">
      <t>コウバイ</t>
    </rPh>
    <rPh sb="4" eb="6">
      <t>カカク</t>
    </rPh>
    <phoneticPr fontId="14"/>
  </si>
  <si>
    <t>価格の日付</t>
    <rPh sb="0" eb="2">
      <t>カカク</t>
    </rPh>
    <rPh sb="3" eb="5">
      <t>ヒヅケ</t>
    </rPh>
    <phoneticPr fontId="14"/>
  </si>
  <si>
    <t>価格の数量</t>
    <rPh sb="0" eb="2">
      <t>カカク</t>
    </rPh>
    <rPh sb="3" eb="5">
      <t>スウリョウ</t>
    </rPh>
    <phoneticPr fontId="14"/>
  </si>
  <si>
    <t>諸掛</t>
    <rPh sb="0" eb="2">
      <t>ショガカリ</t>
    </rPh>
    <phoneticPr fontId="14"/>
  </si>
  <si>
    <t>諸費用価格</t>
    <rPh sb="0" eb="3">
      <t>ショヒヨウ</t>
    </rPh>
    <rPh sb="3" eb="5">
      <t>カカク</t>
    </rPh>
    <phoneticPr fontId="14"/>
  </si>
  <si>
    <t>諸費用数量</t>
    <rPh sb="0" eb="3">
      <t>ショヒヨウ</t>
    </rPh>
    <rPh sb="3" eb="5">
      <t>スウリョウ</t>
    </rPh>
    <phoneticPr fontId="14"/>
  </si>
  <si>
    <t>単価に含む</t>
    <rPh sb="0" eb="2">
      <t>タンカ</t>
    </rPh>
    <rPh sb="3" eb="4">
      <t>フク</t>
    </rPh>
    <phoneticPr fontId="14"/>
  </si>
  <si>
    <t>複数行割引</t>
    <rPh sb="0" eb="2">
      <t>フクスウ</t>
    </rPh>
    <rPh sb="2" eb="3">
      <t>ギョウ</t>
    </rPh>
    <rPh sb="3" eb="5">
      <t>ワリビキ</t>
    </rPh>
    <phoneticPr fontId="14"/>
  </si>
  <si>
    <t>価格決定制度</t>
    <rPh sb="0" eb="2">
      <t>カカク</t>
    </rPh>
    <rPh sb="2" eb="4">
      <t>ケッテイ</t>
    </rPh>
    <rPh sb="4" eb="6">
      <t>セイド</t>
    </rPh>
    <phoneticPr fontId="14"/>
  </si>
  <si>
    <t>仕入先リベート</t>
    <rPh sb="0" eb="3">
      <t>シイレサキ</t>
    </rPh>
    <phoneticPr fontId="14"/>
  </si>
  <si>
    <t>仕入先リベート品目グループ</t>
    <rPh sb="0" eb="3">
      <t>シイレサキ</t>
    </rPh>
    <rPh sb="7" eb="9">
      <t>ヒンモク</t>
    </rPh>
    <phoneticPr fontId="14"/>
  </si>
  <si>
    <t>承認済仕入先チェックメソッド</t>
    <rPh sb="0" eb="2">
      <t>ショウニン</t>
    </rPh>
    <rPh sb="2" eb="3">
      <t>スミ</t>
    </rPh>
    <rPh sb="3" eb="6">
      <t>シイレサキ</t>
    </rPh>
    <phoneticPr fontId="14"/>
  </si>
  <si>
    <t>販売促進</t>
    <rPh sb="0" eb="2">
      <t>ハンバイ</t>
    </rPh>
    <rPh sb="2" eb="4">
      <t>ソクシン</t>
    </rPh>
    <phoneticPr fontId="14"/>
  </si>
  <si>
    <t>クーポン</t>
    <phoneticPr fontId="14"/>
  </si>
  <si>
    <t>除外</t>
    <rPh sb="0" eb="2">
      <t>ジョガイ</t>
    </rPh>
    <phoneticPr fontId="14"/>
  </si>
  <si>
    <t>出荷</t>
    <rPh sb="0" eb="2">
      <t>シュッカ</t>
    </rPh>
    <phoneticPr fontId="14"/>
  </si>
  <si>
    <t>単独出荷</t>
    <rPh sb="0" eb="2">
      <t>タンドク</t>
    </rPh>
    <rPh sb="2" eb="4">
      <t>シュッカ</t>
    </rPh>
    <phoneticPr fontId="14"/>
  </si>
  <si>
    <t>直納倉庫</t>
    <rPh sb="0" eb="2">
      <t>チョクノウ</t>
    </rPh>
    <rPh sb="2" eb="4">
      <t>ソウコ</t>
    </rPh>
    <phoneticPr fontId="14"/>
  </si>
  <si>
    <t>梱包ボックス</t>
    <rPh sb="0" eb="2">
      <t>コンポウ</t>
    </rPh>
    <phoneticPr fontId="14"/>
  </si>
  <si>
    <t>ピッキングワークベンチにボックス化ロジックを適用</t>
    <rPh sb="16" eb="17">
      <t>カ</t>
    </rPh>
    <rPh sb="22" eb="24">
      <t>テキヨウ</t>
    </rPh>
    <phoneticPr fontId="14"/>
  </si>
  <si>
    <t>出荷開始日</t>
    <rPh sb="0" eb="2">
      <t>シュッカ</t>
    </rPh>
    <rPh sb="2" eb="4">
      <t>カイシ</t>
    </rPh>
    <rPh sb="4" eb="5">
      <t>ヒ</t>
    </rPh>
    <phoneticPr fontId="14"/>
  </si>
  <si>
    <t>販売</t>
    <rPh sb="0" eb="2">
      <t>ハンバイ</t>
    </rPh>
    <phoneticPr fontId="14"/>
  </si>
  <si>
    <t>コミッショングループ</t>
    <phoneticPr fontId="14"/>
  </si>
  <si>
    <t>基準販売価格</t>
    <phoneticPr fontId="14"/>
  </si>
  <si>
    <t>代替製品</t>
    <rPh sb="0" eb="2">
      <t>ダイタイ</t>
    </rPh>
    <rPh sb="2" eb="4">
      <t>セイヒン</t>
    </rPh>
    <phoneticPr fontId="14"/>
  </si>
  <si>
    <t>使用時</t>
    <rPh sb="0" eb="2">
      <t>シヨウ</t>
    </rPh>
    <rPh sb="2" eb="3">
      <t>ジ</t>
    </rPh>
    <phoneticPr fontId="14"/>
  </si>
  <si>
    <t>代替品目番号</t>
    <rPh sb="0" eb="2">
      <t>ダイタイ</t>
    </rPh>
    <rPh sb="2" eb="4">
      <t>ヒンモク</t>
    </rPh>
    <rPh sb="4" eb="6">
      <t>バンゴウ</t>
    </rPh>
    <phoneticPr fontId="14"/>
  </si>
  <si>
    <t>コンフィギュレーション</t>
  </si>
  <si>
    <t>コンフィギュレーション</t>
    <phoneticPr fontId="14"/>
  </si>
  <si>
    <t>サイズ</t>
  </si>
  <si>
    <t>サイズ</t>
    <phoneticPr fontId="14"/>
  </si>
  <si>
    <t>色</t>
    <rPh sb="0" eb="1">
      <t>イロ</t>
    </rPh>
    <phoneticPr fontId="14"/>
  </si>
  <si>
    <t>スタイル</t>
  </si>
  <si>
    <t>スタイル</t>
    <phoneticPr fontId="14"/>
  </si>
  <si>
    <t>分割払い</t>
    <rPh sb="0" eb="2">
      <t>ブンカツ</t>
    </rPh>
    <rPh sb="2" eb="3">
      <t>バラ</t>
    </rPh>
    <phoneticPr fontId="14"/>
  </si>
  <si>
    <t>価格決定精度</t>
    <rPh sb="0" eb="2">
      <t>カカク</t>
    </rPh>
    <rPh sb="2" eb="4">
      <t>ケッテイ</t>
    </rPh>
    <rPh sb="4" eb="6">
      <t>セイド</t>
    </rPh>
    <phoneticPr fontId="14"/>
  </si>
  <si>
    <t>価格調整</t>
    <rPh sb="0" eb="2">
      <t>カカク</t>
    </rPh>
    <rPh sb="2" eb="4">
      <t>チョウセイ</t>
    </rPh>
    <phoneticPr fontId="14"/>
  </si>
  <si>
    <t>価格調整を許可する</t>
    <rPh sb="0" eb="2">
      <t>カカク</t>
    </rPh>
    <rPh sb="2" eb="4">
      <t>チョウセイ</t>
    </rPh>
    <rPh sb="5" eb="7">
      <t>キョカ</t>
    </rPh>
    <phoneticPr fontId="14"/>
  </si>
  <si>
    <t>連続性</t>
    <rPh sb="0" eb="2">
      <t>レンゾク</t>
    </rPh>
    <rPh sb="2" eb="3">
      <t>セイ</t>
    </rPh>
    <phoneticPr fontId="14"/>
  </si>
  <si>
    <t>連続スケジュールID</t>
    <rPh sb="0" eb="2">
      <t>レンゾク</t>
    </rPh>
    <phoneticPr fontId="14"/>
  </si>
  <si>
    <t>イベント期間</t>
    <rPh sb="4" eb="6">
      <t>キカン</t>
    </rPh>
    <phoneticPr fontId="14"/>
  </si>
  <si>
    <t>販売日付</t>
    <rPh sb="0" eb="2">
      <t>ハンバイ</t>
    </rPh>
    <rPh sb="2" eb="4">
      <t>ヒヅケ</t>
    </rPh>
    <phoneticPr fontId="14"/>
  </si>
  <si>
    <t>販売開始日</t>
    <rPh sb="0" eb="2">
      <t>ハンバイ</t>
    </rPh>
    <rPh sb="2" eb="4">
      <t>カイシ</t>
    </rPh>
    <rPh sb="4" eb="5">
      <t>ヒ</t>
    </rPh>
    <phoneticPr fontId="14"/>
  </si>
  <si>
    <t>販売終了日</t>
    <rPh sb="0" eb="2">
      <t>ハンバイ</t>
    </rPh>
    <rPh sb="2" eb="4">
      <t>シュウリョウ</t>
    </rPh>
    <rPh sb="4" eb="5">
      <t>ヒ</t>
    </rPh>
    <phoneticPr fontId="14"/>
  </si>
  <si>
    <t>品目リベートグループ</t>
    <rPh sb="0" eb="2">
      <t>ヒンモク</t>
    </rPh>
    <phoneticPr fontId="14"/>
  </si>
  <si>
    <t>品目リベートグループ</t>
    <phoneticPr fontId="14"/>
  </si>
  <si>
    <t>運賃配賦</t>
    <rPh sb="0" eb="2">
      <t>ウンチン</t>
    </rPh>
    <rPh sb="2" eb="4">
      <t>ハイフ</t>
    </rPh>
    <phoneticPr fontId="14"/>
  </si>
  <si>
    <t>運賃配賦グループ</t>
    <rPh sb="0" eb="2">
      <t>ウンチン</t>
    </rPh>
    <rPh sb="2" eb="4">
      <t>ハイフ</t>
    </rPh>
    <phoneticPr fontId="14"/>
  </si>
  <si>
    <t>コマース在庫</t>
    <rPh sb="4" eb="6">
      <t>ザイコ</t>
    </rPh>
    <phoneticPr fontId="14"/>
  </si>
  <si>
    <t>在庫バッファー</t>
    <rPh sb="0" eb="2">
      <t>ザイコ</t>
    </rPh>
    <phoneticPr fontId="14"/>
  </si>
  <si>
    <t>在庫レベルのプロファイル</t>
    <rPh sb="0" eb="2">
      <t>ザイコ</t>
    </rPh>
    <phoneticPr fontId="14"/>
  </si>
  <si>
    <t>在庫の管理</t>
    <rPh sb="0" eb="2">
      <t>ザイコ</t>
    </rPh>
    <rPh sb="3" eb="5">
      <t>カンリ</t>
    </rPh>
    <phoneticPr fontId="14"/>
  </si>
  <si>
    <t>生産</t>
    <rPh sb="0" eb="2">
      <t>セイサン</t>
    </rPh>
    <phoneticPr fontId="14"/>
  </si>
  <si>
    <t>計画</t>
    <rPh sb="0" eb="2">
      <t>ケイカク</t>
    </rPh>
    <phoneticPr fontId="14"/>
  </si>
  <si>
    <t>原価の管理</t>
    <rPh sb="0" eb="2">
      <t>ゲンカ</t>
    </rPh>
    <rPh sb="3" eb="5">
      <t>カンリ</t>
    </rPh>
    <phoneticPr fontId="14"/>
  </si>
  <si>
    <t>プロジェクトの管理</t>
    <rPh sb="7" eb="9">
      <t>カンリ</t>
    </rPh>
    <phoneticPr fontId="14"/>
  </si>
  <si>
    <t>カテゴリ階層名</t>
    <rPh sb="4" eb="6">
      <t>カイソウ</t>
    </rPh>
    <rPh sb="6" eb="7">
      <t>カイメイ</t>
    </rPh>
    <phoneticPr fontId="14"/>
  </si>
  <si>
    <t>カテゴリ階層（ユーザー定義）</t>
    <phoneticPr fontId="14"/>
  </si>
  <si>
    <t>第一階層</t>
    <rPh sb="0" eb="2">
      <t>ダイイチ</t>
    </rPh>
    <rPh sb="2" eb="4">
      <t>カイソウ</t>
    </rPh>
    <phoneticPr fontId="14"/>
  </si>
  <si>
    <t>カテゴリ階層</t>
    <phoneticPr fontId="14"/>
  </si>
  <si>
    <t>作成日</t>
    <rPh sb="0" eb="2">
      <t>サクセイ</t>
    </rPh>
    <rPh sb="2" eb="3">
      <t>ヒ</t>
    </rPh>
    <phoneticPr fontId="14"/>
  </si>
  <si>
    <t>更新日</t>
    <rPh sb="0" eb="2">
      <t>コウシン</t>
    </rPh>
    <rPh sb="2" eb="3">
      <t>ヒ</t>
    </rPh>
    <phoneticPr fontId="14"/>
  </si>
  <si>
    <t>カテゴリの表示順序</t>
    <rPh sb="5" eb="7">
      <t>ヒョウジ</t>
    </rPh>
    <rPh sb="7" eb="9">
      <t>ジュンジョ</t>
    </rPh>
    <phoneticPr fontId="14"/>
  </si>
  <si>
    <t>上位階層</t>
    <rPh sb="0" eb="2">
      <t>ジョウイ</t>
    </rPh>
    <rPh sb="2" eb="4">
      <t>カイソウ</t>
    </rPh>
    <phoneticPr fontId="14"/>
  </si>
  <si>
    <t>従業員</t>
    <phoneticPr fontId="14"/>
  </si>
  <si>
    <t>「従業員-設定値」を参照</t>
    <rPh sb="1" eb="4">
      <t>ジュウギョウイン</t>
    </rPh>
    <phoneticPr fontId="14"/>
  </si>
  <si>
    <t>人事管理＞作業者＞従業員</t>
  </si>
  <si>
    <t>Human resources &gt; Workers &gt; Employees</t>
  </si>
  <si>
    <t>プロファイル</t>
    <phoneticPr fontId="14"/>
  </si>
  <si>
    <t>作業者の概要</t>
    <rPh sb="0" eb="2">
      <t>サギョウ</t>
    </rPh>
    <rPh sb="2" eb="3">
      <t>シャ</t>
    </rPh>
    <rPh sb="4" eb="6">
      <t>ガイヨウ</t>
    </rPh>
    <phoneticPr fontId="14"/>
  </si>
  <si>
    <t>従業員番号</t>
    <rPh sb="0" eb="3">
      <t>ジュウギョウイン</t>
    </rPh>
    <rPh sb="3" eb="5">
      <t>バンゴウ</t>
    </rPh>
    <phoneticPr fontId="14"/>
  </si>
  <si>
    <t>元の採用日付</t>
    <rPh sb="0" eb="1">
      <t>モト</t>
    </rPh>
    <rPh sb="2" eb="4">
      <t>サイヨウ</t>
    </rPh>
    <rPh sb="4" eb="6">
      <t>ヒヅケ</t>
    </rPh>
    <phoneticPr fontId="14"/>
  </si>
  <si>
    <t>勤続日数</t>
    <rPh sb="0" eb="2">
      <t>キンゾク</t>
    </rPh>
    <rPh sb="2" eb="4">
      <t>ニッスウ</t>
    </rPh>
    <phoneticPr fontId="14"/>
  </si>
  <si>
    <t>記念日</t>
    <rPh sb="0" eb="2">
      <t>キネン</t>
    </rPh>
    <rPh sb="2" eb="3">
      <t>ヒ</t>
    </rPh>
    <phoneticPr fontId="14"/>
  </si>
  <si>
    <t>在宅勤務</t>
    <rPh sb="0" eb="2">
      <t>ザイタク</t>
    </rPh>
    <rPh sb="2" eb="4">
      <t>キンム</t>
    </rPh>
    <phoneticPr fontId="14"/>
  </si>
  <si>
    <t>職場の場所</t>
    <rPh sb="0" eb="2">
      <t>ショクバ</t>
    </rPh>
    <rPh sb="3" eb="5">
      <t>バショ</t>
    </rPh>
    <phoneticPr fontId="14"/>
  </si>
  <si>
    <t>職場の住所</t>
    <rPh sb="0" eb="2">
      <t>ショクバ</t>
    </rPh>
    <rPh sb="3" eb="5">
      <t>ジュウショ</t>
    </rPh>
    <phoneticPr fontId="14"/>
  </si>
  <si>
    <t>再雇用</t>
    <rPh sb="0" eb="3">
      <t>サイコヨウ</t>
    </rPh>
    <phoneticPr fontId="14"/>
  </si>
  <si>
    <t>その他の情報＞アドレス帳</t>
    <rPh sb="2" eb="3">
      <t>タ</t>
    </rPh>
    <rPh sb="4" eb="6">
      <t>ジョウホウ</t>
    </rPh>
    <rPh sb="11" eb="12">
      <t>チョウ</t>
    </rPh>
    <phoneticPr fontId="14"/>
  </si>
  <si>
    <t>その他の情報＞言語</t>
    <rPh sb="2" eb="3">
      <t>タ</t>
    </rPh>
    <rPh sb="4" eb="6">
      <t>ジョウホウ</t>
    </rPh>
    <rPh sb="7" eb="9">
      <t>ゲンゴ</t>
    </rPh>
    <phoneticPr fontId="14"/>
  </si>
  <si>
    <t>名前の詳細</t>
    <rPh sb="0" eb="2">
      <t>ナマエ</t>
    </rPh>
    <rPh sb="3" eb="5">
      <t>ショウサイ</t>
    </rPh>
    <phoneticPr fontId="14"/>
  </si>
  <si>
    <t>ミドルネーム</t>
    <phoneticPr fontId="14"/>
  </si>
  <si>
    <t>姓の接頭語</t>
    <rPh sb="0" eb="1">
      <t>セイ</t>
    </rPh>
    <rPh sb="2" eb="4">
      <t>セットウ</t>
    </rPh>
    <rPh sb="4" eb="5">
      <t>ゴ</t>
    </rPh>
    <phoneticPr fontId="14"/>
  </si>
  <si>
    <t>職務の肩書き</t>
    <rPh sb="0" eb="2">
      <t>ショクム</t>
    </rPh>
    <rPh sb="3" eb="5">
      <t>カタガ</t>
    </rPh>
    <phoneticPr fontId="14"/>
  </si>
  <si>
    <t>ミドルネームネーム（ふりがな）</t>
    <phoneticPr fontId="14"/>
  </si>
  <si>
    <t>姓（フリガナ）</t>
    <rPh sb="0" eb="1">
      <t>セイ</t>
    </rPh>
    <phoneticPr fontId="14"/>
  </si>
  <si>
    <t>個人情報</t>
    <rPh sb="0" eb="2">
      <t>コジン</t>
    </rPh>
    <rPh sb="2" eb="4">
      <t>ジョウホウ</t>
    </rPh>
    <phoneticPr fontId="14"/>
  </si>
  <si>
    <t>スキルマッピング</t>
    <phoneticPr fontId="14"/>
  </si>
  <si>
    <t>作業履歴</t>
    <rPh sb="0" eb="2">
      <t>サギョウ</t>
    </rPh>
    <rPh sb="2" eb="4">
      <t>リレキ</t>
    </rPh>
    <phoneticPr fontId="14"/>
  </si>
  <si>
    <t>従業員の詳細</t>
    <rPh sb="0" eb="3">
      <t>ジュウギョウイン</t>
    </rPh>
    <rPh sb="4" eb="6">
      <t>ショウサイ</t>
    </rPh>
    <phoneticPr fontId="14"/>
  </si>
  <si>
    <t>職位</t>
    <rPh sb="0" eb="2">
      <t>ショクイ</t>
    </rPh>
    <phoneticPr fontId="14"/>
  </si>
  <si>
    <t>画面レイアウト</t>
    <rPh sb="0" eb="2">
      <t>ガメン</t>
    </rPh>
    <phoneticPr fontId="14"/>
  </si>
  <si>
    <t>時間登録</t>
    <rPh sb="0" eb="2">
      <t>ジカン</t>
    </rPh>
    <rPh sb="2" eb="4">
      <t>トウロク</t>
    </rPh>
    <phoneticPr fontId="14"/>
  </si>
  <si>
    <t>リンク</t>
    <phoneticPr fontId="14"/>
  </si>
  <si>
    <t>部門</t>
    <rPh sb="0" eb="2">
      <t>ブモン</t>
    </rPh>
    <phoneticPr fontId="14"/>
  </si>
  <si>
    <t>人事管理＞部門＞部門</t>
  </si>
  <si>
    <t>Human resources &gt; Departments &gt; Departments</t>
  </si>
  <si>
    <t>マネージャー</t>
    <phoneticPr fontId="14"/>
  </si>
  <si>
    <t>部門固有の英数字ID</t>
    <rPh sb="0" eb="2">
      <t>ブモン</t>
    </rPh>
    <rPh sb="2" eb="4">
      <t>コユウ</t>
    </rPh>
    <rPh sb="5" eb="8">
      <t>エイスウジ</t>
    </rPh>
    <phoneticPr fontId="14"/>
  </si>
  <si>
    <t>「職位-設定値」を参照</t>
    <rPh sb="1" eb="3">
      <t>ショクイ</t>
    </rPh>
    <rPh sb="9" eb="11">
      <t>サンショウ</t>
    </rPh>
    <phoneticPr fontId="14"/>
  </si>
  <si>
    <t>人事管理＞職位＞すべての職位</t>
    <phoneticPr fontId="14"/>
  </si>
  <si>
    <t>人事管理＞職位＞すべての職位
Human resources &gt; Positions &gt; All Positions</t>
    <rPh sb="5" eb="7">
      <t>ショクイ</t>
    </rPh>
    <rPh sb="12" eb="14">
      <t>ショクイ</t>
    </rPh>
    <phoneticPr fontId="16"/>
  </si>
  <si>
    <t>Human resources &gt; Positions &gt; All Positions</t>
    <phoneticPr fontId="14"/>
  </si>
  <si>
    <t>職位タイプ</t>
    <rPh sb="0" eb="2">
      <t>ショクイ</t>
    </rPh>
    <phoneticPr fontId="14"/>
  </si>
  <si>
    <t>報酬地域</t>
    <rPh sb="0" eb="2">
      <t>ホウシュウ</t>
    </rPh>
    <rPh sb="2" eb="4">
      <t>チイキ</t>
    </rPh>
    <phoneticPr fontId="14"/>
  </si>
  <si>
    <t>割り当てに使用可能</t>
    <rPh sb="0" eb="1">
      <t>ワ</t>
    </rPh>
    <rPh sb="2" eb="3">
      <t>ア</t>
    </rPh>
    <rPh sb="5" eb="7">
      <t>シヨウ</t>
    </rPh>
    <rPh sb="7" eb="9">
      <t>カノウ</t>
    </rPh>
    <phoneticPr fontId="14"/>
  </si>
  <si>
    <t>ジョブファミリ</t>
    <phoneticPr fontId="14"/>
  </si>
  <si>
    <t>職位の期間</t>
    <rPh sb="0" eb="2">
      <t>ショクイ</t>
    </rPh>
    <rPh sb="3" eb="5">
      <t>キカン</t>
    </rPh>
    <phoneticPr fontId="14"/>
  </si>
  <si>
    <t>報告先職位</t>
    <rPh sb="0" eb="3">
      <t>ホウコクサキ</t>
    </rPh>
    <rPh sb="3" eb="5">
      <t>ショクイ</t>
    </rPh>
    <phoneticPr fontId="14"/>
  </si>
  <si>
    <t>作業者割り当て</t>
    <rPh sb="0" eb="3">
      <t>サギョウシャ</t>
    </rPh>
    <rPh sb="3" eb="4">
      <t>ワ</t>
    </rPh>
    <rPh sb="5" eb="6">
      <t>ア</t>
    </rPh>
    <phoneticPr fontId="14"/>
  </si>
  <si>
    <t>給与</t>
    <rPh sb="0" eb="2">
      <t>キュウヨ</t>
    </rPh>
    <phoneticPr fontId="14"/>
  </si>
  <si>
    <t>作業者の報酬</t>
    <rPh sb="0" eb="3">
      <t>サギョウシャ</t>
    </rPh>
    <rPh sb="4" eb="6">
      <t>ホウシュウ</t>
    </rPh>
    <phoneticPr fontId="14"/>
  </si>
  <si>
    <t>労働組合</t>
    <rPh sb="0" eb="2">
      <t>ロウドウ</t>
    </rPh>
    <rPh sb="2" eb="4">
      <t>クミアイ</t>
    </rPh>
    <phoneticPr fontId="14"/>
  </si>
  <si>
    <t>売買契約仕訳帳</t>
    <rPh sb="0" eb="2">
      <t>バイバイ</t>
    </rPh>
    <rPh sb="2" eb="4">
      <t>ケイヤク</t>
    </rPh>
    <rPh sb="4" eb="7">
      <t>シワケチョウ</t>
    </rPh>
    <phoneticPr fontId="14"/>
  </si>
  <si>
    <t>販売とマーケティング ＞ 価格と割引 ＞ 売買契約仕訳帳名</t>
    <phoneticPr fontId="14"/>
  </si>
  <si>
    <t>Sales and marketing&gt; Prices and discounts &gt; Trade agreement journal name</t>
    <phoneticPr fontId="14"/>
  </si>
  <si>
    <t>シート「売買契約仕訳帳-設定値（販売）」を参照</t>
    <rPh sb="4" eb="6">
      <t>バイバイ</t>
    </rPh>
    <rPh sb="6" eb="11">
      <t>ケイヤクシワケチョウ</t>
    </rPh>
    <rPh sb="12" eb="14">
      <t>セッテイ</t>
    </rPh>
    <rPh sb="14" eb="15">
      <t>チ</t>
    </rPh>
    <rPh sb="16" eb="18">
      <t>ハンバイ</t>
    </rPh>
    <rPh sb="21" eb="23">
      <t>サンショウ</t>
    </rPh>
    <phoneticPr fontId="14"/>
  </si>
  <si>
    <t>価格/割引仕訳帳番号</t>
    <rPh sb="0" eb="2">
      <t>カカク</t>
    </rPh>
    <rPh sb="3" eb="5">
      <t>ワリビキ</t>
    </rPh>
    <rPh sb="5" eb="7">
      <t>シワケ</t>
    </rPh>
    <rPh sb="7" eb="8">
      <t>チョウ</t>
    </rPh>
    <rPh sb="8" eb="10">
      <t>バンゴウ</t>
    </rPh>
    <phoneticPr fontId="14"/>
  </si>
  <si>
    <t>転記済</t>
    <rPh sb="0" eb="3">
      <t>テンキズ</t>
    </rPh>
    <phoneticPr fontId="14"/>
  </si>
  <si>
    <t>転記日</t>
    <rPh sb="0" eb="2">
      <t>テンキ</t>
    </rPh>
    <rPh sb="2" eb="3">
      <t>ヒ</t>
    </rPh>
    <phoneticPr fontId="14"/>
  </si>
  <si>
    <t>現在の価格のエクスポート</t>
    <rPh sb="0" eb="2">
      <t>ゲンザイ</t>
    </rPh>
    <rPh sb="3" eb="5">
      <t>カカク</t>
    </rPh>
    <phoneticPr fontId="14"/>
  </si>
  <si>
    <t>自動採番</t>
    <rPh sb="0" eb="2">
      <t>ジドウ</t>
    </rPh>
    <rPh sb="2" eb="4">
      <t>サイバン</t>
    </rPh>
    <phoneticPr fontId="14"/>
  </si>
  <si>
    <t>価格（購買）
行割引（仕入）
複数行割引（仕入）
割引合計（購買）
価格（販売）
行割引（販売側）
複数行割引（販売側）
割引合計（販売）
送料の割引</t>
  </si>
  <si>
    <t>価格（購買）
行割引（仕入）
複数行割引（仕入）
割引合計（購買）
価格（販売）
行割引（販売側）
複数行割引（販売側）
割引合計（販売）
送料の割引</t>
    <phoneticPr fontId="14"/>
  </si>
  <si>
    <t>転記したら自動で入る</t>
    <rPh sb="0" eb="2">
      <t>テンキ</t>
    </rPh>
    <rPh sb="5" eb="7">
      <t>ジドウ</t>
    </rPh>
    <rPh sb="8" eb="9">
      <t>ハイ</t>
    </rPh>
    <phoneticPr fontId="14"/>
  </si>
  <si>
    <t>仕訳帳明細行</t>
    <rPh sb="0" eb="3">
      <t>シワケチョウ</t>
    </rPh>
    <rPh sb="3" eb="5">
      <t>メイサイ</t>
    </rPh>
    <rPh sb="5" eb="6">
      <t>ギョウ</t>
    </rPh>
    <phoneticPr fontId="14"/>
  </si>
  <si>
    <t>エラーログ</t>
    <phoneticPr fontId="14"/>
  </si>
  <si>
    <t>ログ</t>
    <phoneticPr fontId="14"/>
  </si>
  <si>
    <t>変更済</t>
    <rPh sb="0" eb="2">
      <t>ヘンコウ</t>
    </rPh>
    <rPh sb="2" eb="3">
      <t>スミ</t>
    </rPh>
    <phoneticPr fontId="14"/>
  </si>
  <si>
    <t>関係者コードタイプ</t>
    <rPh sb="0" eb="3">
      <t>カンケイシャ</t>
    </rPh>
    <phoneticPr fontId="14"/>
  </si>
  <si>
    <t>勘定の選択</t>
    <rPh sb="0" eb="2">
      <t>カンジョウ</t>
    </rPh>
    <rPh sb="3" eb="5">
      <t>センタク</t>
    </rPh>
    <phoneticPr fontId="14"/>
  </si>
  <si>
    <t>製品コードタイプ</t>
    <rPh sb="0" eb="2">
      <t>セイヒン</t>
    </rPh>
    <phoneticPr fontId="14"/>
  </si>
  <si>
    <t>開始数量</t>
    <rPh sb="0" eb="2">
      <t>カイシ</t>
    </rPh>
    <rPh sb="2" eb="4">
      <t>スウリョウ</t>
    </rPh>
    <phoneticPr fontId="14"/>
  </si>
  <si>
    <t>終了数量</t>
    <rPh sb="0" eb="2">
      <t>シュウリョウ</t>
    </rPh>
    <rPh sb="2" eb="4">
      <t>スウリョウ</t>
    </rPh>
    <phoneticPr fontId="14"/>
  </si>
  <si>
    <t>通貨金額</t>
    <rPh sb="0" eb="2">
      <t>ツウカ</t>
    </rPh>
    <rPh sb="2" eb="4">
      <t>キンガク</t>
    </rPh>
    <phoneticPr fontId="14"/>
  </si>
  <si>
    <t>均一層の金額</t>
    <rPh sb="0" eb="2">
      <t>キンイツ</t>
    </rPh>
    <rPh sb="2" eb="3">
      <t>ソウ</t>
    </rPh>
    <rPh sb="4" eb="6">
      <t>キンガク</t>
    </rPh>
    <phoneticPr fontId="14"/>
  </si>
  <si>
    <t>属性ベースの価格決定ID</t>
    <rPh sb="0" eb="2">
      <t>ゾクセイ</t>
    </rPh>
    <rPh sb="6" eb="8">
      <t>カカク</t>
    </rPh>
    <rPh sb="8" eb="10">
      <t>ケッテイ</t>
    </rPh>
    <phoneticPr fontId="14"/>
  </si>
  <si>
    <t>分析コードの検証</t>
    <rPh sb="0" eb="2">
      <t>ブンセキ</t>
    </rPh>
    <rPh sb="6" eb="8">
      <t>ケンショウ</t>
    </rPh>
    <phoneticPr fontId="14"/>
  </si>
  <si>
    <t>売買契約検証</t>
    <rPh sb="0" eb="2">
      <t>バイバイ</t>
    </rPh>
    <rPh sb="2" eb="4">
      <t>ケイヤク</t>
    </rPh>
    <rPh sb="4" eb="6">
      <t>ケンショウ</t>
    </rPh>
    <phoneticPr fontId="14"/>
  </si>
  <si>
    <t>開始日</t>
    <rPh sb="0" eb="3">
      <t>カイシヒ</t>
    </rPh>
    <phoneticPr fontId="14"/>
  </si>
  <si>
    <t>価格単位</t>
    <rPh sb="0" eb="2">
      <t>カカク</t>
    </rPh>
    <rPh sb="2" eb="4">
      <t>タンイ</t>
    </rPh>
    <phoneticPr fontId="14"/>
  </si>
  <si>
    <t>割引率１</t>
    <rPh sb="0" eb="2">
      <t>ワリビキ</t>
    </rPh>
    <rPh sb="2" eb="3">
      <t>リツ</t>
    </rPh>
    <phoneticPr fontId="14"/>
  </si>
  <si>
    <t>割引率２</t>
    <rPh sb="0" eb="2">
      <t>ワリビキ</t>
    </rPh>
    <rPh sb="2" eb="3">
      <t>リツ</t>
    </rPh>
    <phoneticPr fontId="14"/>
  </si>
  <si>
    <t>リードタイム</t>
  </si>
  <si>
    <t>リードタイム</t>
    <phoneticPr fontId="14"/>
  </si>
  <si>
    <t>作業日</t>
    <rPh sb="0" eb="2">
      <t>サギョウ</t>
    </rPh>
    <rPh sb="2" eb="3">
      <t>ヒ</t>
    </rPh>
    <phoneticPr fontId="14"/>
  </si>
  <si>
    <t>一般通貨を含めます</t>
    <rPh sb="0" eb="2">
      <t>イッパン</t>
    </rPh>
    <rPh sb="2" eb="4">
      <t>ツウカ</t>
    </rPh>
    <rPh sb="5" eb="6">
      <t>フク</t>
    </rPh>
    <phoneticPr fontId="14"/>
  </si>
  <si>
    <t>次を検索</t>
    <rPh sb="0" eb="1">
      <t>ツギ</t>
    </rPh>
    <rPh sb="2" eb="4">
      <t>ケンサク</t>
    </rPh>
    <phoneticPr fontId="14"/>
  </si>
  <si>
    <t>リードタイムの無視</t>
    <rPh sb="7" eb="9">
      <t>ムシ</t>
    </rPh>
    <phoneticPr fontId="14"/>
  </si>
  <si>
    <t>仕訳帳明細行</t>
    <phoneticPr fontId="14"/>
  </si>
  <si>
    <t>売買仕訳帳名（ユーザー定義）</t>
    <rPh sb="0" eb="2">
      <t>バイバイ</t>
    </rPh>
    <rPh sb="2" eb="5">
      <t>シワケチョウ</t>
    </rPh>
    <rPh sb="5" eb="6">
      <t>メイ</t>
    </rPh>
    <rPh sb="11" eb="13">
      <t>テイギ</t>
    </rPh>
    <phoneticPr fontId="14"/>
  </si>
  <si>
    <t>「名前」で売買契約仕訳帳名を選択したら既定値が自動反映される</t>
    <rPh sb="19" eb="22">
      <t>キテイチ</t>
    </rPh>
    <phoneticPr fontId="14"/>
  </si>
  <si>
    <t>購買および販売ドキュメントは売買契約を使用し、タイプに応じて価格または割引を適用します。特定の品目、特定の品目グループ、またはすべての品目に対して価格または割引を設定するために、売買契約の仕訳帳明細行を構成することができます。</t>
    <rPh sb="0" eb="2">
      <t>コウバイ</t>
    </rPh>
    <phoneticPr fontId="14"/>
  </si>
  <si>
    <t>テーブル
グループ
すべて</t>
  </si>
  <si>
    <t>テーブル
グループ
すべて</t>
    <phoneticPr fontId="14"/>
  </si>
  <si>
    <t>テーブル：顧客個別に価格を設定する場合に選択
グループ：価格/割引グループ別に価格を設定する場合に選択
すべて：すべての顧客に対して価格を設定する場合に選択</t>
    <phoneticPr fontId="14"/>
  </si>
  <si>
    <t>[品目コード] フィールドで選択したタイプの品目またはタイプ グループを選択します。</t>
    <phoneticPr fontId="14"/>
  </si>
  <si>
    <t>テーブル：製品個別に価格を設定する場合に選択
グループ：価格/割引グループ別に価格を設定する場合に選択
すべて：すべての製品に対して価格を設定する場合に選択</t>
    <rPh sb="5" eb="7">
      <t>セイヒン</t>
    </rPh>
    <rPh sb="60" eb="62">
      <t>セイヒン</t>
    </rPh>
    <phoneticPr fontId="14"/>
  </si>
  <si>
    <t>（自動）</t>
    <rPh sb="1" eb="3">
      <t>ジドウ</t>
    </rPh>
    <phoneticPr fontId="14"/>
  </si>
  <si>
    <t>番号順序の設定に準拠する</t>
    <rPh sb="0" eb="2">
      <t>バンゴウ</t>
    </rPh>
    <rPh sb="2" eb="4">
      <t>ジュンジョ</t>
    </rPh>
    <rPh sb="5" eb="7">
      <t>セッテイ</t>
    </rPh>
    <rPh sb="8" eb="10">
      <t>ジュンキョ</t>
    </rPh>
    <phoneticPr fontId="14"/>
  </si>
  <si>
    <t>「関係者コードタイプ」で選択した値によって、価格の設定をする対象を選択</t>
    <rPh sb="12" eb="14">
      <t>センタク</t>
    </rPh>
    <rPh sb="16" eb="17">
      <t>アタイ</t>
    </rPh>
    <rPh sb="22" eb="24">
      <t>カカク</t>
    </rPh>
    <rPh sb="25" eb="27">
      <t>セッテイ</t>
    </rPh>
    <rPh sb="30" eb="32">
      <t>タイショウ</t>
    </rPh>
    <rPh sb="33" eb="35">
      <t>センタク</t>
    </rPh>
    <phoneticPr fontId="14"/>
  </si>
  <si>
    <t>テーブル：顧客（ユーザー定義）
グループ：価格/割引グループ（ユーザー定義）
すべて：選択不可</t>
  </si>
  <si>
    <t>テーブル：顧客（ユーザー定義）
グループ：価格/割引グループ（ユーザー定義）
すべて：選択不可</t>
    <phoneticPr fontId="14"/>
  </si>
  <si>
    <t>「製品コードタイプ」で選択した値によって、価格の設定をする対象を選択</t>
    <rPh sb="1" eb="3">
      <t>セイヒン</t>
    </rPh>
    <rPh sb="11" eb="13">
      <t>センタク</t>
    </rPh>
    <rPh sb="15" eb="16">
      <t>アタイ</t>
    </rPh>
    <rPh sb="21" eb="23">
      <t>カカク</t>
    </rPh>
    <rPh sb="24" eb="26">
      <t>セッテイ</t>
    </rPh>
    <rPh sb="29" eb="31">
      <t>タイショウ</t>
    </rPh>
    <rPh sb="32" eb="34">
      <t>センタク</t>
    </rPh>
    <phoneticPr fontId="14"/>
  </si>
  <si>
    <t>テーブル：製品（ユーザー定義）
グループ：価格/割引グループ（ユーザー定義）
すべて：選択不可</t>
  </si>
  <si>
    <t>テーブル：製品（ユーザー定義）
グループ：価格/割引グループ（ユーザー定義）
すべて：選択不可</t>
    <phoneticPr fontId="14"/>
  </si>
  <si>
    <t>価格、ライン割引、マルチライン割引が適用される最小数量を入力します。 (ここに入力した数値を含みます。例: この数量が 1 に設定されている場合は、数量が 1 を含むこの値以上の場合に、この契約が適用されます) 。 この値はまた、割引合計のオーダー残高の最小値です。</t>
    <phoneticPr fontId="14"/>
  </si>
  <si>
    <t>価格、ライン割引、マルチライン割引が適用される最大数量を入力します。 (ここに入力した数値は含まれません。例: この数量が 3.00 に設定されている場合は、2.99 までの契約が適用されます)。 この値はまた、割引合計のオーダー残高の上限値です。</t>
    <phoneticPr fontId="14"/>
  </si>
  <si>
    <t>通貨（ユーザー定義）</t>
    <rPh sb="0" eb="2">
      <t>ツウカ</t>
    </rPh>
    <rPh sb="7" eb="9">
      <t>テイギ</t>
    </rPh>
    <phoneticPr fontId="14"/>
  </si>
  <si>
    <t>属性ベースの価格決定データ（ユーザー定義）</t>
    <rPh sb="0" eb="2">
      <t>ゾクセイ</t>
    </rPh>
    <rPh sb="6" eb="8">
      <t>カカク</t>
    </rPh>
    <rPh sb="8" eb="10">
      <t>ケッテイ</t>
    </rPh>
    <rPh sb="18" eb="20">
      <t>テイギ</t>
    </rPh>
    <phoneticPr fontId="14"/>
  </si>
  <si>
    <t>（製品マスタから反映）</t>
    <rPh sb="1" eb="3">
      <t>セイヒン</t>
    </rPh>
    <rPh sb="8" eb="10">
      <t>ハンエイ</t>
    </rPh>
    <phoneticPr fontId="14"/>
  </si>
  <si>
    <t>ここに設定したい価格を入力する</t>
    <rPh sb="3" eb="5">
      <t>セッテイ</t>
    </rPh>
    <rPh sb="8" eb="10">
      <t>カカク</t>
    </rPh>
    <rPh sb="11" eb="13">
      <t>ニュウリョク</t>
    </rPh>
    <phoneticPr fontId="14"/>
  </si>
  <si>
    <t>明細の変更によって自動で反映される</t>
    <rPh sb="0" eb="2">
      <t>メイサイ</t>
    </rPh>
    <rPh sb="3" eb="5">
      <t>ヘンコウ</t>
    </rPh>
    <rPh sb="9" eb="11">
      <t>ジドウ</t>
    </rPh>
    <rPh sb="12" eb="14">
      <t>ハンエイ</t>
    </rPh>
    <phoneticPr fontId="14"/>
  </si>
  <si>
    <t>検証実施により自動で値が入る</t>
    <rPh sb="0" eb="2">
      <t>ケンショウ</t>
    </rPh>
    <rPh sb="2" eb="4">
      <t>ジッシ</t>
    </rPh>
    <rPh sb="7" eb="9">
      <t>ジドウ</t>
    </rPh>
    <rPh sb="10" eb="11">
      <t>アタイ</t>
    </rPh>
    <rPh sb="12" eb="13">
      <t>ハイ</t>
    </rPh>
    <phoneticPr fontId="14"/>
  </si>
  <si>
    <t>価格を使用する開始日を入力する</t>
    <rPh sb="0" eb="2">
      <t>カカク</t>
    </rPh>
    <rPh sb="3" eb="5">
      <t>シヨウ</t>
    </rPh>
    <rPh sb="7" eb="9">
      <t>カイシ</t>
    </rPh>
    <rPh sb="9" eb="10">
      <t>ヒ</t>
    </rPh>
    <rPh sb="11" eb="13">
      <t>ニュウリョク</t>
    </rPh>
    <phoneticPr fontId="14"/>
  </si>
  <si>
    <t>価格を使用する終了日を入力する</t>
    <rPh sb="0" eb="2">
      <t>カカク</t>
    </rPh>
    <rPh sb="3" eb="5">
      <t>シヨウ</t>
    </rPh>
    <rPh sb="7" eb="9">
      <t>シュウリョウ</t>
    </rPh>
    <rPh sb="9" eb="10">
      <t>ヒ</t>
    </rPh>
    <rPh sb="11" eb="13">
      <t>ニュウリョク</t>
    </rPh>
    <phoneticPr fontId="14"/>
  </si>
  <si>
    <t>エラーが発生した場合に自動で値が入る</t>
    <rPh sb="4" eb="6">
      <t>ハッセイ</t>
    </rPh>
    <rPh sb="8" eb="10">
      <t>バアイ</t>
    </rPh>
    <rPh sb="11" eb="13">
      <t>ジドウ</t>
    </rPh>
    <rPh sb="14" eb="15">
      <t>アタイ</t>
    </rPh>
    <rPh sb="16" eb="17">
      <t>ハイ</t>
    </rPh>
    <phoneticPr fontId="14"/>
  </si>
  <si>
    <t>価格の固定。これらの請求は請求書ごとに１回、適用されます。</t>
    <rPh sb="0" eb="1">
      <t>カカク</t>
    </rPh>
    <rPh sb="2" eb="4">
      <t>コテイ</t>
    </rPh>
    <rPh sb="9" eb="11">
      <t>セイキュウ</t>
    </rPh>
    <rPh sb="12" eb="15">
      <t>セイキュウショ</t>
    </rPh>
    <rPh sb="19" eb="20">
      <t>カイ</t>
    </rPh>
    <rPh sb="21" eb="23">
      <t>テキヨウ</t>
    </rPh>
    <phoneticPr fontId="14"/>
  </si>
  <si>
    <t>割引率１と割引率２の合計：総額 - パーセンテージ 1% - パーセンテージ 2%</t>
    <rPh sb="0" eb="1">
      <t>ワリビキ</t>
    </rPh>
    <rPh sb="1" eb="2">
      <t>リツ</t>
    </rPh>
    <rPh sb="4" eb="6">
      <t>ワリビキ</t>
    </rPh>
    <rPh sb="6" eb="7">
      <t>リツ</t>
    </rPh>
    <rPh sb="9" eb="11">
      <t>ゴウケイ</t>
    </rPh>
    <rPh sb="12" eb="14">
      <t>ソウガク</t>
    </rPh>
    <phoneticPr fontId="14"/>
  </si>
  <si>
    <t>日単位のリードタイム</t>
    <rPh sb="0" eb="2">
      <t>タンイ</t>
    </rPh>
    <phoneticPr fontId="14"/>
  </si>
  <si>
    <t>売買契約を一般通貨から別の通貨に換算できることを保証するため、このオプションを選択します。このフィールドは、[リレーション] フィールドの [価格 (販売)] オプション の値を選択した場合にのみ、および通貨が [売掛金勘定パラメータ] のページの [一般通貨] のフィールドで定義された一般通貨である場合にのみ使用できます。</t>
    <rPh sb="0" eb="1">
      <t>ウ</t>
    </rPh>
    <phoneticPr fontId="14"/>
  </si>
  <si>
    <t>割引の組み合わせの継続検索に使用されるの基準。</t>
    <rPh sb="0" eb="2">
      <t>ワリビキ</t>
    </rPh>
    <rPh sb="3" eb="4">
      <t>ク</t>
    </rPh>
    <rPh sb="5" eb="6">
      <t>ア</t>
    </rPh>
    <rPh sb="9" eb="11">
      <t>ケイゾク</t>
    </rPh>
    <rPh sb="11" eb="13">
      <t>ケンサク</t>
    </rPh>
    <rPh sb="14" eb="16">
      <t>シヨウ</t>
    </rPh>
    <rPh sb="20" eb="22">
      <t>キジュン</t>
    </rPh>
    <phoneticPr fontId="14"/>
  </si>
  <si>
    <t>調達＞価格と割引＞売買契約仕訳帳</t>
  </si>
  <si>
    <t>Procurement and sourcing &gt; Prices and discounts &gt; Trade agreement journal</t>
  </si>
  <si>
    <t>第二階層</t>
    <rPh sb="0" eb="2">
      <t>ダイニ</t>
    </rPh>
    <rPh sb="2" eb="4">
      <t>カイソウ</t>
    </rPh>
    <phoneticPr fontId="14"/>
  </si>
  <si>
    <t>第三階層</t>
    <rPh sb="0" eb="2">
      <t>ダイサン</t>
    </rPh>
    <rPh sb="2" eb="4">
      <t>カイソウ</t>
    </rPh>
    <phoneticPr fontId="14"/>
  </si>
  <si>
    <t>第四階層</t>
    <rPh sb="0" eb="1">
      <t>ダイ</t>
    </rPh>
    <rPh sb="1" eb="2">
      <t>ヨン</t>
    </rPh>
    <rPh sb="2" eb="4">
      <t>カイソウ</t>
    </rPh>
    <phoneticPr fontId="14"/>
  </si>
  <si>
    <t>第五階層</t>
    <rPh sb="0" eb="2">
      <t>ダイゴ</t>
    </rPh>
    <rPh sb="2" eb="4">
      <t>カイソウ</t>
    </rPh>
    <phoneticPr fontId="14"/>
  </si>
  <si>
    <t>デュアル ユース製品</t>
    <phoneticPr fontId="14"/>
  </si>
  <si>
    <t>デュアル ユースコード</t>
    <phoneticPr fontId="14"/>
  </si>
  <si>
    <t>測定の重み付け</t>
    <rPh sb="0" eb="2">
      <t>ソクテイ</t>
    </rPh>
    <rPh sb="3" eb="4">
      <t>オモ</t>
    </rPh>
    <rPh sb="5" eb="6">
      <t>ヅ</t>
    </rPh>
    <phoneticPr fontId="14"/>
  </si>
  <si>
    <t>正味重量</t>
    <rPh sb="0" eb="2">
      <t>ショウミ</t>
    </rPh>
    <rPh sb="2" eb="4">
      <t>ジュウリョウ</t>
    </rPh>
    <phoneticPr fontId="14"/>
  </si>
  <si>
    <t>風袋重量</t>
    <rPh sb="0" eb="2">
      <t>フウタイ</t>
    </rPh>
    <rPh sb="2" eb="4">
      <t>ジュウリョウ</t>
    </rPh>
    <phoneticPr fontId="14"/>
  </si>
  <si>
    <t>総重量</t>
    <rPh sb="0" eb="1">
      <t>ソウ</t>
    </rPh>
    <rPh sb="1" eb="3">
      <t>ジュウリョウ</t>
    </rPh>
    <phoneticPr fontId="14"/>
  </si>
  <si>
    <t>現物分析コード</t>
    <rPh sb="0" eb="2">
      <t>ゲンブツ</t>
    </rPh>
    <rPh sb="2" eb="4">
      <t>ブンセキ</t>
    </rPh>
    <phoneticPr fontId="14"/>
  </si>
  <si>
    <t>全体の奥行き</t>
    <rPh sb="0" eb="2">
      <t>ゼンタイ</t>
    </rPh>
    <rPh sb="3" eb="5">
      <t>オクユ</t>
    </rPh>
    <phoneticPr fontId="14"/>
  </si>
  <si>
    <t>全体の幅</t>
    <rPh sb="0" eb="2">
      <t>ゼンタイ</t>
    </rPh>
    <rPh sb="3" eb="4">
      <t>ハバ</t>
    </rPh>
    <phoneticPr fontId="14"/>
  </si>
  <si>
    <t>全体の高さ</t>
    <rPh sb="0" eb="2">
      <t>ゼンタイ</t>
    </rPh>
    <rPh sb="3" eb="4">
      <t>タカ</t>
    </rPh>
    <phoneticPr fontId="14"/>
  </si>
  <si>
    <t>体積</t>
    <rPh sb="0" eb="2">
      <t>タイセキ</t>
    </rPh>
    <phoneticPr fontId="14"/>
  </si>
  <si>
    <t>追跡</t>
    <rPh sb="0" eb="2">
      <t>ツイセキ</t>
    </rPh>
    <phoneticPr fontId="14"/>
  </si>
  <si>
    <t>バッチ番号グループ</t>
    <rPh sb="3" eb="5">
      <t>バンゴウ</t>
    </rPh>
    <phoneticPr fontId="14"/>
  </si>
  <si>
    <t>シリアル番号グループ</t>
    <rPh sb="4" eb="6">
      <t>バンゴウ</t>
    </rPh>
    <phoneticPr fontId="14"/>
  </si>
  <si>
    <t>移動オーダー</t>
    <rPh sb="0" eb="2">
      <t>イドウ</t>
    </rPh>
    <phoneticPr fontId="14"/>
  </si>
  <si>
    <t>棚卸グループ</t>
    <rPh sb="0" eb="2">
      <t>タナオロシ</t>
    </rPh>
    <phoneticPr fontId="14"/>
  </si>
  <si>
    <t>出荷と入庫</t>
    <rPh sb="0" eb="2">
      <t>シュッカ</t>
    </rPh>
    <rPh sb="3" eb="5">
      <t>ニュウコ</t>
    </rPh>
    <phoneticPr fontId="14"/>
  </si>
  <si>
    <t>着荷処理時間</t>
    <rPh sb="0" eb="2">
      <t>チャクニ</t>
    </rPh>
    <rPh sb="2" eb="4">
      <t>ショリ</t>
    </rPh>
    <rPh sb="4" eb="6">
      <t>ジカン</t>
    </rPh>
    <phoneticPr fontId="14"/>
  </si>
  <si>
    <t>ポテンシー</t>
    <phoneticPr fontId="14"/>
  </si>
  <si>
    <t>基準属性</t>
    <rPh sb="0" eb="4">
      <t>キジュンゾクセイ</t>
    </rPh>
    <phoneticPr fontId="14"/>
  </si>
  <si>
    <t>ターゲット</t>
    <phoneticPr fontId="14"/>
  </si>
  <si>
    <t>属性値の記録タイミング</t>
    <rPh sb="0" eb="2">
      <t>ゾクセイ</t>
    </rPh>
    <rPh sb="2" eb="3">
      <t>チ</t>
    </rPh>
    <rPh sb="4" eb="6">
      <t>キロク</t>
    </rPh>
    <phoneticPr fontId="14"/>
  </si>
  <si>
    <t>梱包業</t>
    <rPh sb="0" eb="3">
      <t>コンポウギョウ</t>
    </rPh>
    <phoneticPr fontId="14"/>
  </si>
  <si>
    <t>梱包グループ</t>
    <rPh sb="0" eb="2">
      <t>コンポウ</t>
    </rPh>
    <phoneticPr fontId="14"/>
  </si>
  <si>
    <t>梱包数量</t>
    <rPh sb="0" eb="2">
      <t>コンポウ</t>
    </rPh>
    <rPh sb="2" eb="4">
      <t>スウリョウ</t>
    </rPh>
    <phoneticPr fontId="14"/>
  </si>
  <si>
    <t>品目データ</t>
    <rPh sb="0" eb="2">
      <t>ヒンモク</t>
    </rPh>
    <phoneticPr fontId="14"/>
  </si>
  <si>
    <t>在庫通知日（日数）</t>
    <rPh sb="0" eb="2">
      <t>ザイコ</t>
    </rPh>
    <rPh sb="2" eb="4">
      <t>ツウチ</t>
    </rPh>
    <rPh sb="4" eb="5">
      <t>ヒ</t>
    </rPh>
    <rPh sb="6" eb="8">
      <t>ニッスウ</t>
    </rPh>
    <phoneticPr fontId="14"/>
  </si>
  <si>
    <t>有効期限（日数）</t>
    <rPh sb="0" eb="2">
      <t>ユウコウ</t>
    </rPh>
    <rPh sb="2" eb="4">
      <t>キゲン</t>
    </rPh>
    <rPh sb="5" eb="7">
      <t>ニッスウ</t>
    </rPh>
    <phoneticPr fontId="14"/>
  </si>
  <si>
    <t>出庫期限日（日数）</t>
    <rPh sb="0" eb="2">
      <t>シュッコ</t>
    </rPh>
    <rPh sb="2" eb="4">
      <t>キゲン</t>
    </rPh>
    <rPh sb="4" eb="5">
      <t>ビ</t>
    </rPh>
    <rPh sb="6" eb="8">
      <t>ニッスウ</t>
    </rPh>
    <phoneticPr fontId="14"/>
  </si>
  <si>
    <t>バッチマージ日付計算</t>
    <rPh sb="6" eb="8">
      <t>ヒヅケ</t>
    </rPh>
    <rPh sb="8" eb="10">
      <t>ケイサン</t>
    </rPh>
    <phoneticPr fontId="14"/>
  </si>
  <si>
    <t>歩留り</t>
    <rPh sb="0" eb="1">
      <t>フ</t>
    </rPh>
    <rPh sb="1" eb="2">
      <t>トド</t>
    </rPh>
    <phoneticPr fontId="14"/>
  </si>
  <si>
    <t>歩留り率</t>
    <rPh sb="3" eb="4">
      <t>リツ</t>
    </rPh>
    <phoneticPr fontId="14"/>
  </si>
  <si>
    <t>CW品目</t>
    <rPh sb="2" eb="4">
      <t>ヒンモク</t>
    </rPh>
    <phoneticPr fontId="14"/>
  </si>
  <si>
    <t>CW単位</t>
    <rPh sb="2" eb="4">
      <t>タンイ</t>
    </rPh>
    <phoneticPr fontId="14"/>
  </si>
  <si>
    <t>名目数量</t>
    <rPh sb="0" eb="2">
      <t>メイモク</t>
    </rPh>
    <rPh sb="2" eb="4">
      <t>スウリョウ</t>
    </rPh>
    <phoneticPr fontId="14"/>
  </si>
  <si>
    <t>最小数量</t>
    <rPh sb="0" eb="2">
      <t>サイショウ</t>
    </rPh>
    <rPh sb="2" eb="4">
      <t>スウリョウ</t>
    </rPh>
    <phoneticPr fontId="14"/>
  </si>
  <si>
    <t>最大数量</t>
    <rPh sb="0" eb="2">
      <t>サイダイ</t>
    </rPh>
    <rPh sb="2" eb="4">
      <t>スウリョウ</t>
    </rPh>
    <phoneticPr fontId="14"/>
  </si>
  <si>
    <t>製品コンプライアンス</t>
    <rPh sb="0" eb="2">
      <t>セイヒン</t>
    </rPh>
    <phoneticPr fontId="14"/>
  </si>
  <si>
    <t>規制製品</t>
    <rPh sb="0" eb="2">
      <t>キセイ</t>
    </rPh>
    <rPh sb="2" eb="4">
      <t>セイヒン</t>
    </rPh>
    <phoneticPr fontId="14"/>
  </si>
  <si>
    <t>制限製品</t>
    <rPh sb="0" eb="2">
      <t>セイゲン</t>
    </rPh>
    <rPh sb="2" eb="4">
      <t>セイヒン</t>
    </rPh>
    <phoneticPr fontId="14"/>
  </si>
  <si>
    <t>危険物</t>
    <rPh sb="0" eb="2">
      <t>キケン</t>
    </rPh>
    <rPh sb="2" eb="3">
      <t>ブツ</t>
    </rPh>
    <phoneticPr fontId="14"/>
  </si>
  <si>
    <t>危険物</t>
    <rPh sb="0" eb="3">
      <t>キケンブツ</t>
    </rPh>
    <phoneticPr fontId="14"/>
  </si>
  <si>
    <t>BOM単位</t>
    <rPh sb="3" eb="5">
      <t>タンイ</t>
    </rPh>
    <phoneticPr fontId="14"/>
  </si>
  <si>
    <t>定量仕損</t>
    <rPh sb="0" eb="2">
      <t>テイリョウ</t>
    </rPh>
    <rPh sb="2" eb="4">
      <t>シソンジ</t>
    </rPh>
    <phoneticPr fontId="14"/>
  </si>
  <si>
    <t>変動仕損</t>
    <rPh sb="0" eb="2">
      <t>ヘンドウ</t>
    </rPh>
    <rPh sb="2" eb="4">
      <t>シソンジ</t>
    </rPh>
    <phoneticPr fontId="14"/>
  </si>
  <si>
    <t>原価計算レベル</t>
    <rPh sb="0" eb="2">
      <t>ゲンカ</t>
    </rPh>
    <rPh sb="2" eb="4">
      <t>ケイサン</t>
    </rPh>
    <phoneticPr fontId="14"/>
  </si>
  <si>
    <t>計画レベル</t>
    <rPh sb="0" eb="2">
      <t>ケイカク</t>
    </rPh>
    <phoneticPr fontId="14"/>
  </si>
  <si>
    <t>ファントム</t>
    <phoneticPr fontId="14"/>
  </si>
  <si>
    <t>自動完了報告</t>
    <rPh sb="0" eb="2">
      <t>ジドウ</t>
    </rPh>
    <rPh sb="2" eb="4">
      <t>カンリョウ</t>
    </rPh>
    <rPh sb="4" eb="6">
      <t>ホウコク</t>
    </rPh>
    <phoneticPr fontId="14"/>
  </si>
  <si>
    <t>測定</t>
    <rPh sb="0" eb="2">
      <t>ソクテイ</t>
    </rPh>
    <phoneticPr fontId="14"/>
  </si>
  <si>
    <t>ツリー階層数</t>
    <rPh sb="3" eb="5">
      <t>カイソウ</t>
    </rPh>
    <rPh sb="5" eb="6">
      <t>スウ</t>
    </rPh>
    <phoneticPr fontId="14"/>
  </si>
  <si>
    <t>密度</t>
    <rPh sb="0" eb="2">
      <t>ミツド</t>
    </rPh>
    <phoneticPr fontId="14"/>
  </si>
  <si>
    <t>計算</t>
    <rPh sb="0" eb="2">
      <t>ケイサン</t>
    </rPh>
    <phoneticPr fontId="14"/>
  </si>
  <si>
    <t>計算グループ</t>
    <rPh sb="0" eb="2">
      <t>ケイサン</t>
    </rPh>
    <phoneticPr fontId="14"/>
  </si>
  <si>
    <t>生産管理グループ</t>
    <rPh sb="0" eb="2">
      <t>セイサン</t>
    </rPh>
    <rPh sb="2" eb="4">
      <t>カンリ</t>
    </rPh>
    <phoneticPr fontId="14"/>
  </si>
  <si>
    <t>生産グループ</t>
    <rPh sb="0" eb="2">
      <t>セイサン</t>
    </rPh>
    <phoneticPr fontId="14"/>
  </si>
  <si>
    <t>プロパティ</t>
    <phoneticPr fontId="14"/>
  </si>
  <si>
    <t>着荷</t>
    <rPh sb="0" eb="2">
      <t>チャクニ</t>
    </rPh>
    <phoneticPr fontId="14"/>
  </si>
  <si>
    <t>部品消費ルール</t>
    <rPh sb="0" eb="2">
      <t>ブヒン</t>
    </rPh>
    <rPh sb="2" eb="4">
      <t>ショウヒ</t>
    </rPh>
    <phoneticPr fontId="14"/>
  </si>
  <si>
    <t>フォーミュラー計画</t>
    <rPh sb="7" eb="9">
      <t>ケイカク</t>
    </rPh>
    <phoneticPr fontId="14"/>
  </si>
  <si>
    <t>生産タイプ</t>
    <rPh sb="0" eb="2">
      <t>セイサン</t>
    </rPh>
    <phoneticPr fontId="14"/>
  </si>
  <si>
    <t>計画フォーミュラー</t>
    <rPh sb="0" eb="2">
      <t>ケイカク</t>
    </rPh>
    <phoneticPr fontId="14"/>
  </si>
  <si>
    <t>補充グループ</t>
    <rPh sb="0" eb="2">
      <t>ホジュウ</t>
    </rPh>
    <phoneticPr fontId="14"/>
  </si>
  <si>
    <t>品目グループ</t>
    <phoneticPr fontId="14"/>
  </si>
  <si>
    <t>原価設定</t>
    <rPh sb="0" eb="2">
      <t>ゲンカ</t>
    </rPh>
    <rPh sb="2" eb="4">
      <t>セッテイ</t>
    </rPh>
    <phoneticPr fontId="14"/>
  </si>
  <si>
    <t>原価グループ</t>
    <rPh sb="0" eb="2">
      <t>ゲンカ</t>
    </rPh>
    <phoneticPr fontId="14"/>
  </si>
  <si>
    <t>バリアント別原価価格の使用</t>
    <rPh sb="5" eb="6">
      <t>ベツ</t>
    </rPh>
    <rPh sb="6" eb="8">
      <t>ゲンカ</t>
    </rPh>
    <rPh sb="8" eb="10">
      <t>カカク</t>
    </rPh>
    <rPh sb="11" eb="13">
      <t>シヨウ</t>
    </rPh>
    <phoneticPr fontId="14"/>
  </si>
  <si>
    <t>最新原価価格</t>
    <rPh sb="0" eb="2">
      <t>サイシン</t>
    </rPh>
    <rPh sb="2" eb="4">
      <t>ゲンカ</t>
    </rPh>
    <rPh sb="4" eb="6">
      <t>カカク</t>
    </rPh>
    <phoneticPr fontId="14"/>
  </si>
  <si>
    <t>ABC分類</t>
    <rPh sb="3" eb="5">
      <t>ブンルイ</t>
    </rPh>
    <phoneticPr fontId="14"/>
  </si>
  <si>
    <t>保証金</t>
    <rPh sb="0" eb="2">
      <t>ホショウ</t>
    </rPh>
    <rPh sb="2" eb="3">
      <t>キン</t>
    </rPh>
    <phoneticPr fontId="14"/>
  </si>
  <si>
    <t>在庫維持費</t>
    <rPh sb="0" eb="2">
      <t>ザイコ</t>
    </rPh>
    <rPh sb="2" eb="4">
      <t>イジ</t>
    </rPh>
    <rPh sb="4" eb="5">
      <t>ヒ</t>
    </rPh>
    <phoneticPr fontId="14"/>
  </si>
  <si>
    <t>単位順序グループID</t>
    <rPh sb="0" eb="2">
      <t>タンイ</t>
    </rPh>
    <rPh sb="2" eb="4">
      <t>ジュンジョ</t>
    </rPh>
    <phoneticPr fontId="14"/>
  </si>
  <si>
    <t>最大ピック数量</t>
    <rPh sb="0" eb="2">
      <t>サイダイ</t>
    </rPh>
    <rPh sb="5" eb="7">
      <t>スウリョウ</t>
    </rPh>
    <phoneticPr fontId="14"/>
  </si>
  <si>
    <t>梱包サイズカテゴリID</t>
    <rPh sb="0" eb="2">
      <t>コンポウ</t>
    </rPh>
    <phoneticPr fontId="14"/>
  </si>
  <si>
    <t>現物分析コードグループID</t>
    <rPh sb="0" eb="2">
      <t>ゲンブツ</t>
    </rPh>
    <rPh sb="2" eb="4">
      <t>ブンセキ</t>
    </rPh>
    <phoneticPr fontId="14"/>
  </si>
  <si>
    <t>製品の固定の場所</t>
    <rPh sb="0" eb="2">
      <t>セイヒン</t>
    </rPh>
    <rPh sb="3" eb="5">
      <t>コテイ</t>
    </rPh>
    <rPh sb="6" eb="8">
      <t>バショ</t>
    </rPh>
    <phoneticPr fontId="14"/>
  </si>
  <si>
    <t>製品フィルターコード</t>
    <rPh sb="0" eb="2">
      <t>セイヒン</t>
    </rPh>
    <phoneticPr fontId="14"/>
  </si>
  <si>
    <t>コード１</t>
    <phoneticPr fontId="14"/>
  </si>
  <si>
    <t>コード２</t>
    <phoneticPr fontId="14"/>
  </si>
  <si>
    <t>コード３</t>
  </si>
  <si>
    <t>コード４</t>
  </si>
  <si>
    <t>コード５</t>
  </si>
  <si>
    <t>コード６</t>
  </si>
  <si>
    <t>コード７</t>
  </si>
  <si>
    <t>コード８</t>
  </si>
  <si>
    <t>コード９</t>
  </si>
  <si>
    <t>コード１０</t>
  </si>
  <si>
    <t>フィルター コードのグループ化</t>
    <phoneticPr fontId="14"/>
  </si>
  <si>
    <t>グループ １</t>
    <phoneticPr fontId="14"/>
  </si>
  <si>
    <t>グループ ２</t>
    <phoneticPr fontId="14"/>
  </si>
  <si>
    <t>ライセンス プレートの場所での材料のピッキング</t>
    <phoneticPr fontId="14"/>
  </si>
  <si>
    <t>ライセンス プレートの場所に対する原材料ピッキングのルールをコンフィギュレーションします。注文した数量のみピッキングされるよう指定する場合は、注文ピッキングを選択します。数量全体がライセンス プレートからピッキングされるよう指定する場合は、ステージングを選択します。</t>
    <phoneticPr fontId="14"/>
  </si>
  <si>
    <t>ピッキング ワーク センターでマイナスを許可します</t>
    <phoneticPr fontId="14"/>
  </si>
  <si>
    <t>製品が生産にピッキングされる場合、製品の負の数量を許可するためにはこのオプションを選択します。現物マイナス在庫を許可すると、製品が生産でバック フラッシュされる際に発生するブロックの問題を回避するのに役立ちます。これは、たとえば、定期的にしか追跡されない低価額材料に関連します。材料が消費される倉庫の在庫モデル グループ、および原材料ピッキングの場所のディレクティブに現物マイナス在庫を許可することと組み合わせてこのオプションを選択する必要があります。</t>
    <phoneticPr fontId="14"/>
  </si>
  <si>
    <t>既定の生産または受け入れ数量</t>
    <rPh sb="0" eb="2">
      <t>キテイ</t>
    </rPh>
    <rPh sb="3" eb="5">
      <t>セイサン</t>
    </rPh>
    <rPh sb="8" eb="9">
      <t>ウ</t>
    </rPh>
    <rPh sb="10" eb="11">
      <t>イ</t>
    </rPh>
    <rPh sb="12" eb="14">
      <t>スウリョウ</t>
    </rPh>
    <phoneticPr fontId="14"/>
  </si>
  <si>
    <t>STCCコード</t>
    <phoneticPr fontId="14"/>
  </si>
  <si>
    <t>統一税率スケジュール</t>
    <phoneticPr fontId="14"/>
  </si>
  <si>
    <t>梱包クラスID</t>
    <rPh sb="0" eb="2">
      <t>コンポウ</t>
    </rPh>
    <phoneticPr fontId="14"/>
  </si>
  <si>
    <t>ユニットに対する制限</t>
    <rPh sb="5" eb="6">
      <t>タイ</t>
    </rPh>
    <rPh sb="8" eb="10">
      <t>セイゲン</t>
    </rPh>
    <phoneticPr fontId="14"/>
  </si>
  <si>
    <t>バリアントの棚ラベルを印刷する</t>
    <rPh sb="6" eb="7">
      <t>タナ</t>
    </rPh>
    <rPh sb="11" eb="13">
      <t>インサツ</t>
    </rPh>
    <phoneticPr fontId="14"/>
  </si>
  <si>
    <t>比較価格</t>
    <rPh sb="0" eb="2">
      <t>ヒカク</t>
    </rPh>
    <rPh sb="2" eb="4">
      <t>カカク</t>
    </rPh>
    <phoneticPr fontId="14"/>
  </si>
  <si>
    <t>基本比較単位</t>
    <rPh sb="0" eb="2">
      <t>キホン</t>
    </rPh>
    <rPh sb="2" eb="4">
      <t>ヒカク</t>
    </rPh>
    <rPh sb="4" eb="6">
      <t>タンイ</t>
    </rPh>
    <phoneticPr fontId="14"/>
  </si>
  <si>
    <t>レジスターでブロック</t>
    <phoneticPr fontId="14"/>
  </si>
  <si>
    <t>ブロックされた日付</t>
    <rPh sb="7" eb="9">
      <t>ヒヅケ</t>
    </rPh>
    <phoneticPr fontId="14"/>
  </si>
  <si>
    <t>ブロックされる日付</t>
    <rPh sb="7" eb="9">
      <t>ヒヅケ</t>
    </rPh>
    <phoneticPr fontId="14"/>
  </si>
  <si>
    <t>バーコード</t>
    <phoneticPr fontId="14"/>
  </si>
  <si>
    <t>バーコード設定</t>
    <rPh sb="5" eb="7">
      <t>セッテイ</t>
    </rPh>
    <phoneticPr fontId="14"/>
  </si>
  <si>
    <t>有効化</t>
    <rPh sb="0" eb="2">
      <t>ユウコウ</t>
    </rPh>
    <rPh sb="2" eb="3">
      <t>カ</t>
    </rPh>
    <phoneticPr fontId="14"/>
  </si>
  <si>
    <t>発行日</t>
    <rPh sb="0" eb="2">
      <t>ハッコウ</t>
    </rPh>
    <rPh sb="2" eb="3">
      <t>ヒ</t>
    </rPh>
    <phoneticPr fontId="14"/>
  </si>
  <si>
    <t>製品の有効期間</t>
    <rPh sb="0" eb="2">
      <t>セイヒン</t>
    </rPh>
    <rPh sb="3" eb="5">
      <t>ユウコウ</t>
    </rPh>
    <rPh sb="5" eb="7">
      <t>キカン</t>
    </rPh>
    <phoneticPr fontId="14"/>
  </si>
  <si>
    <t>季節</t>
    <rPh sb="0" eb="2">
      <t>キセツ</t>
    </rPh>
    <phoneticPr fontId="14"/>
  </si>
  <si>
    <t>発効日</t>
    <rPh sb="0" eb="2">
      <t>ハッコウ</t>
    </rPh>
    <rPh sb="2" eb="3">
      <t>ヒ</t>
    </rPh>
    <phoneticPr fontId="14"/>
  </si>
  <si>
    <t>失効日</t>
    <rPh sb="0" eb="2">
      <t>シッコウ</t>
    </rPh>
    <rPh sb="2" eb="3">
      <t>ヒ</t>
    </rPh>
    <phoneticPr fontId="14"/>
  </si>
  <si>
    <t>POSレジスター</t>
    <phoneticPr fontId="14"/>
  </si>
  <si>
    <t>スケール製品</t>
    <rPh sb="4" eb="6">
      <t>セイヒン</t>
    </rPh>
    <phoneticPr fontId="14"/>
  </si>
  <si>
    <t>価格の入力</t>
    <rPh sb="0" eb="2">
      <t>カカク</t>
    </rPh>
    <rPh sb="3" eb="5">
      <t>ニュウリョク</t>
    </rPh>
    <phoneticPr fontId="14"/>
  </si>
  <si>
    <t>数量の入力</t>
    <rPh sb="0" eb="2">
      <t>スウリョウ</t>
    </rPh>
    <rPh sb="3" eb="5">
      <t>ニュウリョク</t>
    </rPh>
    <phoneticPr fontId="14"/>
  </si>
  <si>
    <t>コメント入力が必要</t>
    <rPh sb="4" eb="6">
      <t>ニュウリョク</t>
    </rPh>
    <rPh sb="7" eb="9">
      <t>ヒツヨウ</t>
    </rPh>
    <phoneticPr fontId="14"/>
  </si>
  <si>
    <t>ゼロ価格は有効</t>
    <rPh sb="2" eb="4">
      <t>カカク</t>
    </rPh>
    <rPh sb="5" eb="7">
      <t>ユウコウ</t>
    </rPh>
    <phoneticPr fontId="14"/>
  </si>
  <si>
    <t>数量がマイナスになる</t>
    <rPh sb="0" eb="2">
      <t>スウリョウ</t>
    </rPh>
    <phoneticPr fontId="14"/>
  </si>
  <si>
    <t>すべての割引を禁止</t>
    <rPh sb="4" eb="6">
      <t>ワリビキ</t>
    </rPh>
    <rPh sb="7" eb="9">
      <t>キンシ</t>
    </rPh>
    <phoneticPr fontId="14"/>
  </si>
  <si>
    <t>手動割引を禁止</t>
    <rPh sb="0" eb="2">
      <t>シュドウ</t>
    </rPh>
    <rPh sb="2" eb="4">
      <t>ワリビキ</t>
    </rPh>
    <rPh sb="5" eb="7">
      <t>キンシ</t>
    </rPh>
    <phoneticPr fontId="14"/>
  </si>
  <si>
    <t>小売割引を禁止</t>
    <rPh sb="0" eb="2">
      <t>コウ</t>
    </rPh>
    <rPh sb="2" eb="4">
      <t>ワリビキ</t>
    </rPh>
    <rPh sb="5" eb="7">
      <t>キンシ</t>
    </rPh>
    <phoneticPr fontId="14"/>
  </si>
  <si>
    <t>支払/入金ベースの割引を禁止</t>
    <phoneticPr fontId="14"/>
  </si>
  <si>
    <t>全般</t>
    <rPh sb="0" eb="2">
      <t>ゼンパン</t>
    </rPh>
    <phoneticPr fontId="14"/>
  </si>
  <si>
    <t>輸送管理プロセスの使用</t>
    <rPh sb="0" eb="2">
      <t>ユソウ</t>
    </rPh>
    <rPh sb="2" eb="4">
      <t>カンリ</t>
    </rPh>
    <rPh sb="9" eb="11">
      <t>シヨウ</t>
    </rPh>
    <phoneticPr fontId="14"/>
  </si>
  <si>
    <t>コンフィギュレーション テクノロジ</t>
    <phoneticPr fontId="14"/>
  </si>
  <si>
    <t>製品マスターのコンフィギュレーション テクノロジ。コンフィギュレーション テクノロジを製品マスターに関連付け、製品バリアントをコンフィギュレーションするために使用します。</t>
    <phoneticPr fontId="14"/>
  </si>
  <si>
    <t>既存の製品バリアントと同一の製品バリアントを製品マスターに対して作成できるようにするには、このオプションを選択します。このオプションは、製品マスターに対するコンフィギュレーション テクノロジが分析コードベースのコンフィギュレーションに設定されている場合にのみ使用できます。</t>
    <phoneticPr fontId="14"/>
  </si>
  <si>
    <t>既定の製品バリアント</t>
    <rPh sb="0" eb="2">
      <t>キテイ</t>
    </rPh>
    <rPh sb="3" eb="5">
      <t>セイヒン</t>
    </rPh>
    <phoneticPr fontId="14"/>
  </si>
  <si>
    <t>製品に関連付けられている品目モデル グループを表示します。品目モデル グループは、品目の受入と払出で製品をどのように処理するかをを制御します。品目モデル グループには、負の在庫を許可または禁止する設定が含まれます。小売製品では、[倉庫] ページの [財務マイナス在庫] および [現物マイナス在庫] オプションは、これらの品目モデル グループに対する設定を上書きしますが、小売店舗として指定されている倉庫に限られます。小売店舗として指定されていない倉庫に対しては、製品の品目モデル グループの設定が適用されます。</t>
    <phoneticPr fontId="14"/>
  </si>
  <si>
    <t>品目に割り当てられている棚卸理由コード ポリシー。</t>
    <phoneticPr fontId="14"/>
  </si>
  <si>
    <t>品目が関連付けられている詳細なメモ グループ</t>
    <phoneticPr fontId="14"/>
  </si>
  <si>
    <t>「製品」側からリリースすると、製品側での入力値が引き継がれる</t>
    <rPh sb="1" eb="3">
      <t>セイヒン</t>
    </rPh>
    <rPh sb="4" eb="5">
      <t>ガワ</t>
    </rPh>
    <rPh sb="15" eb="17">
      <t>セイヒン</t>
    </rPh>
    <rPh sb="17" eb="18">
      <t>ガワ</t>
    </rPh>
    <rPh sb="20" eb="22">
      <t>ニュウリョク</t>
    </rPh>
    <rPh sb="22" eb="23">
      <t>チ</t>
    </rPh>
    <rPh sb="24" eb="25">
      <t>ヒ</t>
    </rPh>
    <rPh sb="26" eb="27">
      <t>ツ</t>
    </rPh>
    <phoneticPr fontId="14"/>
  </si>
  <si>
    <t>「製品」側からリリースすると、製品側での入力値が引き継がれる
製品タイプ：サービス、製品サブタイプ：製品
の場合に選択可能なため、リリースされた製品画面では入力不可</t>
    <rPh sb="1" eb="3">
      <t>セイヒン</t>
    </rPh>
    <rPh sb="4" eb="5">
      <t>ガワ</t>
    </rPh>
    <rPh sb="15" eb="17">
      <t>セイヒン</t>
    </rPh>
    <rPh sb="17" eb="18">
      <t>ガワ</t>
    </rPh>
    <rPh sb="20" eb="22">
      <t>ニュウリョク</t>
    </rPh>
    <rPh sb="22" eb="23">
      <t>チ</t>
    </rPh>
    <rPh sb="24" eb="25">
      <t>ヒ</t>
    </rPh>
    <rPh sb="26" eb="27">
      <t>ツ</t>
    </rPh>
    <rPh sb="72" eb="74">
      <t>セイヒン</t>
    </rPh>
    <rPh sb="74" eb="76">
      <t>ガメン</t>
    </rPh>
    <rPh sb="78" eb="80">
      <t>ニュウリョク</t>
    </rPh>
    <rPh sb="80" eb="82">
      <t>フカ</t>
    </rPh>
    <phoneticPr fontId="14"/>
  </si>
  <si>
    <t>「製品」側からリリースすると、製品側での入力値が引き継がれる
※製品側のメニューからでないと変更不可</t>
    <rPh sb="1" eb="3">
      <t>セイヒン</t>
    </rPh>
    <rPh sb="4" eb="5">
      <t>ガワ</t>
    </rPh>
    <rPh sb="15" eb="17">
      <t>セイヒン</t>
    </rPh>
    <rPh sb="17" eb="18">
      <t>ガワ</t>
    </rPh>
    <rPh sb="20" eb="22">
      <t>ニュウリョク</t>
    </rPh>
    <rPh sb="22" eb="23">
      <t>チ</t>
    </rPh>
    <rPh sb="24" eb="25">
      <t>ヒ</t>
    </rPh>
    <rPh sb="26" eb="27">
      <t>ツ</t>
    </rPh>
    <rPh sb="32" eb="34">
      <t>セイヒン</t>
    </rPh>
    <rPh sb="34" eb="35">
      <t>ガワ</t>
    </rPh>
    <rPh sb="46" eb="48">
      <t>ヘンコウ</t>
    </rPh>
    <rPh sb="48" eb="50">
      <t>フカ</t>
    </rPh>
    <phoneticPr fontId="14"/>
  </si>
  <si>
    <t>品目モデルグループ（ユーザー定義）</t>
    <phoneticPr fontId="14"/>
  </si>
  <si>
    <t>製品ライフサイクルの状態（ユーザー定義）</t>
    <rPh sb="0" eb="2">
      <t>セイヒン</t>
    </rPh>
    <rPh sb="10" eb="12">
      <t>ジョウタイ</t>
    </rPh>
    <phoneticPr fontId="14"/>
  </si>
  <si>
    <t>詳細なメモグループ（ユーザー定義）</t>
    <rPh sb="0" eb="2">
      <t>ショウサイ</t>
    </rPh>
    <phoneticPr fontId="14"/>
  </si>
  <si>
    <t>製品受領書の数量が注文の数量を超過できる割合。</t>
    <rPh sb="0" eb="2">
      <t>セイヒン</t>
    </rPh>
    <rPh sb="2" eb="4">
      <t>ジュリョウ</t>
    </rPh>
    <rPh sb="4" eb="5">
      <t>ショ</t>
    </rPh>
    <rPh sb="6" eb="8">
      <t>スウリョウ</t>
    </rPh>
    <rPh sb="9" eb="11">
      <t>チュウモン</t>
    </rPh>
    <rPh sb="12" eb="14">
      <t>スウリョウ</t>
    </rPh>
    <rPh sb="15" eb="17">
      <t>チョウカ</t>
    </rPh>
    <rPh sb="20" eb="22">
      <t>ワリアイ</t>
    </rPh>
    <phoneticPr fontId="14"/>
  </si>
  <si>
    <t>製品受領書の数量が注文の数量を下回ることができる割合。</t>
    <rPh sb="0" eb="2">
      <t>セイヒン</t>
    </rPh>
    <rPh sb="2" eb="4">
      <t>ジュリョウ</t>
    </rPh>
    <rPh sb="4" eb="5">
      <t>ショ</t>
    </rPh>
    <rPh sb="6" eb="8">
      <t>スウリョウ</t>
    </rPh>
    <rPh sb="9" eb="11">
      <t>チュウモン</t>
    </rPh>
    <rPh sb="12" eb="14">
      <t>スウリョウ</t>
    </rPh>
    <rPh sb="15" eb="17">
      <t>シタマワ</t>
    </rPh>
    <rPh sb="24" eb="26">
      <t>ワリアイ</t>
    </rPh>
    <phoneticPr fontId="14"/>
  </si>
  <si>
    <t>会社間トランザクションを停止するには、このオプションを選択します。</t>
    <rPh sb="0" eb="2">
      <t>カイシャ</t>
    </rPh>
    <rPh sb="2" eb="3">
      <t>カン</t>
    </rPh>
    <rPh sb="12" eb="14">
      <t>テイシ</t>
    </rPh>
    <rPh sb="27" eb="29">
      <t>センタク</t>
    </rPh>
    <phoneticPr fontId="14"/>
  </si>
  <si>
    <t>従業員と製品を購買と関連付けるための購入担当グループを選択します。</t>
    <rPh sb="0" eb="3">
      <t>ジュウギョウイン</t>
    </rPh>
    <rPh sb="4" eb="6">
      <t>セイヒン</t>
    </rPh>
    <rPh sb="7" eb="9">
      <t>コウバイ</t>
    </rPh>
    <rPh sb="10" eb="12">
      <t>カンレン</t>
    </rPh>
    <rPh sb="12" eb="13">
      <t>ヅ</t>
    </rPh>
    <rPh sb="18" eb="20">
      <t>コウニュウ</t>
    </rPh>
    <rPh sb="20" eb="22">
      <t>タントウ</t>
    </rPh>
    <rPh sb="27" eb="29">
      <t>センタク</t>
    </rPh>
    <phoneticPr fontId="14"/>
  </si>
  <si>
    <t>請求書の照合に使用する価格許容範囲品目グループを選択します。</t>
    <rPh sb="0" eb="3">
      <t>セイキュウショ</t>
    </rPh>
    <rPh sb="4" eb="6">
      <t>ショウゴウ</t>
    </rPh>
    <rPh sb="7" eb="9">
      <t>シヨウ</t>
    </rPh>
    <rPh sb="11" eb="13">
      <t>カカク</t>
    </rPh>
    <rPh sb="13" eb="15">
      <t>キョヨウ</t>
    </rPh>
    <rPh sb="15" eb="17">
      <t>ハンイ</t>
    </rPh>
    <rPh sb="17" eb="19">
      <t>ヒンモク</t>
    </rPh>
    <rPh sb="24" eb="26">
      <t>センタク</t>
    </rPh>
    <phoneticPr fontId="14"/>
  </si>
  <si>
    <t>システムが製品の最新の発注書の単価を使用して [価格] フィールドの価格を更新することを示す場合は、このオプションを選択します。この更新は割引および雑費を除外します。[価格] フィールドの新しい値は、次回製品が発注書に含まれるときに適用される既定の単価になります。</t>
    <phoneticPr fontId="14"/>
  </si>
  <si>
    <t>製品の価格が最後に変更された日付。価格は、手動または販売注文や発注書の更新時に変更できます。</t>
    <rPh sb="0" eb="2">
      <t>セイヒン</t>
    </rPh>
    <rPh sb="3" eb="5">
      <t>カカク</t>
    </rPh>
    <rPh sb="6" eb="8">
      <t>サイゴ</t>
    </rPh>
    <rPh sb="9" eb="11">
      <t>ヘンコウ</t>
    </rPh>
    <rPh sb="14" eb="16">
      <t>ヒヅケ</t>
    </rPh>
    <rPh sb="17" eb="19">
      <t>カカク</t>
    </rPh>
    <rPh sb="21" eb="23">
      <t>シュドウ</t>
    </rPh>
    <rPh sb="26" eb="28">
      <t>ハンバイ</t>
    </rPh>
    <rPh sb="28" eb="30">
      <t>チュウモン</t>
    </rPh>
    <rPh sb="31" eb="34">
      <t>ハッチュウショ</t>
    </rPh>
    <rPh sb="35" eb="37">
      <t>コウシン</t>
    </rPh>
    <rPh sb="37" eb="38">
      <t>ジ</t>
    </rPh>
    <rPh sb="39" eb="41">
      <t>ヘンコウ</t>
    </rPh>
    <phoneticPr fontId="14"/>
  </si>
  <si>
    <t>標準通貨金額（国の通貨）</t>
    <rPh sb="0" eb="2">
      <t>ヒョウジュン</t>
    </rPh>
    <rPh sb="2" eb="4">
      <t>ツウカ</t>
    </rPh>
    <rPh sb="4" eb="6">
      <t>キンガク</t>
    </rPh>
    <rPh sb="7" eb="8">
      <t>クニ</t>
    </rPh>
    <rPh sb="9" eb="11">
      <t>ツウカ</t>
    </rPh>
    <phoneticPr fontId="14"/>
  </si>
  <si>
    <t>価格が適用される単位数を入力します。発注書明細行、販売注文明細行、および在庫仕訳帳明細行を入力すると、各明細行に指定した数量の単価が変換されます。</t>
    <phoneticPr fontId="14"/>
  </si>
  <si>
    <t>価格に追加される固定金額。この金額は数量に関係なく追加されます。</t>
    <rPh sb="3" eb="5">
      <t>ツイカ</t>
    </rPh>
    <rPh sb="8" eb="10">
      <t>コテイ</t>
    </rPh>
    <rPh sb="10" eb="12">
      <t>キンガク</t>
    </rPh>
    <rPh sb="15" eb="17">
      <t>キンガク</t>
    </rPh>
    <rPh sb="18" eb="20">
      <t>スウリョウ</t>
    </rPh>
    <rPh sb="21" eb="23">
      <t>カンケイ</t>
    </rPh>
    <rPh sb="25" eb="27">
      <t>ツイカ</t>
    </rPh>
    <phoneticPr fontId="14"/>
  </si>
  <si>
    <t>指定した雑費を単位あたり価格に配賦する時に使用される数量。このフィールドは、[単価に含む]オプションが選択されている場合にのみ使用されます。</t>
    <rPh sb="0" eb="2">
      <t>シテイ</t>
    </rPh>
    <rPh sb="4" eb="6">
      <t>ザッピ</t>
    </rPh>
    <rPh sb="7" eb="9">
      <t>タンイ</t>
    </rPh>
    <rPh sb="12" eb="14">
      <t>カカク</t>
    </rPh>
    <rPh sb="15" eb="17">
      <t>ハイフ</t>
    </rPh>
    <rPh sb="19" eb="20">
      <t>トキ</t>
    </rPh>
    <rPh sb="21" eb="23">
      <t>シヨウ</t>
    </rPh>
    <rPh sb="26" eb="28">
      <t>スウリョウ</t>
    </rPh>
    <rPh sb="39" eb="41">
      <t>タンカ</t>
    </rPh>
    <rPh sb="42" eb="43">
      <t>フク</t>
    </rPh>
    <rPh sb="51" eb="53">
      <t>センタク</t>
    </rPh>
    <rPh sb="58" eb="60">
      <t>バアイ</t>
    </rPh>
    <rPh sb="63" eb="65">
      <t>シヨウ</t>
    </rPh>
    <phoneticPr fontId="14"/>
  </si>
  <si>
    <t>選択したオプションは、価格の請求金額が[諸費用数量]フィールドの数量で除算されることを示します。結果が[価格諸費用]フィールドの金額に追加されます。</t>
    <rPh sb="0" eb="2">
      <t>センタク</t>
    </rPh>
    <rPh sb="11" eb="13">
      <t>カカク</t>
    </rPh>
    <rPh sb="14" eb="16">
      <t>セイキュウ</t>
    </rPh>
    <rPh sb="16" eb="18">
      <t>キンガク</t>
    </rPh>
    <rPh sb="20" eb="23">
      <t>ショヒヨウ</t>
    </rPh>
    <rPh sb="23" eb="25">
      <t>スウリョウ</t>
    </rPh>
    <rPh sb="32" eb="34">
      <t>スウリョウ</t>
    </rPh>
    <rPh sb="35" eb="37">
      <t>ジョザン</t>
    </rPh>
    <rPh sb="43" eb="44">
      <t>シメ</t>
    </rPh>
    <rPh sb="48" eb="50">
      <t>ケッカ</t>
    </rPh>
    <rPh sb="52" eb="54">
      <t>カカク</t>
    </rPh>
    <rPh sb="54" eb="57">
      <t>ショヒヨウ</t>
    </rPh>
    <rPh sb="64" eb="66">
      <t>キンガク</t>
    </rPh>
    <rPh sb="67" eb="69">
      <t>ツイカ</t>
    </rPh>
    <phoneticPr fontId="14"/>
  </si>
  <si>
    <t>製品が関連付けられている行割引グループを指定します。行割引グループは、販売注文または発注書を作成する際に割引を計算するために使用されます。行割引は、割引対象の量に比例しています。たとえば、10 単位購入した場合、50 米ドルの金額が割引されます。20 単位購入した場合、100 米ドルの金額が割引されるなど。</t>
    <phoneticPr fontId="14"/>
  </si>
  <si>
    <t>製品が関連付けられている複数行割引を指定します。複数行割引グループは、販売注文または発注書を作成する際に割引を計算するために使用されます。</t>
    <phoneticPr fontId="14"/>
  </si>
  <si>
    <t>販売注文または発注書で割引合計を計算する際にこの製品を含めるには、このオプションを選択します。たとえば、10,000 米ドルを超える注文の合計は 1,000 米ドルの割引合計を促すことができます。</t>
    <phoneticPr fontId="14"/>
  </si>
  <si>
    <t>オプション: 製品に対応する提供品グループを指定します。たとえば、100 個の製品が購買または販売されると追加の製品という形式で特典を与える場合に提供品を使用します。</t>
    <phoneticPr fontId="14"/>
  </si>
  <si>
    <t>単位（ユーザー定義）</t>
    <rPh sb="0" eb="2">
      <t>タンイ</t>
    </rPh>
    <phoneticPr fontId="14"/>
  </si>
  <si>
    <t>購入担当グループ（ユーザー定義）</t>
  </si>
  <si>
    <t>価格許容範囲品目グループ（ユーザー定義）</t>
  </si>
  <si>
    <t>購入担当グループ（ユーザー定義）</t>
    <phoneticPr fontId="14"/>
  </si>
  <si>
    <t>価格許容範囲品目グループ（ユーザー定義）</t>
    <phoneticPr fontId="14"/>
  </si>
  <si>
    <t>既定の仕入先となる。
販売注文から発注書作成時などで、対象の製品に対して既定値としてここで設定した仕入先が入る。</t>
    <rPh sb="0" eb="2">
      <t>キテイ</t>
    </rPh>
    <rPh sb="3" eb="6">
      <t>シイレサキ</t>
    </rPh>
    <rPh sb="11" eb="13">
      <t>ハンバイ</t>
    </rPh>
    <rPh sb="13" eb="15">
      <t>チュウモン</t>
    </rPh>
    <rPh sb="17" eb="20">
      <t>ハッチュウショ</t>
    </rPh>
    <rPh sb="20" eb="22">
      <t>サクセイ</t>
    </rPh>
    <rPh sb="22" eb="23">
      <t>ジ</t>
    </rPh>
    <rPh sb="27" eb="29">
      <t>タイショウ</t>
    </rPh>
    <rPh sb="30" eb="32">
      <t>セイヒン</t>
    </rPh>
    <rPh sb="33" eb="34">
      <t>タイ</t>
    </rPh>
    <rPh sb="36" eb="38">
      <t>キテイ</t>
    </rPh>
    <rPh sb="38" eb="39">
      <t>チ</t>
    </rPh>
    <rPh sb="45" eb="47">
      <t>セッテイ</t>
    </rPh>
    <rPh sb="49" eb="52">
      <t>シイレサキ</t>
    </rPh>
    <rPh sb="53" eb="54">
      <t>ハイ</t>
    </rPh>
    <phoneticPr fontId="14"/>
  </si>
  <si>
    <t>品目消費税グループ（ユーザー定義）</t>
    <rPh sb="0" eb="2">
      <t>ヒンモク</t>
    </rPh>
    <rPh sb="2" eb="5">
      <t>ショウヒゼイ</t>
    </rPh>
    <phoneticPr fontId="14"/>
  </si>
  <si>
    <t>既定の購買価格となる。
発注書作成時に対象の製品を選択すると、既定値としてここで設定した価格が入る。</t>
    <rPh sb="0" eb="2">
      <t>キテイ</t>
    </rPh>
    <rPh sb="3" eb="5">
      <t>コウバイ</t>
    </rPh>
    <rPh sb="5" eb="7">
      <t>カカク</t>
    </rPh>
    <rPh sb="12" eb="15">
      <t>ハッチュウショ</t>
    </rPh>
    <rPh sb="15" eb="17">
      <t>サクセイ</t>
    </rPh>
    <rPh sb="17" eb="18">
      <t>ジ</t>
    </rPh>
    <rPh sb="19" eb="21">
      <t>タイショウ</t>
    </rPh>
    <rPh sb="22" eb="24">
      <t>セイヒン</t>
    </rPh>
    <rPh sb="25" eb="27">
      <t>センタク</t>
    </rPh>
    <rPh sb="40" eb="42">
      <t>セッテイ</t>
    </rPh>
    <rPh sb="44" eb="46">
      <t>カカク</t>
    </rPh>
    <rPh sb="47" eb="48">
      <t>ハイ</t>
    </rPh>
    <phoneticPr fontId="14"/>
  </si>
  <si>
    <t>行割引グループ（ユーザー定義）</t>
    <rPh sb="0" eb="1">
      <t>ギョウ</t>
    </rPh>
    <rPh sb="1" eb="3">
      <t>ワリビキ</t>
    </rPh>
    <phoneticPr fontId="14"/>
  </si>
  <si>
    <t>複数行割引グループ（ユーザー定義）</t>
    <rPh sb="0" eb="2">
      <t>フクスウ</t>
    </rPh>
    <rPh sb="2" eb="3">
      <t>ギョウ</t>
    </rPh>
    <rPh sb="3" eb="5">
      <t>ワリビキ</t>
    </rPh>
    <phoneticPr fontId="14"/>
  </si>
  <si>
    <t>仕入先リベート品目グループ（ユーザー定義）</t>
    <rPh sb="0" eb="3">
      <t>シイレサキ</t>
    </rPh>
    <rPh sb="7" eb="9">
      <t>ヒンモク</t>
    </rPh>
    <phoneticPr fontId="14"/>
  </si>
  <si>
    <t>確認なし
警告のみ
不許可</t>
    <rPh sb="0" eb="2">
      <t>カクニン</t>
    </rPh>
    <rPh sb="5" eb="7">
      <t>ケイコク</t>
    </rPh>
    <rPh sb="10" eb="13">
      <t>フキョカ</t>
    </rPh>
    <phoneticPr fontId="14"/>
  </si>
  <si>
    <t>確認なし</t>
    <rPh sb="0" eb="1">
      <t>カクニン</t>
    </rPh>
    <phoneticPr fontId="14"/>
  </si>
  <si>
    <t>確認なし：発注書作成時に仕入先の確認なしで発注書作成が可能（どの仕入先でも発注可能）
警告のみ：承認済の仕入先以外で発注書作成時に警告メッセージが表示される（警告メッセージを無視すれば度の仕入先でも発注可能）
不許可：承認済の仕入先以外での発注書作成が不可となる</t>
    <rPh sb="0" eb="2">
      <t>カクニン</t>
    </rPh>
    <rPh sb="5" eb="8">
      <t>ハッチュウショ</t>
    </rPh>
    <rPh sb="8" eb="10">
      <t>サクセイ</t>
    </rPh>
    <rPh sb="10" eb="11">
      <t>ジ</t>
    </rPh>
    <rPh sb="12" eb="15">
      <t>シイレサキ</t>
    </rPh>
    <rPh sb="16" eb="18">
      <t>カクニン</t>
    </rPh>
    <rPh sb="21" eb="24">
      <t>ハッチュウショ</t>
    </rPh>
    <rPh sb="24" eb="26">
      <t>サクセイ</t>
    </rPh>
    <rPh sb="27" eb="29">
      <t>カノウ</t>
    </rPh>
    <rPh sb="32" eb="35">
      <t>シイレサキ</t>
    </rPh>
    <rPh sb="37" eb="39">
      <t>ハッチュウ</t>
    </rPh>
    <rPh sb="39" eb="41">
      <t>カノウ</t>
    </rPh>
    <rPh sb="43" eb="45">
      <t>ケイコク</t>
    </rPh>
    <rPh sb="48" eb="50">
      <t>ショウニン</t>
    </rPh>
    <rPh sb="50" eb="51">
      <t>スミ</t>
    </rPh>
    <rPh sb="52" eb="55">
      <t>シイレサキ</t>
    </rPh>
    <rPh sb="55" eb="57">
      <t>イガイ</t>
    </rPh>
    <rPh sb="58" eb="61">
      <t>ハッチュウショ</t>
    </rPh>
    <rPh sb="61" eb="63">
      <t>サクセイ</t>
    </rPh>
    <rPh sb="63" eb="64">
      <t>ジ</t>
    </rPh>
    <rPh sb="65" eb="67">
      <t>ケイコク</t>
    </rPh>
    <rPh sb="73" eb="75">
      <t>ヒョウジ</t>
    </rPh>
    <rPh sb="79" eb="81">
      <t>ケイコク</t>
    </rPh>
    <rPh sb="87" eb="89">
      <t>ムシ</t>
    </rPh>
    <rPh sb="92" eb="93">
      <t>ド</t>
    </rPh>
    <rPh sb="94" eb="97">
      <t>シイレサキ</t>
    </rPh>
    <rPh sb="99" eb="101">
      <t>ハッチュウ</t>
    </rPh>
    <rPh sb="101" eb="103">
      <t>カノウ</t>
    </rPh>
    <rPh sb="105" eb="108">
      <t>フキョカ</t>
    </rPh>
    <rPh sb="109" eb="111">
      <t>ショウニン</t>
    </rPh>
    <rPh sb="111" eb="112">
      <t>スミ</t>
    </rPh>
    <rPh sb="113" eb="116">
      <t>シイレサキ</t>
    </rPh>
    <rPh sb="116" eb="118">
      <t>イガイ</t>
    </rPh>
    <rPh sb="120" eb="122">
      <t>ハッチュウ</t>
    </rPh>
    <rPh sb="122" eb="123">
      <t>ショ</t>
    </rPh>
    <rPh sb="123" eb="125">
      <t>サクセイ</t>
    </rPh>
    <rPh sb="126" eb="128">
      <t>フカ</t>
    </rPh>
    <phoneticPr fontId="14"/>
  </si>
  <si>
    <t>これは、現在のバージョンのクーポンではサポートされていないレガシーコンフィギュレーションです。</t>
    <rPh sb="4" eb="6">
      <t>ゲンザイ</t>
    </rPh>
    <phoneticPr fontId="14"/>
  </si>
  <si>
    <t>製品に関連付けられているコミッショングループ。コミッショングループは、販売を担当する営業員に与えられるコミッションを計算するために使用されます。</t>
    <rPh sb="0" eb="2">
      <t>セイヒン</t>
    </rPh>
    <rPh sb="3" eb="5">
      <t>カンレン</t>
    </rPh>
    <rPh sb="5" eb="6">
      <t>ヅ</t>
    </rPh>
    <rPh sb="35" eb="37">
      <t>ハンバイ</t>
    </rPh>
    <rPh sb="38" eb="40">
      <t>タントウ</t>
    </rPh>
    <rPh sb="42" eb="44">
      <t>エイギョウ</t>
    </rPh>
    <rPh sb="44" eb="45">
      <t>イン</t>
    </rPh>
    <rPh sb="46" eb="47">
      <t>アタ</t>
    </rPh>
    <rPh sb="58" eb="60">
      <t>ケイサン</t>
    </rPh>
    <rPh sb="65" eb="67">
      <t>シヨウ</t>
    </rPh>
    <phoneticPr fontId="14"/>
  </si>
  <si>
    <t>コミッション品目グループ（ユーザー定義）</t>
    <rPh sb="6" eb="8">
      <t>ヒンモク</t>
    </rPh>
    <phoneticPr fontId="14"/>
  </si>
  <si>
    <t>品目消費税グループ（ユーザー定義）</t>
    <phoneticPr fontId="14"/>
  </si>
  <si>
    <t>税の設定。
顧客マスタ側に設定される消費税グループとの組み合わせで税率が決まる。</t>
    <rPh sb="0" eb="1">
      <t>ゼイ</t>
    </rPh>
    <rPh sb="2" eb="4">
      <t>セッテイ</t>
    </rPh>
    <rPh sb="6" eb="8">
      <t>コキャク</t>
    </rPh>
    <rPh sb="11" eb="12">
      <t>ガワ</t>
    </rPh>
    <rPh sb="13" eb="15">
      <t>セッテイ</t>
    </rPh>
    <rPh sb="18" eb="21">
      <t>ショウヒゼイ</t>
    </rPh>
    <rPh sb="27" eb="28">
      <t>ク</t>
    </rPh>
    <rPh sb="29" eb="30">
      <t>ア</t>
    </rPh>
    <rPh sb="33" eb="35">
      <t>ゼイリツ</t>
    </rPh>
    <rPh sb="36" eb="37">
      <t>キ</t>
    </rPh>
    <phoneticPr fontId="14"/>
  </si>
  <si>
    <t>税の設定。
仕入先マスタ側に設定される消費税グループとの組み合わせで税率が決まる。</t>
    <rPh sb="0" eb="1">
      <t>ゼイ</t>
    </rPh>
    <rPh sb="2" eb="4">
      <t>セッテイ</t>
    </rPh>
    <rPh sb="6" eb="9">
      <t>シイレサキ</t>
    </rPh>
    <rPh sb="12" eb="13">
      <t>ガワ</t>
    </rPh>
    <rPh sb="14" eb="16">
      <t>セッテイ</t>
    </rPh>
    <rPh sb="19" eb="22">
      <t>ショウヒゼイ</t>
    </rPh>
    <rPh sb="28" eb="29">
      <t>ク</t>
    </rPh>
    <rPh sb="30" eb="31">
      <t>ア</t>
    </rPh>
    <rPh sb="34" eb="36">
      <t>ゼイリツ</t>
    </rPh>
    <rPh sb="37" eb="38">
      <t>キ</t>
    </rPh>
    <phoneticPr fontId="14"/>
  </si>
  <si>
    <t>製品の販売価格の調整を制御するために使用するモデルを選択します。[なし] に設定した場合、販売価格は生産原価および購買価格を考慮せずに変更されます。固定利益率を使用することにした場合は、[利益率] を選択します。次に、[利益率] フィールドで、販売価格の計算に使用する利益率を指定します。</t>
    <phoneticPr fontId="14"/>
  </si>
  <si>
    <t>なし
利益率
費用割合</t>
    <rPh sb="3" eb="5">
      <t>リエキ</t>
    </rPh>
    <rPh sb="5" eb="6">
      <t>リツ</t>
    </rPh>
    <rPh sb="7" eb="9">
      <t>ヒヨウ</t>
    </rPh>
    <rPh sb="9" eb="11">
      <t>ワリアイ</t>
    </rPh>
    <phoneticPr fontId="14"/>
  </si>
  <si>
    <t>販売価格の計算の基礎として購買価格または原価を使用するかどうかを選択します。[販売価格モデル] フィールドで [なし] を選択した場合、[基準価格] フィールドの値は使用されません。</t>
    <phoneticPr fontId="14"/>
  </si>
  <si>
    <t>購買価格
原価</t>
    <rPh sb="0" eb="2">
      <t>コウバイ</t>
    </rPh>
    <rPh sb="2" eb="4">
      <t>カカク</t>
    </rPh>
    <rPh sb="5" eb="7">
      <t>ゲンカ</t>
    </rPh>
    <phoneticPr fontId="14"/>
  </si>
  <si>
    <t>購買価格</t>
    <rPh sb="0" eb="2">
      <t>コウバイ</t>
    </rPh>
    <rPh sb="2" eb="4">
      <t>カカク</t>
    </rPh>
    <phoneticPr fontId="14"/>
  </si>
  <si>
    <t>[販売価格モデル] フィールドで [利益率] を選択した場合に、販売価格を計算するために使用する利益率を入力します。</t>
    <phoneticPr fontId="14"/>
  </si>
  <si>
    <t>既定の販売価格となる。
販売注文作成時に対象の製品を選択すると、既定値としてここで設定した価格が入る。</t>
    <rPh sb="0" eb="2">
      <t>キテイ</t>
    </rPh>
    <rPh sb="3" eb="5">
      <t>ハンバイ</t>
    </rPh>
    <rPh sb="5" eb="7">
      <t>カカク</t>
    </rPh>
    <rPh sb="12" eb="14">
      <t>ハンバイ</t>
    </rPh>
    <rPh sb="14" eb="16">
      <t>チュウモン</t>
    </rPh>
    <rPh sb="16" eb="18">
      <t>サクセイ</t>
    </rPh>
    <rPh sb="18" eb="19">
      <t>ジ</t>
    </rPh>
    <rPh sb="20" eb="22">
      <t>タイショウ</t>
    </rPh>
    <rPh sb="23" eb="25">
      <t>セイヒン</t>
    </rPh>
    <rPh sb="26" eb="28">
      <t>センタク</t>
    </rPh>
    <rPh sb="41" eb="43">
      <t>セッテイ</t>
    </rPh>
    <rPh sb="45" eb="47">
      <t>カカク</t>
    </rPh>
    <rPh sb="48" eb="49">
      <t>ハイ</t>
    </rPh>
    <phoneticPr fontId="14"/>
  </si>
  <si>
    <t>現在の製品に対して代替品目番号を使用する時期を指定するスケジュールを選択します。</t>
    <rPh sb="0" eb="2">
      <t>ゲンザイ</t>
    </rPh>
    <rPh sb="3" eb="5">
      <t>セイヒン</t>
    </rPh>
    <rPh sb="6" eb="7">
      <t>タイ</t>
    </rPh>
    <rPh sb="9" eb="11">
      <t>ダイタイ</t>
    </rPh>
    <rPh sb="11" eb="13">
      <t>ヒンモク</t>
    </rPh>
    <rPh sb="13" eb="15">
      <t>バンゴウ</t>
    </rPh>
    <rPh sb="16" eb="18">
      <t>シヨウ</t>
    </rPh>
    <rPh sb="20" eb="22">
      <t>ジキ</t>
    </rPh>
    <rPh sb="23" eb="25">
      <t>シテイ</t>
    </rPh>
    <rPh sb="34" eb="36">
      <t>センタク</t>
    </rPh>
    <phoneticPr fontId="14"/>
  </si>
  <si>
    <t>なし
在庫なし
常時</t>
    <rPh sb="3" eb="5">
      <t>ザイコ</t>
    </rPh>
    <rPh sb="8" eb="10">
      <t>ジョウジ</t>
    </rPh>
    <phoneticPr fontId="14"/>
  </si>
  <si>
    <t>[使用時] フィールドで [在庫なし] または [常時] を選択した場合は、使用する代替品目番号を選択します。</t>
    <phoneticPr fontId="14"/>
  </si>
  <si>
    <t>スケジュールID（ユーザー定義）</t>
    <phoneticPr fontId="14"/>
  </si>
  <si>
    <t>品目リベートグループ（ユーザー定義）</t>
    <phoneticPr fontId="14"/>
  </si>
  <si>
    <t>運賃配賦グループ（ユーザー定義）</t>
    <phoneticPr fontId="14"/>
  </si>
  <si>
    <t>見積数量を計算するために、元の在庫数量から差し引く負でない値を指定します。これにより推定在庫数量を在庫レベル プロファイルと比較して、在庫レベルを決定します。</t>
    <phoneticPr fontId="14"/>
  </si>
  <si>
    <t>特定の数量の在庫レベルを決定する在庫レベル プロファイルを選択します。それぞれの在庫レベル プロファイルは、一連の在庫数量の範囲とそのマッピング レベル (在庫の有無など) を定義します。</t>
    <phoneticPr fontId="14"/>
  </si>
  <si>
    <t>在庫レベル（ユーザー定義）</t>
    <rPh sb="0" eb="2">
      <t>ザイコ</t>
    </rPh>
    <phoneticPr fontId="14"/>
  </si>
  <si>
    <t>デュアル ユースコード（ユーザー定義）</t>
    <phoneticPr fontId="14"/>
  </si>
  <si>
    <t>選択された在庫単位で表された正味重量。この情報は、重量が出荷情報として含まれる梱包明細票などの印刷レコードで使用されます。BOM が在庫単位に割り当てられている場合、正味重量は、BOM にある製品の正味重量の合計として計算できます。正味重量は、製品の間接原価の計算にも使用できます。</t>
    <phoneticPr fontId="14"/>
  </si>
  <si>
    <t>製品の１在庫あたり風袋重量。</t>
    <rPh sb="0" eb="2">
      <t>セイヒン</t>
    </rPh>
    <rPh sb="4" eb="6">
      <t>ザイコ</t>
    </rPh>
    <rPh sb="9" eb="10">
      <t>カゼ</t>
    </rPh>
    <rPh sb="10" eb="11">
      <t>フクロ</t>
    </rPh>
    <rPh sb="11" eb="13">
      <t>ジュウリョウ</t>
    </rPh>
    <phoneticPr fontId="14"/>
  </si>
  <si>
    <t>梱包を含む１在庫単位の奥行。</t>
    <rPh sb="0" eb="2">
      <t>コンポウ</t>
    </rPh>
    <rPh sb="3" eb="4">
      <t>フク</t>
    </rPh>
    <rPh sb="6" eb="8">
      <t>ザイコ</t>
    </rPh>
    <rPh sb="8" eb="10">
      <t>タンイ</t>
    </rPh>
    <rPh sb="11" eb="13">
      <t>オクユキ</t>
    </rPh>
    <phoneticPr fontId="14"/>
  </si>
  <si>
    <t>梱包を含む１在庫単位の幅。</t>
    <rPh sb="0" eb="2">
      <t>コンポウ</t>
    </rPh>
    <rPh sb="3" eb="4">
      <t>フク</t>
    </rPh>
    <rPh sb="6" eb="8">
      <t>ザイコ</t>
    </rPh>
    <rPh sb="8" eb="10">
      <t>タンイ</t>
    </rPh>
    <rPh sb="11" eb="12">
      <t>ハバ</t>
    </rPh>
    <phoneticPr fontId="14"/>
  </si>
  <si>
    <t>梱包を含む１在庫単位の高さ。</t>
    <rPh sb="0" eb="2">
      <t>コンポウ</t>
    </rPh>
    <rPh sb="3" eb="4">
      <t>フク</t>
    </rPh>
    <rPh sb="6" eb="8">
      <t>ザイコ</t>
    </rPh>
    <rPh sb="8" eb="10">
      <t>タンイ</t>
    </rPh>
    <rPh sb="11" eb="12">
      <t>タカ</t>
    </rPh>
    <phoneticPr fontId="14"/>
  </si>
  <si>
    <t>製品の 1 単位の品目の量 (在庫単位)。この情報は、梱包明細などに製品の量が示されるときに出荷情報として使用されます。量は、製品の間接原価の計算にも使用できます。</t>
    <phoneticPr fontId="14"/>
  </si>
  <si>
    <t>製品のロット管理などをどうするかを設定する
例）バッチ番号管理、シリアル番号管理
「製品タブ＞設定＞分析コードグループ」から設定する
「製品」側からリリースすると、製品側での入力値が引き継がれる</t>
    <phoneticPr fontId="14"/>
  </si>
  <si>
    <t>倉庫管理をどこまで実施するかを設定する
例）サイトのみ、サイト＋倉庫、サイト＋倉庫＋保管場所
「製品タブ＞設定＞分析コードグループ」から設定する
「製品」側からリリースすると、製品側での入力値が引き継がれる</t>
    <phoneticPr fontId="14"/>
  </si>
  <si>
    <t>倉庫管理をどこまで実施するかを設定する
例）サイトのみ、サイト＋倉庫、サイト＋倉庫＋保管場所
「製品タブ＞設定＞分析コードグループ」から設定する</t>
    <rPh sb="0" eb="2">
      <t>ソウコ</t>
    </rPh>
    <rPh sb="2" eb="4">
      <t>カンリ</t>
    </rPh>
    <rPh sb="9" eb="11">
      <t>ジッシ</t>
    </rPh>
    <rPh sb="15" eb="17">
      <t>セッテイ</t>
    </rPh>
    <rPh sb="20" eb="21">
      <t>レイ</t>
    </rPh>
    <rPh sb="32" eb="34">
      <t>ソウコ</t>
    </rPh>
    <rPh sb="39" eb="41">
      <t>ソウコ</t>
    </rPh>
    <rPh sb="42" eb="46">
      <t>ホカンバショ</t>
    </rPh>
    <phoneticPr fontId="14"/>
  </si>
  <si>
    <t>製品サブタイプ：製品マスターの場合に選択可能
「製品タブ＞設定＞分析コードグループ」から設定する</t>
    <rPh sb="0" eb="2">
      <t>セイヒン</t>
    </rPh>
    <rPh sb="8" eb="10">
      <t>セイヒン</t>
    </rPh>
    <rPh sb="15" eb="17">
      <t>バアイ</t>
    </rPh>
    <rPh sb="18" eb="20">
      <t>センタク</t>
    </rPh>
    <rPh sb="20" eb="22">
      <t>カノウ</t>
    </rPh>
    <phoneticPr fontId="14"/>
  </si>
  <si>
    <t>製品のロット管理などをどうするかを設定する
例）バッチ番号管理、シリアル番号管理
「製品タブ＞設定＞分析コードグループ」から設定する</t>
    <rPh sb="0" eb="2">
      <t>セイヒン</t>
    </rPh>
    <rPh sb="6" eb="8">
      <t>カンリ</t>
    </rPh>
    <rPh sb="17" eb="19">
      <t>セッテイ</t>
    </rPh>
    <rPh sb="22" eb="23">
      <t>レイ</t>
    </rPh>
    <rPh sb="27" eb="29">
      <t>バンゴウ</t>
    </rPh>
    <rPh sb="29" eb="31">
      <t>カンリ</t>
    </rPh>
    <rPh sb="36" eb="38">
      <t>バンゴウ</t>
    </rPh>
    <rPh sb="38" eb="40">
      <t>カンリ</t>
    </rPh>
    <phoneticPr fontId="14"/>
  </si>
  <si>
    <t>バッチ番号グループ（ユーザー定義）</t>
    <phoneticPr fontId="14"/>
  </si>
  <si>
    <t>シリアル番号グループ（ユーザー定義）</t>
    <phoneticPr fontId="14"/>
  </si>
  <si>
    <t>追跡用分析コード グループでシリアル番号管理としており、自動採番とさせる場合は入力必須
※「品目モデル グループ」を選択していないと入力不可</t>
    <rPh sb="0" eb="2">
      <t>ツイセキ</t>
    </rPh>
    <rPh sb="2" eb="3">
      <t>ヨウ</t>
    </rPh>
    <rPh sb="3" eb="5">
      <t>ブンセキ</t>
    </rPh>
    <rPh sb="18" eb="20">
      <t>バンゴウ</t>
    </rPh>
    <rPh sb="20" eb="22">
      <t>カンリ</t>
    </rPh>
    <rPh sb="28" eb="30">
      <t>ジドウ</t>
    </rPh>
    <rPh sb="30" eb="32">
      <t>サイバン</t>
    </rPh>
    <rPh sb="36" eb="38">
      <t>バアイ</t>
    </rPh>
    <rPh sb="39" eb="41">
      <t>ニュウリョク</t>
    </rPh>
    <rPh sb="41" eb="43">
      <t>ヒッス</t>
    </rPh>
    <rPh sb="58" eb="60">
      <t>センタク</t>
    </rPh>
    <rPh sb="66" eb="68">
      <t>ニュウリョク</t>
    </rPh>
    <rPh sb="68" eb="70">
      <t>フカ</t>
    </rPh>
    <phoneticPr fontId="14"/>
  </si>
  <si>
    <t>追跡用分析コード グループでバッチ番号管理としており、自動採番とさせる場合は入力必須
※「品目モデル グループ」を選択していないと入力不可</t>
    <rPh sb="0" eb="2">
      <t>ツイセキ</t>
    </rPh>
    <rPh sb="2" eb="3">
      <t>ヨウ</t>
    </rPh>
    <rPh sb="3" eb="5">
      <t>ブンセキ</t>
    </rPh>
    <rPh sb="17" eb="19">
      <t>バンゴウ</t>
    </rPh>
    <rPh sb="19" eb="21">
      <t>カンリ</t>
    </rPh>
    <rPh sb="27" eb="29">
      <t>ジドウ</t>
    </rPh>
    <rPh sb="29" eb="31">
      <t>サイバン</t>
    </rPh>
    <rPh sb="35" eb="37">
      <t>バアイ</t>
    </rPh>
    <rPh sb="38" eb="40">
      <t>ニュウリョク</t>
    </rPh>
    <rPh sb="40" eb="42">
      <t>ヒッス</t>
    </rPh>
    <rPh sb="57" eb="59">
      <t>センタク</t>
    </rPh>
    <rPh sb="65" eb="67">
      <t>ニュウリョク</t>
    </rPh>
    <rPh sb="67" eb="69">
      <t>フカ</t>
    </rPh>
    <phoneticPr fontId="14"/>
  </si>
  <si>
    <t>棚卸グループ（ユーザー定義）</t>
    <rPh sb="0" eb="2">
      <t>タナオロシ</t>
    </rPh>
    <phoneticPr fontId="14"/>
  </si>
  <si>
    <t>製品の標準注文数量を受け取るために必要な時間。この情報は着荷時に使用されます。</t>
    <phoneticPr fontId="14"/>
  </si>
  <si>
    <t>00:00</t>
    <phoneticPr fontId="14"/>
  </si>
  <si>
    <t>他の品目の相対的なピッキング順序。値が大きいほど、ピッキングルートにおける品目のピッキング順序が早くなります。</t>
    <rPh sb="0" eb="1">
      <t>ホカ</t>
    </rPh>
    <rPh sb="2" eb="4">
      <t>ヒンモク</t>
    </rPh>
    <rPh sb="5" eb="8">
      <t>ソウタイテキ</t>
    </rPh>
    <rPh sb="14" eb="16">
      <t>ジュンジョ</t>
    </rPh>
    <rPh sb="17" eb="18">
      <t>アタイ</t>
    </rPh>
    <rPh sb="19" eb="20">
      <t>オオ</t>
    </rPh>
    <rPh sb="37" eb="39">
      <t>ヒンモク</t>
    </rPh>
    <rPh sb="45" eb="47">
      <t>ジュンジョ</t>
    </rPh>
    <rPh sb="48" eb="49">
      <t>ハヤ</t>
    </rPh>
    <phoneticPr fontId="14"/>
  </si>
  <si>
    <t>受入時入力</t>
    <rPh sb="0" eb="3">
      <t>ウケイレジ</t>
    </rPh>
    <rPh sb="3" eb="5">
      <t>ニュウリョク</t>
    </rPh>
    <phoneticPr fontId="14"/>
  </si>
  <si>
    <t>製品に関連付けられている梱包グループを表示します。梱包グループは、梱包材費用の対象となる製品を分類するために使用できます。</t>
    <phoneticPr fontId="14"/>
  </si>
  <si>
    <t>梱包税の計算対象となる量（在庫単位）。</t>
    <rPh sb="0" eb="2">
      <t>コンポウ</t>
    </rPh>
    <rPh sb="2" eb="3">
      <t>ゼイ</t>
    </rPh>
    <rPh sb="4" eb="6">
      <t>ケイサン</t>
    </rPh>
    <rPh sb="6" eb="8">
      <t>タイショウ</t>
    </rPh>
    <rPh sb="11" eb="12">
      <t>リョウ</t>
    </rPh>
    <rPh sb="13" eb="15">
      <t>ザイコ</t>
    </rPh>
    <rPh sb="15" eb="17">
      <t>タンイ</t>
    </rPh>
    <phoneticPr fontId="14"/>
  </si>
  <si>
    <t>梱包グループ（ユーザー定義）</t>
  </si>
  <si>
    <t>梱包グループ（ユーザー定義）</t>
    <phoneticPr fontId="14"/>
  </si>
  <si>
    <t>手動
最早
最遅</t>
    <rPh sb="0" eb="2">
      <t>シュドウ</t>
    </rPh>
    <rPh sb="3" eb="5">
      <t>サイソウ</t>
    </rPh>
    <rPh sb="6" eb="8">
      <t>サイチ</t>
    </rPh>
    <phoneticPr fontId="14"/>
  </si>
  <si>
    <t>「CW品目」が「はい」の時に入力可能となる</t>
    <rPh sb="3" eb="5">
      <t>ヒンモク</t>
    </rPh>
    <rPh sb="12" eb="13">
      <t>トキ</t>
    </rPh>
    <rPh sb="14" eb="16">
      <t>ニュウリョク</t>
    </rPh>
    <rPh sb="16" eb="18">
      <t>カノウ</t>
    </rPh>
    <phoneticPr fontId="14"/>
  </si>
  <si>
    <t>0.0000000000</t>
    <phoneticPr fontId="14"/>
  </si>
  <si>
    <t>製品の消費単位を選択します。消費単位は、製品を BOM に追加するときに BOM 明細行で使用されます。</t>
    <phoneticPr fontId="14"/>
  </si>
  <si>
    <t>定量仕損値。仕損は、BOM 明細行に指定された単位 (センチ、リットルなど) で計算されます。仕損は、BOM 明細行の調整済原材料消費を計算するために使用されます。</t>
    <phoneticPr fontId="14"/>
  </si>
  <si>
    <t>変動仕損（割合）。既定で、この値はBOMに製品を追加するときに使用されます。</t>
    <rPh sb="0" eb="2">
      <t>ヘンドウ</t>
    </rPh>
    <rPh sb="2" eb="4">
      <t>シソンジ</t>
    </rPh>
    <rPh sb="5" eb="7">
      <t>ワリアイ</t>
    </rPh>
    <rPh sb="9" eb="11">
      <t>キテイ</t>
    </rPh>
    <rPh sb="15" eb="16">
      <t>アタイ</t>
    </rPh>
    <rPh sb="21" eb="23">
      <t>セイヒン</t>
    </rPh>
    <rPh sb="24" eb="26">
      <t>ツイカ</t>
    </rPh>
    <rPh sb="31" eb="33">
      <t>シヨウ</t>
    </rPh>
    <phoneticPr fontId="14"/>
  </si>
  <si>
    <t>前回のマスター スケジューリングで製品の処理に使用された最低の BOM レベル。この値は、BOM の製品に対して表示されます。</t>
    <phoneticPr fontId="14"/>
  </si>
  <si>
    <t>最後のマスター プランの実行時、またはBOMレベル計算実行時に、製品が処理された最低の BOM レベルです。 サブタイプが「製品マスター」となっている製品では、マスター プランがバリアント レベルで計画されるため、この値は 0 に設定されます。</t>
    <phoneticPr fontId="14"/>
  </si>
  <si>
    <t>BOM が製品に割り当てられている場合、製品をファントム品目として処理することを示すには、このオプションを選択します。ファントム品目とは、生産時に展開される一種の疑似品目です。展開されると、ファントム品目を構成する品目が生産 BOM に表示されます。ただし、展開後、実際のファントム品目が直接使用されることはありません。</t>
    <phoneticPr fontId="14"/>
  </si>
  <si>
    <t>高さ分析コードの換算係数要素。</t>
    <rPh sb="0" eb="1">
      <t>タカ</t>
    </rPh>
    <rPh sb="2" eb="4">
      <t>ブンセキ</t>
    </rPh>
    <rPh sb="8" eb="10">
      <t>カンザン</t>
    </rPh>
    <rPh sb="10" eb="12">
      <t>ケイスウ</t>
    </rPh>
    <rPh sb="12" eb="14">
      <t>ヨウソ</t>
    </rPh>
    <phoneticPr fontId="14"/>
  </si>
  <si>
    <t>幅分析コードの換算係数要素。</t>
    <rPh sb="0" eb="1">
      <t>ハバ</t>
    </rPh>
    <rPh sb="1" eb="3">
      <t>ブンセキ</t>
    </rPh>
    <rPh sb="7" eb="9">
      <t>カンザン</t>
    </rPh>
    <rPh sb="9" eb="11">
      <t>ケイスウ</t>
    </rPh>
    <rPh sb="11" eb="13">
      <t>ヨウソ</t>
    </rPh>
    <phoneticPr fontId="14"/>
  </si>
  <si>
    <t>奥行分析コードの換算係数要素。</t>
    <rPh sb="0" eb="2">
      <t>オクユキ</t>
    </rPh>
    <rPh sb="2" eb="4">
      <t>ブンセキ</t>
    </rPh>
    <rPh sb="8" eb="10">
      <t>カンザン</t>
    </rPh>
    <rPh sb="10" eb="12">
      <t>ケイスウ</t>
    </rPh>
    <rPh sb="12" eb="14">
      <t>ヨウソ</t>
    </rPh>
    <phoneticPr fontId="14"/>
  </si>
  <si>
    <t>密度分析コードの換算係数要素。</t>
    <rPh sb="0" eb="2">
      <t>ミツド</t>
    </rPh>
    <rPh sb="2" eb="4">
      <t>ブンセキ</t>
    </rPh>
    <rPh sb="8" eb="10">
      <t>カンザン</t>
    </rPh>
    <rPh sb="10" eb="12">
      <t>ケイスウ</t>
    </rPh>
    <rPh sb="12" eb="14">
      <t>ヨウソ</t>
    </rPh>
    <phoneticPr fontId="14"/>
  </si>
  <si>
    <t>製品の計算グループ。計算グループは、BOM 計算時に製品に適用される BOM 計算ポリシーを制御します。たとえば、計算グループは、BOM の製品のコンポーネントに適用される原価と販売価格モデルおよび計算時に警告メッセージが生成される払出を定義します。</t>
    <phoneticPr fontId="14"/>
  </si>
  <si>
    <t>計算グループ（ユーザー定義）</t>
    <phoneticPr fontId="14"/>
  </si>
  <si>
    <t>製品がコンポーネントとして含まれる生産管理グループ。管理グループは、並べ替えのための追加条件として使用され、生産に対しても使用されます。</t>
    <phoneticPr fontId="14"/>
  </si>
  <si>
    <t>製品の製造オーダーを作成するときに提案される生産グループ。生産グループを使用すると、レポートを制限したり、元帳への転記を制御したりできます。</t>
    <phoneticPr fontId="14"/>
  </si>
  <si>
    <t>生産管理グループ（ユーザー定義）</t>
  </si>
  <si>
    <t>生産管理グループ（ユーザー定義）</t>
    <phoneticPr fontId="14"/>
  </si>
  <si>
    <t>生産グループ（ユーザー定義）</t>
  </si>
  <si>
    <t>プロパティ（ユーザー定義）</t>
  </si>
  <si>
    <t>生産グループ（ユーザー定義）</t>
    <phoneticPr fontId="14"/>
  </si>
  <si>
    <t>プロパティ（ユーザー定義）</t>
    <phoneticPr fontId="14"/>
  </si>
  <si>
    <t>BOM 明細行に負の販売数量を含む品目の増加を手動で生産に戻す必要がある場合、このオプションを選択します。このオプションを選択しない場合、品目の増加は、生産が開始されたときにシステムによって在庫に組み込まれます。</t>
    <phoneticPr fontId="14"/>
  </si>
  <si>
    <t>品目消費を製造オーダーに対して登録するために使用する方法を選択します。次のオプションを使用できます。開始 (消費は製造オーダーを開始フェーズに更新するときに自動的に登録される。このオプションは新製品および既存の製品の更新には既定の設定となる)、完了 (消費は製造オーダーを完了報告フェーズに更新するときに自動的に登録される)、および手動 (消費は自動的に登録されない、ピッキング リストに手動で消費を入力する必要がある)、および場所で利用可 (消費は材料明細行の倉庫作業が完了したとき、もしくは材料が生産入庫の場所で入手可能で、材料明細行が製造オーダーからリリース済の場合に自動的に登録される)。</t>
    <phoneticPr fontId="14"/>
  </si>
  <si>
    <t>開始</t>
    <rPh sb="0" eb="2">
      <t>カイシ</t>
    </rPh>
    <phoneticPr fontId="14"/>
  </si>
  <si>
    <t>開始
完了
手動
場所で利用可</t>
    <rPh sb="0" eb="2">
      <t>カイシ</t>
    </rPh>
    <rPh sb="3" eb="5">
      <t>カンリョウ</t>
    </rPh>
    <rPh sb="6" eb="8">
      <t>シュドウ</t>
    </rPh>
    <rPh sb="9" eb="11">
      <t>バショ</t>
    </rPh>
    <rPh sb="12" eb="14">
      <t>リヨウ</t>
    </rPh>
    <rPh sb="14" eb="15">
      <t>カ</t>
    </rPh>
    <phoneticPr fontId="14"/>
  </si>
  <si>
    <t>部分引当の許可</t>
    <rPh sb="0" eb="2">
      <t>ブブン</t>
    </rPh>
    <rPh sb="2" eb="4">
      <t>ヒキアテ</t>
    </rPh>
    <rPh sb="5" eb="7">
      <t>キョカ</t>
    </rPh>
    <phoneticPr fontId="14"/>
  </si>
  <si>
    <t>部分引当の許可
完全引当が必要</t>
    <rPh sb="0" eb="2">
      <t>ブブン</t>
    </rPh>
    <rPh sb="2" eb="4">
      <t>ヒキアテ</t>
    </rPh>
    <rPh sb="5" eb="7">
      <t>キョカ</t>
    </rPh>
    <rPh sb="8" eb="10">
      <t>カンゼン</t>
    </rPh>
    <rPh sb="10" eb="12">
      <t>ヒキアテ</t>
    </rPh>
    <rPh sb="13" eb="15">
      <t>ヒツヨウ</t>
    </rPh>
    <phoneticPr fontId="14"/>
  </si>
  <si>
    <t>BOM</t>
    <phoneticPr fontId="14"/>
  </si>
  <si>
    <t>リリース済製品（ユーザー定義）</t>
    <rPh sb="4" eb="5">
      <t>スミ</t>
    </rPh>
    <rPh sb="5" eb="7">
      <t>セイヒン</t>
    </rPh>
    <phoneticPr fontId="14"/>
  </si>
  <si>
    <t>連産品
副産物
なし
計画品目
BOM
フォーミュラ</t>
    <rPh sb="0" eb="3">
      <t>レンサンヒン</t>
    </rPh>
    <rPh sb="4" eb="7">
      <t>フクサンブツ</t>
    </rPh>
    <rPh sb="11" eb="13">
      <t>ケイカク</t>
    </rPh>
    <rPh sb="13" eb="15">
      <t>ヒンモク</t>
    </rPh>
    <phoneticPr fontId="14"/>
  </si>
  <si>
    <t>「生産タイプ」が「連産品」の場合に入力可能
「生産タイプ」が「フォーミュラ」のものだけ選択可能</t>
    <rPh sb="1" eb="3">
      <t>セイサン</t>
    </rPh>
    <rPh sb="9" eb="12">
      <t>レンサンヒン</t>
    </rPh>
    <rPh sb="14" eb="16">
      <t>バアイ</t>
    </rPh>
    <rPh sb="17" eb="19">
      <t>ニュウリョク</t>
    </rPh>
    <rPh sb="19" eb="21">
      <t>カノウ</t>
    </rPh>
    <rPh sb="43" eb="45">
      <t>センタク</t>
    </rPh>
    <rPh sb="45" eb="47">
      <t>カノウ</t>
    </rPh>
    <phoneticPr fontId="14"/>
  </si>
  <si>
    <t>製品の補償グループを選択します。補償グループは、製品の正味必要量の計算方法を制御します。補償グループは、特性が類似している製品が同じ方法でスケジュールされるように、これらの製品をグループ化するために使用されます。このグループ化は、主要な外注業者や配送にかかる時間などに基づいて行うことができます。</t>
    <phoneticPr fontId="14"/>
  </si>
  <si>
    <t>補充グループ（ユーザー定義）</t>
    <phoneticPr fontId="14"/>
  </si>
  <si>
    <t>製品の品目グループを選択します。品目グループは、製品の構造を特性によって分類するために使用できます。品目グループは、製品の受入および払出によってで生成されるトランザクションの勘定科目を制御するためにも使用できます。</t>
    <phoneticPr fontId="14"/>
  </si>
  <si>
    <t>製品の原価グループを選択します。原価グループは、製品の算出原価における在庫品目の原価貢献度を追跡するために使用できます。</t>
    <phoneticPr fontId="14"/>
  </si>
  <si>
    <t>製品の代わりに製品バリアントの生産原価に報告するには、このオプションを選択します。各バリアントの生産原価が大幅に変動するため、製品の代わりにバリアントによって価格決定を指定する必要がある場合は、このオプションを選択します。</t>
    <phoneticPr fontId="14"/>
  </si>
  <si>
    <t>品目グループ（ユーザー定義）</t>
    <phoneticPr fontId="14"/>
  </si>
  <si>
    <t>原価グループ（ユーザー定義）</t>
    <rPh sb="0" eb="2">
      <t>ゲンカ</t>
    </rPh>
    <phoneticPr fontId="14"/>
  </si>
  <si>
    <t>[価格] フィールドの価格を更新するには、このオプションを選択します。更新時に、[価格] フィールドは、在庫仕訳帳から受け取った最新の価格、または BOM 明細行は在庫に戻されるので、BOM の完了として負の報告を転記する際に適用された価格を使って更新されます。このオプションの選択を解除した場合、生産原価は手動で変更する必要があります。</t>
    <phoneticPr fontId="14"/>
  </si>
  <si>
    <t>製品の価格が最後に変更された日付。価格は、手動または販売注文や発注書の更新時に変更できます。</t>
    <phoneticPr fontId="14"/>
  </si>
  <si>
    <t>価格に追加される固定金額。この金額は数量に関係なく追加されます。</t>
    <phoneticPr fontId="14"/>
  </si>
  <si>
    <t>指定した雑費を単位あたり価格に配賦するときに使用される数量。このフィールドは、[単価に含む] オプション が選択されている場合にのみ使用されます。</t>
    <phoneticPr fontId="14"/>
  </si>
  <si>
    <t>製品がプロジェクト管理および会計モジュールの在庫品目要求に使用されるときに提示されるプロジェクトカテゴリ。</t>
    <rPh sb="0" eb="2">
      <t>セイヒン</t>
    </rPh>
    <rPh sb="9" eb="11">
      <t>カンリ</t>
    </rPh>
    <rPh sb="14" eb="16">
      <t>カイケイ</t>
    </rPh>
    <rPh sb="22" eb="24">
      <t>ザイコ</t>
    </rPh>
    <rPh sb="24" eb="26">
      <t>ヒンモク</t>
    </rPh>
    <rPh sb="26" eb="28">
      <t>ヨウキュウ</t>
    </rPh>
    <rPh sb="29" eb="31">
      <t>シヨウ</t>
    </rPh>
    <rPh sb="37" eb="39">
      <t>テイジ</t>
    </rPh>
    <phoneticPr fontId="14"/>
  </si>
  <si>
    <t>プロジェクトカテゴリ（ユーザー定義）</t>
    <phoneticPr fontId="14"/>
  </si>
  <si>
    <t>製品に対して既定の財務分析コードを設定する。
設定すると、販売注文や発注書の明細で対象の製品を選択した際に既定値として入力される。</t>
    <rPh sb="3" eb="4">
      <t>タイ</t>
    </rPh>
    <rPh sb="6" eb="8">
      <t>キテイ</t>
    </rPh>
    <rPh sb="9" eb="11">
      <t>ザイム</t>
    </rPh>
    <rPh sb="11" eb="13">
      <t>ブンセキ</t>
    </rPh>
    <rPh sb="17" eb="19">
      <t>セッテイ</t>
    </rPh>
    <rPh sb="23" eb="25">
      <t>セッテイ</t>
    </rPh>
    <rPh sb="29" eb="31">
      <t>ハンバイ</t>
    </rPh>
    <rPh sb="31" eb="33">
      <t>チュウモン</t>
    </rPh>
    <rPh sb="34" eb="36">
      <t>ハッチュウ</t>
    </rPh>
    <rPh sb="36" eb="37">
      <t>ショ</t>
    </rPh>
    <rPh sb="38" eb="40">
      <t>メイサイ</t>
    </rPh>
    <rPh sb="41" eb="43">
      <t>タイショウ</t>
    </rPh>
    <rPh sb="44" eb="46">
      <t>セイヒン</t>
    </rPh>
    <rPh sb="47" eb="49">
      <t>センタク</t>
    </rPh>
    <rPh sb="51" eb="52">
      <t>サイ</t>
    </rPh>
    <rPh sb="53" eb="56">
      <t>キテイチ</t>
    </rPh>
    <rPh sb="59" eb="61">
      <t>ニュウリョク</t>
    </rPh>
    <phoneticPr fontId="14"/>
  </si>
  <si>
    <t>※使用する財務分析コードがすべて出てくる</t>
    <rPh sb="1" eb="3">
      <t>シヨウ</t>
    </rPh>
    <rPh sb="5" eb="7">
      <t>ザイム</t>
    </rPh>
    <rPh sb="7" eb="9">
      <t>ブンセキ</t>
    </rPh>
    <rPh sb="16" eb="17">
      <t>デ</t>
    </rPh>
    <phoneticPr fontId="14"/>
  </si>
  <si>
    <t>単位順序グループは、倉庫操作に使用可能な単位の順序を定義します。 順序によって、倉庫作業が生成される単位の順序が決まります。 購買注文明細行または移動オーダー明細行の数量に作業が作成された場合に適用されます。 単位順序グループは、最小から最大単位の範囲の測定単位を含み、倉庫操作で製品に対して使用できます。</t>
    <phoneticPr fontId="14"/>
  </si>
  <si>
    <t>梱包サイズ カテゴリを作成し、1 つまたは複数の場所別在庫限度と梱包サイズ カテゴリを関連付けることができます。 その品目のリリース済製品の詳細内で特定の品目に梱包サイズ カテゴリを関連付けることもできます。</t>
    <phoneticPr fontId="14"/>
  </si>
  <si>
    <t>この製品の現物分析コード グループ ID を選択します。これは現物分析コードごとに製品をグループ化するのに使用されます。たとえば、現物分析コードは、6 個の品目を含むボックスの重量および容積です。</t>
    <phoneticPr fontId="14"/>
  </si>
  <si>
    <t>これは、この項目を含む処理作業に使用されるモバイル デバイスで表示する品目の追加の説明として使用できます。20 文字のみ使用できることに注意してください。倉庫アプリ フィールドの優先順位ページを使用して、モバイル デバイス上どこにこのフィールドを表示するかを指定します。</t>
    <phoneticPr fontId="14"/>
  </si>
  <si>
    <t>生産が終了として報告される、または製品の受領がモバイル デバイスから行われた時に、受領の既定値に設定する数量を選択します。</t>
    <phoneticPr fontId="14"/>
  </si>
  <si>
    <t>この値は、一部の倉庫プロセスで使用して、品目のマスタ データ、および品目のマスタ データを使用する高度なクエリでフィルタリングできます。</t>
    <phoneticPr fontId="14"/>
  </si>
  <si>
    <t>倉庫へのリリース時に、すべての注文数量は、ここで指定される最も近い単位に切り捨てられ、1 ユニット未満の数量を含む注文を否認します。</t>
    <rPh sb="0" eb="2">
      <t>ソウコ</t>
    </rPh>
    <rPh sb="8" eb="9">
      <t>ジ</t>
    </rPh>
    <rPh sb="15" eb="17">
      <t>チュウモン</t>
    </rPh>
    <rPh sb="17" eb="19">
      <t>スウリョウ</t>
    </rPh>
    <rPh sb="24" eb="26">
      <t>シテイ</t>
    </rPh>
    <rPh sb="29" eb="30">
      <t>モット</t>
    </rPh>
    <rPh sb="31" eb="32">
      <t>チカ</t>
    </rPh>
    <rPh sb="33" eb="35">
      <t>タンイ</t>
    </rPh>
    <rPh sb="36" eb="37">
      <t>キ</t>
    </rPh>
    <rPh sb="38" eb="39">
      <t>ス</t>
    </rPh>
    <rPh sb="49" eb="51">
      <t>ミマン</t>
    </rPh>
    <rPh sb="52" eb="54">
      <t>スウリョウ</t>
    </rPh>
    <rPh sb="55" eb="56">
      <t>フク</t>
    </rPh>
    <rPh sb="57" eb="59">
      <t>チュウモン</t>
    </rPh>
    <rPh sb="60" eb="62">
      <t>ヒニン</t>
    </rPh>
    <phoneticPr fontId="14"/>
  </si>
  <si>
    <t>バーコード設定（ユーザー定義）</t>
    <rPh sb="5" eb="7">
      <t>セッテイ</t>
    </rPh>
    <phoneticPr fontId="14"/>
  </si>
  <si>
    <t>時期（ユーザー定義）</t>
    <rPh sb="0" eb="2">
      <t>ジキ</t>
    </rPh>
    <phoneticPr fontId="14"/>
  </si>
  <si>
    <t>必須ではない</t>
    <rPh sb="0" eb="2">
      <t>ヒッス</t>
    </rPh>
    <phoneticPr fontId="14"/>
  </si>
  <si>
    <t>必須ではない
新しい価格を入力する必要がある
現在の価格以上の価格を入力する必要がある
現在の価格以下の価格を入力する必要がある
価格を入力しない</t>
    <rPh sb="0" eb="2">
      <t>ヒッス</t>
    </rPh>
    <rPh sb="7" eb="8">
      <t>アタラ</t>
    </rPh>
    <rPh sb="10" eb="12">
      <t>カカク</t>
    </rPh>
    <rPh sb="13" eb="15">
      <t>ニュウリョク</t>
    </rPh>
    <rPh sb="17" eb="19">
      <t>ヒツヨウ</t>
    </rPh>
    <rPh sb="23" eb="25">
      <t>ゲンザイ</t>
    </rPh>
    <rPh sb="26" eb="28">
      <t>カカク</t>
    </rPh>
    <rPh sb="28" eb="30">
      <t>イジョウ</t>
    </rPh>
    <rPh sb="31" eb="33">
      <t>カカク</t>
    </rPh>
    <rPh sb="34" eb="36">
      <t>ニュウリョク</t>
    </rPh>
    <rPh sb="38" eb="40">
      <t>ヒツヨウ</t>
    </rPh>
    <rPh sb="44" eb="46">
      <t>ゲンザイ</t>
    </rPh>
    <rPh sb="47" eb="49">
      <t>カカク</t>
    </rPh>
    <rPh sb="49" eb="51">
      <t>イカ</t>
    </rPh>
    <rPh sb="52" eb="54">
      <t>カカク</t>
    </rPh>
    <rPh sb="55" eb="57">
      <t>ニュウリョク</t>
    </rPh>
    <rPh sb="59" eb="61">
      <t>ヒツヨウ</t>
    </rPh>
    <rPh sb="65" eb="67">
      <t>カカク</t>
    </rPh>
    <rPh sb="68" eb="70">
      <t>ニュウリョク</t>
    </rPh>
    <phoneticPr fontId="14"/>
  </si>
  <si>
    <t>必須ではない
数量を入力する必要がある
数量を入力しない</t>
    <rPh sb="0" eb="2">
      <t>ヒッス</t>
    </rPh>
    <rPh sb="7" eb="9">
      <t>スウリョウ</t>
    </rPh>
    <rPh sb="10" eb="12">
      <t>ニュウリョク</t>
    </rPh>
    <rPh sb="14" eb="16">
      <t>ヒツヨウ</t>
    </rPh>
    <phoneticPr fontId="14"/>
  </si>
  <si>
    <t>品目モデルグループ（ユーザー定義）</t>
  </si>
  <si>
    <t>品目消費税グループ</t>
    <phoneticPr fontId="14"/>
  </si>
  <si>
    <t>最新購買価格</t>
    <phoneticPr fontId="14"/>
  </si>
  <si>
    <t>仕入先リベート品目グループ</t>
    <phoneticPr fontId="14"/>
  </si>
  <si>
    <t>仕入先リベート品目グループ（ユーザー定義）</t>
    <phoneticPr fontId="14"/>
  </si>
  <si>
    <t>確認なし
警告のみ
不許可</t>
    <phoneticPr fontId="14"/>
  </si>
  <si>
    <t>梱包僕ス</t>
    <rPh sb="0" eb="2">
      <t>コンポウ</t>
    </rPh>
    <rPh sb="2" eb="3">
      <t>ボク</t>
    </rPh>
    <phoneticPr fontId="14"/>
  </si>
  <si>
    <t>ピッキングワークベンチにボックス化ロジックを適用</t>
    <phoneticPr fontId="14"/>
  </si>
  <si>
    <t>コミッション品目グループ（ユーザー定義）</t>
    <phoneticPr fontId="14"/>
  </si>
  <si>
    <t>基準販売価格</t>
    <rPh sb="0" eb="2">
      <t>キジュン</t>
    </rPh>
    <rPh sb="2" eb="4">
      <t>ハンバイ</t>
    </rPh>
    <rPh sb="4" eb="6">
      <t>カカク</t>
    </rPh>
    <phoneticPr fontId="14"/>
  </si>
  <si>
    <t>自動的な通知と取消の除外</t>
    <phoneticPr fontId="14"/>
  </si>
  <si>
    <t>価格調整を許可する</t>
    <phoneticPr fontId="14"/>
  </si>
  <si>
    <t>価格調整</t>
    <phoneticPr fontId="14"/>
  </si>
  <si>
    <t>連続スケジュールID</t>
    <phoneticPr fontId="14"/>
  </si>
  <si>
    <t>運賃配賦グループ</t>
    <phoneticPr fontId="14"/>
  </si>
  <si>
    <t>運賃配賦</t>
    <phoneticPr fontId="14"/>
  </si>
  <si>
    <t>在庫レベル（ユーザー定義）</t>
    <phoneticPr fontId="14"/>
  </si>
  <si>
    <t>在庫レベルのプロファイル</t>
    <phoneticPr fontId="14"/>
  </si>
  <si>
    <t>デュアルユース製品</t>
    <rPh sb="7" eb="9">
      <t>セイヒン</t>
    </rPh>
    <phoneticPr fontId="14"/>
  </si>
  <si>
    <t>デュアルユースコード</t>
    <phoneticPr fontId="14"/>
  </si>
  <si>
    <t>デュアルユースコード（ユーザー定義）</t>
    <phoneticPr fontId="14"/>
  </si>
  <si>
    <t>測定の重み付け</t>
    <phoneticPr fontId="14"/>
  </si>
  <si>
    <t>バッチ番号グループ（ユーザー定義）</t>
    <rPh sb="3" eb="5">
      <t>バンゴウ</t>
    </rPh>
    <phoneticPr fontId="14"/>
  </si>
  <si>
    <t>シリアル番号グループ（ユーザー定義）</t>
    <rPh sb="4" eb="6">
      <t>バンゴウ</t>
    </rPh>
    <phoneticPr fontId="14"/>
  </si>
  <si>
    <t>着荷処理時間</t>
    <phoneticPr fontId="14"/>
  </si>
  <si>
    <t>ターゲット</t>
  </si>
  <si>
    <t>梱包業</t>
    <rPh sb="0" eb="2">
      <t>コンポウ</t>
    </rPh>
    <rPh sb="2" eb="3">
      <t>ギョウ</t>
    </rPh>
    <phoneticPr fontId="14"/>
  </si>
  <si>
    <t>歩留り率</t>
    <phoneticPr fontId="14"/>
  </si>
  <si>
    <t>歩留り</t>
    <phoneticPr fontId="14"/>
  </si>
  <si>
    <t>規制製品</t>
    <phoneticPr fontId="14"/>
  </si>
  <si>
    <t>ファントム</t>
  </si>
  <si>
    <t>計算グループ</t>
    <phoneticPr fontId="14"/>
  </si>
  <si>
    <t>プロパティ</t>
  </si>
  <si>
    <t>フォーミュラー計画</t>
    <phoneticPr fontId="14"/>
  </si>
  <si>
    <t>連産品
副産物
なし
計画品目
BOM
フォーミュラ</t>
    <phoneticPr fontId="14"/>
  </si>
  <si>
    <t>リリース済製品（ユーザー定義）</t>
    <phoneticPr fontId="14"/>
  </si>
  <si>
    <t>補充グループ（ユーザー定義）</t>
    <rPh sb="0" eb="2">
      <t>ホジュウ</t>
    </rPh>
    <phoneticPr fontId="14"/>
  </si>
  <si>
    <t>品目グループ</t>
    <rPh sb="0" eb="2">
      <t>ヒンモク</t>
    </rPh>
    <phoneticPr fontId="14"/>
  </si>
  <si>
    <t>品目グループ（ユーザー定義）</t>
    <rPh sb="0" eb="2">
      <t>ヒンモク</t>
    </rPh>
    <phoneticPr fontId="14"/>
  </si>
  <si>
    <t>最新原価価格</t>
    <rPh sb="2" eb="4">
      <t>ゲンカ</t>
    </rPh>
    <rPh sb="4" eb="6">
      <t>カカク</t>
    </rPh>
    <phoneticPr fontId="14"/>
  </si>
  <si>
    <t>XXXXXX</t>
    <phoneticPr fontId="14"/>
  </si>
  <si>
    <t>既定の財務分析コード　※使用する財務分析コード分列追加</t>
    <rPh sb="0" eb="2">
      <t>キテイ</t>
    </rPh>
    <rPh sb="3" eb="5">
      <t>ザイム</t>
    </rPh>
    <rPh sb="5" eb="7">
      <t>ブンセキ</t>
    </rPh>
    <rPh sb="23" eb="24">
      <t>ブン</t>
    </rPh>
    <rPh sb="24" eb="25">
      <t>レツ</t>
    </rPh>
    <rPh sb="25" eb="27">
      <t>ツイカ</t>
    </rPh>
    <phoneticPr fontId="14"/>
  </si>
  <si>
    <t>モバイルデバイス説明行１</t>
    <rPh sb="8" eb="10">
      <t>セツメイ</t>
    </rPh>
    <rPh sb="10" eb="11">
      <t>イキ</t>
    </rPh>
    <phoneticPr fontId="14"/>
  </si>
  <si>
    <t>モバイルデバイス説明行２</t>
    <rPh sb="8" eb="10">
      <t>セツメイ</t>
    </rPh>
    <rPh sb="10" eb="11">
      <t>ギョウ</t>
    </rPh>
    <phoneticPr fontId="14"/>
  </si>
  <si>
    <t>モバイルデバイス説明行１</t>
    <phoneticPr fontId="14"/>
  </si>
  <si>
    <t>モバイルデバイス説明行２</t>
    <phoneticPr fontId="14"/>
  </si>
  <si>
    <t>製品フィルタコード</t>
    <rPh sb="0" eb="2">
      <t>セイヒン</t>
    </rPh>
    <phoneticPr fontId="14"/>
  </si>
  <si>
    <t>コード１</t>
  </si>
  <si>
    <t>コード２</t>
  </si>
  <si>
    <t>グループ １</t>
  </si>
  <si>
    <t>グループ ２</t>
  </si>
  <si>
    <t>フィルターコードのグループ化</t>
    <rPh sb="13" eb="14">
      <t>カ</t>
    </rPh>
    <phoneticPr fontId="14"/>
  </si>
  <si>
    <t>ライセンス プレートの場所での材料のピッキング</t>
  </si>
  <si>
    <t>ピッキング ワーク センターでマイナスを許可します</t>
  </si>
  <si>
    <t>STCCコード</t>
  </si>
  <si>
    <t>統一税率スケジュール</t>
  </si>
  <si>
    <t>追加のコード</t>
    <phoneticPr fontId="14"/>
  </si>
  <si>
    <t>倉庫にリリース</t>
    <phoneticPr fontId="14"/>
  </si>
  <si>
    <t>ユニットに対する制限</t>
    <phoneticPr fontId="14"/>
  </si>
  <si>
    <t>サイズグループ</t>
  </si>
  <si>
    <t>スタイルグループ</t>
  </si>
  <si>
    <t>単位（ユーザー定義）</t>
    <phoneticPr fontId="14"/>
  </si>
  <si>
    <t>レジスターでブロック</t>
  </si>
  <si>
    <t>バーコード設定（ユーザー定義）</t>
    <phoneticPr fontId="14"/>
  </si>
  <si>
    <t>有効化</t>
    <rPh sb="0" eb="3">
      <t>ユウコウカ</t>
    </rPh>
    <phoneticPr fontId="14"/>
  </si>
  <si>
    <t>支払/入金ベースの割引を禁止</t>
  </si>
  <si>
    <t>コンフィギュレーション テクノロジ</t>
  </si>
  <si>
    <t>納入先（月次締め請求書）</t>
    <rPh sb="0" eb="2">
      <t>ノウニュウ</t>
    </rPh>
    <rPh sb="2" eb="3">
      <t>サキ</t>
    </rPh>
    <rPh sb="4" eb="6">
      <t>ゲツジ</t>
    </rPh>
    <rPh sb="6" eb="7">
      <t>シ</t>
    </rPh>
    <rPh sb="8" eb="11">
      <t>セイキュウショ</t>
    </rPh>
    <phoneticPr fontId="14"/>
  </si>
  <si>
    <t>敬称</t>
    <rPh sb="0" eb="2">
      <t>ケイショウ</t>
    </rPh>
    <phoneticPr fontId="14"/>
  </si>
  <si>
    <t>プライベート</t>
    <phoneticPr fontId="14"/>
  </si>
  <si>
    <t>連絡先の電話番号/住所</t>
    <phoneticPr fontId="14"/>
  </si>
  <si>
    <t>ファミリ情報＞配偶者の有無</t>
    <rPh sb="4" eb="6">
      <t>ジョウホウ</t>
    </rPh>
    <rPh sb="7" eb="10">
      <t>ハイグウシャ</t>
    </rPh>
    <rPh sb="11" eb="13">
      <t>ウム</t>
    </rPh>
    <phoneticPr fontId="14"/>
  </si>
  <si>
    <t>ファミリ情報＞相互関係の数</t>
    <rPh sb="4" eb="6">
      <t>ジョウホウ</t>
    </rPh>
    <rPh sb="7" eb="9">
      <t>ソウゴ</t>
    </rPh>
    <rPh sb="9" eb="11">
      <t>カンケイ</t>
    </rPh>
    <rPh sb="12" eb="13">
      <t>カズ</t>
    </rPh>
    <phoneticPr fontId="14"/>
  </si>
  <si>
    <t>ファミリ情報＞配偶者の有無の日付</t>
    <rPh sb="4" eb="6">
      <t>ジョウホウ</t>
    </rPh>
    <rPh sb="7" eb="10">
      <t>ハイグウシャ</t>
    </rPh>
    <rPh sb="11" eb="13">
      <t>ウム</t>
    </rPh>
    <rPh sb="14" eb="16">
      <t>ヒヅケ</t>
    </rPh>
    <phoneticPr fontId="14"/>
  </si>
  <si>
    <t>ファミリ情報＞出身民族</t>
    <rPh sb="4" eb="6">
      <t>ジョウホウ</t>
    </rPh>
    <rPh sb="7" eb="9">
      <t>シュッシン</t>
    </rPh>
    <rPh sb="9" eb="11">
      <t>ミンゾク</t>
    </rPh>
    <phoneticPr fontId="14"/>
  </si>
  <si>
    <t>ファミリ情報＞性別</t>
    <rPh sb="4" eb="6">
      <t>ジョウホウ</t>
    </rPh>
    <rPh sb="7" eb="9">
      <t>セイベツ</t>
    </rPh>
    <phoneticPr fontId="14"/>
  </si>
  <si>
    <t>ファミリ情報＞生年月日</t>
    <rPh sb="4" eb="6">
      <t>ジョウホウ</t>
    </rPh>
    <rPh sb="7" eb="11">
      <t>セイネンガッピ</t>
    </rPh>
    <phoneticPr fontId="14"/>
  </si>
  <si>
    <t>ファミリ情報＞年齢</t>
    <rPh sb="4" eb="6">
      <t>ジョウホウ</t>
    </rPh>
    <rPh sb="7" eb="9">
      <t>ネンレイ</t>
    </rPh>
    <phoneticPr fontId="14"/>
  </si>
  <si>
    <t>ファミリ情報＞死亡日</t>
    <rPh sb="4" eb="6">
      <t>ジョウホウ</t>
    </rPh>
    <rPh sb="7" eb="10">
      <t>シボウビ</t>
    </rPh>
    <phoneticPr fontId="14"/>
  </si>
  <si>
    <t>ファミリ情報＞母国語</t>
    <rPh sb="4" eb="6">
      <t>ジョウホウ</t>
    </rPh>
    <rPh sb="7" eb="10">
      <t>ボコクゴ</t>
    </rPh>
    <phoneticPr fontId="14"/>
  </si>
  <si>
    <t>教育＞フルタイム学生</t>
    <rPh sb="0" eb="2">
      <t>キョウイク</t>
    </rPh>
    <rPh sb="8" eb="10">
      <t>ガクセイ</t>
    </rPh>
    <phoneticPr fontId="14"/>
  </si>
  <si>
    <t>教育＞教育</t>
    <rPh sb="0" eb="2">
      <t>キョウイク</t>
    </rPh>
    <rPh sb="3" eb="5">
      <t>キョウイク</t>
    </rPh>
    <phoneticPr fontId="14"/>
  </si>
  <si>
    <t>障碍＞障碍のあるユーザー</t>
    <rPh sb="0" eb="2">
      <t>ショウガイ</t>
    </rPh>
    <rPh sb="3" eb="5">
      <t>ショウガイ</t>
    </rPh>
    <phoneticPr fontId="14"/>
  </si>
  <si>
    <t>障碍＞確認日</t>
    <rPh sb="0" eb="2">
      <t>ショウガイ</t>
    </rPh>
    <rPh sb="3" eb="5">
      <t>カクニン</t>
    </rPh>
    <rPh sb="5" eb="6">
      <t>ヒ</t>
    </rPh>
    <phoneticPr fontId="14"/>
  </si>
  <si>
    <t>兵役＞退役軍人のステータス</t>
    <rPh sb="0" eb="2">
      <t>ヘイエキ</t>
    </rPh>
    <rPh sb="3" eb="7">
      <t>タイエキグンジン</t>
    </rPh>
    <phoneticPr fontId="14"/>
  </si>
  <si>
    <t>兵役＞兵役の開始日</t>
    <rPh sb="0" eb="2">
      <t>ヘイエキ</t>
    </rPh>
    <rPh sb="3" eb="5">
      <t>ヘイエキ</t>
    </rPh>
    <rPh sb="6" eb="8">
      <t>カイシ</t>
    </rPh>
    <rPh sb="8" eb="9">
      <t>ヒ</t>
    </rPh>
    <phoneticPr fontId="14"/>
  </si>
  <si>
    <t>兵役＞兵役の終了日</t>
    <rPh sb="0" eb="2">
      <t>ヘイエキ</t>
    </rPh>
    <rPh sb="3" eb="5">
      <t>ヘイエキ</t>
    </rPh>
    <rPh sb="6" eb="8">
      <t>シュウリョウ</t>
    </rPh>
    <rPh sb="8" eb="9">
      <t>ヒ</t>
    </rPh>
    <phoneticPr fontId="14"/>
  </si>
  <si>
    <t>兵役＞退役傷病軍人</t>
    <rPh sb="0" eb="2">
      <t>ヘイエキ</t>
    </rPh>
    <rPh sb="3" eb="5">
      <t>タイエキ</t>
    </rPh>
    <rPh sb="5" eb="7">
      <t>ショウビョウ</t>
    </rPh>
    <rPh sb="7" eb="9">
      <t>グンジン</t>
    </rPh>
    <phoneticPr fontId="14"/>
  </si>
  <si>
    <t>海外駐在情報＞海外駐在ルール</t>
    <rPh sb="0" eb="2">
      <t>カイガイ</t>
    </rPh>
    <rPh sb="2" eb="4">
      <t>チュウザイ</t>
    </rPh>
    <rPh sb="4" eb="6">
      <t>ジョウホウ</t>
    </rPh>
    <rPh sb="7" eb="9">
      <t>カイガイ</t>
    </rPh>
    <rPh sb="9" eb="11">
      <t>チュウザイ</t>
    </rPh>
    <phoneticPr fontId="14"/>
  </si>
  <si>
    <t>海外駐在情報＞海外駐在ルールの開始日</t>
    <rPh sb="0" eb="2">
      <t>カイガイ</t>
    </rPh>
    <rPh sb="2" eb="4">
      <t>チュウザイ</t>
    </rPh>
    <rPh sb="4" eb="6">
      <t>ジョウホウ</t>
    </rPh>
    <rPh sb="7" eb="9">
      <t>カイガイ</t>
    </rPh>
    <rPh sb="9" eb="11">
      <t>チュウザイ</t>
    </rPh>
    <rPh sb="15" eb="17">
      <t>カイシ</t>
    </rPh>
    <rPh sb="17" eb="18">
      <t>ヒ</t>
    </rPh>
    <phoneticPr fontId="14"/>
  </si>
  <si>
    <t>海外駐在情報＞海外駐在ルールの終了日</t>
    <rPh sb="0" eb="2">
      <t>カイガイ</t>
    </rPh>
    <rPh sb="2" eb="4">
      <t>チュウザイ</t>
    </rPh>
    <rPh sb="4" eb="6">
      <t>ジョウホウ</t>
    </rPh>
    <rPh sb="7" eb="9">
      <t>カイガイ</t>
    </rPh>
    <rPh sb="9" eb="11">
      <t>チュウザイ</t>
    </rPh>
    <rPh sb="15" eb="17">
      <t>シュウリョウ</t>
    </rPh>
    <rPh sb="17" eb="18">
      <t>ヒ</t>
    </rPh>
    <phoneticPr fontId="14"/>
  </si>
  <si>
    <t>国/地域＞出身国/地域</t>
    <rPh sb="0" eb="1">
      <t>クニ</t>
    </rPh>
    <rPh sb="2" eb="4">
      <t>チイキ</t>
    </rPh>
    <rPh sb="5" eb="7">
      <t>シュッシン</t>
    </rPh>
    <rPh sb="7" eb="8">
      <t>コク</t>
    </rPh>
    <rPh sb="9" eb="11">
      <t>チイキ</t>
    </rPh>
    <phoneticPr fontId="14"/>
  </si>
  <si>
    <t>国/地域＞出生市町村</t>
    <rPh sb="0" eb="1">
      <t>クニ</t>
    </rPh>
    <rPh sb="2" eb="4">
      <t>チイキ</t>
    </rPh>
    <rPh sb="5" eb="7">
      <t>シュッセイ</t>
    </rPh>
    <rPh sb="7" eb="10">
      <t>シチョウソン</t>
    </rPh>
    <phoneticPr fontId="14"/>
  </si>
  <si>
    <t>国/地域＞母親の出身国/地域</t>
    <rPh sb="0" eb="1">
      <t>クニ</t>
    </rPh>
    <rPh sb="2" eb="4">
      <t>チイキ</t>
    </rPh>
    <rPh sb="5" eb="7">
      <t>ハハオヤ</t>
    </rPh>
    <rPh sb="8" eb="10">
      <t>シュッシン</t>
    </rPh>
    <rPh sb="10" eb="11">
      <t>コク</t>
    </rPh>
    <rPh sb="12" eb="14">
      <t>チイキ</t>
    </rPh>
    <phoneticPr fontId="14"/>
  </si>
  <si>
    <t>国/地域＞父親の出身国/地域</t>
    <rPh sb="0" eb="1">
      <t>クニ</t>
    </rPh>
    <rPh sb="2" eb="4">
      <t>チイキ</t>
    </rPh>
    <rPh sb="5" eb="7">
      <t>チチオヤ</t>
    </rPh>
    <rPh sb="8" eb="10">
      <t>シュッシン</t>
    </rPh>
    <rPh sb="10" eb="11">
      <t>コク</t>
    </rPh>
    <rPh sb="12" eb="14">
      <t>チイキ</t>
    </rPh>
    <phoneticPr fontId="14"/>
  </si>
  <si>
    <t>国/地域＞市民権を有する国/地域</t>
    <rPh sb="0" eb="1">
      <t>クニ</t>
    </rPh>
    <rPh sb="2" eb="4">
      <t>チイキ</t>
    </rPh>
    <rPh sb="5" eb="8">
      <t>シミンケン</t>
    </rPh>
    <rPh sb="9" eb="10">
      <t>ユウ</t>
    </rPh>
    <rPh sb="12" eb="13">
      <t>クニ</t>
    </rPh>
    <rPh sb="14" eb="16">
      <t>チイキ</t>
    </rPh>
    <phoneticPr fontId="14"/>
  </si>
  <si>
    <t>国/地域＞国籍 国 地域</t>
    <rPh sb="0" eb="1">
      <t>クニ</t>
    </rPh>
    <rPh sb="2" eb="4">
      <t>チイキ</t>
    </rPh>
    <rPh sb="5" eb="7">
      <t>コクセキ</t>
    </rPh>
    <rPh sb="8" eb="9">
      <t>クニ</t>
    </rPh>
    <rPh sb="10" eb="12">
      <t>チイキ</t>
    </rPh>
    <phoneticPr fontId="14"/>
  </si>
  <si>
    <t>スキルマッピングの対象に含める</t>
    <rPh sb="9" eb="11">
      <t>タイショウ</t>
    </rPh>
    <rPh sb="12" eb="13">
      <t>フク</t>
    </rPh>
    <phoneticPr fontId="14"/>
  </si>
  <si>
    <t>開始＞雇用開始日</t>
    <rPh sb="0" eb="2">
      <t>カイシ</t>
    </rPh>
    <rPh sb="3" eb="5">
      <t>コヨウ</t>
    </rPh>
    <rPh sb="5" eb="7">
      <t>カイシ</t>
    </rPh>
    <rPh sb="7" eb="8">
      <t>ヒ</t>
    </rPh>
    <phoneticPr fontId="14"/>
  </si>
  <si>
    <t>開始＞開始日</t>
    <rPh sb="0" eb="2">
      <t>カイシ</t>
    </rPh>
    <rPh sb="3" eb="5">
      <t>カイシ</t>
    </rPh>
    <rPh sb="5" eb="6">
      <t>ヒ</t>
    </rPh>
    <phoneticPr fontId="14"/>
  </si>
  <si>
    <t>開始＞調整済開始日</t>
    <rPh sb="0" eb="2">
      <t>カイシ</t>
    </rPh>
    <rPh sb="3" eb="5">
      <t>チョウセイ</t>
    </rPh>
    <rPh sb="5" eb="6">
      <t>スミ</t>
    </rPh>
    <rPh sb="6" eb="8">
      <t>カイシ</t>
    </rPh>
    <rPh sb="8" eb="9">
      <t>ヒ</t>
    </rPh>
    <phoneticPr fontId="14"/>
  </si>
  <si>
    <t>開始＞猶予期間</t>
    <rPh sb="0" eb="2">
      <t>カイシ</t>
    </rPh>
    <rPh sb="3" eb="5">
      <t>ユウヨ</t>
    </rPh>
    <rPh sb="5" eb="7">
      <t>キカン</t>
    </rPh>
    <phoneticPr fontId="14"/>
  </si>
  <si>
    <t>開始＞雇用終了日</t>
    <rPh sb="0" eb="2">
      <t>カイシ</t>
    </rPh>
    <rPh sb="3" eb="5">
      <t>コヨウ</t>
    </rPh>
    <rPh sb="5" eb="7">
      <t>シュウリョウ</t>
    </rPh>
    <rPh sb="7" eb="8">
      <t>ヒ</t>
    </rPh>
    <phoneticPr fontId="14"/>
  </si>
  <si>
    <t>終了＞最終勤務日</t>
    <rPh sb="0" eb="2">
      <t>シュウリョウ</t>
    </rPh>
    <rPh sb="3" eb="5">
      <t>サイシュウ</t>
    </rPh>
    <rPh sb="5" eb="7">
      <t>キンム</t>
    </rPh>
    <rPh sb="7" eb="8">
      <t>ヒ</t>
    </rPh>
    <phoneticPr fontId="14"/>
  </si>
  <si>
    <t>終了＞退職日</t>
    <rPh sb="0" eb="2">
      <t>シュウリョウ</t>
    </rPh>
    <rPh sb="3" eb="5">
      <t>タイショク</t>
    </rPh>
    <rPh sb="5" eb="6">
      <t>ヒ</t>
    </rPh>
    <phoneticPr fontId="14"/>
  </si>
  <si>
    <t>終了＞退職理由</t>
    <rPh sb="0" eb="2">
      <t>シュウリョウ</t>
    </rPh>
    <rPh sb="3" eb="5">
      <t>タイショク</t>
    </rPh>
    <rPh sb="5" eb="7">
      <t>リユウ</t>
    </rPh>
    <phoneticPr fontId="14"/>
  </si>
  <si>
    <t>雇用カテゴリ＞雇用カテゴリ</t>
    <rPh sb="0" eb="2">
      <t>コヨウ</t>
    </rPh>
    <rPh sb="7" eb="9">
      <t>コヨウ</t>
    </rPh>
    <phoneticPr fontId="14"/>
  </si>
  <si>
    <t>状態＞状態</t>
    <rPh sb="0" eb="2">
      <t>ジョウタイ</t>
    </rPh>
    <rPh sb="3" eb="5">
      <t>ジョウタイ</t>
    </rPh>
    <phoneticPr fontId="14"/>
  </si>
  <si>
    <t>雇用タイプ＞雇用タイプ</t>
    <rPh sb="0" eb="2">
      <t>コヨウ</t>
    </rPh>
    <rPh sb="6" eb="8">
      <t>コヨウ</t>
    </rPh>
    <phoneticPr fontId="14"/>
  </si>
  <si>
    <t>雇用通知＞雇用者退職通知期間単位</t>
    <rPh sb="0" eb="2">
      <t>コヨウ</t>
    </rPh>
    <rPh sb="2" eb="4">
      <t>ツウチ</t>
    </rPh>
    <rPh sb="5" eb="8">
      <t>コヨウシャ</t>
    </rPh>
    <rPh sb="8" eb="10">
      <t>タイショク</t>
    </rPh>
    <rPh sb="10" eb="12">
      <t>ツウチ</t>
    </rPh>
    <rPh sb="12" eb="14">
      <t>キカン</t>
    </rPh>
    <rPh sb="14" eb="16">
      <t>タンイ</t>
    </rPh>
    <phoneticPr fontId="14"/>
  </si>
  <si>
    <t>雇用通知＞雇用主</t>
    <rPh sb="0" eb="2">
      <t>コヨウ</t>
    </rPh>
    <rPh sb="2" eb="4">
      <t>ツウチ</t>
    </rPh>
    <rPh sb="5" eb="8">
      <t>コヨウヌシ</t>
    </rPh>
    <phoneticPr fontId="14"/>
  </si>
  <si>
    <t>雇用通知＞作業者単位の通知</t>
    <rPh sb="0" eb="2">
      <t>コヨウ</t>
    </rPh>
    <rPh sb="2" eb="4">
      <t>ツウチ</t>
    </rPh>
    <rPh sb="5" eb="7">
      <t>サギョウ</t>
    </rPh>
    <rPh sb="7" eb="8">
      <t>シャ</t>
    </rPh>
    <rPh sb="8" eb="10">
      <t>タンイ</t>
    </rPh>
    <rPh sb="11" eb="13">
      <t>ツウチ</t>
    </rPh>
    <phoneticPr fontId="14"/>
  </si>
  <si>
    <t>雇用通知＞作業者通知金額</t>
    <rPh sb="0" eb="2">
      <t>コヨウ</t>
    </rPh>
    <rPh sb="2" eb="4">
      <t>ツウチ</t>
    </rPh>
    <rPh sb="5" eb="7">
      <t>サギョウ</t>
    </rPh>
    <rPh sb="7" eb="8">
      <t>シャ</t>
    </rPh>
    <rPh sb="8" eb="10">
      <t>ツウチ</t>
    </rPh>
    <rPh sb="10" eb="12">
      <t>キンガク</t>
    </rPh>
    <phoneticPr fontId="14"/>
  </si>
  <si>
    <t>カレンダー＞カレンダー</t>
    <phoneticPr fontId="14"/>
  </si>
  <si>
    <t>主要職位</t>
    <rPh sb="0" eb="2">
      <t>シュヨウ</t>
    </rPh>
    <rPh sb="2" eb="4">
      <t>ショクイ</t>
    </rPh>
    <phoneticPr fontId="14"/>
  </si>
  <si>
    <t>割り当て開始</t>
    <rPh sb="0" eb="1">
      <t>ワ</t>
    </rPh>
    <rPh sb="2" eb="3">
      <t>ア</t>
    </rPh>
    <rPh sb="4" eb="6">
      <t>カイシ</t>
    </rPh>
    <phoneticPr fontId="14"/>
  </si>
  <si>
    <t>割り当て終了</t>
    <rPh sb="0" eb="1">
      <t>ワ</t>
    </rPh>
    <rPh sb="2" eb="3">
      <t>ア</t>
    </rPh>
    <rPh sb="4" eb="6">
      <t>シュウリョウ</t>
    </rPh>
    <phoneticPr fontId="14"/>
  </si>
  <si>
    <t>職位期間（月）</t>
    <rPh sb="0" eb="2">
      <t>ショクイ</t>
    </rPh>
    <rPh sb="2" eb="4">
      <t>キカン</t>
    </rPh>
    <rPh sb="5" eb="6">
      <t>ツキ</t>
    </rPh>
    <phoneticPr fontId="14"/>
  </si>
  <si>
    <t>作業者</t>
    <rPh sb="0" eb="2">
      <t>サギョウ</t>
    </rPh>
    <rPh sb="2" eb="3">
      <t>シャ</t>
    </rPh>
    <phoneticPr fontId="14"/>
  </si>
  <si>
    <t>Real-time Service エラーが発生しても続行する</t>
    <phoneticPr fontId="14"/>
  </si>
  <si>
    <t>トランザクション サービスとの接続がエラーを生成する場合でも、作業者がログインできることを示す場合は、このオプションを選択します。</t>
    <phoneticPr fontId="14"/>
  </si>
  <si>
    <t>雇用タイプ</t>
    <rPh sb="0" eb="2">
      <t>コヨウ</t>
    </rPh>
    <phoneticPr fontId="14"/>
  </si>
  <si>
    <t>コミッションの売上グループ＞既定のグループ</t>
    <rPh sb="7" eb="9">
      <t>ウリアゲ</t>
    </rPh>
    <rPh sb="14" eb="16">
      <t>キテイ</t>
    </rPh>
    <phoneticPr fontId="14"/>
  </si>
  <si>
    <t>レシート＞レシートの名前</t>
    <rPh sb="10" eb="12">
      <t>ナマエ</t>
    </rPh>
    <phoneticPr fontId="14"/>
  </si>
  <si>
    <t>POS認証＞パスワード</t>
    <rPh sb="3" eb="5">
      <t>ニンショウ</t>
    </rPh>
    <phoneticPr fontId="14"/>
  </si>
  <si>
    <t>POS認証＞POSログインのブロック</t>
    <rPh sb="3" eb="5">
      <t>ニンショウ</t>
    </rPh>
    <phoneticPr fontId="14"/>
  </si>
  <si>
    <t>POS認証＞ユーザーは次回ログオン時にパスワードを変更する必要があります</t>
    <rPh sb="3" eb="5">
      <t>ニンショウ</t>
    </rPh>
    <phoneticPr fontId="14"/>
  </si>
  <si>
    <t>外部ID＞エイリアス</t>
    <rPh sb="0" eb="2">
      <t>ガイブ</t>
    </rPh>
    <phoneticPr fontId="14"/>
  </si>
  <si>
    <t>外部ID＞UPN</t>
    <rPh sb="0" eb="2">
      <t>ガイブ</t>
    </rPh>
    <phoneticPr fontId="14"/>
  </si>
  <si>
    <t>外部ID＞外部サブ識別子</t>
    <rPh sb="0" eb="2">
      <t>ガイブ</t>
    </rPh>
    <rPh sb="5" eb="7">
      <t>ガイブ</t>
    </rPh>
    <rPh sb="9" eb="12">
      <t>シキベツシ</t>
    </rPh>
    <phoneticPr fontId="14"/>
  </si>
  <si>
    <t>情報＞トランザクション</t>
    <rPh sb="0" eb="2">
      <t>ジョウホウ</t>
    </rPh>
    <phoneticPr fontId="14"/>
  </si>
  <si>
    <t>情報＞店舗</t>
    <rPh sb="0" eb="2">
      <t>ジョウホウ</t>
    </rPh>
    <rPh sb="3" eb="5">
      <t>テンポ</t>
    </rPh>
    <phoneticPr fontId="14"/>
  </si>
  <si>
    <t>情報＞POSアクセス許可</t>
    <rPh sb="0" eb="2">
      <t>ジョウホウ</t>
    </rPh>
    <rPh sb="10" eb="12">
      <t>キョカ</t>
    </rPh>
    <phoneticPr fontId="14"/>
  </si>
  <si>
    <t>クリックして追加情報の詳細を入力する形
※詳細内容までは本資料には未記載</t>
    <rPh sb="6" eb="8">
      <t>ツイカ</t>
    </rPh>
    <rPh sb="8" eb="10">
      <t>ジョウホウ</t>
    </rPh>
    <rPh sb="11" eb="13">
      <t>ショウサイ</t>
    </rPh>
    <rPh sb="14" eb="16">
      <t>ニュウリョク</t>
    </rPh>
    <rPh sb="18" eb="19">
      <t>カタチ</t>
    </rPh>
    <rPh sb="21" eb="23">
      <t>ショウサイ</t>
    </rPh>
    <rPh sb="23" eb="25">
      <t>ナイヨウ</t>
    </rPh>
    <rPh sb="28" eb="31">
      <t>ホンシリョウ</t>
    </rPh>
    <rPh sb="33" eb="36">
      <t>ミキサイ</t>
    </rPh>
    <phoneticPr fontId="14"/>
  </si>
  <si>
    <t>画面レイアウトID</t>
    <rPh sb="0" eb="2">
      <t>ガメン</t>
    </rPh>
    <phoneticPr fontId="14"/>
  </si>
  <si>
    <t>設定＞有効</t>
    <rPh sb="0" eb="2">
      <t>セッテイ</t>
    </rPh>
    <rPh sb="3" eb="5">
      <t>ユウコウ</t>
    </rPh>
    <phoneticPr fontId="14"/>
  </si>
  <si>
    <t>設定＞有効化した日</t>
    <rPh sb="0" eb="2">
      <t>セッテイ</t>
    </rPh>
    <rPh sb="3" eb="6">
      <t>ユウコウカ</t>
    </rPh>
    <rPh sb="8" eb="9">
      <t>ヒ</t>
    </rPh>
    <phoneticPr fontId="14"/>
  </si>
  <si>
    <t>設定＞計算グループ</t>
    <rPh sb="0" eb="2">
      <t>セッテイ</t>
    </rPh>
    <rPh sb="3" eb="5">
      <t>ケイサン</t>
    </rPh>
    <phoneticPr fontId="14"/>
  </si>
  <si>
    <t>設定＞既定の計算グループ</t>
    <rPh sb="0" eb="2">
      <t>セッテイ</t>
    </rPh>
    <rPh sb="3" eb="5">
      <t>キテイ</t>
    </rPh>
    <rPh sb="6" eb="8">
      <t>ケイサン</t>
    </rPh>
    <phoneticPr fontId="14"/>
  </si>
  <si>
    <t>設定＞承認グループ</t>
    <rPh sb="0" eb="2">
      <t>セッテイ</t>
    </rPh>
    <rPh sb="3" eb="5">
      <t>ショウニン</t>
    </rPh>
    <phoneticPr fontId="14"/>
  </si>
  <si>
    <t>設定＞標準プロファイル</t>
    <rPh sb="0" eb="2">
      <t>セッテイ</t>
    </rPh>
    <rPh sb="3" eb="5">
      <t>ヒョウジュン</t>
    </rPh>
    <phoneticPr fontId="14"/>
  </si>
  <si>
    <t>給与＞支払協定</t>
    <rPh sb="0" eb="2">
      <t>キュウヨ</t>
    </rPh>
    <rPh sb="3" eb="5">
      <t>シハライ</t>
    </rPh>
    <rPh sb="5" eb="7">
      <t>キョウテイ</t>
    </rPh>
    <phoneticPr fontId="14"/>
  </si>
  <si>
    <t>給与＞期間コード</t>
    <rPh sb="0" eb="2">
      <t>キュウヨ</t>
    </rPh>
    <rPh sb="3" eb="5">
      <t>キカン</t>
    </rPh>
    <phoneticPr fontId="14"/>
  </si>
  <si>
    <t>フレックスタイム＞フレックス許可済み</t>
    <rPh sb="14" eb="17">
      <t>キョカス</t>
    </rPh>
    <phoneticPr fontId="14"/>
  </si>
  <si>
    <t>フレックスタイム＞フレックスグループID</t>
    <phoneticPr fontId="14"/>
  </si>
  <si>
    <t>バッチID</t>
    <phoneticPr fontId="14"/>
  </si>
  <si>
    <t>バッジバージョン</t>
    <phoneticPr fontId="14"/>
  </si>
  <si>
    <t>設定＞プロファイルグループ</t>
    <rPh sb="0" eb="2">
      <t>セッテイ</t>
    </rPh>
    <phoneticPr fontId="14"/>
  </si>
  <si>
    <t>設定＞新規バンドル</t>
    <rPh sb="0" eb="2">
      <t>セッテイ</t>
    </rPh>
    <rPh sb="3" eb="5">
      <t>シンキ</t>
    </rPh>
    <phoneticPr fontId="14"/>
  </si>
  <si>
    <t>設定＞カテゴリ</t>
    <rPh sb="0" eb="2">
      <t>セッテイ</t>
    </rPh>
    <phoneticPr fontId="14"/>
  </si>
  <si>
    <t>設定＞タイムカードの使用</t>
    <rPh sb="0" eb="2">
      <t>セッテイ</t>
    </rPh>
    <rPh sb="10" eb="12">
      <t>シヨウ</t>
    </rPh>
    <phoneticPr fontId="14"/>
  </si>
  <si>
    <t>設定＞コンフィギュレーション</t>
    <rPh sb="0" eb="2">
      <t>セッテイ</t>
    </rPh>
    <phoneticPr fontId="14"/>
  </si>
  <si>
    <t>設定＞監修者オプション</t>
    <rPh sb="0" eb="2">
      <t>セッテイ</t>
    </rPh>
    <rPh sb="3" eb="6">
      <t>カンシュウシャ</t>
    </rPh>
    <phoneticPr fontId="14"/>
  </si>
  <si>
    <t>給与＞勤続日数</t>
    <rPh sb="0" eb="2">
      <t>キュウヨ</t>
    </rPh>
    <rPh sb="3" eb="5">
      <t>キンゾク</t>
    </rPh>
    <rPh sb="5" eb="7">
      <t>ニッスウ</t>
    </rPh>
    <phoneticPr fontId="14"/>
  </si>
  <si>
    <t>フレックスタイム＞開始フレックス時間残数</t>
    <rPh sb="9" eb="11">
      <t>カイシ</t>
    </rPh>
    <rPh sb="16" eb="18">
      <t>ジカン</t>
    </rPh>
    <rPh sb="18" eb="20">
      <t>ザンスウ</t>
    </rPh>
    <phoneticPr fontId="14"/>
  </si>
  <si>
    <t>フレックスタイム＞フレックス日付</t>
    <rPh sb="14" eb="16">
      <t>ヒヅケ</t>
    </rPh>
    <phoneticPr fontId="14"/>
  </si>
  <si>
    <t>フレックスタイム＞フレックス時間残数</t>
    <rPh sb="14" eb="16">
      <t>ジカン</t>
    </rPh>
    <rPh sb="16" eb="18">
      <t>ザンスウ</t>
    </rPh>
    <phoneticPr fontId="14"/>
  </si>
  <si>
    <t>フレックスタイム＞フィルターの設定</t>
    <rPh sb="15" eb="17">
      <t>セッテイ</t>
    </rPh>
    <phoneticPr fontId="14"/>
  </si>
  <si>
    <t>個人へのアクション</t>
    <rPh sb="0" eb="2">
      <t>コジン</t>
    </rPh>
    <phoneticPr fontId="14"/>
  </si>
  <si>
    <t>給付金への登録</t>
    <rPh sb="0" eb="3">
      <t>キュウフキン</t>
    </rPh>
    <rPh sb="5" eb="7">
      <t>トウロク</t>
    </rPh>
    <phoneticPr fontId="14"/>
  </si>
  <si>
    <t>給付金登録の結果</t>
    <rPh sb="0" eb="3">
      <t>キュウフキン</t>
    </rPh>
    <rPh sb="3" eb="5">
      <t>トウロク</t>
    </rPh>
    <rPh sb="6" eb="8">
      <t>ケッカ</t>
    </rPh>
    <phoneticPr fontId="14"/>
  </si>
  <si>
    <t>職位の割り当て</t>
    <rPh sb="0" eb="2">
      <t>ショクイ</t>
    </rPh>
    <rPh sb="3" eb="4">
      <t>ワ</t>
    </rPh>
    <rPh sb="5" eb="6">
      <t>ア</t>
    </rPh>
    <phoneticPr fontId="14"/>
  </si>
  <si>
    <t>割り当てを表示</t>
    <rPh sb="0" eb="1">
      <t>ワ</t>
    </rPh>
    <rPh sb="2" eb="3">
      <t>ア</t>
    </rPh>
    <rPh sb="5" eb="7">
      <t>ヒョウジ</t>
    </rPh>
    <phoneticPr fontId="14"/>
  </si>
  <si>
    <t>割り当ての追加</t>
    <rPh sb="0" eb="1">
      <t>ワ</t>
    </rPh>
    <rPh sb="2" eb="3">
      <t>ア</t>
    </rPh>
    <rPh sb="5" eb="7">
      <t>ツイカ</t>
    </rPh>
    <phoneticPr fontId="14"/>
  </si>
  <si>
    <t>割り当ての編集</t>
    <rPh sb="0" eb="1">
      <t>ワ</t>
    </rPh>
    <rPh sb="2" eb="3">
      <t>ア</t>
    </rPh>
    <rPh sb="5" eb="7">
      <t>ヘンシュウ</t>
    </rPh>
    <phoneticPr fontId="14"/>
  </si>
  <si>
    <t>割り当ての終了</t>
    <rPh sb="0" eb="1">
      <t>ワ</t>
    </rPh>
    <rPh sb="2" eb="3">
      <t>ア</t>
    </rPh>
    <rPh sb="5" eb="7">
      <t>シュウリョウ</t>
    </rPh>
    <phoneticPr fontId="14"/>
  </si>
  <si>
    <t>階層での表示</t>
    <rPh sb="0" eb="2">
      <t>カイソウ</t>
    </rPh>
    <rPh sb="4" eb="6">
      <t>ヒョウジ</t>
    </rPh>
    <phoneticPr fontId="14"/>
  </si>
  <si>
    <t>雇用</t>
    <rPh sb="0" eb="2">
      <t>コヨウ</t>
    </rPh>
    <phoneticPr fontId="14"/>
  </si>
  <si>
    <t>職歴</t>
    <rPh sb="0" eb="2">
      <t>ショクレキ</t>
    </rPh>
    <phoneticPr fontId="14"/>
  </si>
  <si>
    <t>名前履歴</t>
    <rPh sb="0" eb="2">
      <t>ナマエ</t>
    </rPh>
    <rPh sb="2" eb="4">
      <t>リレキ</t>
    </rPh>
    <phoneticPr fontId="14"/>
  </si>
  <si>
    <t>特別設備</t>
    <rPh sb="0" eb="2">
      <t>トクベツ</t>
    </rPh>
    <rPh sb="2" eb="4">
      <t>セツビ</t>
    </rPh>
    <phoneticPr fontId="14"/>
  </si>
  <si>
    <t>銀行口座出勤</t>
    <rPh sb="0" eb="2">
      <t>ギンコウ</t>
    </rPh>
    <rPh sb="2" eb="4">
      <t>コウザ</t>
    </rPh>
    <rPh sb="4" eb="6">
      <t>シュッキン</t>
    </rPh>
    <phoneticPr fontId="14"/>
  </si>
  <si>
    <t>けが/病気インシデント</t>
    <rPh sb="3" eb="5">
      <t>ビョウキ</t>
    </rPh>
    <phoneticPr fontId="14"/>
  </si>
  <si>
    <t>貸与された設備</t>
    <rPh sb="0" eb="2">
      <t>タイヨ</t>
    </rPh>
    <rPh sb="5" eb="7">
      <t>セツビ</t>
    </rPh>
    <phoneticPr fontId="14"/>
  </si>
  <si>
    <t>個人連絡先</t>
    <rPh sb="0" eb="2">
      <t>コジン</t>
    </rPh>
    <rPh sb="2" eb="4">
      <t>レンラク</t>
    </rPh>
    <rPh sb="4" eb="5">
      <t>サキ</t>
    </rPh>
    <phoneticPr fontId="14"/>
  </si>
  <si>
    <t>福利厚生</t>
    <rPh sb="0" eb="2">
      <t>フクリ</t>
    </rPh>
    <rPh sb="2" eb="4">
      <t>コウセイ</t>
    </rPh>
    <phoneticPr fontId="14"/>
  </si>
  <si>
    <t>画像</t>
    <rPh sb="0" eb="2">
      <t>ガゾウ</t>
    </rPh>
    <phoneticPr fontId="14"/>
  </si>
  <si>
    <t>従業員報酬</t>
    <rPh sb="0" eb="3">
      <t>ジュウギョウイン</t>
    </rPh>
    <rPh sb="3" eb="5">
      <t>ホウシュウ</t>
    </rPh>
    <phoneticPr fontId="14"/>
  </si>
  <si>
    <t>固定プラン</t>
    <rPh sb="0" eb="2">
      <t>コテイ</t>
    </rPh>
    <phoneticPr fontId="14"/>
  </si>
  <si>
    <t>変動プラン報酬</t>
    <rPh sb="0" eb="2">
      <t>ヘンドウ</t>
    </rPh>
    <rPh sb="5" eb="7">
      <t>ホウシュウ</t>
    </rPh>
    <phoneticPr fontId="14"/>
  </si>
  <si>
    <t>変動プラン登録</t>
    <rPh sb="0" eb="2">
      <t>ヘンドウ</t>
    </rPh>
    <rPh sb="5" eb="7">
      <t>トウロク</t>
    </rPh>
    <phoneticPr fontId="14"/>
  </si>
  <si>
    <t>税</t>
    <rPh sb="0" eb="1">
      <t>ゼイ</t>
    </rPh>
    <phoneticPr fontId="14"/>
  </si>
  <si>
    <t>作業者の税地域</t>
    <rPh sb="0" eb="3">
      <t>サギョウシャ</t>
    </rPh>
    <rPh sb="4" eb="5">
      <t>ゼイ</t>
    </rPh>
    <rPh sb="5" eb="7">
      <t>チイキ</t>
    </rPh>
    <phoneticPr fontId="14"/>
  </si>
  <si>
    <t>Default tax region</t>
    <phoneticPr fontId="14"/>
  </si>
  <si>
    <t>開発</t>
    <rPh sb="0" eb="2">
      <t>カイハツ</t>
    </rPh>
    <phoneticPr fontId="14"/>
  </si>
  <si>
    <t>レビュー</t>
    <phoneticPr fontId="14"/>
  </si>
  <si>
    <t>目標</t>
    <rPh sb="0" eb="2">
      <t>モクヒョウ</t>
    </rPh>
    <phoneticPr fontId="14"/>
  </si>
  <si>
    <t>コンピテンシー</t>
    <phoneticPr fontId="14"/>
  </si>
  <si>
    <t>コース</t>
    <phoneticPr fontId="14"/>
  </si>
  <si>
    <t>要職</t>
    <rPh sb="0" eb="2">
      <t>ヨウショク</t>
    </rPh>
    <phoneticPr fontId="14"/>
  </si>
  <si>
    <t>職務経験</t>
    <rPh sb="0" eb="2">
      <t>ショクム</t>
    </rPh>
    <rPh sb="2" eb="4">
      <t>ケイケン</t>
    </rPh>
    <phoneticPr fontId="14"/>
  </si>
  <si>
    <t>ユーザー要求</t>
    <rPh sb="4" eb="6">
      <t>ヨウキュウ</t>
    </rPh>
    <phoneticPr fontId="14"/>
  </si>
  <si>
    <t>作業ユーザー要求</t>
    <rPh sb="0" eb="2">
      <t>サギョウ</t>
    </rPh>
    <rPh sb="6" eb="8">
      <t>ヨウキュウ</t>
    </rPh>
    <phoneticPr fontId="14"/>
  </si>
  <si>
    <t>作業者ユーザー要求の無効化</t>
    <rPh sb="0" eb="2">
      <t>サギョウ</t>
    </rPh>
    <rPh sb="2" eb="3">
      <t>シャ</t>
    </rPh>
    <rPh sb="7" eb="9">
      <t>ヨウキュウ</t>
    </rPh>
    <rPh sb="10" eb="13">
      <t>ムコウカ</t>
    </rPh>
    <phoneticPr fontId="14"/>
  </si>
  <si>
    <t>休暇</t>
    <rPh sb="0" eb="2">
      <t>キュウカ</t>
    </rPh>
    <phoneticPr fontId="14"/>
  </si>
  <si>
    <t>休暇の表示</t>
    <rPh sb="0" eb="2">
      <t>キュウカ</t>
    </rPh>
    <rPh sb="3" eb="5">
      <t>ヒョウジ</t>
    </rPh>
    <phoneticPr fontId="14"/>
  </si>
  <si>
    <t>作業者に再雇用資格があるかどうかを示す</t>
    <rPh sb="0" eb="2">
      <t>サギョウ</t>
    </rPh>
    <rPh sb="2" eb="3">
      <t>シャ</t>
    </rPh>
    <rPh sb="4" eb="7">
      <t>サイコヨウ</t>
    </rPh>
    <rPh sb="7" eb="9">
      <t>シカク</t>
    </rPh>
    <rPh sb="17" eb="18">
      <t>シメ</t>
    </rPh>
    <phoneticPr fontId="14"/>
  </si>
  <si>
    <t>作業者が所属するアドレス帳を選択します。アドレス帳は、小売作業者がログインできる店舗を管理します。作業者のアドレス帳には、店舗のアドレス帳を含める必要があります。</t>
    <phoneticPr fontId="14"/>
  </si>
  <si>
    <t>タイトル（ユーザー定義）</t>
    <phoneticPr fontId="14"/>
  </si>
  <si>
    <t>言語（システム定義）</t>
    <rPh sb="0" eb="2">
      <t>ゲンゴ</t>
    </rPh>
    <phoneticPr fontId="14"/>
  </si>
  <si>
    <t>法人に設定された言語が入る</t>
    <rPh sb="0" eb="2">
      <t>ホウジン</t>
    </rPh>
    <rPh sb="3" eb="5">
      <t>セッテイ</t>
    </rPh>
    <rPh sb="8" eb="10">
      <t>ゲンゴ</t>
    </rPh>
    <rPh sb="11" eb="12">
      <t>ハイ</t>
    </rPh>
    <phoneticPr fontId="14"/>
  </si>
  <si>
    <t>名前のタイトルまたは接尾語（ユーザー定義）</t>
    <rPh sb="0" eb="2">
      <t>ナマエ</t>
    </rPh>
    <rPh sb="10" eb="13">
      <t>セツビゴ</t>
    </rPh>
    <phoneticPr fontId="14"/>
  </si>
  <si>
    <t>名前の順序（ユーザー定義）</t>
    <rPh sb="0" eb="2">
      <t>ナマエ</t>
    </rPh>
    <rPh sb="3" eb="5">
      <t>ジュンジョ</t>
    </rPh>
    <phoneticPr fontId="14"/>
  </si>
  <si>
    <t>御中
様</t>
    <rPh sb="0" eb="2">
      <t>オンチュウ</t>
    </rPh>
    <rPh sb="3" eb="4">
      <t>サマ</t>
    </rPh>
    <phoneticPr fontId="14"/>
  </si>
  <si>
    <t>ホーム</t>
    <phoneticPr fontId="14"/>
  </si>
  <si>
    <t>目的（ユーザー定義）</t>
    <rPh sb="0" eb="2">
      <t>モクテキ</t>
    </rPh>
    <phoneticPr fontId="14"/>
  </si>
  <si>
    <t>国/地域（システム定義）</t>
    <rPh sb="0" eb="1">
      <t>クニ</t>
    </rPh>
    <rPh sb="2" eb="4">
      <t>チイキ</t>
    </rPh>
    <phoneticPr fontId="14"/>
  </si>
  <si>
    <t>作業者のユーザーオプションに設定されている国/地域</t>
    <rPh sb="0" eb="3">
      <t>サギョウシャ</t>
    </rPh>
    <rPh sb="14" eb="16">
      <t>セッテイ</t>
    </rPh>
    <rPh sb="21" eb="22">
      <t>クニ</t>
    </rPh>
    <rPh sb="23" eb="25">
      <t>チイキ</t>
    </rPh>
    <phoneticPr fontId="14"/>
  </si>
  <si>
    <t>郵便番号インポートをしているとインポートしたものから選択可能</t>
    <rPh sb="0" eb="4">
      <t>ユウビンバンゴウ</t>
    </rPh>
    <rPh sb="26" eb="28">
      <t>センタク</t>
    </rPh>
    <rPh sb="28" eb="30">
      <t>カノウ</t>
    </rPh>
    <phoneticPr fontId="14"/>
  </si>
  <si>
    <t>郵便番号インポートをしていると選んだ郵便番号に付随する住所ががいる</t>
    <rPh sb="0" eb="4">
      <t>ユウビンバンゴウ</t>
    </rPh>
    <rPh sb="15" eb="16">
      <t>エラ</t>
    </rPh>
    <rPh sb="18" eb="22">
      <t>ユウビンバンゴウ</t>
    </rPh>
    <rPh sb="23" eb="25">
      <t>フズイ</t>
    </rPh>
    <rPh sb="27" eb="29">
      <t>ジュウショ</t>
    </rPh>
    <phoneticPr fontId="14"/>
  </si>
  <si>
    <t>郵便番号インポートをしていると選んだ郵便番号に付随する市町村ががいる</t>
    <rPh sb="0" eb="4">
      <t>ユウビンバンゴウ</t>
    </rPh>
    <rPh sb="15" eb="16">
      <t>エラ</t>
    </rPh>
    <rPh sb="18" eb="22">
      <t>ユウビンバンゴウ</t>
    </rPh>
    <rPh sb="23" eb="25">
      <t>フズイ</t>
    </rPh>
    <rPh sb="27" eb="30">
      <t>シチョウソン</t>
    </rPh>
    <phoneticPr fontId="14"/>
  </si>
  <si>
    <t>郵便番号インポートをしていると選んだ郵便番号に付随する都道府県ががいる</t>
    <rPh sb="0" eb="4">
      <t>ユウビンバンゴウ</t>
    </rPh>
    <rPh sb="15" eb="16">
      <t>エラ</t>
    </rPh>
    <rPh sb="18" eb="22">
      <t>ユウビンバンゴウ</t>
    </rPh>
    <rPh sb="23" eb="25">
      <t>フズイ</t>
    </rPh>
    <rPh sb="27" eb="31">
      <t>トドウフケン</t>
    </rPh>
    <phoneticPr fontId="14"/>
  </si>
  <si>
    <t>電話
メールアドレス
URL
テレックス
FAX
Facebook
Twitter
LinkedIn</t>
    <rPh sb="0" eb="2">
      <t>デンワ</t>
    </rPh>
    <phoneticPr fontId="14"/>
  </si>
  <si>
    <t>なし
既婚
未婚
死別
離婚
共有中
登録パートナーシップ
別居
シビルパートナーシップ</t>
    <rPh sb="3" eb="5">
      <t>キコン</t>
    </rPh>
    <rPh sb="6" eb="8">
      <t>ミコン</t>
    </rPh>
    <rPh sb="9" eb="11">
      <t>シベツ</t>
    </rPh>
    <rPh sb="12" eb="14">
      <t>リコン</t>
    </rPh>
    <rPh sb="15" eb="17">
      <t>キョウユウ</t>
    </rPh>
    <rPh sb="17" eb="18">
      <t>チュウ</t>
    </rPh>
    <rPh sb="19" eb="21">
      <t>トウロク</t>
    </rPh>
    <rPh sb="30" eb="32">
      <t>ベッキョ</t>
    </rPh>
    <phoneticPr fontId="14"/>
  </si>
  <si>
    <t>配偶者の有無を有効にした日付。</t>
    <phoneticPr fontId="14"/>
  </si>
  <si>
    <t>出身民族（ユーザー定義）</t>
    <rPh sb="0" eb="2">
      <t>シュッシン</t>
    </rPh>
    <rPh sb="2" eb="4">
      <t>ミンゾク</t>
    </rPh>
    <phoneticPr fontId="14"/>
  </si>
  <si>
    <t>本日の時点での作業者の年齢</t>
    <phoneticPr fontId="14"/>
  </si>
  <si>
    <t>数値（生年月日から自動反映）</t>
    <rPh sb="0" eb="2">
      <t>スウチ</t>
    </rPh>
    <phoneticPr fontId="14"/>
  </si>
  <si>
    <t>言語コード（ユーザー定義）</t>
    <rPh sb="0" eb="2">
      <t>ゲンゴ</t>
    </rPh>
    <phoneticPr fontId="14"/>
  </si>
  <si>
    <t>退役軍人状態（ユーザー定義）</t>
    <rPh sb="0" eb="2">
      <t>タイエキ</t>
    </rPh>
    <rPh sb="2" eb="4">
      <t>グンジン</t>
    </rPh>
    <rPh sb="4" eb="6">
      <t>ジョウタイ</t>
    </rPh>
    <phoneticPr fontId="14"/>
  </si>
  <si>
    <t>「海外駐在ルール」が「はい」の時入力可能</t>
    <rPh sb="15" eb="16">
      <t>トキ</t>
    </rPh>
    <rPh sb="16" eb="18">
      <t>ニュウリョク</t>
    </rPh>
    <rPh sb="18" eb="20">
      <t>カノウ</t>
    </rPh>
    <phoneticPr fontId="14"/>
  </si>
  <si>
    <t>住所の設定の国/地域（ユーザー定義）</t>
    <rPh sb="0" eb="2">
      <t>ジュウショ</t>
    </rPh>
    <rPh sb="3" eb="5">
      <t>セッテイ</t>
    </rPh>
    <rPh sb="6" eb="7">
      <t>クニ</t>
    </rPh>
    <rPh sb="8" eb="10">
      <t>チイキ</t>
    </rPh>
    <phoneticPr fontId="14"/>
  </si>
  <si>
    <t>住所の設定の市町村（ユーザー定義）</t>
    <rPh sb="0" eb="2">
      <t>ジュウショ</t>
    </rPh>
    <rPh sb="3" eb="5">
      <t>セッテイ</t>
    </rPh>
    <rPh sb="6" eb="9">
      <t>シチョウソン</t>
    </rPh>
    <phoneticPr fontId="14"/>
  </si>
  <si>
    <t>理由コード（ユーザー定義）</t>
    <rPh sb="0" eb="2">
      <t>リユウ</t>
    </rPh>
    <phoneticPr fontId="14"/>
  </si>
  <si>
    <t>このレコードの有効開始時刻です。</t>
    <rPh sb="7" eb="9">
      <t>ユウコウ</t>
    </rPh>
    <rPh sb="9" eb="11">
      <t>カイシ</t>
    </rPh>
    <rPh sb="11" eb="13">
      <t>ジコク</t>
    </rPh>
    <phoneticPr fontId="14"/>
  </si>
  <si>
    <t>このレコードの有効終了時刻です。</t>
    <rPh sb="7" eb="9">
      <t>ユウコウ</t>
    </rPh>
    <rPh sb="9" eb="11">
      <t>シュウリョウ</t>
    </rPh>
    <rPh sb="11" eb="13">
      <t>ジコク</t>
    </rPh>
    <phoneticPr fontId="14"/>
  </si>
  <si>
    <t>日付時間</t>
    <rPh sb="0" eb="2">
      <t>ヒヅケ</t>
    </rPh>
    <rPh sb="2" eb="4">
      <t>ジカン</t>
    </rPh>
    <phoneticPr fontId="14"/>
  </si>
  <si>
    <t>雇用カテゴリレコードのID。</t>
    <rPh sb="0" eb="2">
      <t>コヨウ</t>
    </rPh>
    <phoneticPr fontId="14"/>
  </si>
  <si>
    <t>雇用状態</t>
    <rPh sb="0" eb="2">
      <t>コヨウ</t>
    </rPh>
    <rPh sb="2" eb="4">
      <t>ジョウタイ</t>
    </rPh>
    <phoneticPr fontId="14"/>
  </si>
  <si>
    <t>雇用のID</t>
    <rPh sb="0" eb="2">
      <t>コヨウ</t>
    </rPh>
    <phoneticPr fontId="14"/>
  </si>
  <si>
    <t>雇用カテゴリ（ユーザー定義）</t>
    <rPh sb="0" eb="2">
      <t>コヨウ</t>
    </rPh>
    <phoneticPr fontId="14"/>
  </si>
  <si>
    <t>なし
採用済
終了
定年退職
休暇
一時解雇
COBRAで終了
退職で終了
脂肪
一時解雇</t>
    <rPh sb="3" eb="5">
      <t>サイヨウ</t>
    </rPh>
    <rPh sb="5" eb="6">
      <t>スミ</t>
    </rPh>
    <rPh sb="7" eb="9">
      <t>シュウリョウ</t>
    </rPh>
    <rPh sb="10" eb="12">
      <t>テイネン</t>
    </rPh>
    <rPh sb="12" eb="14">
      <t>タイショク</t>
    </rPh>
    <rPh sb="15" eb="17">
      <t>キュウカ</t>
    </rPh>
    <rPh sb="18" eb="20">
      <t>イチジ</t>
    </rPh>
    <rPh sb="20" eb="22">
      <t>カイコ</t>
    </rPh>
    <rPh sb="29" eb="31">
      <t>シュウリョウ</t>
    </rPh>
    <rPh sb="32" eb="34">
      <t>タイショク</t>
    </rPh>
    <rPh sb="35" eb="37">
      <t>シュウリョウ</t>
    </rPh>
    <rPh sb="38" eb="40">
      <t>シボウ</t>
    </rPh>
    <rPh sb="41" eb="43">
      <t>イチジ</t>
    </rPh>
    <rPh sb="43" eb="45">
      <t>カイコ</t>
    </rPh>
    <phoneticPr fontId="14"/>
  </si>
  <si>
    <t>採用済</t>
    <rPh sb="0" eb="1">
      <t>サイヨウ</t>
    </rPh>
    <rPh sb="1" eb="2">
      <t>スミ</t>
    </rPh>
    <phoneticPr fontId="14"/>
  </si>
  <si>
    <t>雇用タイプ（ユーザー定義）</t>
    <rPh sb="0" eb="2">
      <t>コヨウ</t>
    </rPh>
    <phoneticPr fontId="14"/>
  </si>
  <si>
    <t>週
月</t>
    <rPh sb="0" eb="1">
      <t>シュウ</t>
    </rPh>
    <rPh sb="2" eb="3">
      <t>ツキ</t>
    </rPh>
    <phoneticPr fontId="14"/>
  </si>
  <si>
    <t>職位（ユーザー定義）</t>
    <rPh sb="0" eb="2">
      <t>ショクイ</t>
    </rPh>
    <phoneticPr fontId="14"/>
  </si>
  <si>
    <t>従業員名</t>
    <rPh sb="0" eb="3">
      <t>ジュウギョウイン</t>
    </rPh>
    <rPh sb="3" eb="4">
      <t>メイ</t>
    </rPh>
    <phoneticPr fontId="14"/>
  </si>
  <si>
    <t>従業員名が自動で入る</t>
    <rPh sb="0" eb="2">
      <t>ジュウギョウイン</t>
    </rPh>
    <rPh sb="2" eb="3">
      <t>メイ</t>
    </rPh>
    <rPh sb="4" eb="6">
      <t>ジドウ</t>
    </rPh>
    <rPh sb="7" eb="8">
      <t>ハイ</t>
    </rPh>
    <phoneticPr fontId="14"/>
  </si>
  <si>
    <t>作業日の0時</t>
    <rPh sb="0" eb="2">
      <t>サギョウ</t>
    </rPh>
    <rPh sb="2" eb="3">
      <t>ヒ</t>
    </rPh>
    <rPh sb="5" eb="6">
      <t>ジ</t>
    </rPh>
    <phoneticPr fontId="14"/>
  </si>
  <si>
    <t>既に主要職位がある場合は、デフォルト値「いいえ」になる（設定時は「主要職位にする」という項目）</t>
    <rPh sb="0" eb="1">
      <t>スデ</t>
    </rPh>
    <rPh sb="2" eb="4">
      <t>シュヨウ</t>
    </rPh>
    <rPh sb="4" eb="6">
      <t>ショクイ</t>
    </rPh>
    <rPh sb="9" eb="11">
      <t>バアイ</t>
    </rPh>
    <rPh sb="18" eb="19">
      <t>チ</t>
    </rPh>
    <rPh sb="28" eb="30">
      <t>セッテイ</t>
    </rPh>
    <rPh sb="30" eb="31">
      <t>ジ</t>
    </rPh>
    <rPh sb="44" eb="46">
      <t>コウモク</t>
    </rPh>
    <phoneticPr fontId="14"/>
  </si>
  <si>
    <t>職位の説明が自動で入る</t>
    <rPh sb="0" eb="1">
      <t>ショクイ</t>
    </rPh>
    <rPh sb="2" eb="4">
      <t>セツメイ</t>
    </rPh>
    <rPh sb="5" eb="7">
      <t>ジドウ</t>
    </rPh>
    <rPh sb="8" eb="9">
      <t>ハイ</t>
    </rPh>
    <phoneticPr fontId="14"/>
  </si>
  <si>
    <t>職位の割り当て開始から自動で計算された値が入る</t>
    <rPh sb="0" eb="1">
      <t>ショクイ</t>
    </rPh>
    <rPh sb="2" eb="3">
      <t>ワ</t>
    </rPh>
    <rPh sb="4" eb="5">
      <t>ア</t>
    </rPh>
    <rPh sb="6" eb="8">
      <t>カイシ</t>
    </rPh>
    <rPh sb="10" eb="12">
      <t>ジドウ</t>
    </rPh>
    <rPh sb="13" eb="15">
      <t>ケイサン</t>
    </rPh>
    <rPh sb="18" eb="19">
      <t>アタイ</t>
    </rPh>
    <rPh sb="20" eb="21">
      <t>ハイ</t>
    </rPh>
    <phoneticPr fontId="14"/>
  </si>
  <si>
    <t>デフォルトの小売作業者に関連付けられたコミッション売上グループ ID を、既定のコミッション売上グループ ID として入力します。コミッション売上グループが空の場合、新しいコミッション売上グループとコミッション販売担当者を構成し、現在の作業者を新規作成したグループに関連付けてください。このフィールドはオプションです。</t>
    <phoneticPr fontId="14"/>
  </si>
  <si>
    <t>顧客のレシートに印刷する作業者の名前を入力します。POS レシートのスペースが限られている場合には短い名前を入力できます。このフィールドは必須です。</t>
    <phoneticPr fontId="14"/>
  </si>
  <si>
    <t>出納係
営業員
その他</t>
    <rPh sb="0" eb="2">
      <t>シュツノウ</t>
    </rPh>
    <rPh sb="2" eb="3">
      <t>ガカリ</t>
    </rPh>
    <rPh sb="4" eb="6">
      <t>エイギョウ</t>
    </rPh>
    <rPh sb="6" eb="7">
      <t>イン</t>
    </rPh>
    <rPh sb="10" eb="11">
      <t>タ</t>
    </rPh>
    <phoneticPr fontId="14"/>
  </si>
  <si>
    <t>出納係</t>
    <rPh sb="0" eb="2">
      <t>シュツノウ</t>
    </rPh>
    <rPh sb="2" eb="3">
      <t>ガカリ</t>
    </rPh>
    <phoneticPr fontId="14"/>
  </si>
  <si>
    <t>コミッションの売上グループ（ユーザー定義）</t>
    <phoneticPr fontId="14"/>
  </si>
  <si>
    <t>画面レイアウト（ユーザー定義）</t>
    <rPh sb="0" eb="2">
      <t>ガメン</t>
    </rPh>
    <phoneticPr fontId="14"/>
  </si>
  <si>
    <t>計算グループ（ユーザー定義）</t>
    <rPh sb="0" eb="2">
      <t>ケイサン</t>
    </rPh>
    <phoneticPr fontId="14"/>
  </si>
  <si>
    <t>承認グループ（ユーザー定義）</t>
    <rPh sb="0" eb="2">
      <t>ショウニン</t>
    </rPh>
    <phoneticPr fontId="14"/>
  </si>
  <si>
    <t>プロファイル（ユーザー定義）</t>
    <phoneticPr fontId="14"/>
  </si>
  <si>
    <t>支払協定（ユーザー定義）</t>
    <rPh sb="0" eb="2">
      <t>シハライ</t>
    </rPh>
    <rPh sb="2" eb="4">
      <t>キョウテイ</t>
    </rPh>
    <phoneticPr fontId="14"/>
  </si>
  <si>
    <t>期間タイプ（ユーザー定義）</t>
    <rPh sb="0" eb="2">
      <t>キカン</t>
    </rPh>
    <phoneticPr fontId="14"/>
  </si>
  <si>
    <t>プロファイルグループ（ユーザー定義）</t>
    <phoneticPr fontId="14"/>
  </si>
  <si>
    <t>ジョブ カード ターミナルのコンフィギュレーション（ユーザー定義）</t>
    <phoneticPr fontId="14"/>
  </si>
  <si>
    <t>フレックスグループ（ユーザー定義）</t>
    <phoneticPr fontId="14"/>
  </si>
  <si>
    <t>その作業者はシステムを使用できますか？</t>
    <rPh sb="2" eb="4">
      <t>サギョウ</t>
    </rPh>
    <rPh sb="4" eb="5">
      <t>シャ</t>
    </rPh>
    <rPh sb="11" eb="13">
      <t>シヨウ</t>
    </rPh>
    <phoneticPr fontId="14"/>
  </si>
  <si>
    <t>作業者がシステムの使用を開始できる日付</t>
    <rPh sb="0" eb="3">
      <t>サギョウシャ</t>
    </rPh>
    <rPh sb="9" eb="11">
      <t>シヨウ</t>
    </rPh>
    <rPh sb="12" eb="14">
      <t>カイシ</t>
    </rPh>
    <rPh sb="17" eb="19">
      <t>ヒヅケ</t>
    </rPh>
    <phoneticPr fontId="14"/>
  </si>
  <si>
    <t>作業者が登録を行っていない場合に使用する計算プロファイル</t>
    <rPh sb="4" eb="6">
      <t>トウロク</t>
    </rPh>
    <rPh sb="7" eb="8">
      <t>オコナ</t>
    </rPh>
    <rPh sb="13" eb="15">
      <t>バアイ</t>
    </rPh>
    <rPh sb="16" eb="18">
      <t>シヨウ</t>
    </rPh>
    <rPh sb="20" eb="22">
      <t>ケイサン</t>
    </rPh>
    <phoneticPr fontId="14"/>
  </si>
  <si>
    <t>作業者がジョブをバンドルする時に、自動的に新しいバンドルを提案しますか？</t>
    <rPh sb="0" eb="2">
      <t>サギョウ</t>
    </rPh>
    <rPh sb="2" eb="3">
      <t>シャ</t>
    </rPh>
    <rPh sb="14" eb="15">
      <t>トキ</t>
    </rPh>
    <rPh sb="17" eb="19">
      <t>ジドウ</t>
    </rPh>
    <rPh sb="19" eb="20">
      <t>テキ</t>
    </rPh>
    <rPh sb="21" eb="22">
      <t>アタラ</t>
    </rPh>
    <rPh sb="29" eb="31">
      <t>テイアン</t>
    </rPh>
    <phoneticPr fontId="14"/>
  </si>
  <si>
    <t>その作業者は時間の登録中に電子タイムカードを使用していますか？</t>
    <rPh sb="2" eb="5">
      <t>サギョウシャ</t>
    </rPh>
    <rPh sb="6" eb="8">
      <t>ジカン</t>
    </rPh>
    <rPh sb="9" eb="11">
      <t>トウロク</t>
    </rPh>
    <rPh sb="11" eb="12">
      <t>チュウ</t>
    </rPh>
    <rPh sb="13" eb="15">
      <t>デンシ</t>
    </rPh>
    <rPh sb="22" eb="24">
      <t>シヨウ</t>
    </rPh>
    <phoneticPr fontId="14"/>
  </si>
  <si>
    <t>ログイン時に監修者オプションをユーザーに指定しますか？</t>
    <rPh sb="4" eb="5">
      <t>ジ</t>
    </rPh>
    <rPh sb="6" eb="9">
      <t>カンシュウシャ</t>
    </rPh>
    <rPh sb="20" eb="22">
      <t>シテイ</t>
    </rPh>
    <phoneticPr fontId="14"/>
  </si>
  <si>
    <t>その作業者はフレックスタイム制の作業者ですか？</t>
    <rPh sb="2" eb="5">
      <t>サギョウシャ</t>
    </rPh>
    <rPh sb="14" eb="15">
      <t>セイ</t>
    </rPh>
    <rPh sb="16" eb="19">
      <t>サギョウシャ</t>
    </rPh>
    <phoneticPr fontId="14"/>
  </si>
  <si>
    <t>この作業者に生産現場実行インターフェイスでのフィルターの設定を許可するかどうかを選択します</t>
    <phoneticPr fontId="14"/>
  </si>
  <si>
    <t>00.00</t>
    <phoneticPr fontId="14"/>
  </si>
  <si>
    <t>検索名</t>
    <rPh sb="0" eb="3">
      <t>ケンサクメイ</t>
    </rPh>
    <phoneticPr fontId="14"/>
  </si>
  <si>
    <t>DUSN番号</t>
    <rPh sb="4" eb="6">
      <t>バンゴウ</t>
    </rPh>
    <phoneticPr fontId="14"/>
  </si>
  <si>
    <t>業務</t>
    <rPh sb="0" eb="2">
      <t>ギョウム</t>
    </rPh>
    <phoneticPr fontId="14"/>
  </si>
  <si>
    <t>既に主要住所がある場合は、デフォルト値「いいえ」になる</t>
    <rPh sb="4" eb="6">
      <t>ジュウショ</t>
    </rPh>
    <phoneticPr fontId="14"/>
  </si>
  <si>
    <t>タイプ</t>
  </si>
  <si>
    <t>連絡先の電話番号/住所</t>
  </si>
  <si>
    <t>連絡先の電話番号/住所</t>
    <rPh sb="0" eb="2">
      <t>レンラク</t>
    </rPh>
    <rPh sb="2" eb="3">
      <t>サキ</t>
    </rPh>
    <rPh sb="4" eb="8">
      <t>デンワバンゴウ</t>
    </rPh>
    <rPh sb="9" eb="11">
      <t>ジュウショ</t>
    </rPh>
    <phoneticPr fontId="14"/>
  </si>
  <si>
    <t>選択した作業単位に関するメモを入力します。</t>
    <phoneticPr fontId="14"/>
  </si>
  <si>
    <t>選択したオプションは、選択した作業単位が組織階層に属していることを示します。</t>
    <phoneticPr fontId="14"/>
  </si>
  <si>
    <t>「名前」と同様の内容が反映される</t>
    <rPh sb="1" eb="3">
      <t>ナマエ</t>
    </rPh>
    <rPh sb="5" eb="7">
      <t>ドウヨウ</t>
    </rPh>
    <rPh sb="8" eb="10">
      <t>ナイヨウ</t>
    </rPh>
    <rPh sb="11" eb="13">
      <t>ハンエイ</t>
    </rPh>
    <phoneticPr fontId="14"/>
  </si>
  <si>
    <t>英数字</t>
    <rPh sb="0" eb="3">
      <t>エイスウジ</t>
    </rPh>
    <phoneticPr fontId="14"/>
  </si>
  <si>
    <t>部門の登録する際は「部門」で登録する
一度保存した後は変更不可になる</t>
    <rPh sb="0" eb="2">
      <t>ブモン</t>
    </rPh>
    <rPh sb="3" eb="5">
      <t>トウロク</t>
    </rPh>
    <rPh sb="7" eb="8">
      <t>サイ</t>
    </rPh>
    <rPh sb="10" eb="12">
      <t>ブモン</t>
    </rPh>
    <rPh sb="14" eb="16">
      <t>トウロク</t>
    </rPh>
    <rPh sb="19" eb="21">
      <t>イチド</t>
    </rPh>
    <rPh sb="21" eb="23">
      <t>ホゾン</t>
    </rPh>
    <rPh sb="25" eb="26">
      <t>アト</t>
    </rPh>
    <rPh sb="27" eb="29">
      <t>ヘンコウ</t>
    </rPh>
    <rPh sb="29" eb="31">
      <t>フカ</t>
    </rPh>
    <phoneticPr fontId="14"/>
  </si>
  <si>
    <t>定年退職</t>
    <rPh sb="0" eb="4">
      <t>テイネンタイショク</t>
    </rPh>
    <phoneticPr fontId="14"/>
  </si>
  <si>
    <t>有効日</t>
    <rPh sb="0" eb="3">
      <t>ユウコウヒ</t>
    </rPh>
    <phoneticPr fontId="14"/>
  </si>
  <si>
    <t>「従業員-設定値」を参照
※職位の割り当ては「すべての職位」メニューからも可</t>
    <rPh sb="1" eb="4">
      <t>ジュウギョウイン</t>
    </rPh>
    <rPh sb="14" eb="16">
      <t>ショクイ</t>
    </rPh>
    <rPh sb="17" eb="18">
      <t>ワ</t>
    </rPh>
    <rPh sb="19" eb="20">
      <t>ア</t>
    </rPh>
    <rPh sb="27" eb="29">
      <t>ショクイ</t>
    </rPh>
    <rPh sb="37" eb="38">
      <t>カ</t>
    </rPh>
    <phoneticPr fontId="14"/>
  </si>
  <si>
    <t>「職位-設定値」を参照
※職位の割り当ては「すべての職位」メニューからも可</t>
    <rPh sb="1" eb="3">
      <t>ショクイ</t>
    </rPh>
    <rPh sb="9" eb="11">
      <t>サンショウ</t>
    </rPh>
    <phoneticPr fontId="14"/>
  </si>
  <si>
    <t>支払サイクル</t>
    <rPh sb="0" eb="2">
      <t>シハライ</t>
    </rPh>
    <phoneticPr fontId="14"/>
  </si>
  <si>
    <t>作業サイクル</t>
    <rPh sb="0" eb="2">
      <t>サギョウ</t>
    </rPh>
    <phoneticPr fontId="14"/>
  </si>
  <si>
    <t>支払者</t>
    <rPh sb="0" eb="3">
      <t>シハライシャ</t>
    </rPh>
    <phoneticPr fontId="14"/>
  </si>
  <si>
    <t>組織責任者</t>
    <rPh sb="0" eb="2">
      <t>ソシキ</t>
    </rPh>
    <rPh sb="2" eb="5">
      <t>セキニンシャ</t>
    </rPh>
    <phoneticPr fontId="14"/>
  </si>
  <si>
    <t>年間基本勤務時間</t>
    <rPh sb="0" eb="2">
      <t>ネンカン</t>
    </rPh>
    <rPh sb="2" eb="4">
      <t>キホン</t>
    </rPh>
    <rPh sb="4" eb="6">
      <t>キンム</t>
    </rPh>
    <rPh sb="6" eb="8">
      <t>ジカン</t>
    </rPh>
    <phoneticPr fontId="14"/>
  </si>
  <si>
    <t>支払期間の残業時間数</t>
  </si>
  <si>
    <t>支払期間の残業時間数</t>
    <phoneticPr fontId="14"/>
  </si>
  <si>
    <t>給与の生成</t>
    <rPh sb="0" eb="2">
      <t>キュウヨ</t>
    </rPh>
    <rPh sb="3" eb="5">
      <t>セイセイ</t>
    </rPh>
    <phoneticPr fontId="14"/>
  </si>
  <si>
    <t>スケジュールからの所得の生成</t>
    <rPh sb="9" eb="11">
      <t>ショトク</t>
    </rPh>
    <rPh sb="12" eb="14">
      <t>セイセイ</t>
    </rPh>
    <phoneticPr fontId="14"/>
  </si>
  <si>
    <t>スケジュール</t>
  </si>
  <si>
    <t>スケジュール</t>
    <phoneticPr fontId="14"/>
  </si>
  <si>
    <t>一般賠償責任保険</t>
  </si>
  <si>
    <t>一般賠償責任保険</t>
    <phoneticPr fontId="14"/>
  </si>
  <si>
    <t>既定の所得コード</t>
  </si>
  <si>
    <t>既定の所得コード</t>
    <phoneticPr fontId="14"/>
  </si>
  <si>
    <t>報酬の状態</t>
    <rPh sb="0" eb="2">
      <t>ホウシュウ</t>
    </rPh>
    <rPh sb="3" eb="5">
      <t>ジョウタイ</t>
    </rPh>
    <phoneticPr fontId="14"/>
  </si>
  <si>
    <t>報酬コード</t>
    <rPh sb="0" eb="2">
      <t>ホウシュウ</t>
    </rPh>
    <phoneticPr fontId="14"/>
  </si>
  <si>
    <t>必要な労働組合協定</t>
  </si>
  <si>
    <t>必要な労働組合協定</t>
    <phoneticPr fontId="14"/>
  </si>
  <si>
    <t>労働組合協定</t>
  </si>
  <si>
    <t>労働組合協定</t>
    <phoneticPr fontId="14"/>
  </si>
  <si>
    <t>労働組合</t>
  </si>
  <si>
    <t>労働組合</t>
    <phoneticPr fontId="14"/>
  </si>
  <si>
    <t>契約の説明</t>
  </si>
  <si>
    <t>契約の説明</t>
    <phoneticPr fontId="14"/>
  </si>
  <si>
    <t>配布テンプレート</t>
    <rPh sb="0" eb="2">
      <t>ハイフ</t>
    </rPh>
    <phoneticPr fontId="14"/>
  </si>
  <si>
    <t>既定の分析コード</t>
    <rPh sb="3" eb="5">
      <t>ブンセキ</t>
    </rPh>
    <phoneticPr fontId="14"/>
  </si>
  <si>
    <t>職位に対して既定の財務分析コードを設定する。</t>
    <rPh sb="0" eb="2">
      <t>ショクイ</t>
    </rPh>
    <phoneticPr fontId="14"/>
  </si>
  <si>
    <t>従業員（作業者）に対して既定の財務分析コードを設定する。</t>
    <rPh sb="0" eb="3">
      <t>ジュウギョウイン</t>
    </rPh>
    <rPh sb="4" eb="7">
      <t>サギョウシャ</t>
    </rPh>
    <phoneticPr fontId="14"/>
  </si>
  <si>
    <t>予算の既定値</t>
    <rPh sb="0" eb="2">
      <t>ヨサン</t>
    </rPh>
    <rPh sb="3" eb="6">
      <t>キテイチ</t>
    </rPh>
    <phoneticPr fontId="14"/>
  </si>
  <si>
    <t>予算原価要素</t>
    <rPh sb="0" eb="2">
      <t>ヨサン</t>
    </rPh>
    <rPh sb="2" eb="4">
      <t>ゲンカ</t>
    </rPh>
    <rPh sb="4" eb="6">
      <t>ヨウソ</t>
    </rPh>
    <phoneticPr fontId="14"/>
  </si>
  <si>
    <t>予算原価タイプ</t>
    <rPh sb="0" eb="2">
      <t>ヨサン</t>
    </rPh>
    <rPh sb="2" eb="4">
      <t>ゲンカ</t>
    </rPh>
    <phoneticPr fontId="14"/>
  </si>
  <si>
    <t>自動採番（番号順序の設定に順ずる）</t>
    <rPh sb="0" eb="2">
      <t>ジドウ</t>
    </rPh>
    <rPh sb="2" eb="4">
      <t>サイバン</t>
    </rPh>
    <rPh sb="5" eb="7">
      <t>バンゴウ</t>
    </rPh>
    <rPh sb="7" eb="9">
      <t>ジュンジョ</t>
    </rPh>
    <rPh sb="10" eb="12">
      <t>セッテイ</t>
    </rPh>
    <rPh sb="13" eb="14">
      <t>ジュン</t>
    </rPh>
    <phoneticPr fontId="14"/>
  </si>
  <si>
    <t>採番後手動変更可能</t>
    <rPh sb="0" eb="3">
      <t>サイバンゴ</t>
    </rPh>
    <rPh sb="3" eb="5">
      <t>シュドウ</t>
    </rPh>
    <rPh sb="5" eb="7">
      <t>ヘンコウ</t>
    </rPh>
    <rPh sb="7" eb="9">
      <t>カノウ</t>
    </rPh>
    <phoneticPr fontId="14"/>
  </si>
  <si>
    <t>番号順序の設定に順ずる</t>
    <rPh sb="0" eb="2">
      <t>バンゴウ</t>
    </rPh>
    <rPh sb="2" eb="4">
      <t>ジュンジョ</t>
    </rPh>
    <rPh sb="5" eb="7">
      <t>セッテイ</t>
    </rPh>
    <rPh sb="8" eb="9">
      <t>ジュン</t>
    </rPh>
    <phoneticPr fontId="14"/>
  </si>
  <si>
    <t>職務（ユーザー定義）</t>
  </si>
  <si>
    <t>職務（ユーザー定義）</t>
    <phoneticPr fontId="14"/>
  </si>
  <si>
    <t>タイトル（ユーザー定義）</t>
  </si>
  <si>
    <t>ジョブファミリ（ユーザー定義）</t>
  </si>
  <si>
    <t>部門（ユーザー定義）</t>
    <rPh sb="0" eb="2">
      <t>ブモン</t>
    </rPh>
    <phoneticPr fontId="14"/>
  </si>
  <si>
    <t>職位タイプ（ユーザー定義）</t>
    <rPh sb="0" eb="2">
      <t>ショクイ</t>
    </rPh>
    <phoneticPr fontId="14"/>
  </si>
  <si>
    <t>従業員を活用したワークフローを作成する際に、分岐の条件や、ワークフロー終了の条件などで使用可能</t>
    <rPh sb="0" eb="3">
      <t>ジュウギョウイン</t>
    </rPh>
    <rPh sb="4" eb="6">
      <t>カツヨウ</t>
    </rPh>
    <rPh sb="15" eb="17">
      <t>サクセイ</t>
    </rPh>
    <rPh sb="19" eb="20">
      <t>サイ</t>
    </rPh>
    <rPh sb="22" eb="24">
      <t>ブンキ</t>
    </rPh>
    <rPh sb="25" eb="27">
      <t>ジョウケン</t>
    </rPh>
    <rPh sb="35" eb="37">
      <t>シュウリョウ</t>
    </rPh>
    <rPh sb="38" eb="40">
      <t>ジョウケン</t>
    </rPh>
    <rPh sb="43" eb="45">
      <t>シヨウ</t>
    </rPh>
    <rPh sb="45" eb="47">
      <t>カノウ</t>
    </rPh>
    <phoneticPr fontId="14"/>
  </si>
  <si>
    <t>報酬い地域（ユーザー定義）</t>
    <rPh sb="0" eb="2">
      <t>ホウシュウ</t>
    </rPh>
    <rPh sb="3" eb="5">
      <t>チイキ</t>
    </rPh>
    <phoneticPr fontId="14"/>
  </si>
  <si>
    <t>ジョブファミリ（ユーザー定義）</t>
    <phoneticPr fontId="14"/>
  </si>
  <si>
    <t>作業日の0時</t>
    <phoneticPr fontId="14"/>
  </si>
  <si>
    <t>報告先職位で設定した職位に紐づいた作業者の名前が自動で入る（手動変更不可）</t>
    <rPh sb="0" eb="2">
      <t>ホウコク</t>
    </rPh>
    <rPh sb="2" eb="3">
      <t>サキ</t>
    </rPh>
    <rPh sb="3" eb="5">
      <t>ショクイ</t>
    </rPh>
    <rPh sb="6" eb="8">
      <t>セッテイ</t>
    </rPh>
    <rPh sb="10" eb="12">
      <t>ショクイ</t>
    </rPh>
    <rPh sb="13" eb="14">
      <t>ヒモ</t>
    </rPh>
    <rPh sb="17" eb="20">
      <t>サギョウシャ</t>
    </rPh>
    <rPh sb="21" eb="23">
      <t>ナマエ</t>
    </rPh>
    <rPh sb="24" eb="26">
      <t>ジドウ</t>
    </rPh>
    <rPh sb="27" eb="28">
      <t>ハイ</t>
    </rPh>
    <rPh sb="30" eb="32">
      <t>シュドウ</t>
    </rPh>
    <rPh sb="32" eb="34">
      <t>ヘンコウ</t>
    </rPh>
    <rPh sb="34" eb="36">
      <t>フカ</t>
    </rPh>
    <phoneticPr fontId="14"/>
  </si>
  <si>
    <t>2154/12/31 23:59:59</t>
    <phoneticPr fontId="14"/>
  </si>
  <si>
    <t>主要職位にする</t>
    <rPh sb="0" eb="2">
      <t>シュヨウ</t>
    </rPh>
    <rPh sb="2" eb="4">
      <t>ショクイ</t>
    </rPh>
    <phoneticPr fontId="14"/>
  </si>
  <si>
    <t>支払サイクルと支払期間（ユーザー定義）</t>
  </si>
  <si>
    <t>支払サイクルと支払期間（ユーザー定義）</t>
    <phoneticPr fontId="14"/>
  </si>
  <si>
    <t>作業サイクルと作業期間（ユーザー定義）</t>
  </si>
  <si>
    <t>作業サイクルと作業期間（ユーザー定義）</t>
    <phoneticPr fontId="14"/>
  </si>
  <si>
    <t>法人（ユーザー定義）</t>
    <rPh sb="0" eb="2">
      <t>ホウジン</t>
    </rPh>
    <phoneticPr fontId="14"/>
  </si>
  <si>
    <t>福利厚生（ユーザー定義）</t>
    <rPh sb="0" eb="2">
      <t>フクリ</t>
    </rPh>
    <rPh sb="2" eb="4">
      <t>コウセイ</t>
    </rPh>
    <phoneticPr fontId="14"/>
  </si>
  <si>
    <t>所得コード（ユーザー定義）</t>
    <rPh sb="0" eb="2">
      <t>ショトク</t>
    </rPh>
    <phoneticPr fontId="14"/>
  </si>
  <si>
    <t>職位階層タイプ（ユーザー定義）</t>
    <rPh sb="0" eb="2">
      <t>ショクイ</t>
    </rPh>
    <rPh sb="2" eb="4">
      <t>カイソウ</t>
    </rPh>
    <phoneticPr fontId="14"/>
  </si>
  <si>
    <t>職位を活用したワークフローを作成する際に、報告先の職位として上長の設定などが可能
※詳細は「D365FO_標準手順書_システム共通(承認ワークフロー)」参照</t>
    <rPh sb="21" eb="23">
      <t>ホウコク</t>
    </rPh>
    <rPh sb="23" eb="24">
      <t>サキ</t>
    </rPh>
    <rPh sb="25" eb="27">
      <t>ショクイ</t>
    </rPh>
    <rPh sb="30" eb="32">
      <t>ジョウチョウ</t>
    </rPh>
    <rPh sb="33" eb="35">
      <t>セッテイ</t>
    </rPh>
    <rPh sb="38" eb="40">
      <t>カノウ</t>
    </rPh>
    <rPh sb="42" eb="44">
      <t>ショウサイ</t>
    </rPh>
    <rPh sb="76" eb="78">
      <t>サンショウ</t>
    </rPh>
    <phoneticPr fontId="14"/>
  </si>
  <si>
    <t>職位を活用したワークフローを作成する際に、分岐の条件や、ワークフロー終了の条件などで使用可能
※詳細は「D365FO_標準手順書_システム共通(承認ワークフロー)」参照</t>
    <rPh sb="0" eb="2">
      <t>ショクイ</t>
    </rPh>
    <rPh sb="3" eb="5">
      <t>カツヨウ</t>
    </rPh>
    <rPh sb="14" eb="16">
      <t>サクセイ</t>
    </rPh>
    <rPh sb="18" eb="19">
      <t>サイ</t>
    </rPh>
    <rPh sb="21" eb="23">
      <t>ブンキ</t>
    </rPh>
    <rPh sb="24" eb="26">
      <t>ジョウケン</t>
    </rPh>
    <rPh sb="34" eb="36">
      <t>シュウリョウ</t>
    </rPh>
    <rPh sb="37" eb="39">
      <t>ジョウケン</t>
    </rPh>
    <rPh sb="42" eb="44">
      <t>シヨウ</t>
    </rPh>
    <rPh sb="44" eb="46">
      <t>カノウ</t>
    </rPh>
    <phoneticPr fontId="14"/>
  </si>
  <si>
    <t>住所の設定の都道府県（ユーザー定義）</t>
    <rPh sb="0" eb="2">
      <t>ジュウショ</t>
    </rPh>
    <rPh sb="3" eb="5">
      <t>セッテイ</t>
    </rPh>
    <rPh sb="6" eb="10">
      <t>トドウフケン</t>
    </rPh>
    <phoneticPr fontId="14"/>
  </si>
  <si>
    <t>選択可能な会社のID</t>
    <rPh sb="0" eb="2">
      <t>センタク</t>
    </rPh>
    <rPh sb="2" eb="4">
      <t>カノウ</t>
    </rPh>
    <rPh sb="5" eb="7">
      <t>カイシャ</t>
    </rPh>
    <phoneticPr fontId="14"/>
  </si>
  <si>
    <t>「法人」で選択した法人名が自動的に入力される（手動変更不可）</t>
    <rPh sb="1" eb="3">
      <t>ホウジン</t>
    </rPh>
    <rPh sb="5" eb="7">
      <t>センタク</t>
    </rPh>
    <rPh sb="9" eb="11">
      <t>ホウジン</t>
    </rPh>
    <rPh sb="11" eb="12">
      <t>メイ</t>
    </rPh>
    <rPh sb="13" eb="15">
      <t>ジドウ</t>
    </rPh>
    <rPh sb="15" eb="16">
      <t>テキ</t>
    </rPh>
    <rPh sb="17" eb="19">
      <t>ニュウリョク</t>
    </rPh>
    <rPh sb="23" eb="25">
      <t>シュドウ</t>
    </rPh>
    <rPh sb="25" eb="27">
      <t>ヘンコウ</t>
    </rPh>
    <rPh sb="27" eb="29">
      <t>フカ</t>
    </rPh>
    <phoneticPr fontId="14"/>
  </si>
  <si>
    <t>労働組合（ユーザー定義）</t>
    <rPh sb="0" eb="2">
      <t>ロウドウ</t>
    </rPh>
    <rPh sb="2" eb="4">
      <t>クミアイ</t>
    </rPh>
    <phoneticPr fontId="14"/>
  </si>
  <si>
    <t>「必要な労働組合協定」を「はい」にした場合に入力可能</t>
    <rPh sb="19" eb="21">
      <t>バアイ</t>
    </rPh>
    <rPh sb="22" eb="24">
      <t>ニュウリョク</t>
    </rPh>
    <rPh sb="24" eb="26">
      <t>カノウ</t>
    </rPh>
    <phoneticPr fontId="14"/>
  </si>
  <si>
    <t>「労働組合協定」で選択した労働組合の名前が自動で入る</t>
    <rPh sb="9" eb="11">
      <t>センタク</t>
    </rPh>
    <rPh sb="13" eb="15">
      <t>ロウドウ</t>
    </rPh>
    <rPh sb="15" eb="17">
      <t>クミアイ</t>
    </rPh>
    <rPh sb="18" eb="20">
      <t>ナマエ</t>
    </rPh>
    <rPh sb="21" eb="23">
      <t>ジドウ</t>
    </rPh>
    <rPh sb="24" eb="25">
      <t>ハイ</t>
    </rPh>
    <phoneticPr fontId="14"/>
  </si>
  <si>
    <t>「労働組合協定」で選択した労働組合の法人が自動で入る</t>
    <rPh sb="9" eb="11">
      <t>センタク</t>
    </rPh>
    <rPh sb="13" eb="15">
      <t>ロウドウ</t>
    </rPh>
    <rPh sb="15" eb="17">
      <t>クミアイ</t>
    </rPh>
    <rPh sb="18" eb="20">
      <t>ホウジン</t>
    </rPh>
    <rPh sb="21" eb="23">
      <t>ジドウ</t>
    </rPh>
    <rPh sb="24" eb="25">
      <t>ハイ</t>
    </rPh>
    <phoneticPr fontId="14"/>
  </si>
  <si>
    <t>財務分析コード用の既定テンプレート（ユーザー定義）</t>
  </si>
  <si>
    <t>財務分析コード用の既定テンプレート（ユーザー定義）</t>
    <phoneticPr fontId="14"/>
  </si>
  <si>
    <t>予算原価要素（ユーザー定義）</t>
    <rPh sb="0" eb="2">
      <t>ヨサン</t>
    </rPh>
    <rPh sb="2" eb="4">
      <t>ゲンカ</t>
    </rPh>
    <rPh sb="4" eb="6">
      <t>ヨウソ</t>
    </rPh>
    <phoneticPr fontId="14"/>
  </si>
  <si>
    <t>予算原価要素が自組織に対して有効になっていないと選択できない</t>
    <rPh sb="0" eb="2">
      <t>ヨサン</t>
    </rPh>
    <rPh sb="2" eb="4">
      <t>ゲンカ</t>
    </rPh>
    <rPh sb="4" eb="6">
      <t>ヨウソ</t>
    </rPh>
    <rPh sb="7" eb="10">
      <t>ジソシキ</t>
    </rPh>
    <rPh sb="11" eb="12">
      <t>タイ</t>
    </rPh>
    <rPh sb="14" eb="16">
      <t>ユウコウ</t>
    </rPh>
    <rPh sb="24" eb="26">
      <t>センタク</t>
    </rPh>
    <phoneticPr fontId="14"/>
  </si>
  <si>
    <t>「予算原価要素」で選択した予算原価要素の説明が自動で入力される</t>
    <rPh sb="9" eb="11">
      <t>センタク</t>
    </rPh>
    <rPh sb="20" eb="22">
      <t>セツメイ</t>
    </rPh>
    <rPh sb="23" eb="25">
      <t>ジドウ</t>
    </rPh>
    <rPh sb="26" eb="28">
      <t>ニュウリョク</t>
    </rPh>
    <phoneticPr fontId="14"/>
  </si>
  <si>
    <t>「予算原価要素」で選択した予算原価要素の予算原価タイプが自動で入力される</t>
    <rPh sb="9" eb="11">
      <t>センタク</t>
    </rPh>
    <rPh sb="20" eb="22">
      <t>ヨサン</t>
    </rPh>
    <rPh sb="22" eb="24">
      <t>ゲンカ</t>
    </rPh>
    <rPh sb="28" eb="30">
      <t>ジドウ</t>
    </rPh>
    <rPh sb="31" eb="33">
      <t>ニュウリョク</t>
    </rPh>
    <phoneticPr fontId="14"/>
  </si>
  <si>
    <t>バッジバージョン</t>
  </si>
  <si>
    <t>個人情報</t>
    <rPh sb="0" eb="4">
      <t>コジンジョウホウ</t>
    </rPh>
    <phoneticPr fontId="14"/>
  </si>
  <si>
    <t>作業者の概要</t>
    <phoneticPr fontId="14"/>
  </si>
  <si>
    <t>イニシャル</t>
  </si>
  <si>
    <t>ミドルネームネーム（ふりがな）</t>
  </si>
  <si>
    <t>スキルマッピングの対象に含める</t>
    <phoneticPr fontId="14"/>
  </si>
  <si>
    <t>理由コード（ユーザー定義）</t>
    <phoneticPr fontId="14"/>
  </si>
  <si>
    <t>カレンダー＞カレンダー</t>
  </si>
  <si>
    <t>Real-time Service エラーが発生しても続行する</t>
  </si>
  <si>
    <t>コミッションの売上グループ（ユーザー定義）</t>
  </si>
  <si>
    <t>画面レイアウト（ユーザー定義）</t>
    <phoneticPr fontId="14"/>
  </si>
  <si>
    <t>時間登録</t>
    <rPh sb="0" eb="4">
      <t>ジカントウロク</t>
    </rPh>
    <phoneticPr fontId="14"/>
  </si>
  <si>
    <t>ID</t>
  </si>
  <si>
    <t>バッチID</t>
  </si>
  <si>
    <t>フレックスタイム＞フレックスグループID</t>
  </si>
  <si>
    <t>プロファイル（ユーザー定義）</t>
  </si>
  <si>
    <t>プロファイルグループ（ユーザー定義）</t>
  </si>
  <si>
    <t>プロジェクトカテゴリ（ユーザー定義）</t>
  </si>
  <si>
    <t>ジョブ カード ターミナルのコンフィギュレーション（ユーザー定義）</t>
  </si>
  <si>
    <t>フレックスグループ（ユーザー定義）</t>
  </si>
  <si>
    <t>Default tax region</t>
  </si>
  <si>
    <t>レビュー</t>
  </si>
  <si>
    <t>コース</t>
  </si>
  <si>
    <t>テスト</t>
  </si>
  <si>
    <t>ジョブファミリ</t>
  </si>
  <si>
    <t>予算の既定値</t>
    <phoneticPr fontId="14"/>
  </si>
  <si>
    <t>部門
原価部門
バリューストリーム
事業単位
すべての作業単位
小売チャネル</t>
    <rPh sb="0" eb="2">
      <t>ブモン</t>
    </rPh>
    <rPh sb="3" eb="5">
      <t>ゲンカ</t>
    </rPh>
    <rPh sb="5" eb="7">
      <t>ブモン</t>
    </rPh>
    <rPh sb="18" eb="20">
      <t>ジギョウ</t>
    </rPh>
    <rPh sb="20" eb="22">
      <t>タンイ</t>
    </rPh>
    <rPh sb="27" eb="29">
      <t>サギョウ</t>
    </rPh>
    <rPh sb="29" eb="31">
      <t>タンイ</t>
    </rPh>
    <rPh sb="32" eb="34">
      <t>コウ</t>
    </rPh>
    <phoneticPr fontId="14"/>
  </si>
  <si>
    <t>「作業単位-タ設定値」を参照</t>
    <rPh sb="12" eb="14">
      <t>サンショウ</t>
    </rPh>
    <phoneticPr fontId="14"/>
  </si>
  <si>
    <t>「作業単位-タ設定値」を参照</t>
    <phoneticPr fontId="14"/>
  </si>
  <si>
    <t>部門
原価部門
バリューストリーム
事業単位
すべての作業単位
小売チャンネル</t>
    <phoneticPr fontId="14"/>
  </si>
  <si>
    <t>必須</t>
    <rPh sb="0" eb="2">
      <t>ヒッス</t>
    </rPh>
    <phoneticPr fontId="14"/>
  </si>
  <si>
    <t>　■凡例「必須：システム上必須」「必須(*)：システムで必須ではないが、トランザクション上や業務などで必須」</t>
    <rPh sb="2" eb="4">
      <t>ハンレイ</t>
    </rPh>
    <rPh sb="5" eb="7">
      <t>ヒッス</t>
    </rPh>
    <rPh sb="12" eb="13">
      <t>ジョウ</t>
    </rPh>
    <rPh sb="13" eb="15">
      <t>ヒッス</t>
    </rPh>
    <rPh sb="17" eb="19">
      <t>ヒッス</t>
    </rPh>
    <rPh sb="28" eb="30">
      <t>ヒッス</t>
    </rPh>
    <rPh sb="44" eb="45">
      <t>ジョウ</t>
    </rPh>
    <rPh sb="46" eb="48">
      <t>ギョウム</t>
    </rPh>
    <rPh sb="51" eb="53">
      <t>ヒッス</t>
    </rPh>
    <phoneticPr fontId="14"/>
  </si>
  <si>
    <r>
      <t>ユーザーIDへの作業者の割当-設定値</t>
    </r>
    <r>
      <rPr>
        <sz val="14"/>
        <color theme="1"/>
        <rFont val="Meiryo UI"/>
        <family val="3"/>
        <charset val="128"/>
      </rPr>
      <t>　</t>
    </r>
    <r>
      <rPr>
        <sz val="11"/>
        <color theme="1"/>
        <rFont val="Meiryo UI"/>
        <family val="3"/>
        <charset val="128"/>
      </rPr>
      <t>※基本的には移行データを正とする</t>
    </r>
    <phoneticPr fontId="14"/>
  </si>
  <si>
    <r>
      <t>作業単位-設定値</t>
    </r>
    <r>
      <rPr>
        <sz val="11"/>
        <color theme="1"/>
        <rFont val="Meiryo UI"/>
        <family val="3"/>
        <charset val="128"/>
      </rPr>
      <t>　※基本的には移行データを正とする</t>
    </r>
    <phoneticPr fontId="20"/>
  </si>
  <si>
    <r>
      <t>市区郡-設定値</t>
    </r>
    <r>
      <rPr>
        <sz val="11"/>
        <color theme="1"/>
        <rFont val="Meiryo UI"/>
        <family val="3"/>
        <charset val="128"/>
      </rPr>
      <t>　※基本的には移行データを正とする（日本の郵便番号インポートでは反映されない）</t>
    </r>
    <rPh sb="25" eb="27">
      <t>ニホン</t>
    </rPh>
    <rPh sb="28" eb="32">
      <t>ユウビンバンゴウ</t>
    </rPh>
    <rPh sb="39" eb="41">
      <t>ハンエイ</t>
    </rPh>
    <phoneticPr fontId="14"/>
  </si>
  <si>
    <r>
      <t>市町村-設定値</t>
    </r>
    <r>
      <rPr>
        <sz val="11"/>
        <color theme="1"/>
        <rFont val="Meiryo UI"/>
        <family val="3"/>
        <charset val="128"/>
      </rPr>
      <t>　※基本的には移行データを正とする（郵便番号インポート）</t>
    </r>
    <phoneticPr fontId="14"/>
  </si>
  <si>
    <r>
      <t>地区-設定値</t>
    </r>
    <r>
      <rPr>
        <sz val="11"/>
        <color theme="1"/>
        <rFont val="Meiryo UI"/>
        <family val="3"/>
        <charset val="128"/>
      </rPr>
      <t>　※基本的には移行データを正とする（日本の郵便番号インポートでは反映されない）</t>
    </r>
    <rPh sb="0" eb="2">
      <t>チク</t>
    </rPh>
    <phoneticPr fontId="14"/>
  </si>
  <si>
    <r>
      <t>住所-設定値</t>
    </r>
    <r>
      <rPr>
        <sz val="11"/>
        <color theme="1"/>
        <rFont val="Meiryo UI"/>
        <family val="3"/>
        <charset val="128"/>
      </rPr>
      <t>　※基本的には移行データを正とする（ロシアでのみ使用）</t>
    </r>
    <rPh sb="30" eb="32">
      <t>シヨウ</t>
    </rPh>
    <phoneticPr fontId="14"/>
  </si>
  <si>
    <r>
      <t>家のグループ-設定値</t>
    </r>
    <r>
      <rPr>
        <sz val="11"/>
        <color theme="1"/>
        <rFont val="Meiryo UI"/>
        <family val="3"/>
        <charset val="128"/>
      </rPr>
      <t>　※基本的には移行データを正とする（ロシアでのみ使用）</t>
    </r>
    <phoneticPr fontId="14"/>
  </si>
  <si>
    <r>
      <t>土地区画-設定値</t>
    </r>
    <r>
      <rPr>
        <sz val="11"/>
        <color theme="1"/>
        <rFont val="Meiryo UI"/>
        <family val="3"/>
        <charset val="128"/>
      </rPr>
      <t>　※基本的には移行データを正とする（ロシアでのみ使用）</t>
    </r>
    <phoneticPr fontId="14"/>
  </si>
  <si>
    <r>
      <t>アパートのグループ-設定値</t>
    </r>
    <r>
      <rPr>
        <sz val="11"/>
        <color theme="1"/>
        <rFont val="Meiryo UI"/>
        <family val="3"/>
        <charset val="128"/>
      </rPr>
      <t>　※基本的には移行データを正とする（ロシアでのみ使用）</t>
    </r>
    <phoneticPr fontId="14"/>
  </si>
  <si>
    <r>
      <t>郵便番号-設定値</t>
    </r>
    <r>
      <rPr>
        <sz val="11"/>
        <color theme="1"/>
        <rFont val="Meiryo UI"/>
        <family val="3"/>
        <charset val="128"/>
      </rPr>
      <t>　※基本的には移行データを正とする（郵便番号インポート）</t>
    </r>
    <phoneticPr fontId="14"/>
  </si>
  <si>
    <r>
      <t>単位-設定値</t>
    </r>
    <r>
      <rPr>
        <sz val="11"/>
        <color theme="1"/>
        <rFont val="Meiryo UI"/>
        <family val="3"/>
        <charset val="128"/>
      </rPr>
      <t>　※基本的には移行データを正とする</t>
    </r>
    <phoneticPr fontId="14"/>
  </si>
  <si>
    <r>
      <t>標準換算-設定値</t>
    </r>
    <r>
      <rPr>
        <sz val="11"/>
        <color theme="1"/>
        <rFont val="Meiryo UI"/>
        <family val="3"/>
        <charset val="128"/>
      </rPr>
      <t>　※基本的には移行データを正とする</t>
    </r>
    <phoneticPr fontId="14"/>
  </si>
  <si>
    <r>
      <t>クラス内換算-設定値</t>
    </r>
    <r>
      <rPr>
        <sz val="11"/>
        <color theme="1"/>
        <rFont val="Meiryo UI"/>
        <family val="3"/>
        <charset val="128"/>
      </rPr>
      <t>　※基本的には移行データを正とする</t>
    </r>
    <phoneticPr fontId="14"/>
  </si>
  <si>
    <r>
      <t>クラス間換算-設定値</t>
    </r>
    <r>
      <rPr>
        <sz val="11"/>
        <color theme="1"/>
        <rFont val="Meiryo UI"/>
        <family val="3"/>
        <charset val="128"/>
      </rPr>
      <t>　※基本的には移行データを正とする</t>
    </r>
    <phoneticPr fontId="14"/>
  </si>
  <si>
    <r>
      <t>ロールへのユーザーの動的割り当てのルール-設定値</t>
    </r>
    <r>
      <rPr>
        <sz val="11"/>
        <color theme="1"/>
        <rFont val="Meiryo UI"/>
        <family val="3"/>
        <charset val="128"/>
      </rPr>
      <t>　※基本的には移行データを正とする</t>
    </r>
    <phoneticPr fontId="14"/>
  </si>
  <si>
    <r>
      <t xml:space="preserve">住所の定義となる。
</t>
    </r>
    <r>
      <rPr>
        <sz val="11"/>
        <rFont val="Meiryo UI"/>
        <family val="3"/>
        <charset val="128"/>
      </rPr>
      <t>※市区町村や郵便番号については移行対象の想定（郵便番号インポート）
※住所、家のグループ、土地区画、アパートのグループはロシアのみで使用</t>
    </r>
    <rPh sb="11" eb="15">
      <t>シクチョウソン</t>
    </rPh>
    <rPh sb="16" eb="20">
      <t>ユウビンバンゴウ</t>
    </rPh>
    <rPh sb="25" eb="27">
      <t>イコウ</t>
    </rPh>
    <rPh sb="27" eb="29">
      <t>タイショウ</t>
    </rPh>
    <rPh sb="30" eb="32">
      <t>ソウテイ</t>
    </rPh>
    <rPh sb="33" eb="37">
      <t>ユウビンバンゴウ</t>
    </rPh>
    <rPh sb="76" eb="78">
      <t>シヨウ</t>
    </rPh>
    <phoneticPr fontId="14"/>
  </si>
  <si>
    <t>ロールの定義となる。
ロールの数は、アクセス権限の種類分となる。
※FO権限設計書で定義（設計書側で管理）</t>
    <rPh sb="36" eb="38">
      <t>ケンゲン</t>
    </rPh>
    <rPh sb="38" eb="41">
      <t>セッケイショ</t>
    </rPh>
    <rPh sb="42" eb="44">
      <t>テイギ</t>
    </rPh>
    <rPh sb="45" eb="48">
      <t>セッケイショ</t>
    </rPh>
    <rPh sb="48" eb="49">
      <t>ガワ</t>
    </rPh>
    <rPh sb="50" eb="52">
      <t>カンリ</t>
    </rPh>
    <phoneticPr fontId="14"/>
  </si>
  <si>
    <r>
      <t>通貨の為替レート-設定値</t>
    </r>
    <r>
      <rPr>
        <sz val="11"/>
        <color theme="1"/>
        <rFont val="Meiryo UI"/>
        <family val="3"/>
        <charset val="128"/>
      </rPr>
      <t>　※基本的には移行データを正とする</t>
    </r>
    <phoneticPr fontId="14"/>
  </si>
  <si>
    <t>為替レートの定義を行う。
※管理対象が多い場合移行対象の想定</t>
    <rPh sb="0" eb="2">
      <t>カワセ</t>
    </rPh>
    <rPh sb="6" eb="8">
      <t>テイギ</t>
    </rPh>
    <rPh sb="9" eb="10">
      <t>オコナ</t>
    </rPh>
    <phoneticPr fontId="17"/>
  </si>
  <si>
    <r>
      <t>顧客の価格/割引グループ-設定値</t>
    </r>
    <r>
      <rPr>
        <sz val="11"/>
        <color theme="1"/>
        <rFont val="Meiryo UI"/>
        <family val="3"/>
        <charset val="128"/>
      </rPr>
      <t>　※基本的には移行データを正とする</t>
    </r>
    <rPh sb="0" eb="2">
      <t>コキャク</t>
    </rPh>
    <rPh sb="3" eb="5">
      <t>カカク</t>
    </rPh>
    <rPh sb="6" eb="8">
      <t>ワリビキ</t>
    </rPh>
    <phoneticPr fontId="14"/>
  </si>
  <si>
    <r>
      <t>荷渡方法(小売チャネル)-設定値</t>
    </r>
    <r>
      <rPr>
        <sz val="11"/>
        <color theme="1"/>
        <rFont val="Meiryo UI"/>
        <family val="3"/>
        <charset val="128"/>
      </rPr>
      <t>　※基本的には移行データを正とする</t>
    </r>
    <phoneticPr fontId="14"/>
  </si>
  <si>
    <t>作業単位の定義となる。
※管理対象が多い場合移行対象の想定</t>
    <rPh sb="0" eb="4">
      <t>サギョウタンイ</t>
    </rPh>
    <rPh sb="5" eb="7">
      <t>テイギ</t>
    </rPh>
    <rPh sb="13" eb="15">
      <t>カンリ</t>
    </rPh>
    <rPh sb="15" eb="17">
      <t>タイショウ</t>
    </rPh>
    <rPh sb="18" eb="19">
      <t>オオ</t>
    </rPh>
    <rPh sb="20" eb="22">
      <t>バアイ</t>
    </rPh>
    <rPh sb="22" eb="24">
      <t>イコウ</t>
    </rPh>
    <rPh sb="24" eb="26">
      <t>タイショウ</t>
    </rPh>
    <rPh sb="27" eb="29">
      <t>ソウテイ</t>
    </rPh>
    <phoneticPr fontId="14"/>
  </si>
  <si>
    <t>ユーザーIDに対して作業者の割当を設定する。
※移行対象の</t>
    <phoneticPr fontId="14"/>
  </si>
  <si>
    <r>
      <t>顧客-顧客の作成</t>
    </r>
    <r>
      <rPr>
        <sz val="11"/>
        <color theme="1"/>
        <rFont val="Meiryo UI"/>
        <family val="3"/>
        <charset val="128"/>
      </rPr>
      <t>　※基本的には移行データを正とする</t>
    </r>
    <phoneticPr fontId="14"/>
  </si>
  <si>
    <r>
      <t>顧客-設定値</t>
    </r>
    <r>
      <rPr>
        <sz val="11"/>
        <color theme="1"/>
        <rFont val="Meiryo UI"/>
        <family val="3"/>
        <charset val="128"/>
      </rPr>
      <t>　※基本的には移行データを正とする</t>
    </r>
    <phoneticPr fontId="14"/>
  </si>
  <si>
    <r>
      <t>与信管理グループ - 設定値</t>
    </r>
    <r>
      <rPr>
        <sz val="11"/>
        <color theme="1"/>
        <rFont val="Meiryo UI"/>
        <family val="3"/>
        <charset val="128"/>
      </rPr>
      <t>　※基本的には移行データを正とする</t>
    </r>
    <rPh sb="0" eb="2">
      <t>ヨシン</t>
    </rPh>
    <rPh sb="2" eb="4">
      <t>カンリ</t>
    </rPh>
    <phoneticPr fontId="14"/>
  </si>
  <si>
    <r>
      <t>仕入先の価格/割引グループ-設定値</t>
    </r>
    <r>
      <rPr>
        <sz val="11"/>
        <color theme="1"/>
        <rFont val="Meiryo UI"/>
        <family val="3"/>
        <charset val="128"/>
      </rPr>
      <t>　※基本的には移行データを正とする</t>
    </r>
    <rPh sb="0" eb="3">
      <t>シイレサキ</t>
    </rPh>
    <rPh sb="4" eb="6">
      <t>カカク</t>
    </rPh>
    <rPh sb="7" eb="9">
      <t>ワリビキ</t>
    </rPh>
    <phoneticPr fontId="14"/>
  </si>
  <si>
    <r>
      <t>仕入先-設定値</t>
    </r>
    <r>
      <rPr>
        <sz val="11"/>
        <color theme="1"/>
        <rFont val="Meiryo UI"/>
        <family val="3"/>
        <charset val="128"/>
      </rPr>
      <t>　※基本的には移行データを正とする</t>
    </r>
    <phoneticPr fontId="14"/>
  </si>
  <si>
    <r>
      <t>倉庫-設定値</t>
    </r>
    <r>
      <rPr>
        <sz val="11"/>
        <color theme="1"/>
        <rFont val="Meiryo UI"/>
        <family val="3"/>
        <charset val="128"/>
      </rPr>
      <t>　※基本的には移行データを正とする</t>
    </r>
    <phoneticPr fontId="14"/>
  </si>
  <si>
    <r>
      <t>通路-設定値</t>
    </r>
    <r>
      <rPr>
        <sz val="11"/>
        <color theme="1"/>
        <rFont val="Meiryo UI"/>
        <family val="3"/>
        <charset val="128"/>
      </rPr>
      <t>　※基本的には移行データを正とする</t>
    </r>
    <phoneticPr fontId="14"/>
  </si>
  <si>
    <r>
      <t>在庫場所-設定値</t>
    </r>
    <r>
      <rPr>
        <sz val="11"/>
        <color theme="1"/>
        <rFont val="Meiryo UI"/>
        <family val="3"/>
        <charset val="128"/>
      </rPr>
      <t>　※基本的には移行データを正とする</t>
    </r>
    <phoneticPr fontId="14"/>
  </si>
  <si>
    <r>
      <t>配送日数-設定値</t>
    </r>
    <r>
      <rPr>
        <sz val="11"/>
        <color theme="1"/>
        <rFont val="Meiryo UI"/>
        <family val="3"/>
        <charset val="128"/>
      </rPr>
      <t>　※基本的には移行データを正とする</t>
    </r>
    <phoneticPr fontId="14"/>
  </si>
  <si>
    <r>
      <t>出荷の配送業者-設定値</t>
    </r>
    <r>
      <rPr>
        <sz val="11"/>
        <color theme="1"/>
        <rFont val="Meiryo UI"/>
        <family val="3"/>
        <charset val="128"/>
      </rPr>
      <t>　※基本的には移行データを正とする</t>
    </r>
    <phoneticPr fontId="14"/>
  </si>
  <si>
    <r>
      <t>製品-設定値</t>
    </r>
    <r>
      <rPr>
        <sz val="11"/>
        <color theme="1"/>
        <rFont val="Meiryo UI"/>
        <family val="3"/>
        <charset val="128"/>
      </rPr>
      <t>　※基本的には移行データを正とする</t>
    </r>
    <phoneticPr fontId="14"/>
  </si>
  <si>
    <r>
      <t>リリースされた製品-設定値</t>
    </r>
    <r>
      <rPr>
        <sz val="11"/>
        <color theme="1"/>
        <rFont val="Meiryo UI"/>
        <family val="3"/>
        <charset val="128"/>
      </rPr>
      <t>　※基本的には移行データを正とする</t>
    </r>
    <phoneticPr fontId="14"/>
  </si>
  <si>
    <r>
      <t>カテゴリノード-設定値</t>
    </r>
    <r>
      <rPr>
        <sz val="11"/>
        <color theme="1"/>
        <rFont val="Meiryo UI"/>
        <family val="3"/>
        <charset val="128"/>
      </rPr>
      <t>　※基本的には移行データを正とする</t>
    </r>
    <phoneticPr fontId="14"/>
  </si>
  <si>
    <r>
      <t>カテゴリノード詳細-設定値</t>
    </r>
    <r>
      <rPr>
        <sz val="11"/>
        <color theme="1"/>
        <rFont val="Meiryo UI"/>
        <family val="3"/>
        <charset val="128"/>
      </rPr>
      <t>　※基本的には移行データを正とする</t>
    </r>
    <rPh sb="7" eb="9">
      <t>ショウサイ</t>
    </rPh>
    <phoneticPr fontId="14"/>
  </si>
  <si>
    <r>
      <t>既定で繰延される品目 - 設定値</t>
    </r>
    <r>
      <rPr>
        <sz val="11"/>
        <color theme="1"/>
        <rFont val="Meiryo UI"/>
        <family val="3"/>
        <charset val="128"/>
      </rPr>
      <t>　※基本的には移行データを正とする</t>
    </r>
    <phoneticPr fontId="14"/>
  </si>
  <si>
    <t>新しい従業員の採用の定義となる。
※移行対象</t>
    <rPh sb="0" eb="1">
      <t>アタラ</t>
    </rPh>
    <rPh sb="3" eb="6">
      <t>ジュウギョウイン</t>
    </rPh>
    <rPh sb="7" eb="9">
      <t>サイヨウ</t>
    </rPh>
    <rPh sb="10" eb="12">
      <t>テイギ</t>
    </rPh>
    <rPh sb="18" eb="22">
      <t>イコウタイショウ</t>
    </rPh>
    <phoneticPr fontId="16"/>
  </si>
  <si>
    <r>
      <t>従業員-設定値</t>
    </r>
    <r>
      <rPr>
        <sz val="11"/>
        <color theme="1"/>
        <rFont val="Meiryo UI"/>
        <family val="3"/>
        <charset val="128"/>
      </rPr>
      <t>　※基本的には移行データを正とする</t>
    </r>
    <phoneticPr fontId="14"/>
  </si>
  <si>
    <t>部門の設定が必要。
※管理対象が多い場合移行対象の想定（作業単位同様　作業単位側で対応していたら対応不要）</t>
    <rPh sb="0" eb="2">
      <t>ブモン</t>
    </rPh>
    <rPh sb="3" eb="5">
      <t>セッテイ</t>
    </rPh>
    <rPh sb="6" eb="8">
      <t>ヒツヨウ</t>
    </rPh>
    <rPh sb="28" eb="30">
      <t>サギョウ</t>
    </rPh>
    <rPh sb="30" eb="32">
      <t>タンイ</t>
    </rPh>
    <rPh sb="32" eb="34">
      <t>ドウヨウ</t>
    </rPh>
    <rPh sb="35" eb="37">
      <t>サギョウ</t>
    </rPh>
    <rPh sb="37" eb="39">
      <t>タンイ</t>
    </rPh>
    <rPh sb="39" eb="40">
      <t>ガワ</t>
    </rPh>
    <rPh sb="41" eb="43">
      <t>タイオウ</t>
    </rPh>
    <rPh sb="48" eb="50">
      <t>タイオウ</t>
    </rPh>
    <rPh sb="50" eb="52">
      <t>フヨウ</t>
    </rPh>
    <phoneticPr fontId="16"/>
  </si>
  <si>
    <t>職務の設定が必要。
※管理対象が多い場合移行対象の想定</t>
    <rPh sb="0" eb="2">
      <t>ショクム</t>
    </rPh>
    <rPh sb="3" eb="5">
      <t>セッテイ</t>
    </rPh>
    <rPh sb="6" eb="8">
      <t>ヒツヨウ</t>
    </rPh>
    <phoneticPr fontId="16"/>
  </si>
  <si>
    <r>
      <t>職務-設定値</t>
    </r>
    <r>
      <rPr>
        <sz val="11"/>
        <color theme="1"/>
        <rFont val="Meiryo UI"/>
        <family val="3"/>
        <charset val="128"/>
      </rPr>
      <t>　※基本的には移行データを正とする</t>
    </r>
    <phoneticPr fontId="14"/>
  </si>
  <si>
    <t>職位の設定　１作業者に対して１職位となる。
※部門と職務の設定が先に必要（WFで使用する場合などはタイトルの設定も必要）
※移行対象</t>
    <rPh sb="0" eb="2">
      <t>ショクイ</t>
    </rPh>
    <rPh sb="3" eb="5">
      <t>セッテイ</t>
    </rPh>
    <rPh sb="7" eb="9">
      <t>サギョウ</t>
    </rPh>
    <rPh sb="9" eb="10">
      <t>シャ</t>
    </rPh>
    <rPh sb="11" eb="12">
      <t>タイ</t>
    </rPh>
    <rPh sb="15" eb="17">
      <t>ショクイ</t>
    </rPh>
    <rPh sb="23" eb="25">
      <t>ブモン</t>
    </rPh>
    <rPh sb="26" eb="28">
      <t>ショクム</t>
    </rPh>
    <rPh sb="29" eb="31">
      <t>セッテイ</t>
    </rPh>
    <rPh sb="32" eb="33">
      <t>サキ</t>
    </rPh>
    <rPh sb="34" eb="36">
      <t>ヒツヨウ</t>
    </rPh>
    <rPh sb="40" eb="42">
      <t>シヨウ</t>
    </rPh>
    <rPh sb="44" eb="46">
      <t>バアイ</t>
    </rPh>
    <rPh sb="54" eb="56">
      <t>セッテイ</t>
    </rPh>
    <rPh sb="57" eb="59">
      <t>ヒツヨウ</t>
    </rPh>
    <phoneticPr fontId="16"/>
  </si>
  <si>
    <r>
      <t>サイト-設定値</t>
    </r>
    <r>
      <rPr>
        <sz val="11"/>
        <color theme="1"/>
        <rFont val="Meiryo UI"/>
        <family val="3"/>
        <charset val="128"/>
      </rPr>
      <t>　※基本的には移行データを正とする</t>
    </r>
    <phoneticPr fontId="14"/>
  </si>
  <si>
    <r>
      <t>リソースグループ-設定値</t>
    </r>
    <r>
      <rPr>
        <sz val="11"/>
        <color theme="1"/>
        <rFont val="Meiryo UI"/>
        <family val="3"/>
        <charset val="128"/>
      </rPr>
      <t>　※基本的には移行データを正とする</t>
    </r>
    <rPh sb="9" eb="12">
      <t>セッテイチ</t>
    </rPh>
    <phoneticPr fontId="14"/>
  </si>
  <si>
    <r>
      <t>リソース-設定値</t>
    </r>
    <r>
      <rPr>
        <sz val="11"/>
        <color theme="1"/>
        <rFont val="Meiryo UI"/>
        <family val="3"/>
        <charset val="128"/>
      </rPr>
      <t>　※基本的には移行データを正とする</t>
    </r>
    <rPh sb="5" eb="8">
      <t>セッテイチ</t>
    </rPh>
    <phoneticPr fontId="14"/>
  </si>
  <si>
    <r>
      <t>リソース-カレンダー-設定値</t>
    </r>
    <r>
      <rPr>
        <sz val="11"/>
        <color theme="1"/>
        <rFont val="Meiryo UI"/>
        <family val="3"/>
        <charset val="128"/>
      </rPr>
      <t>　※基本的には移行データを正とする</t>
    </r>
    <rPh sb="11" eb="14">
      <t>セッテイチ</t>
    </rPh>
    <phoneticPr fontId="14"/>
  </si>
  <si>
    <r>
      <t>リソース-処理能力-設定値</t>
    </r>
    <r>
      <rPr>
        <sz val="11"/>
        <color theme="1"/>
        <rFont val="Meiryo UI"/>
        <family val="3"/>
        <charset val="128"/>
      </rPr>
      <t>　※基本的には移行データを正とする</t>
    </r>
    <rPh sb="5" eb="7">
      <t>ショリ</t>
    </rPh>
    <rPh sb="7" eb="9">
      <t>ノウリョク</t>
    </rPh>
    <rPh sb="10" eb="13">
      <t>セッテイチ</t>
    </rPh>
    <phoneticPr fontId="14"/>
  </si>
  <si>
    <r>
      <t>リソース-リソースグループ-設定値</t>
    </r>
    <r>
      <rPr>
        <sz val="11"/>
        <color theme="1"/>
        <rFont val="Meiryo UI"/>
        <family val="3"/>
        <charset val="128"/>
      </rPr>
      <t>　※基本的には移行データを正とする</t>
    </r>
    <rPh sb="14" eb="17">
      <t>セッテイチ</t>
    </rPh>
    <phoneticPr fontId="14"/>
  </si>
  <si>
    <t>※「住所の設定」参照</t>
    <rPh sb="8" eb="10">
      <t>サンショウ</t>
    </rPh>
    <phoneticPr fontId="14"/>
  </si>
  <si>
    <t>最初に設定して保存した後は変更不可</t>
    <rPh sb="0" eb="2">
      <t>サイショ</t>
    </rPh>
    <rPh sb="3" eb="5">
      <t>セッテイ</t>
    </rPh>
    <rPh sb="7" eb="9">
      <t>ホゾン</t>
    </rPh>
    <rPh sb="11" eb="12">
      <t>アト</t>
    </rPh>
    <rPh sb="13" eb="15">
      <t>ヘンコウ</t>
    </rPh>
    <rPh sb="15" eb="17">
      <t>フカ</t>
    </rPh>
    <phoneticPr fontId="14"/>
  </si>
  <si>
    <t>必須（国/地域は必須）</t>
    <rPh sb="8" eb="10">
      <t>ヒッス</t>
    </rPh>
    <phoneticPr fontId="14"/>
  </si>
  <si>
    <r>
      <t>都道府県-設定値</t>
    </r>
    <r>
      <rPr>
        <sz val="11"/>
        <color theme="1"/>
        <rFont val="Meiryo UI"/>
        <family val="3"/>
        <charset val="128"/>
      </rPr>
      <t>　※基本的には移行データを正とする（日本の郵便番号インポートでは反映されない）</t>
    </r>
    <rPh sb="0" eb="4">
      <t>トドウフケン</t>
    </rPh>
    <phoneticPr fontId="14"/>
  </si>
  <si>
    <r>
      <t>住所の形式-設定値</t>
    </r>
    <r>
      <rPr>
        <sz val="11"/>
        <color theme="1"/>
        <rFont val="Meiryo UI"/>
        <family val="3"/>
        <charset val="128"/>
      </rPr>
      <t>　※既定値以外の形式を使用する場合新規で登録し、それのみを記載</t>
    </r>
    <rPh sb="6" eb="9">
      <t>セッテイチ</t>
    </rPh>
    <rPh sb="11" eb="14">
      <t>キテイチ</t>
    </rPh>
    <rPh sb="14" eb="16">
      <t>イガイ</t>
    </rPh>
    <rPh sb="17" eb="19">
      <t>ケイシキ</t>
    </rPh>
    <rPh sb="20" eb="22">
      <t>シヨウ</t>
    </rPh>
    <rPh sb="24" eb="26">
      <t>バアイ</t>
    </rPh>
    <rPh sb="26" eb="28">
      <t>シンキ</t>
    </rPh>
    <rPh sb="29" eb="31">
      <t>トウロク</t>
    </rPh>
    <rPh sb="38" eb="40">
      <t>キサイ</t>
    </rPh>
    <phoneticPr fontId="14"/>
  </si>
  <si>
    <t>文字列（国/地域、都道府県、市町村を入れると自動反映される）</t>
    <rPh sb="0" eb="3">
      <t>モジレツ</t>
    </rPh>
    <rPh sb="4" eb="5">
      <t>クニ</t>
    </rPh>
    <rPh sb="6" eb="8">
      <t>チイキ</t>
    </rPh>
    <rPh sb="9" eb="13">
      <t>トドウフケン</t>
    </rPh>
    <rPh sb="14" eb="17">
      <t>シチョウソン</t>
    </rPh>
    <rPh sb="18" eb="19">
      <t>イ</t>
    </rPh>
    <rPh sb="22" eb="24">
      <t>ジドウ</t>
    </rPh>
    <rPh sb="24" eb="26">
      <t>ハンエイ</t>
    </rPh>
    <phoneticPr fontId="14"/>
  </si>
  <si>
    <t>文字列文字列（国/地域、都道府県、市町村を入れると自動反映される）</t>
    <rPh sb="0" eb="3">
      <t>モジレツ</t>
    </rPh>
    <phoneticPr fontId="14"/>
  </si>
  <si>
    <t>※RUS固定</t>
  </si>
  <si>
    <t>※RUS固定</t>
    <rPh sb="4" eb="6">
      <t>コテイ</t>
    </rPh>
    <phoneticPr fontId="14"/>
  </si>
  <si>
    <t>※RUS固定</t>
    <phoneticPr fontId="14"/>
  </si>
  <si>
    <t>※都道府県以降、入力しているとトランザクション等の住所選択時に郵便番号を選択するだけで既定値として自動反映される</t>
    <rPh sb="1" eb="5">
      <t>トドウフケン</t>
    </rPh>
    <rPh sb="5" eb="7">
      <t>イコウ</t>
    </rPh>
    <rPh sb="8" eb="10">
      <t>ニュウリョク</t>
    </rPh>
    <rPh sb="23" eb="24">
      <t>トウ</t>
    </rPh>
    <rPh sb="25" eb="27">
      <t>ジュウショ</t>
    </rPh>
    <rPh sb="27" eb="29">
      <t>センタク</t>
    </rPh>
    <rPh sb="29" eb="30">
      <t>ジ</t>
    </rPh>
    <rPh sb="36" eb="38">
      <t>センタク</t>
    </rPh>
    <rPh sb="43" eb="46">
      <t>キテイチ</t>
    </rPh>
    <rPh sb="49" eb="51">
      <t>ジドウ</t>
    </rPh>
    <rPh sb="51" eb="53">
      <t>ハンエイ</t>
    </rPh>
    <phoneticPr fontId="14"/>
  </si>
  <si>
    <t>（終了単位の数値）</t>
    <rPh sb="1" eb="3">
      <t>シュウリョウ</t>
    </rPh>
    <rPh sb="3" eb="5">
      <t>タンイ</t>
    </rPh>
    <rPh sb="6" eb="8">
      <t>スウチ</t>
    </rPh>
    <phoneticPr fontId="14"/>
  </si>
  <si>
    <t>1.0000000000</t>
    <phoneticPr fontId="14"/>
  </si>
  <si>
    <t>（終了単位の数値）</t>
    <phoneticPr fontId="14"/>
  </si>
  <si>
    <t>開始単位の数値１に対してどう換算するかを入力する</t>
    <rPh sb="0" eb="2">
      <t>カイシ</t>
    </rPh>
    <rPh sb="2" eb="4">
      <t>タンイ</t>
    </rPh>
    <rPh sb="5" eb="7">
      <t>スウチ</t>
    </rPh>
    <rPh sb="9" eb="10">
      <t>タイ</t>
    </rPh>
    <rPh sb="14" eb="16">
      <t>カンザン</t>
    </rPh>
    <rPh sb="20" eb="22">
      <t>ニュウリョク</t>
    </rPh>
    <phoneticPr fontId="14"/>
  </si>
  <si>
    <t>（開始単位の数値）</t>
    <rPh sb="1" eb="3">
      <t>カイシ</t>
    </rPh>
    <rPh sb="3" eb="5">
      <t>タンイ</t>
    </rPh>
    <rPh sb="6" eb="8">
      <t>スウチ</t>
    </rPh>
    <phoneticPr fontId="14"/>
  </si>
  <si>
    <t>1</t>
    <phoneticPr fontId="14"/>
  </si>
  <si>
    <t>数値（必ず1）</t>
    <rPh sb="0" eb="2">
      <t>スウチ</t>
    </rPh>
    <rPh sb="3" eb="4">
      <t>カナラ</t>
    </rPh>
    <phoneticPr fontId="14"/>
  </si>
  <si>
    <t>※Excel上関数で反映</t>
    <rPh sb="6" eb="7">
      <t>ジョウ</t>
    </rPh>
    <rPh sb="7" eb="9">
      <t>カンスウ</t>
    </rPh>
    <rPh sb="10" eb="12">
      <t>ハンエイ</t>
    </rPh>
    <phoneticPr fontId="14"/>
  </si>
  <si>
    <t>四捨五入
切り上げ
切り捨て</t>
    <phoneticPr fontId="14"/>
  </si>
  <si>
    <t>式のレイアウト</t>
    <rPh sb="0" eb="1">
      <t>シキ</t>
    </rPh>
    <phoneticPr fontId="14"/>
  </si>
  <si>
    <t>・簡易
・詳細</t>
    <rPh sb="1" eb="3">
      <t>カンイ</t>
    </rPh>
    <rPh sb="5" eb="7">
      <t>ショウサイ</t>
    </rPh>
    <phoneticPr fontId="14"/>
  </si>
  <si>
    <t>簡易</t>
    <rPh sb="0" eb="2">
      <t>カンイ</t>
    </rPh>
    <phoneticPr fontId="14"/>
  </si>
  <si>
    <t>簡易
詳細</t>
    <phoneticPr fontId="14"/>
  </si>
  <si>
    <t>（開始単位の数値）</t>
    <phoneticPr fontId="14"/>
  </si>
  <si>
    <t>数値（必ず1）</t>
    <phoneticPr fontId="14"/>
  </si>
  <si>
    <t>システム管理＞ユーザー＞ユーザー</t>
  </si>
  <si>
    <t>System administration &gt; Users &gt; Users</t>
  </si>
  <si>
    <t>予算
平均
既定
終了</t>
    <phoneticPr fontId="14"/>
  </si>
  <si>
    <t>システム入力（交換前通貨、交換後通貨、変換係数、為替レートを入力すると自動で反映される）</t>
    <rPh sb="4" eb="6">
      <t>ニュウリョク</t>
    </rPh>
    <rPh sb="19" eb="21">
      <t>ヘンカン</t>
    </rPh>
    <rPh sb="21" eb="23">
      <t>ケイスウ</t>
    </rPh>
    <rPh sb="30" eb="32">
      <t>ニュウリョク</t>
    </rPh>
    <rPh sb="35" eb="37">
      <t>ジドウ</t>
    </rPh>
    <rPh sb="38" eb="40">
      <t>ハンエイ</t>
    </rPh>
    <phoneticPr fontId="14"/>
  </si>
  <si>
    <t>例：
交換前通貨：USD
交換後通貨：JPY
変換係数：1
為替レート：109.6100
交換価値：109.61 JPY (1 USD)</t>
    <rPh sb="0" eb="1">
      <t>レイ</t>
    </rPh>
    <rPh sb="3" eb="5">
      <t>コウカン</t>
    </rPh>
    <rPh sb="5" eb="6">
      <t>マエ</t>
    </rPh>
    <rPh sb="6" eb="8">
      <t>ツウカ</t>
    </rPh>
    <rPh sb="13" eb="15">
      <t>コウカン</t>
    </rPh>
    <rPh sb="15" eb="16">
      <t>ゴ</t>
    </rPh>
    <rPh sb="16" eb="18">
      <t>ツウカ</t>
    </rPh>
    <rPh sb="23" eb="25">
      <t>ヘンカン</t>
    </rPh>
    <rPh sb="25" eb="27">
      <t>ケイスウ</t>
    </rPh>
    <rPh sb="30" eb="32">
      <t>カワセ</t>
    </rPh>
    <rPh sb="45" eb="47">
      <t>コウカン</t>
    </rPh>
    <rPh sb="47" eb="49">
      <t>カチ</t>
    </rPh>
    <phoneticPr fontId="14"/>
  </si>
  <si>
    <t>システム入力（交換前通貨、交換後通貨、変換係数、為替レートを入力すると自動で反映される）</t>
    <rPh sb="4" eb="6">
      <t>ニュウリョク</t>
    </rPh>
    <phoneticPr fontId="14"/>
  </si>
  <si>
    <t>※Excel上関数で反映</t>
    <phoneticPr fontId="14"/>
  </si>
  <si>
    <t>必須(*)</t>
    <phoneticPr fontId="14"/>
  </si>
  <si>
    <t>作業日に応じて入る</t>
    <rPh sb="0" eb="2">
      <t>サギョウ</t>
    </rPh>
    <rPh sb="2" eb="3">
      <t>ヒ</t>
    </rPh>
    <rPh sb="4" eb="5">
      <t>オウ</t>
    </rPh>
    <rPh sb="7" eb="8">
      <t>ハイ</t>
    </rPh>
    <phoneticPr fontId="14"/>
  </si>
  <si>
    <t>参照時のための日付切り替えの機能</t>
    <rPh sb="0" eb="2">
      <t>サンショウ</t>
    </rPh>
    <rPh sb="2" eb="3">
      <t>ジ</t>
    </rPh>
    <rPh sb="7" eb="9">
      <t>ヒヅケ</t>
    </rPh>
    <rPh sb="9" eb="10">
      <t>キ</t>
    </rPh>
    <rPh sb="11" eb="12">
      <t>カ</t>
    </rPh>
    <rPh sb="14" eb="16">
      <t>キノウ</t>
    </rPh>
    <phoneticPr fontId="14"/>
  </si>
  <si>
    <t>為替レートの追加または削除</t>
    <phoneticPr fontId="14"/>
  </si>
  <si>
    <t>シート「荷渡方法-設定値」を参照</t>
    <rPh sb="14" eb="16">
      <t>サンショウ</t>
    </rPh>
    <phoneticPr fontId="14"/>
  </si>
  <si>
    <t>番号順序の設定に準拠する</t>
    <phoneticPr fontId="14"/>
  </si>
  <si>
    <t>必須（組織の場合）</t>
    <rPh sb="0" eb="2">
      <t>ヒッス</t>
    </rPh>
    <rPh sb="3" eb="5">
      <t>ソシキ</t>
    </rPh>
    <rPh sb="6" eb="8">
      <t>バアイ</t>
    </rPh>
    <phoneticPr fontId="14"/>
  </si>
  <si>
    <t>必須（個人の場合）</t>
    <rPh sb="0" eb="2">
      <t>ヒッス</t>
    </rPh>
    <rPh sb="3" eb="5">
      <t>コジン</t>
    </rPh>
    <rPh sb="6" eb="8">
      <t>バアイ</t>
    </rPh>
    <phoneticPr fontId="14"/>
  </si>
  <si>
    <t>システム入力（顧客の作成での入力が引き継がれる）</t>
    <rPh sb="4" eb="6">
      <t>ニュウリョク</t>
    </rPh>
    <rPh sb="7" eb="9">
      <t>コキャク</t>
    </rPh>
    <rPh sb="10" eb="12">
      <t>サクセイ</t>
    </rPh>
    <rPh sb="14" eb="16">
      <t>ニュウリョク</t>
    </rPh>
    <rPh sb="17" eb="18">
      <t>ヒ</t>
    </rPh>
    <rPh sb="19" eb="20">
      <t>ツ</t>
    </rPh>
    <phoneticPr fontId="14"/>
  </si>
  <si>
    <t>システム入力（顧客の作成での入力が引き継がれる）</t>
    <rPh sb="4" eb="6">
      <t>ニュウリョク</t>
    </rPh>
    <phoneticPr fontId="14"/>
  </si>
  <si>
    <t>文字列（顧客の作成での入力が引き継がれる）</t>
    <rPh sb="0" eb="3">
      <t>モジレツ</t>
    </rPh>
    <phoneticPr fontId="14"/>
  </si>
  <si>
    <t>名前と同様のものがデフォルト値として入力される</t>
    <rPh sb="0" eb="2">
      <t>ナマエ</t>
    </rPh>
    <rPh sb="3" eb="5">
      <t>ドウヨウ</t>
    </rPh>
    <rPh sb="14" eb="15">
      <t>チ</t>
    </rPh>
    <rPh sb="18" eb="20">
      <t>ニュウリョク</t>
    </rPh>
    <phoneticPr fontId="14"/>
  </si>
  <si>
    <t>顧客グループ（ユーザー定義）（顧客の作成での入力が引き継がれる）</t>
    <rPh sb="0" eb="2">
      <t>コキャク</t>
    </rPh>
    <phoneticPr fontId="14"/>
  </si>
  <si>
    <t>通貨（ユーザー定義）（顧客の作成での入力が引き継がれる）</t>
    <rPh sb="0" eb="2">
      <t>ツウカ</t>
    </rPh>
    <phoneticPr fontId="14"/>
  </si>
  <si>
    <t>必須(*)</t>
    <rPh sb="0" eb="2">
      <t>ヒッス</t>
    </rPh>
    <phoneticPr fontId="14"/>
  </si>
  <si>
    <t>支払条件（ユーザー定義）（顧客の作成での入力が引き継がれる）</t>
    <rPh sb="0" eb="2">
      <t>シハラ</t>
    </rPh>
    <rPh sb="2" eb="4">
      <t>ジョウケン</t>
    </rPh>
    <phoneticPr fontId="14"/>
  </si>
  <si>
    <t>※使用する財務分析コードがすべて出てくる</t>
    <phoneticPr fontId="14"/>
  </si>
  <si>
    <t>顧客に対して既定の財務分析コードを設定する。
設定すると、販売注文の明細などで対象の製品を選択した際に既定値として入力される。</t>
    <rPh sb="0" eb="2">
      <t>コキャク</t>
    </rPh>
    <phoneticPr fontId="14"/>
  </si>
  <si>
    <t>既定の財務分析コード　※使用する財務分析コード分列追加</t>
    <rPh sb="0" eb="2">
      <t>キテイ</t>
    </rPh>
    <rPh sb="3" eb="5">
      <t>ザイム</t>
    </rPh>
    <rPh sb="5" eb="7">
      <t>ブンセキ</t>
    </rPh>
    <rPh sb="12" eb="14">
      <t>シヨウ</t>
    </rPh>
    <rPh sb="16" eb="18">
      <t>ザイム</t>
    </rPh>
    <rPh sb="18" eb="20">
      <t>ブンセキ</t>
    </rPh>
    <rPh sb="23" eb="24">
      <t>ブン</t>
    </rPh>
    <rPh sb="24" eb="25">
      <t>レツ</t>
    </rPh>
    <rPh sb="25" eb="27">
      <t>ツイカ</t>
    </rPh>
    <phoneticPr fontId="14"/>
  </si>
  <si>
    <t>請求先が別の顧客の場合に設定</t>
    <rPh sb="0" eb="2">
      <t>セイキュウ</t>
    </rPh>
    <rPh sb="2" eb="3">
      <t>サキ</t>
    </rPh>
    <rPh sb="4" eb="5">
      <t>ベツ</t>
    </rPh>
    <rPh sb="6" eb="8">
      <t>コキャク</t>
    </rPh>
    <rPh sb="9" eb="11">
      <t>バアイ</t>
    </rPh>
    <rPh sb="12" eb="14">
      <t>セッテイ</t>
    </rPh>
    <phoneticPr fontId="14"/>
  </si>
  <si>
    <r>
      <t>売買契約仕訳帳（調達）-設定値</t>
    </r>
    <r>
      <rPr>
        <sz val="11"/>
        <color theme="1"/>
        <rFont val="Meiryo UI"/>
        <family val="3"/>
        <charset val="128"/>
      </rPr>
      <t>　※基本的には移行データを正とする</t>
    </r>
    <rPh sb="0" eb="2">
      <t>バイバイ</t>
    </rPh>
    <rPh sb="2" eb="4">
      <t>ケイヤク</t>
    </rPh>
    <rPh sb="4" eb="7">
      <t>シワケチョウ</t>
    </rPh>
    <rPh sb="8" eb="10">
      <t>チョウタツ</t>
    </rPh>
    <phoneticPr fontId="14"/>
  </si>
  <si>
    <t>売買契約仕訳帳（調達）</t>
    <rPh sb="0" eb="2">
      <t>バイバイ</t>
    </rPh>
    <rPh sb="2" eb="4">
      <t>ケイヤク</t>
    </rPh>
    <rPh sb="4" eb="7">
      <t>シワケチョウ</t>
    </rPh>
    <rPh sb="8" eb="10">
      <t>チョウタツ</t>
    </rPh>
    <phoneticPr fontId="14"/>
  </si>
  <si>
    <t>売買契約仕訳帳（販売）</t>
    <rPh sb="0" eb="2">
      <t>バイバイ</t>
    </rPh>
    <rPh sb="2" eb="4">
      <t>ケイヤク</t>
    </rPh>
    <rPh sb="4" eb="7">
      <t>シワケチョウ</t>
    </rPh>
    <rPh sb="8" eb="10">
      <t>ハンバイ</t>
    </rPh>
    <phoneticPr fontId="14"/>
  </si>
  <si>
    <r>
      <t>売買契約仕訳帳（販売）-設定値</t>
    </r>
    <r>
      <rPr>
        <sz val="11"/>
        <color theme="1"/>
        <rFont val="Meiryo UI"/>
        <family val="3"/>
        <charset val="128"/>
      </rPr>
      <t>　※基本的には移行データを正とする</t>
    </r>
    <rPh sb="0" eb="2">
      <t>バイバイ</t>
    </rPh>
    <rPh sb="2" eb="4">
      <t>ケイヤク</t>
    </rPh>
    <rPh sb="4" eb="7">
      <t>シワケチョウ</t>
    </rPh>
    <rPh sb="8" eb="10">
      <t>ハンバイ</t>
    </rPh>
    <phoneticPr fontId="14"/>
  </si>
  <si>
    <t>売買契約仕訳帳名（販売）</t>
    <rPh sb="0" eb="8">
      <t>バイバイケイヤクシワケチョウメイ</t>
    </rPh>
    <rPh sb="9" eb="11">
      <t>ハンバイ</t>
    </rPh>
    <phoneticPr fontId="14"/>
  </si>
  <si>
    <t>売買契約仕訳帳名（販売）-設定値</t>
    <rPh sb="0" eb="8">
      <t>バイバイケイヤクシワケチョウメイ</t>
    </rPh>
    <rPh sb="9" eb="11">
      <t>ハンバイ</t>
    </rPh>
    <phoneticPr fontId="14"/>
  </si>
  <si>
    <t>売買契約仕訳帳名（調達）</t>
    <rPh sb="0" eb="8">
      <t>バイバイケイヤクシワケチョウメイ</t>
    </rPh>
    <rPh sb="9" eb="11">
      <t>チョウタツ</t>
    </rPh>
    <phoneticPr fontId="14"/>
  </si>
  <si>
    <t>売買契約仕訳帳名（調達）-設定値</t>
    <rPh sb="0" eb="8">
      <t>バイバイケイヤクシワケチョウメイ</t>
    </rPh>
    <rPh sb="9" eb="11">
      <t>チョウタツ</t>
    </rPh>
    <phoneticPr fontId="14"/>
  </si>
  <si>
    <t>個人の肩書き</t>
    <rPh sb="0" eb="2">
      <t>コジン</t>
    </rPh>
    <rPh sb="3" eb="5">
      <t>カタガ</t>
    </rPh>
    <phoneticPr fontId="14"/>
  </si>
  <si>
    <t>名前のタイトルまたは接尾語（ユーザー定義）</t>
    <phoneticPr fontId="14"/>
  </si>
  <si>
    <t>タイプ＞個人＞名前の詳細情報</t>
    <rPh sb="7" eb="9">
      <t>ナマエ</t>
    </rPh>
    <rPh sb="10" eb="12">
      <t>ショウサイ</t>
    </rPh>
    <rPh sb="12" eb="14">
      <t>ジョウホウ</t>
    </rPh>
    <phoneticPr fontId="14"/>
  </si>
  <si>
    <t>タイプ＞個人</t>
    <phoneticPr fontId="14"/>
  </si>
  <si>
    <t>タイプ＞個人＞個人情報</t>
    <rPh sb="7" eb="9">
      <t>コジン</t>
    </rPh>
    <rPh sb="9" eb="11">
      <t>ジョウホウ</t>
    </rPh>
    <phoneticPr fontId="14"/>
  </si>
  <si>
    <t>男性
女性
不特定</t>
    <phoneticPr fontId="14"/>
  </si>
  <si>
    <t>なし
未婚
既婚
離婚
死別</t>
    <phoneticPr fontId="14"/>
  </si>
  <si>
    <t>タイプ＞個人＞生年月日</t>
    <rPh sb="7" eb="11">
      <t>セイネンガッピ</t>
    </rPh>
    <phoneticPr fontId="14"/>
  </si>
  <si>
    <t>1月
2月
3月
4月
5月
6月
7月
8月
9月
10月
11月
12月</t>
    <phoneticPr fontId="14"/>
  </si>
  <si>
    <t>タイプ＞個人＞記念日</t>
    <rPh sb="7" eb="10">
      <t>キネンビ</t>
    </rPh>
    <phoneticPr fontId="14"/>
  </si>
  <si>
    <t>タイプ＞個人＞その他の情報</t>
    <rPh sb="9" eb="10">
      <t>タ</t>
    </rPh>
    <rPh sb="11" eb="13">
      <t>ジョウホウ</t>
    </rPh>
    <phoneticPr fontId="14"/>
  </si>
  <si>
    <t>必須（タイプ：組織の場合）</t>
    <rPh sb="0" eb="2">
      <t>ヒッス</t>
    </rPh>
    <rPh sb="7" eb="9">
      <t>ソシキ</t>
    </rPh>
    <rPh sb="10" eb="12">
      <t>バアイ</t>
    </rPh>
    <phoneticPr fontId="14"/>
  </si>
  <si>
    <t>必須（タイプ：個人の場合）</t>
    <rPh sb="0" eb="2">
      <t>ヒッス</t>
    </rPh>
    <rPh sb="7" eb="9">
      <t>コジン</t>
    </rPh>
    <rPh sb="10" eb="12">
      <t>バアイ</t>
    </rPh>
    <phoneticPr fontId="14"/>
  </si>
  <si>
    <t>別の仕入先から請求が来る場合は設定する</t>
    <rPh sb="0" eb="1">
      <t>ベツ</t>
    </rPh>
    <rPh sb="2" eb="5">
      <t>シイレサキ</t>
    </rPh>
    <rPh sb="7" eb="9">
      <t>セイキュウ</t>
    </rPh>
    <rPh sb="10" eb="11">
      <t>ク</t>
    </rPh>
    <rPh sb="12" eb="14">
      <t>バアイ</t>
    </rPh>
    <rPh sb="15" eb="17">
      <t>セッテイ</t>
    </rPh>
    <phoneticPr fontId="14"/>
  </si>
  <si>
    <t>EBデータを使用する場合に設定が必要</t>
    <rPh sb="6" eb="8">
      <t>シヨウ</t>
    </rPh>
    <rPh sb="10" eb="12">
      <t>バアイ</t>
    </rPh>
    <rPh sb="13" eb="15">
      <t>セッテイ</t>
    </rPh>
    <rPh sb="16" eb="18">
      <t>ヒツヨウ</t>
    </rPh>
    <phoneticPr fontId="14"/>
  </si>
  <si>
    <t>「サイト」シート参照</t>
    <rPh sb="8" eb="10">
      <t>サンショウ</t>
    </rPh>
    <phoneticPr fontId="14"/>
  </si>
  <si>
    <t>「サイト-設定値」を参照</t>
    <phoneticPr fontId="14"/>
  </si>
  <si>
    <t>「タイプ：既定」の場合のみ入力可能</t>
    <rPh sb="5" eb="7">
      <t>キテイ</t>
    </rPh>
    <rPh sb="9" eb="11">
      <t>バアイ</t>
    </rPh>
    <rPh sb="13" eb="15">
      <t>ニュウリョク</t>
    </rPh>
    <rPh sb="15" eb="17">
      <t>カノウ</t>
    </rPh>
    <phoneticPr fontId="14"/>
  </si>
  <si>
    <t>入荷場所タイプが住所の場合は受入国/地域の指定が必須</t>
    <phoneticPr fontId="14"/>
  </si>
  <si>
    <t>目的（ユーザー定義）</t>
    <rPh sb="0" eb="2">
      <t>モクテキ</t>
    </rPh>
    <rPh sb="7" eb="9">
      <t>テイギ</t>
    </rPh>
    <phoneticPr fontId="14"/>
  </si>
  <si>
    <t>必須（製品サブタイプ：製品マスターの場合）</t>
    <rPh sb="0" eb="2">
      <t>ヒッス</t>
    </rPh>
    <rPh sb="3" eb="5">
      <t>セイヒン</t>
    </rPh>
    <rPh sb="18" eb="20">
      <t>バアイ</t>
    </rPh>
    <phoneticPr fontId="14"/>
  </si>
  <si>
    <t>必須(*)（バッチ番号管理で自動採番の場合）</t>
    <rPh sb="0" eb="2">
      <t>ヒッス</t>
    </rPh>
    <rPh sb="9" eb="11">
      <t>バンゴウ</t>
    </rPh>
    <rPh sb="11" eb="13">
      <t>カンリ</t>
    </rPh>
    <rPh sb="14" eb="16">
      <t>ジドウ</t>
    </rPh>
    <rPh sb="16" eb="18">
      <t>サイバン</t>
    </rPh>
    <rPh sb="19" eb="21">
      <t>バアイ</t>
    </rPh>
    <phoneticPr fontId="14"/>
  </si>
  <si>
    <t>必須(*)（シリアル番号管理で自動採番の場合）</t>
    <rPh sb="0" eb="2">
      <t>ヒッス</t>
    </rPh>
    <rPh sb="10" eb="12">
      <t>バンゴウ</t>
    </rPh>
    <rPh sb="12" eb="14">
      <t>カンリ</t>
    </rPh>
    <rPh sb="15" eb="17">
      <t>ジドウ</t>
    </rPh>
    <rPh sb="17" eb="19">
      <t>サイバン</t>
    </rPh>
    <rPh sb="20" eb="22">
      <t>バアイ</t>
    </rPh>
    <phoneticPr fontId="14"/>
  </si>
  <si>
    <t>必須(*)プロジェクト管理および会計のモジュールを使用する場合</t>
    <rPh sb="11" eb="13">
      <t>カンリ</t>
    </rPh>
    <rPh sb="16" eb="18">
      <t>カイケイ</t>
    </rPh>
    <rPh sb="25" eb="27">
      <t>シヨウ</t>
    </rPh>
    <rPh sb="29" eb="31">
      <t>バアイ</t>
    </rPh>
    <phoneticPr fontId="14"/>
  </si>
  <si>
    <t>「カテゴリ階層 -設定値」を参照</t>
    <phoneticPr fontId="14"/>
  </si>
  <si>
    <t>「カテゴリノード -設定値」を参照
「カテゴリノード詳細 -設定値」を参照</t>
    <phoneticPr fontId="14"/>
  </si>
  <si>
    <t>「カテゴリノード詳細 -設定値」を参照</t>
    <phoneticPr fontId="14"/>
  </si>
  <si>
    <t>必須（品目コード：テーブル、グループ選択時）</t>
    <rPh sb="0" eb="2">
      <t>ヒッス</t>
    </rPh>
    <rPh sb="3" eb="5">
      <t>ヒンモク</t>
    </rPh>
    <rPh sb="18" eb="20">
      <t>センタク</t>
    </rPh>
    <rPh sb="20" eb="21">
      <t>ジ</t>
    </rPh>
    <phoneticPr fontId="14"/>
  </si>
  <si>
    <t>必須（品目コード：カテゴリ選択時）</t>
    <rPh sb="0" eb="2">
      <t>ヒッス</t>
    </rPh>
    <rPh sb="3" eb="5">
      <t>ヒンモク</t>
    </rPh>
    <rPh sb="13" eb="15">
      <t>センタク</t>
    </rPh>
    <rPh sb="15" eb="16">
      <t>ジ</t>
    </rPh>
    <phoneticPr fontId="14"/>
  </si>
  <si>
    <t>権限設計書参照</t>
    <rPh sb="0" eb="2">
      <t>ケンゲン</t>
    </rPh>
    <rPh sb="2" eb="5">
      <t>セッケイショ</t>
    </rPh>
    <rPh sb="5" eb="7">
      <t>サンショウ</t>
    </rPh>
    <phoneticPr fontId="14"/>
  </si>
  <si>
    <t>グローバルアドレス帳パラメータの「名前の順序」に設定されているもの</t>
    <rPh sb="9" eb="10">
      <t>チョウ</t>
    </rPh>
    <rPh sb="24" eb="26">
      <t>セッテイ</t>
    </rPh>
    <phoneticPr fontId="14"/>
  </si>
  <si>
    <t>「ユーザーグループ-設定値」を参照</t>
    <rPh sb="15" eb="17">
      <t>サンショウ</t>
    </rPh>
    <phoneticPr fontId="14"/>
  </si>
  <si>
    <t>ユーザーグループ名</t>
    <rPh sb="8" eb="9">
      <t>メイ</t>
    </rPh>
    <phoneticPr fontId="14"/>
  </si>
  <si>
    <t>Description（標準）</t>
    <rPh sb="12" eb="14">
      <t>ヒョウジュン</t>
    </rPh>
    <phoneticPr fontId="18"/>
  </si>
  <si>
    <t>System administration &gt; User &gt; User Group</t>
  </si>
  <si>
    <t>システム管理＞ユーザー＞ユーザーグループ</t>
  </si>
  <si>
    <t>ユーザーグループ</t>
  </si>
  <si>
    <r>
      <t>ユーザーグループ</t>
    </r>
    <r>
      <rPr>
        <sz val="11"/>
        <color theme="1"/>
        <rFont val="Meiryo UI"/>
        <family val="3"/>
        <charset val="128"/>
      </rPr>
      <t>　※基本的には移行データを正とする</t>
    </r>
    <phoneticPr fontId="14"/>
  </si>
  <si>
    <r>
      <t>ユーザーグループ-設定値</t>
    </r>
    <r>
      <rPr>
        <sz val="11"/>
        <color theme="1"/>
        <rFont val="Meiryo UI"/>
        <family val="3"/>
        <charset val="128"/>
      </rPr>
      <t>　※基本的には移行データを正とする</t>
    </r>
    <phoneticPr fontId="14"/>
  </si>
  <si>
    <t>ユーザをグループごとに設定する。
※ワークフローの割り当て時にユーザグループ単位で設定可能
※各ユーザーグループに所属するユーザーについては移行対象とする</t>
  </si>
  <si>
    <t>システム管理＞ユーザー＞ユーザーグループ
System administration &gt; User &gt; User Group</t>
  </si>
  <si>
    <t>選択したユーザー</t>
    <rPh sb="0" eb="2">
      <t>センタク</t>
    </rPh>
    <phoneticPr fontId="14"/>
  </si>
  <si>
    <t>ユーザー（ユーザー定義）</t>
    <rPh sb="9" eb="11">
      <t>テイギ</t>
    </rPh>
    <phoneticPr fontId="14"/>
  </si>
  <si>
    <t>仕入先に対して既定の財務分析コードを設定する。
設定すると、発注書などで対象の仕入先を選択した際に既定値として入力される。</t>
    <rPh sb="0" eb="3">
      <t>シイレサキ</t>
    </rPh>
    <rPh sb="4" eb="5">
      <t>タイ</t>
    </rPh>
    <rPh sb="7" eb="9">
      <t>キテイ</t>
    </rPh>
    <rPh sb="10" eb="12">
      <t>ザイム</t>
    </rPh>
    <rPh sb="12" eb="14">
      <t>ブンセキ</t>
    </rPh>
    <rPh sb="18" eb="20">
      <t>セッテイ</t>
    </rPh>
    <rPh sb="24" eb="26">
      <t>セッテイ</t>
    </rPh>
    <rPh sb="30" eb="32">
      <t>ハッチュウ</t>
    </rPh>
    <rPh sb="32" eb="33">
      <t>ショ</t>
    </rPh>
    <rPh sb="36" eb="38">
      <t>タイショウ</t>
    </rPh>
    <rPh sb="39" eb="42">
      <t>シイレサキ</t>
    </rPh>
    <rPh sb="43" eb="45">
      <t>センタク</t>
    </rPh>
    <rPh sb="47" eb="48">
      <t>サイ</t>
    </rPh>
    <rPh sb="49" eb="52">
      <t>キテイチ</t>
    </rPh>
    <rPh sb="55" eb="57">
      <t>ニュウリョク</t>
    </rPh>
    <phoneticPr fontId="14"/>
  </si>
  <si>
    <t>部門</t>
    <phoneticPr fontId="14"/>
  </si>
  <si>
    <t>Dynamics部</t>
    <rPh sb="8" eb="9">
      <t>ブ</t>
    </rPh>
    <phoneticPr fontId="14"/>
  </si>
  <si>
    <t>D0001</t>
    <phoneticPr fontId="14"/>
  </si>
  <si>
    <t>文字列
※番号順序に順ずる形で採番されるが、手動変更が可能</t>
    <rPh sb="0" eb="3">
      <t>モジレツ</t>
    </rPh>
    <rPh sb="5" eb="7">
      <t>バンゴウ</t>
    </rPh>
    <rPh sb="7" eb="9">
      <t>ジュンジョ</t>
    </rPh>
    <rPh sb="10" eb="11">
      <t>ジュン</t>
    </rPh>
    <rPh sb="13" eb="14">
      <t>カタチ</t>
    </rPh>
    <rPh sb="15" eb="17">
      <t>サイバン</t>
    </rPh>
    <rPh sb="22" eb="24">
      <t>シュドウ</t>
    </rPh>
    <rPh sb="24" eb="26">
      <t>ヘンコウ</t>
    </rPh>
    <rPh sb="27" eb="29">
      <t>カノウ</t>
    </rPh>
    <phoneticPr fontId="14"/>
  </si>
  <si>
    <t>○○←選択した作業単位のタイプ
※番号順序に順ずる形で採番されるが、手動変更が可能</t>
    <rPh sb="3" eb="5">
      <t>センタク</t>
    </rPh>
    <rPh sb="7" eb="9">
      <t>サギョウ</t>
    </rPh>
    <rPh sb="9" eb="11">
      <t>タンイ</t>
    </rPh>
    <phoneticPr fontId="14"/>
  </si>
  <si>
    <t>JBS-TEST</t>
    <phoneticPr fontId="14"/>
  </si>
  <si>
    <t>JBS使用住所形式</t>
    <rPh sb="3" eb="5">
      <t>シヨウ</t>
    </rPh>
    <rPh sb="5" eb="7">
      <t>ジュウショ</t>
    </rPh>
    <rPh sb="7" eb="9">
      <t>ケイシキ</t>
    </rPh>
    <phoneticPr fontId="14"/>
  </si>
  <si>
    <t>チェック有</t>
    <rPh sb="4" eb="5">
      <t>アリ</t>
    </rPh>
    <phoneticPr fontId="14"/>
  </si>
  <si>
    <t>箱</t>
    <rPh sb="0" eb="1">
      <t>ハコ</t>
    </rPh>
    <phoneticPr fontId="14"/>
  </si>
  <si>
    <t>12</t>
    <phoneticPr fontId="14"/>
  </si>
  <si>
    <t>四捨五入</t>
    <phoneticPr fontId="14"/>
  </si>
  <si>
    <t>簡易</t>
    <phoneticPr fontId="14"/>
  </si>
  <si>
    <t>製品（ユーザー定義）
※製品番号が入る</t>
    <rPh sb="0" eb="2">
      <t>セイヒン</t>
    </rPh>
    <rPh sb="7" eb="9">
      <t>テイギ</t>
    </rPh>
    <rPh sb="12" eb="14">
      <t>セイヒン</t>
    </rPh>
    <rPh sb="14" eb="16">
      <t>バンゴウ</t>
    </rPh>
    <rPh sb="17" eb="18">
      <t>ハイ</t>
    </rPh>
    <phoneticPr fontId="14"/>
  </si>
  <si>
    <t>TEST_Prod-001</t>
    <phoneticPr fontId="14"/>
  </si>
  <si>
    <t>製品（ユーザー定義）
※製品番号が入る</t>
    <rPh sb="0" eb="2">
      <t>セイヒン</t>
    </rPh>
    <rPh sb="7" eb="9">
      <t>テイギ</t>
    </rPh>
    <phoneticPr fontId="14"/>
  </si>
  <si>
    <t>AADとの連携が必要
※ユーザーインポート実施時はシステム自動入力</t>
    <rPh sb="21" eb="23">
      <t>ジッシ</t>
    </rPh>
    <rPh sb="23" eb="24">
      <t>ジ</t>
    </rPh>
    <phoneticPr fontId="14"/>
  </si>
  <si>
    <t>jbsuser001</t>
    <phoneticPr fontId="14"/>
  </si>
  <si>
    <t>JBS User001</t>
    <phoneticPr fontId="14"/>
  </si>
  <si>
    <t>JPMF</t>
    <phoneticPr fontId="14"/>
  </si>
  <si>
    <t>システムユーザー
システム管理者</t>
    <rPh sb="13" eb="15">
      <t>カンリ</t>
    </rPh>
    <rPh sb="15" eb="16">
      <t>シャ</t>
    </rPh>
    <phoneticPr fontId="14"/>
  </si>
  <si>
    <t>https://sts.windows.net/jbs.com/</t>
    <phoneticPr fontId="14"/>
  </si>
  <si>
    <t>ワークフロー承認者</t>
    <phoneticPr fontId="14"/>
  </si>
  <si>
    <t>ワークフロー承認者用グループ</t>
    <rPh sb="6" eb="8">
      <t>ショウニン</t>
    </rPh>
    <rPh sb="8" eb="9">
      <t>シャ</t>
    </rPh>
    <rPh sb="9" eb="10">
      <t>ヨウ</t>
    </rPh>
    <phoneticPr fontId="14"/>
  </si>
  <si>
    <t>jbsuser002</t>
    <phoneticPr fontId="14"/>
  </si>
  <si>
    <t>例</t>
    <rPh sb="0" eb="1">
      <t>レイ</t>
    </rPh>
    <phoneticPr fontId="14"/>
  </si>
  <si>
    <t>既定</t>
    <rPh sb="0" eb="2">
      <t>キテイ</t>
    </rPh>
    <phoneticPr fontId="14"/>
  </si>
  <si>
    <t>JPY</t>
    <phoneticPr fontId="14"/>
  </si>
  <si>
    <t>USD</t>
    <phoneticPr fontId="14"/>
  </si>
  <si>
    <t>TEST_CUST-001</t>
    <phoneticPr fontId="14"/>
  </si>
  <si>
    <t>テスト顧客株式会社</t>
    <rPh sb="3" eb="5">
      <t>コキャク</t>
    </rPh>
    <rPh sb="5" eb="7">
      <t>カブシキ</t>
    </rPh>
    <rPh sb="7" eb="9">
      <t>カイシャ</t>
    </rPh>
    <phoneticPr fontId="14"/>
  </si>
  <si>
    <t>月末締翌月末払い</t>
    <rPh sb="0" eb="2">
      <t>ゲツマツ</t>
    </rPh>
    <rPh sb="2" eb="3">
      <t>シメ</t>
    </rPh>
    <rPh sb="3" eb="4">
      <t>ヨク</t>
    </rPh>
    <rPh sb="4" eb="5">
      <t>ゲツ</t>
    </rPh>
    <rPh sb="5" eb="6">
      <t>マツ</t>
    </rPh>
    <rPh sb="6" eb="7">
      <t>バラ</t>
    </rPh>
    <phoneticPr fontId="14"/>
  </si>
  <si>
    <r>
      <t xml:space="preserve">CG01
</t>
    </r>
    <r>
      <rPr>
        <sz val="9"/>
        <color theme="1"/>
        <rFont val="Meiryo UI"/>
        <family val="3"/>
        <charset val="128"/>
      </rPr>
      <t>※グループの設定は別途検討</t>
    </r>
    <rPh sb="11" eb="13">
      <t>セッテイ</t>
    </rPh>
    <rPh sb="14" eb="16">
      <t>ベット</t>
    </rPh>
    <rPh sb="16" eb="18">
      <t>ケントウ</t>
    </rPh>
    <phoneticPr fontId="14"/>
  </si>
  <si>
    <t>ja</t>
    <phoneticPr fontId="14"/>
  </si>
  <si>
    <t>テスト顧客</t>
    <rPh sb="3" eb="5">
      <t>コキャク</t>
    </rPh>
    <phoneticPr fontId="14"/>
  </si>
  <si>
    <t>銀行振込</t>
    <rPh sb="0" eb="2">
      <t>ギンコウ</t>
    </rPh>
    <rPh sb="2" eb="4">
      <t>フリコミ</t>
    </rPh>
    <phoneticPr fontId="14"/>
  </si>
  <si>
    <t>TEST_Vend-001</t>
    <phoneticPr fontId="14"/>
  </si>
  <si>
    <t>テスト仕入先株式会社</t>
    <rPh sb="3" eb="6">
      <t>シイレサキ</t>
    </rPh>
    <rPh sb="6" eb="8">
      <t>カブシキ</t>
    </rPh>
    <rPh sb="8" eb="10">
      <t>カイシャ</t>
    </rPh>
    <phoneticPr fontId="14"/>
  </si>
  <si>
    <t>文字列（番号順序の設定に準拠するため、手動入力、自動採番どちらも可能）</t>
    <rPh sb="0" eb="3">
      <t>モジレツ</t>
    </rPh>
    <rPh sb="19" eb="21">
      <t>シュドウ</t>
    </rPh>
    <rPh sb="21" eb="23">
      <t>ニュウリョク</t>
    </rPh>
    <rPh sb="24" eb="26">
      <t>ジドウ</t>
    </rPh>
    <rPh sb="26" eb="28">
      <t>サイバン</t>
    </rPh>
    <rPh sb="32" eb="34">
      <t>カノウ</t>
    </rPh>
    <phoneticPr fontId="14"/>
  </si>
  <si>
    <t>文字列
（番号順序の設定に準拠するため、手動入力、自動採番どちらも可能）</t>
    <rPh sb="0" eb="3">
      <t>モジレツ</t>
    </rPh>
    <phoneticPr fontId="14"/>
  </si>
  <si>
    <r>
      <t xml:space="preserve">VG01
</t>
    </r>
    <r>
      <rPr>
        <sz val="9"/>
        <color theme="1"/>
        <rFont val="Meiryo UI"/>
        <family val="3"/>
        <charset val="128"/>
      </rPr>
      <t>※グループの設定は別途検討</t>
    </r>
    <phoneticPr fontId="14"/>
  </si>
  <si>
    <r>
      <t xml:space="preserve">国内売上
</t>
    </r>
    <r>
      <rPr>
        <sz val="9"/>
        <color theme="1"/>
        <rFont val="Meiryo UI"/>
        <family val="3"/>
        <charset val="128"/>
      </rPr>
      <t>※グループの設定は別途検討</t>
    </r>
    <rPh sb="0" eb="2">
      <t>コクナイ</t>
    </rPh>
    <rPh sb="2" eb="4">
      <t>ウリアゲ</t>
    </rPh>
    <phoneticPr fontId="14"/>
  </si>
  <si>
    <r>
      <t xml:space="preserve">国内仕入
</t>
    </r>
    <r>
      <rPr>
        <sz val="9"/>
        <color theme="1"/>
        <rFont val="Meiryo UI"/>
        <family val="3"/>
        <charset val="128"/>
      </rPr>
      <t>※グループの設定は別途検討</t>
    </r>
    <rPh sb="0" eb="2">
      <t>コクナイ</t>
    </rPh>
    <rPh sb="2" eb="4">
      <t>シイレ</t>
    </rPh>
    <phoneticPr fontId="14"/>
  </si>
  <si>
    <t>月末締翌月末払い</t>
    <phoneticPr fontId="14"/>
  </si>
  <si>
    <t>銀行振込</t>
    <rPh sb="0" eb="4">
      <t>ギンコウフリコミ</t>
    </rPh>
    <phoneticPr fontId="14"/>
  </si>
  <si>
    <t>JBS</t>
    <phoneticPr fontId="14"/>
  </si>
  <si>
    <t>JBS用サイト</t>
    <rPh sb="3" eb="4">
      <t>ヨウ</t>
    </rPh>
    <phoneticPr fontId="14"/>
  </si>
  <si>
    <t>本社倉庫</t>
    <rPh sb="0" eb="2">
      <t>ホンシャ</t>
    </rPh>
    <rPh sb="2" eb="4">
      <t>ソウコ</t>
    </rPh>
    <phoneticPr fontId="14"/>
  </si>
  <si>
    <t>JBS本社倉庫</t>
    <rPh sb="3" eb="5">
      <t>ホンシャ</t>
    </rPh>
    <rPh sb="5" eb="7">
      <t>ソウコ</t>
    </rPh>
    <phoneticPr fontId="14"/>
  </si>
  <si>
    <t>16F通路</t>
    <rPh sb="3" eb="5">
      <t>ツウロ</t>
    </rPh>
    <phoneticPr fontId="14"/>
  </si>
  <si>
    <t>16F通路</t>
    <phoneticPr fontId="14"/>
  </si>
  <si>
    <t>16F通路A棚</t>
    <rPh sb="6" eb="7">
      <t>タナ</t>
    </rPh>
    <phoneticPr fontId="14"/>
  </si>
  <si>
    <t>バルク場所</t>
    <phoneticPr fontId="14"/>
  </si>
  <si>
    <t>テスト製品</t>
    <rPh sb="3" eb="5">
      <t>セイヒン</t>
    </rPh>
    <phoneticPr fontId="14"/>
  </si>
  <si>
    <r>
      <t xml:space="preserve">SiteWH
</t>
    </r>
    <r>
      <rPr>
        <sz val="9"/>
        <color theme="1"/>
        <rFont val="Meiryo UI"/>
        <family val="3"/>
        <charset val="128"/>
      </rPr>
      <t>※グループの設定は別途検討</t>
    </r>
    <phoneticPr fontId="14"/>
  </si>
  <si>
    <r>
      <t xml:space="preserve">Batch
</t>
    </r>
    <r>
      <rPr>
        <sz val="9"/>
        <color theme="1"/>
        <rFont val="Meiryo UI"/>
        <family val="3"/>
        <charset val="128"/>
      </rPr>
      <t>※グループの設定は別途検討</t>
    </r>
    <phoneticPr fontId="14"/>
  </si>
  <si>
    <r>
      <t xml:space="preserve">標準原価法
</t>
    </r>
    <r>
      <rPr>
        <sz val="9"/>
        <color theme="1"/>
        <rFont val="Meiryo UI"/>
        <family val="3"/>
        <charset val="128"/>
      </rPr>
      <t>※グループの設定は別途検討</t>
    </r>
    <rPh sb="0" eb="2">
      <t>ヒョウジュン</t>
    </rPh>
    <rPh sb="2" eb="4">
      <t>ゲンカ</t>
    </rPh>
    <rPh sb="4" eb="5">
      <t>ホウ</t>
    </rPh>
    <phoneticPr fontId="14"/>
  </si>
  <si>
    <r>
      <t xml:space="preserve">現行税率
</t>
    </r>
    <r>
      <rPr>
        <sz val="9"/>
        <color theme="1"/>
        <rFont val="Meiryo UI"/>
        <family val="3"/>
        <charset val="128"/>
      </rPr>
      <t>※グループの設定は別途検討</t>
    </r>
    <rPh sb="0" eb="2">
      <t>ゲンコウ</t>
    </rPh>
    <rPh sb="2" eb="4">
      <t>ゼイリツ</t>
    </rPh>
    <phoneticPr fontId="14"/>
  </si>
  <si>
    <r>
      <t xml:space="preserve">バッチ自動採番
</t>
    </r>
    <r>
      <rPr>
        <sz val="9"/>
        <color theme="1"/>
        <rFont val="Meiryo UI"/>
        <family val="3"/>
        <charset val="128"/>
      </rPr>
      <t>※グループの設定は別途検討</t>
    </r>
    <rPh sb="3" eb="5">
      <t>ジドウ</t>
    </rPh>
    <rPh sb="5" eb="7">
      <t>サイバン</t>
    </rPh>
    <phoneticPr fontId="14"/>
  </si>
  <si>
    <r>
      <t xml:space="preserve">在庫品
</t>
    </r>
    <r>
      <rPr>
        <sz val="9"/>
        <color theme="1"/>
        <rFont val="Meiryo UI"/>
        <family val="3"/>
        <charset val="128"/>
      </rPr>
      <t>※グループの設定は別途検討</t>
    </r>
    <rPh sb="0" eb="3">
      <t>ザイコヒン</t>
    </rPh>
    <phoneticPr fontId="14"/>
  </si>
  <si>
    <t>販売用カテゴリ階層</t>
    <rPh sb="0" eb="2">
      <t>ハンバイ</t>
    </rPh>
    <rPh sb="2" eb="3">
      <t>ヨウ</t>
    </rPh>
    <rPh sb="7" eb="9">
      <t>カイソウ</t>
    </rPh>
    <phoneticPr fontId="14"/>
  </si>
  <si>
    <t>販売TESTカテゴリ</t>
    <rPh sb="0" eb="2">
      <t>ハンバイ</t>
    </rPh>
    <phoneticPr fontId="14"/>
  </si>
  <si>
    <t>販売TESTカテゴリ</t>
    <phoneticPr fontId="14"/>
  </si>
  <si>
    <t>階層1-1</t>
    <rPh sb="0" eb="2">
      <t>カイソウ</t>
    </rPh>
    <phoneticPr fontId="14"/>
  </si>
  <si>
    <t>階層1</t>
    <rPh sb="0" eb="2">
      <t>カイソウ</t>
    </rPh>
    <phoneticPr fontId="14"/>
  </si>
  <si>
    <t>階層1-2</t>
    <rPh sb="0" eb="2">
      <t>カイソウ</t>
    </rPh>
    <phoneticPr fontId="14"/>
  </si>
  <si>
    <t>階層1-1-A</t>
    <rPh sb="0" eb="2">
      <t>カイソウ</t>
    </rPh>
    <phoneticPr fontId="14"/>
  </si>
  <si>
    <t>階層1-1-B</t>
    <rPh sb="0" eb="2">
      <t>カイソウ</t>
    </rPh>
    <phoneticPr fontId="14"/>
  </si>
  <si>
    <t>階層1-2-C</t>
    <rPh sb="0" eb="2">
      <t>カイソウ</t>
    </rPh>
    <phoneticPr fontId="14"/>
  </si>
  <si>
    <t>文字列
（番号順序の設定に準拠するため、手動入力、自動採番どちらも可能）</t>
    <rPh sb="0" eb="3">
      <t>モジレツ</t>
    </rPh>
    <rPh sb="5" eb="7">
      <t>バンゴウ</t>
    </rPh>
    <rPh sb="7" eb="9">
      <t>ジュンジョ</t>
    </rPh>
    <rPh sb="10" eb="12">
      <t>セッテイ</t>
    </rPh>
    <rPh sb="13" eb="15">
      <t>ジュンキョ</t>
    </rPh>
    <rPh sb="20" eb="22">
      <t>シュドウ</t>
    </rPh>
    <rPh sb="22" eb="24">
      <t>ニュウリョク</t>
    </rPh>
    <rPh sb="25" eb="27">
      <t>ジドウ</t>
    </rPh>
    <rPh sb="27" eb="29">
      <t>サイバン</t>
    </rPh>
    <rPh sb="33" eb="35">
      <t>カノウ</t>
    </rPh>
    <phoneticPr fontId="14"/>
  </si>
  <si>
    <t>TEST_Worker-001</t>
    <phoneticPr fontId="14"/>
  </si>
  <si>
    <t>検証</t>
    <rPh sb="0" eb="2">
      <t>ケンショウ</t>
    </rPh>
    <phoneticPr fontId="14"/>
  </si>
  <si>
    <t>次郎</t>
    <rPh sb="0" eb="2">
      <t>ジロウ</t>
    </rPh>
    <phoneticPr fontId="14"/>
  </si>
  <si>
    <t>LastFirst</t>
    <phoneticPr fontId="14"/>
  </si>
  <si>
    <t>部長</t>
    <rPh sb="0" eb="2">
      <t>ブチョウ</t>
    </rPh>
    <phoneticPr fontId="14"/>
  </si>
  <si>
    <t>番号順序の設定に順ずる
（番号順序の設定に準拠するため、手動入力、自動採番どちらも可能）</t>
    <rPh sb="0" eb="2">
      <t>バンゴウ</t>
    </rPh>
    <rPh sb="2" eb="4">
      <t>ジュンジョ</t>
    </rPh>
    <rPh sb="5" eb="7">
      <t>セッテイ</t>
    </rPh>
    <rPh sb="8" eb="9">
      <t>ジュン</t>
    </rPh>
    <rPh sb="13" eb="15">
      <t>バンゴウ</t>
    </rPh>
    <rPh sb="15" eb="17">
      <t>ジュンジョ</t>
    </rPh>
    <rPh sb="18" eb="20">
      <t>セッテイ</t>
    </rPh>
    <rPh sb="21" eb="23">
      <t>ジュンキョ</t>
    </rPh>
    <rPh sb="28" eb="30">
      <t>シュドウ</t>
    </rPh>
    <rPh sb="30" eb="32">
      <t>ニュウリョク</t>
    </rPh>
    <rPh sb="33" eb="35">
      <t>ジドウ</t>
    </rPh>
    <rPh sb="35" eb="37">
      <t>サイバン</t>
    </rPh>
    <rPh sb="41" eb="43">
      <t>カノウ</t>
    </rPh>
    <phoneticPr fontId="14"/>
  </si>
  <si>
    <t>Work-001</t>
    <phoneticPr fontId="14"/>
  </si>
  <si>
    <t>Dynamics部</t>
    <phoneticPr fontId="14"/>
  </si>
  <si>
    <r>
      <t>職位-設定値</t>
    </r>
    <r>
      <rPr>
        <sz val="11"/>
        <color theme="1"/>
        <rFont val="Meiryo UI"/>
        <family val="3"/>
        <charset val="128"/>
      </rPr>
      <t>　※基本的には移行データを正とする（１職位に対して１従業員が割り当てられる形になるため、従業員分の登録が必要となる）</t>
    </r>
    <rPh sb="0" eb="2">
      <t>ショクイ</t>
    </rPh>
    <rPh sb="25" eb="27">
      <t>ショクイ</t>
    </rPh>
    <rPh sb="28" eb="29">
      <t>タイ</t>
    </rPh>
    <rPh sb="32" eb="35">
      <t>ジュウギョウイン</t>
    </rPh>
    <rPh sb="36" eb="37">
      <t>ワ</t>
    </rPh>
    <rPh sb="38" eb="39">
      <t>ア</t>
    </rPh>
    <rPh sb="43" eb="44">
      <t>カタチ</t>
    </rPh>
    <rPh sb="50" eb="53">
      <t>ジュウギョウイン</t>
    </rPh>
    <rPh sb="53" eb="54">
      <t>ブン</t>
    </rPh>
    <rPh sb="55" eb="57">
      <t>トウロク</t>
    </rPh>
    <rPh sb="58" eb="60">
      <t>ヒツヨウ</t>
    </rPh>
    <phoneticPr fontId="14"/>
  </si>
  <si>
    <t>会計システム刷新プロジェクト（LIBRA）</t>
    <phoneticPr fontId="33"/>
  </si>
  <si>
    <t>サンスター株式会社　御中</t>
  </si>
  <si>
    <t>JBS石岡</t>
    <rPh sb="3" eb="5">
      <t>イシオカ</t>
    </rPh>
    <phoneticPr fontId="33"/>
  </si>
  <si>
    <t>設定値</t>
    <phoneticPr fontId="14"/>
  </si>
  <si>
    <t>設定基準</t>
    <phoneticPr fontId="14"/>
  </si>
  <si>
    <t>JPN1</t>
    <phoneticPr fontId="14"/>
  </si>
  <si>
    <t>日本式1（郵便番号／都道府県／市区町村／住所／ビル名）</t>
    <phoneticPr fontId="14"/>
  </si>
  <si>
    <t>国/地域</t>
    <phoneticPr fontId="14"/>
  </si>
  <si>
    <t>△</t>
    <phoneticPr fontId="14"/>
  </si>
  <si>
    <t>郵便番号＋４桁コードの検証ルールを使用</t>
    <rPh sb="0" eb="4">
      <t>ユウビンバンゴウ</t>
    </rPh>
    <rPh sb="6" eb="7">
      <t>ケタ</t>
    </rPh>
    <rPh sb="11" eb="13">
      <t>ケンショウ</t>
    </rPh>
    <rPh sb="17" eb="19">
      <t>シヨウ</t>
    </rPh>
    <phoneticPr fontId="14"/>
  </si>
  <si>
    <t>建物名 (補足)</t>
    <rPh sb="0" eb="2">
      <t>タテモノ</t>
    </rPh>
    <rPh sb="2" eb="3">
      <t>メイ</t>
    </rPh>
    <rPh sb="5" eb="7">
      <t>ホソク</t>
    </rPh>
    <phoneticPr fontId="14"/>
  </si>
  <si>
    <t>JBS石岡</t>
    <rPh sb="3" eb="5">
      <t>イシオカ</t>
    </rPh>
    <phoneticPr fontId="14"/>
  </si>
  <si>
    <t>FOパラメータ定義書-SEJ_99.マスタ</t>
    <phoneticPr fontId="1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</si>
</sst>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yyyy/mm/dd\ hh:mm:ss"/>
    <numFmt numFmtId="177" formatCode="000000"/>
    <numFmt numFmtId="178" formatCode="0.0000_ "/>
    <numFmt numFmtId="179" formatCode="#,##0.00_ "/>
    <numFmt numFmtId="180" formatCode="0000"/>
  </numFmts>
  <fonts count="45">
    <font>
      <sz val="11"/>
      <color theme="1"/>
      <name val="Meiryo UI"/>
      <family val="2"/>
      <charset val="128"/>
    </font>
    <font>
      <sz val="10"/>
      <color theme="1"/>
      <name val="Meiryo UI"/>
      <family val="2"/>
      <charset val="128"/>
    </font>
    <font>
      <sz val="10"/>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u/>
      <sz val="11"/>
      <color theme="1"/>
      <name val="Meiryo UI"/>
      <family val="2"/>
      <charset val="128"/>
    </font>
    <font>
      <sz val="11"/>
      <color theme="1"/>
      <name val="游ゴシック"/>
      <family val="2"/>
      <charset val="128"/>
      <scheme val="minor"/>
    </font>
    <font>
      <u/>
      <sz val="14"/>
      <color theme="1"/>
      <name val="Meiryo UI"/>
      <family val="3"/>
      <charset val="128"/>
    </font>
    <font>
      <sz val="6"/>
      <name val="游ゴシック"/>
      <family val="2"/>
      <charset val="128"/>
      <scheme val="minor"/>
    </font>
    <font>
      <sz val="11"/>
      <color theme="1"/>
      <name val="Meiryo UI"/>
      <family val="3"/>
      <charset val="128"/>
    </font>
    <font>
      <sz val="10"/>
      <name val="Arial"/>
      <family val="2"/>
    </font>
    <font>
      <sz val="10"/>
      <name val="Meiryo UI"/>
      <family val="3"/>
      <charset val="128"/>
    </font>
    <font>
      <sz val="10"/>
      <color theme="1"/>
      <name val="Meiryo UI"/>
      <family val="3"/>
      <charset val="128"/>
    </font>
    <font>
      <sz val="6"/>
      <name val="Meiryo UI"/>
      <family val="3"/>
      <charset val="128"/>
    </font>
    <font>
      <b/>
      <sz val="10"/>
      <name val="Meiryo UI"/>
      <family val="3"/>
      <charset val="128"/>
    </font>
    <font>
      <u/>
      <sz val="11"/>
      <color theme="10"/>
      <name val="Meiryo UI"/>
      <family val="2"/>
      <charset val="128"/>
    </font>
    <font>
      <sz val="11"/>
      <name val="Meiryo UI"/>
      <family val="3"/>
      <charset val="128"/>
    </font>
    <font>
      <sz val="11"/>
      <color theme="1"/>
      <name val="Segoe UI"/>
      <family val="2"/>
    </font>
    <font>
      <sz val="11"/>
      <color theme="1"/>
      <name val="游ゴシック"/>
      <family val="2"/>
      <scheme val="minor"/>
    </font>
    <font>
      <sz val="11"/>
      <color rgb="FFFF0000"/>
      <name val="Meiryo UI"/>
      <family val="3"/>
      <charset val="128"/>
    </font>
    <font>
      <sz val="11"/>
      <name val="ＭＳ Ｐゴシック"/>
      <family val="3"/>
      <charset val="128"/>
    </font>
    <font>
      <sz val="10"/>
      <color theme="1"/>
      <name val="Meiryo UI"/>
      <family val="2"/>
      <charset val="128"/>
    </font>
    <font>
      <u/>
      <sz val="11"/>
      <color theme="1"/>
      <name val="Meiryo UI"/>
      <family val="3"/>
      <charset val="128"/>
    </font>
    <font>
      <sz val="6"/>
      <name val="游ゴシック"/>
      <family val="3"/>
      <charset val="128"/>
      <scheme val="minor"/>
    </font>
    <font>
      <sz val="18"/>
      <color theme="1"/>
      <name val="Meiryo UI"/>
      <family val="3"/>
      <charset val="128"/>
    </font>
    <font>
      <sz val="16"/>
      <color theme="1"/>
      <name val="Meiryo UI"/>
      <family val="3"/>
      <charset val="128"/>
    </font>
    <font>
      <sz val="20"/>
      <color theme="1"/>
      <name val="Meiryo UI"/>
      <family val="3"/>
      <charset val="128"/>
    </font>
    <font>
      <sz val="12"/>
      <color theme="1"/>
      <name val="Meiryo UI"/>
      <family val="3"/>
      <charset val="128"/>
    </font>
    <font>
      <sz val="11"/>
      <color rgb="FFFF0000"/>
      <name val="Meiryo UI"/>
      <family val="2"/>
      <charset val="128"/>
    </font>
    <font>
      <sz val="14"/>
      <color theme="1"/>
      <name val="Meiryo UI"/>
      <family val="3"/>
      <charset val="128"/>
    </font>
    <font>
      <u/>
      <sz val="10"/>
      <color theme="10"/>
      <name val="Meiryo UI"/>
      <family val="3"/>
      <charset val="128"/>
    </font>
    <font>
      <sz val="10"/>
      <color theme="1"/>
      <name val="游ゴシック"/>
      <family val="2"/>
      <charset val="128"/>
      <scheme val="minor"/>
    </font>
    <font>
      <sz val="10"/>
      <name val="Meiryo UI"/>
      <family val="3"/>
    </font>
    <font>
      <sz val="10"/>
      <color rgb="FF000000"/>
      <name val="Arial"/>
      <family val="2"/>
    </font>
    <font>
      <sz val="9"/>
      <color theme="1"/>
      <name val="Meiryo UI"/>
      <family val="3"/>
      <charset val="128"/>
    </font>
  </fonts>
  <fills count="12">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C000"/>
        <bgColor indexed="64"/>
      </patternFill>
    </fill>
    <fill>
      <patternFill patternType="solid">
        <fgColor rgb="FFFFFF00"/>
        <bgColor indexed="64"/>
      </patternFill>
    </fill>
    <fill>
      <patternFill patternType="solid">
        <fgColor rgb="FF00B050"/>
        <bgColor indexed="64"/>
      </patternFill>
    </fill>
    <fill>
      <patternFill patternType="solid">
        <fgColor theme="9" tint="0.79998168889431442"/>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theme="6"/>
        <bgColor indexed="64"/>
      </patternFill>
    </fill>
    <fill>
      <patternFill patternType="solid">
        <fgColor theme="0" tint="-0.249977111117893"/>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theme="0"/>
      </bottom>
      <diagonal/>
    </border>
    <border>
      <left/>
      <right style="thin">
        <color indexed="64"/>
      </right>
      <top/>
      <bottom/>
      <diagonal/>
    </border>
  </borders>
  <cellStyleXfs count="32">
    <xf numFmtId="0" fontId="0" fillId="0" borderId="0">
      <alignment vertical="center"/>
    </xf>
    <xf numFmtId="0" fontId="16" fillId="0" borderId="0">
      <alignment vertical="center"/>
    </xf>
    <xf numFmtId="0" fontId="20" fillId="0" borderId="0"/>
    <xf numFmtId="0" fontId="25" fillId="0" borderId="0" applyNumberFormat="0" applyFill="0" applyBorder="0" applyAlignment="0" applyProtection="0">
      <alignment vertical="center"/>
    </xf>
    <xf numFmtId="0" fontId="13" fillId="0" borderId="0">
      <alignment vertical="center"/>
    </xf>
    <xf numFmtId="0" fontId="12" fillId="0" borderId="0">
      <alignment vertical="center"/>
    </xf>
    <xf numFmtId="0" fontId="11" fillId="0" borderId="0">
      <alignment vertical="center"/>
    </xf>
    <xf numFmtId="0" fontId="10" fillId="0" borderId="0">
      <alignment vertical="center"/>
    </xf>
    <xf numFmtId="0" fontId="10" fillId="0" borderId="0">
      <alignment vertical="center"/>
    </xf>
    <xf numFmtId="0" fontId="10" fillId="0" borderId="0">
      <alignment vertical="center"/>
    </xf>
    <xf numFmtId="0" fontId="28" fillId="0" borderId="0"/>
    <xf numFmtId="0" fontId="9" fillId="0" borderId="0">
      <alignment vertical="center"/>
    </xf>
    <xf numFmtId="0" fontId="8" fillId="0" borderId="0">
      <alignment vertical="center"/>
    </xf>
    <xf numFmtId="0" fontId="8" fillId="0" borderId="0">
      <alignment vertical="center"/>
    </xf>
    <xf numFmtId="0" fontId="8" fillId="0" borderId="0">
      <alignment vertical="center"/>
    </xf>
    <xf numFmtId="0" fontId="7" fillId="0" borderId="0">
      <alignment vertical="center"/>
    </xf>
    <xf numFmtId="0" fontId="30" fillId="0" borderId="0">
      <alignment vertical="center"/>
    </xf>
    <xf numFmtId="0" fontId="31" fillId="0" borderId="0">
      <alignment vertical="center"/>
    </xf>
    <xf numFmtId="0" fontId="6" fillId="0" borderId="0">
      <alignment vertical="center"/>
    </xf>
    <xf numFmtId="0" fontId="5"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cellStyleXfs>
  <cellXfs count="484">
    <xf numFmtId="0" fontId="0" fillId="0" borderId="0" xfId="0">
      <alignment vertical="center"/>
    </xf>
    <xf numFmtId="0" fontId="0" fillId="0" borderId="0" xfId="0" applyProtection="1">
      <alignment vertical="center"/>
      <protection locked="0"/>
    </xf>
    <xf numFmtId="0" fontId="22" fillId="7" borderId="1" xfId="0" applyFont="1" applyFill="1" applyBorder="1" applyAlignment="1" applyProtection="1">
      <alignment horizontal="left" vertical="top" wrapText="1"/>
      <protection locked="0"/>
    </xf>
    <xf numFmtId="0" fontId="22" fillId="7" borderId="1" xfId="0" applyFont="1" applyFill="1" applyBorder="1" applyAlignment="1" applyProtection="1">
      <alignment vertical="top" wrapText="1"/>
      <protection locked="0"/>
    </xf>
    <xf numFmtId="0" fontId="21" fillId="7" borderId="1" xfId="0" applyFont="1" applyFill="1" applyBorder="1" applyAlignment="1" applyProtection="1">
      <alignment vertical="top" wrapText="1"/>
      <protection locked="0"/>
    </xf>
    <xf numFmtId="0" fontId="0" fillId="3" borderId="1" xfId="0" applyFill="1" applyBorder="1" applyAlignment="1" applyProtection="1">
      <protection locked="0"/>
    </xf>
    <xf numFmtId="0" fontId="0" fillId="3" borderId="13" xfId="0" applyFill="1" applyBorder="1" applyAlignment="1" applyProtection="1">
      <protection locked="0"/>
    </xf>
    <xf numFmtId="0" fontId="21" fillId="7" borderId="12" xfId="0" applyFont="1" applyFill="1" applyBorder="1" applyAlignment="1">
      <alignment vertical="top" wrapText="1"/>
    </xf>
    <xf numFmtId="0" fontId="21" fillId="7" borderId="1" xfId="0" applyFont="1" applyFill="1" applyBorder="1" applyAlignment="1">
      <alignment vertical="top" wrapText="1"/>
    </xf>
    <xf numFmtId="0" fontId="21" fillId="6" borderId="1" xfId="0" applyFont="1" applyFill="1" applyBorder="1" applyAlignment="1" applyProtection="1">
      <alignment vertical="top" wrapText="1"/>
      <protection locked="0"/>
    </xf>
    <xf numFmtId="0" fontId="25" fillId="0" borderId="0" xfId="3" applyProtection="1">
      <alignment vertical="center"/>
    </xf>
    <xf numFmtId="0" fontId="24" fillId="4" borderId="1" xfId="0" applyFont="1" applyFill="1" applyBorder="1" applyAlignment="1">
      <alignment horizontal="center" vertical="top" wrapText="1"/>
    </xf>
    <xf numFmtId="0" fontId="24" fillId="4" borderId="10" xfId="0" applyFont="1" applyFill="1" applyBorder="1" applyAlignment="1">
      <alignment horizontal="center" vertical="top" wrapText="1"/>
    </xf>
    <xf numFmtId="0" fontId="24" fillId="4" borderId="10" xfId="0" applyFont="1" applyFill="1" applyBorder="1" applyAlignment="1">
      <alignment horizontal="center" vertical="top"/>
    </xf>
    <xf numFmtId="0" fontId="24" fillId="6" borderId="1" xfId="0" applyFont="1" applyFill="1" applyBorder="1" applyAlignment="1">
      <alignment horizontal="center" vertical="top"/>
    </xf>
    <xf numFmtId="0" fontId="22" fillId="0" borderId="14" xfId="0" applyFont="1" applyBorder="1" applyAlignment="1">
      <alignment vertical="top"/>
    </xf>
    <xf numFmtId="0" fontId="22" fillId="0" borderId="10" xfId="0" applyFont="1" applyBorder="1" applyAlignment="1">
      <alignment vertical="top" wrapText="1"/>
    </xf>
    <xf numFmtId="0" fontId="22" fillId="0" borderId="1" xfId="0" applyFont="1" applyBorder="1" applyAlignment="1">
      <alignment vertical="top" wrapText="1"/>
    </xf>
    <xf numFmtId="0" fontId="22" fillId="7" borderId="1" xfId="0" applyFont="1" applyFill="1" applyBorder="1" applyAlignment="1">
      <alignment horizontal="left" vertical="top" wrapText="1"/>
    </xf>
    <xf numFmtId="0" fontId="22" fillId="0" borderId="9" xfId="0" applyFont="1" applyBorder="1" applyAlignment="1">
      <alignment vertical="top" wrapText="1"/>
    </xf>
    <xf numFmtId="0" fontId="24" fillId="4" borderId="1" xfId="0" applyFont="1" applyFill="1" applyBorder="1" applyAlignment="1">
      <alignment horizontal="center" vertical="top"/>
    </xf>
    <xf numFmtId="0" fontId="22" fillId="0" borderId="1" xfId="0" applyFont="1" applyBorder="1" applyAlignment="1">
      <alignment vertical="top"/>
    </xf>
    <xf numFmtId="0" fontId="21" fillId="0" borderId="1" xfId="0" applyFont="1" applyBorder="1" applyAlignment="1">
      <alignment horizontal="left" vertical="top" wrapText="1"/>
    </xf>
    <xf numFmtId="0" fontId="22" fillId="0" borderId="1" xfId="0" applyFont="1" applyBorder="1" applyAlignment="1">
      <alignment horizontal="left" vertical="top" wrapText="1"/>
    </xf>
    <xf numFmtId="0" fontId="22" fillId="7" borderId="1" xfId="0" applyFont="1" applyFill="1" applyBorder="1" applyAlignment="1">
      <alignment vertical="top" wrapText="1"/>
    </xf>
    <xf numFmtId="0" fontId="21" fillId="2" borderId="1" xfId="0" applyFont="1" applyFill="1" applyBorder="1" applyAlignment="1">
      <alignment horizontal="left" vertical="top" wrapText="1"/>
    </xf>
    <xf numFmtId="0" fontId="22" fillId="2" borderId="1" xfId="0" applyFont="1" applyFill="1" applyBorder="1" applyAlignment="1">
      <alignment horizontal="left" vertical="top" wrapText="1"/>
    </xf>
    <xf numFmtId="0" fontId="21" fillId="7" borderId="1" xfId="0" applyFont="1" applyFill="1" applyBorder="1" applyAlignment="1">
      <alignment horizontal="left" vertical="top" wrapText="1"/>
    </xf>
    <xf numFmtId="0" fontId="21" fillId="2" borderId="1" xfId="0" applyFont="1" applyFill="1" applyBorder="1" applyAlignment="1">
      <alignment vertical="top" wrapText="1"/>
    </xf>
    <xf numFmtId="0" fontId="22" fillId="2" borderId="1" xfId="0" applyFont="1" applyFill="1" applyBorder="1" applyAlignment="1">
      <alignment vertical="top" wrapText="1"/>
    </xf>
    <xf numFmtId="0" fontId="22" fillId="2" borderId="10" xfId="0" applyFont="1" applyFill="1" applyBorder="1" applyAlignment="1">
      <alignment horizontal="left" vertical="top" wrapText="1"/>
    </xf>
    <xf numFmtId="0" fontId="22" fillId="2" borderId="11" xfId="0" applyFont="1" applyFill="1" applyBorder="1" applyAlignment="1">
      <alignment horizontal="left" vertical="top" wrapText="1"/>
    </xf>
    <xf numFmtId="0" fontId="22" fillId="2" borderId="9" xfId="0" applyFont="1" applyFill="1" applyBorder="1" applyAlignment="1">
      <alignment horizontal="left" vertical="top" wrapText="1"/>
    </xf>
    <xf numFmtId="0" fontId="21" fillId="6" borderId="12" xfId="0" applyFont="1" applyFill="1" applyBorder="1" applyAlignment="1">
      <alignment vertical="top" wrapText="1"/>
    </xf>
    <xf numFmtId="0" fontId="21" fillId="0" borderId="10" xfId="0" applyFont="1" applyBorder="1" applyAlignment="1">
      <alignment horizontal="left" vertical="top" wrapText="1"/>
    </xf>
    <xf numFmtId="0" fontId="22" fillId="6" borderId="3" xfId="0" applyFont="1" applyFill="1" applyBorder="1" applyAlignment="1">
      <alignment vertical="top" wrapText="1"/>
    </xf>
    <xf numFmtId="0" fontId="22" fillId="6" borderId="4" xfId="0" applyFont="1" applyFill="1" applyBorder="1" applyAlignment="1">
      <alignment vertical="top" wrapText="1"/>
    </xf>
    <xf numFmtId="0" fontId="22" fillId="6" borderId="14" xfId="0" applyFont="1" applyFill="1" applyBorder="1" applyAlignment="1">
      <alignment vertical="top" wrapText="1"/>
    </xf>
    <xf numFmtId="0" fontId="22" fillId="6" borderId="15" xfId="0" applyFont="1" applyFill="1" applyBorder="1" applyAlignment="1">
      <alignment vertical="top" wrapText="1"/>
    </xf>
    <xf numFmtId="0" fontId="22" fillId="6" borderId="13" xfId="0" applyFont="1" applyFill="1" applyBorder="1" applyAlignment="1">
      <alignment vertical="top" wrapText="1"/>
    </xf>
    <xf numFmtId="0" fontId="22" fillId="6" borderId="1" xfId="0" applyFont="1" applyFill="1" applyBorder="1" applyAlignment="1">
      <alignment vertical="top" wrapText="1"/>
    </xf>
    <xf numFmtId="0" fontId="22" fillId="6" borderId="7" xfId="0" applyFont="1" applyFill="1" applyBorder="1" applyAlignment="1">
      <alignment vertical="top" wrapText="1"/>
    </xf>
    <xf numFmtId="0" fontId="22" fillId="6" borderId="8" xfId="0" applyFont="1" applyFill="1" applyBorder="1" applyAlignment="1">
      <alignment vertical="top" wrapText="1"/>
    </xf>
    <xf numFmtId="0" fontId="22" fillId="0" borderId="5" xfId="0" applyFont="1" applyBorder="1" applyAlignment="1">
      <alignment vertical="top" wrapText="1"/>
    </xf>
    <xf numFmtId="0" fontId="22" fillId="0" borderId="1" xfId="0" applyFont="1" applyBorder="1" applyAlignment="1">
      <alignment horizontal="left" vertical="center" wrapText="1"/>
    </xf>
    <xf numFmtId="0" fontId="22" fillId="6" borderId="2" xfId="0" applyFont="1" applyFill="1" applyBorder="1" applyAlignment="1">
      <alignment vertical="top" wrapText="1"/>
    </xf>
    <xf numFmtId="0" fontId="22" fillId="0" borderId="0" xfId="0" applyFont="1">
      <alignment vertical="center"/>
    </xf>
    <xf numFmtId="0" fontId="21" fillId="0" borderId="1" xfId="0" applyFont="1" applyBorder="1" applyAlignment="1">
      <alignment horizontal="left" vertical="center" wrapText="1"/>
    </xf>
    <xf numFmtId="0" fontId="22" fillId="0" borderId="1" xfId="0" applyFont="1" applyBorder="1" applyAlignment="1">
      <alignment vertical="center" wrapText="1"/>
    </xf>
    <xf numFmtId="0" fontId="22" fillId="0" borderId="1" xfId="0" applyFont="1" applyBorder="1">
      <alignment vertical="center"/>
    </xf>
    <xf numFmtId="0" fontId="22" fillId="0" borderId="9" xfId="0" applyFont="1" applyBorder="1">
      <alignment vertical="center"/>
    </xf>
    <xf numFmtId="0" fontId="22" fillId="0" borderId="9" xfId="0" applyFont="1" applyBorder="1" applyAlignment="1">
      <alignment vertical="top"/>
    </xf>
    <xf numFmtId="0" fontId="22" fillId="0" borderId="10" xfId="0" applyFont="1" applyBorder="1" applyAlignment="1">
      <alignment vertical="top"/>
    </xf>
    <xf numFmtId="0" fontId="22" fillId="0" borderId="0" xfId="0" applyFont="1" applyAlignment="1">
      <alignment horizontal="left" vertical="center"/>
    </xf>
    <xf numFmtId="0" fontId="24" fillId="4" borderId="1" xfId="0" applyFont="1" applyFill="1" applyBorder="1" applyAlignment="1">
      <alignment horizontal="center" vertical="center" wrapText="1"/>
    </xf>
    <xf numFmtId="0" fontId="0" fillId="0" borderId="0" xfId="0" applyAlignment="1">
      <alignment horizontal="left" vertical="center"/>
    </xf>
    <xf numFmtId="0" fontId="22" fillId="6" borderId="6" xfId="0" applyFont="1" applyFill="1" applyBorder="1" applyAlignment="1">
      <alignment vertical="top" wrapText="1"/>
    </xf>
    <xf numFmtId="0" fontId="21" fillId="0" borderId="9" xfId="0" applyFont="1" applyBorder="1" applyAlignment="1">
      <alignment horizontal="left" vertical="top" wrapText="1"/>
    </xf>
    <xf numFmtId="0" fontId="22" fillId="0" borderId="1" xfId="0" applyFont="1" applyBorder="1" applyAlignment="1">
      <alignment horizontal="left" vertical="center"/>
    </xf>
    <xf numFmtId="0" fontId="21" fillId="6" borderId="9" xfId="0" applyFont="1" applyFill="1" applyBorder="1" applyAlignment="1">
      <alignment vertical="top" wrapText="1"/>
    </xf>
    <xf numFmtId="49" fontId="0" fillId="0" borderId="0" xfId="0" applyNumberFormat="1">
      <alignment vertical="center"/>
    </xf>
    <xf numFmtId="0" fontId="0" fillId="0" borderId="1" xfId="0" applyBorder="1">
      <alignment vertical="center"/>
    </xf>
    <xf numFmtId="0" fontId="17" fillId="0" borderId="0" xfId="18" applyFont="1">
      <alignment vertical="center"/>
    </xf>
    <xf numFmtId="0" fontId="0" fillId="4" borderId="1" xfId="0" applyFill="1" applyBorder="1">
      <alignment vertical="center"/>
    </xf>
    <xf numFmtId="0" fontId="0" fillId="0" borderId="0" xfId="0" applyAlignment="1">
      <alignment vertical="center" wrapText="1"/>
    </xf>
    <xf numFmtId="0" fontId="0" fillId="0" borderId="0" xfId="0" applyAlignment="1">
      <alignment horizontal="center" vertical="center"/>
    </xf>
    <xf numFmtId="0" fontId="0" fillId="4" borderId="1" xfId="0" applyFill="1" applyBorder="1" applyAlignment="1">
      <alignment horizontal="center" vertical="center"/>
    </xf>
    <xf numFmtId="0" fontId="22" fillId="0" borderId="11" xfId="0" applyFont="1" applyBorder="1" applyAlignment="1">
      <alignment vertical="top"/>
    </xf>
    <xf numFmtId="0" fontId="22" fillId="0" borderId="11" xfId="0" applyFont="1" applyBorder="1" applyAlignment="1">
      <alignment vertical="top" wrapText="1"/>
    </xf>
    <xf numFmtId="0" fontId="21" fillId="6" borderId="1" xfId="0" applyFont="1" applyFill="1" applyBorder="1" applyAlignment="1">
      <alignment vertical="top" wrapText="1"/>
    </xf>
    <xf numFmtId="0" fontId="21" fillId="9" borderId="1" xfId="0" applyFont="1" applyFill="1" applyBorder="1" applyAlignment="1">
      <alignment horizontal="left" vertical="top" wrapText="1"/>
    </xf>
    <xf numFmtId="0" fontId="21" fillId="9" borderId="1" xfId="0" applyFont="1" applyFill="1" applyBorder="1" applyAlignment="1">
      <alignment horizontal="left" vertical="center" wrapText="1"/>
    </xf>
    <xf numFmtId="0" fontId="22" fillId="9" borderId="1" xfId="0" applyFont="1" applyFill="1" applyBorder="1" applyAlignment="1">
      <alignment horizontal="left" vertical="center" wrapText="1"/>
    </xf>
    <xf numFmtId="0" fontId="22" fillId="9" borderId="1" xfId="0" applyFont="1" applyFill="1" applyBorder="1" applyAlignment="1">
      <alignment horizontal="left" vertical="top" wrapText="1"/>
    </xf>
    <xf numFmtId="0" fontId="22" fillId="9" borderId="1" xfId="0" applyFont="1" applyFill="1" applyBorder="1" applyAlignment="1" applyProtection="1">
      <alignment horizontal="left" vertical="top" wrapText="1"/>
      <protection locked="0"/>
    </xf>
    <xf numFmtId="0" fontId="22" fillId="9" borderId="1" xfId="0" applyFont="1" applyFill="1" applyBorder="1" applyAlignment="1" applyProtection="1">
      <alignment vertical="top" wrapText="1"/>
      <protection locked="0"/>
    </xf>
    <xf numFmtId="0" fontId="22" fillId="9" borderId="1" xfId="0" applyFont="1" applyFill="1" applyBorder="1">
      <alignment vertical="center"/>
    </xf>
    <xf numFmtId="0" fontId="22" fillId="9" borderId="1" xfId="0" applyFont="1" applyFill="1" applyBorder="1" applyAlignment="1">
      <alignment horizontal="left" vertical="center"/>
    </xf>
    <xf numFmtId="0" fontId="21" fillId="9" borderId="1" xfId="0" applyFont="1" applyFill="1" applyBorder="1" applyAlignment="1">
      <alignment vertical="top" wrapText="1"/>
    </xf>
    <xf numFmtId="0" fontId="22" fillId="9" borderId="1" xfId="0" applyFont="1" applyFill="1" applyBorder="1" applyAlignment="1">
      <alignment vertical="top" wrapText="1"/>
    </xf>
    <xf numFmtId="0" fontId="19" fillId="0" borderId="0" xfId="0" applyFont="1" applyAlignment="1"/>
    <xf numFmtId="0" fontId="19" fillId="2" borderId="0" xfId="10" applyFont="1" applyFill="1"/>
    <xf numFmtId="0" fontId="32" fillId="0" borderId="0" xfId="0" applyFont="1" applyAlignment="1"/>
    <xf numFmtId="0" fontId="32" fillId="0" borderId="0" xfId="0" applyFont="1">
      <alignment vertical="center"/>
    </xf>
    <xf numFmtId="0" fontId="34" fillId="0" borderId="0" xfId="0" applyFont="1" applyAlignment="1"/>
    <xf numFmtId="0" fontId="34" fillId="0" borderId="16" xfId="0" applyFont="1" applyBorder="1" applyAlignment="1"/>
    <xf numFmtId="0" fontId="19" fillId="0" borderId="0" xfId="0" applyFont="1">
      <alignment vertical="center"/>
    </xf>
    <xf numFmtId="0" fontId="19" fillId="0" borderId="5" xfId="0" applyFont="1" applyBorder="1">
      <alignment vertical="center"/>
    </xf>
    <xf numFmtId="0" fontId="17" fillId="0" borderId="0" xfId="21" applyFont="1">
      <alignment vertical="center"/>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xf>
    <xf numFmtId="0" fontId="25" fillId="0" borderId="1" xfId="3" applyFill="1" applyBorder="1">
      <alignment vertical="center"/>
    </xf>
    <xf numFmtId="0" fontId="17" fillId="0" borderId="0" xfId="22" applyFont="1">
      <alignment vertical="center"/>
    </xf>
    <xf numFmtId="0" fontId="17" fillId="0" borderId="0" xfId="23" applyFont="1">
      <alignment vertical="center"/>
    </xf>
    <xf numFmtId="0" fontId="25" fillId="0" borderId="1" xfId="3" applyBorder="1">
      <alignment vertical="center"/>
    </xf>
    <xf numFmtId="0" fontId="24" fillId="4" borderId="1" xfId="0" applyFont="1" applyFill="1" applyBorder="1" applyAlignment="1">
      <alignment horizontal="left" vertical="center" wrapText="1"/>
    </xf>
    <xf numFmtId="0" fontId="0" fillId="10" borderId="0" xfId="0" applyFill="1">
      <alignment vertical="center"/>
    </xf>
    <xf numFmtId="0" fontId="22" fillId="0" borderId="2" xfId="0" applyFont="1" applyBorder="1" applyAlignment="1">
      <alignment vertical="top" wrapText="1"/>
    </xf>
    <xf numFmtId="0" fontId="17" fillId="0" borderId="0" xfId="24" applyFont="1">
      <alignment vertical="center"/>
    </xf>
    <xf numFmtId="14" fontId="22" fillId="0" borderId="1" xfId="0" applyNumberFormat="1" applyFont="1" applyBorder="1" applyAlignment="1">
      <alignment vertical="top" wrapText="1"/>
    </xf>
    <xf numFmtId="0" fontId="17" fillId="0" borderId="0" xfId="25" applyFont="1">
      <alignment vertical="center"/>
    </xf>
    <xf numFmtId="0" fontId="0" fillId="0" borderId="1" xfId="0" applyBorder="1" applyAlignment="1" applyProtection="1">
      <protection locked="0"/>
    </xf>
    <xf numFmtId="0" fontId="22" fillId="0" borderId="7" xfId="0" applyFont="1" applyBorder="1" applyAlignment="1">
      <alignment vertical="center" wrapText="1"/>
    </xf>
    <xf numFmtId="0" fontId="22" fillId="0" borderId="10" xfId="0" applyFont="1" applyBorder="1">
      <alignment vertical="center"/>
    </xf>
    <xf numFmtId="0" fontId="0" fillId="0" borderId="1" xfId="0" quotePrefix="1" applyBorder="1" applyAlignment="1" applyProtection="1">
      <protection locked="0"/>
    </xf>
    <xf numFmtId="0" fontId="21" fillId="6" borderId="6" xfId="0" applyFont="1" applyFill="1" applyBorder="1" applyAlignment="1">
      <alignment vertical="center" wrapText="1"/>
    </xf>
    <xf numFmtId="0" fontId="21" fillId="6" borderId="2" xfId="0" applyFont="1" applyFill="1" applyBorder="1" applyAlignment="1">
      <alignment vertical="center" wrapText="1"/>
    </xf>
    <xf numFmtId="0" fontId="21" fillId="0" borderId="7" xfId="0" applyFont="1" applyBorder="1" applyAlignment="1">
      <alignment horizontal="left" vertical="top" wrapText="1"/>
    </xf>
    <xf numFmtId="0" fontId="21" fillId="6" borderId="7" xfId="0" applyFont="1" applyFill="1" applyBorder="1" applyAlignment="1">
      <alignment vertical="center" wrapText="1"/>
    </xf>
    <xf numFmtId="0" fontId="21" fillId="6" borderId="3" xfId="0" applyFont="1" applyFill="1" applyBorder="1" applyAlignment="1">
      <alignment vertical="center" wrapText="1"/>
    </xf>
    <xf numFmtId="2" fontId="22" fillId="0" borderId="1" xfId="0" applyNumberFormat="1" applyFont="1" applyBorder="1" applyAlignment="1">
      <alignment horizontal="left" vertical="top" wrapText="1"/>
    </xf>
    <xf numFmtId="0" fontId="22" fillId="7" borderId="9" xfId="0" applyFont="1" applyFill="1" applyBorder="1" applyAlignment="1" applyProtection="1">
      <alignment vertical="top" wrapText="1"/>
      <protection locked="0"/>
    </xf>
    <xf numFmtId="0" fontId="22" fillId="0" borderId="6" xfId="0" applyFont="1" applyBorder="1" applyAlignment="1">
      <alignment vertical="top"/>
    </xf>
    <xf numFmtId="0" fontId="22" fillId="0" borderId="0" xfId="0" applyFont="1" applyAlignment="1">
      <alignment vertical="top" wrapText="1"/>
    </xf>
    <xf numFmtId="0" fontId="22" fillId="0" borderId="13" xfId="0" applyFont="1" applyBorder="1" applyAlignment="1">
      <alignment vertical="top" wrapText="1"/>
    </xf>
    <xf numFmtId="0" fontId="0" fillId="0" borderId="0" xfId="0" applyAlignment="1">
      <alignment vertical="top"/>
    </xf>
    <xf numFmtId="0" fontId="31" fillId="6" borderId="1" xfId="0" applyFont="1" applyFill="1" applyBorder="1" applyAlignment="1">
      <alignment vertical="top" wrapText="1"/>
    </xf>
    <xf numFmtId="0" fontId="22" fillId="6" borderId="1" xfId="0" applyFont="1" applyFill="1" applyBorder="1" applyAlignment="1">
      <alignment vertical="top"/>
    </xf>
    <xf numFmtId="0" fontId="31" fillId="6" borderId="1" xfId="0" applyFont="1" applyFill="1" applyBorder="1" applyAlignment="1">
      <alignment vertical="top"/>
    </xf>
    <xf numFmtId="0" fontId="22" fillId="0" borderId="1" xfId="0" applyFont="1" applyBorder="1" applyAlignment="1" applyProtection="1">
      <alignment vertical="top" wrapText="1"/>
      <protection locked="0"/>
    </xf>
    <xf numFmtId="0" fontId="22" fillId="0" borderId="1" xfId="0" applyFont="1" applyBorder="1" applyAlignment="1" applyProtection="1">
      <alignment horizontal="left" vertical="top" wrapText="1"/>
      <protection locked="0"/>
    </xf>
    <xf numFmtId="2" fontId="22" fillId="7" borderId="1" xfId="0" applyNumberFormat="1" applyFont="1" applyFill="1" applyBorder="1" applyAlignment="1">
      <alignment horizontal="left" vertical="top" wrapText="1"/>
    </xf>
    <xf numFmtId="0" fontId="22" fillId="6" borderId="5" xfId="0" applyFont="1" applyFill="1" applyBorder="1" applyAlignment="1">
      <alignment vertical="top" wrapText="1"/>
    </xf>
    <xf numFmtId="0" fontId="22" fillId="6" borderId="10" xfId="0" applyFont="1" applyFill="1" applyBorder="1" applyAlignment="1">
      <alignment vertical="top" wrapText="1"/>
    </xf>
    <xf numFmtId="0" fontId="22" fillId="6" borderId="9" xfId="0" applyFont="1" applyFill="1" applyBorder="1" applyAlignment="1">
      <alignment vertical="top" wrapText="1"/>
    </xf>
    <xf numFmtId="0" fontId="22" fillId="6" borderId="11" xfId="0" applyFont="1" applyFill="1" applyBorder="1" applyAlignment="1">
      <alignment vertical="top" wrapText="1"/>
    </xf>
    <xf numFmtId="0" fontId="21" fillId="0" borderId="13" xfId="0" applyFont="1" applyBorder="1" applyAlignment="1">
      <alignment horizontal="left" vertical="top" wrapText="1"/>
    </xf>
    <xf numFmtId="0" fontId="22" fillId="0" borderId="6" xfId="0" applyFont="1" applyBorder="1" applyAlignment="1">
      <alignment vertical="top" wrapText="1"/>
    </xf>
    <xf numFmtId="49" fontId="22" fillId="7" borderId="1" xfId="0" applyNumberFormat="1" applyFont="1" applyFill="1" applyBorder="1" applyAlignment="1" applyProtection="1">
      <alignment horizontal="left" vertical="top" wrapText="1"/>
      <protection locked="0"/>
    </xf>
    <xf numFmtId="49" fontId="24" fillId="6" borderId="1" xfId="0" applyNumberFormat="1" applyFont="1" applyFill="1" applyBorder="1" applyAlignment="1">
      <alignment horizontal="center" vertical="top"/>
    </xf>
    <xf numFmtId="0" fontId="22" fillId="6" borderId="8" xfId="0" applyFont="1" applyFill="1" applyBorder="1" applyAlignment="1">
      <alignment horizontal="left" vertical="top" wrapText="1"/>
    </xf>
    <xf numFmtId="0" fontId="22" fillId="6" borderId="7" xfId="0" applyFont="1" applyFill="1" applyBorder="1" applyAlignment="1">
      <alignment horizontal="left" vertical="top" wrapText="1"/>
    </xf>
    <xf numFmtId="0" fontId="21" fillId="6" borderId="13" xfId="0" applyFont="1" applyFill="1" applyBorder="1" applyAlignment="1">
      <alignment vertical="top" wrapText="1"/>
    </xf>
    <xf numFmtId="0" fontId="21" fillId="6" borderId="15" xfId="0" applyFont="1" applyFill="1" applyBorder="1" applyAlignment="1">
      <alignment vertical="top" wrapText="1"/>
    </xf>
    <xf numFmtId="0" fontId="21" fillId="6" borderId="14" xfId="0" applyFont="1" applyFill="1" applyBorder="1" applyAlignment="1">
      <alignment vertical="top" wrapText="1"/>
    </xf>
    <xf numFmtId="0" fontId="22" fillId="6" borderId="4" xfId="0" applyFont="1" applyFill="1" applyBorder="1" applyAlignment="1">
      <alignment horizontal="left" vertical="top" wrapText="1"/>
    </xf>
    <xf numFmtId="0" fontId="22" fillId="6" borderId="3" xfId="0" applyFont="1" applyFill="1" applyBorder="1" applyAlignment="1">
      <alignment horizontal="left" vertical="top" wrapText="1"/>
    </xf>
    <xf numFmtId="0" fontId="21" fillId="6" borderId="3" xfId="0" applyFont="1" applyFill="1" applyBorder="1" applyAlignment="1">
      <alignment vertical="top" wrapText="1"/>
    </xf>
    <xf numFmtId="0" fontId="22" fillId="0" borderId="13" xfId="0" applyFont="1" applyBorder="1" applyAlignment="1">
      <alignment vertical="center" wrapText="1"/>
    </xf>
    <xf numFmtId="0" fontId="22" fillId="0" borderId="0" xfId="0" applyFont="1" applyAlignment="1">
      <alignment vertical="center" wrapText="1"/>
    </xf>
    <xf numFmtId="0" fontId="22" fillId="0" borderId="14" xfId="0" applyFont="1" applyBorder="1">
      <alignment vertical="center"/>
    </xf>
    <xf numFmtId="0" fontId="22" fillId="0" borderId="8" xfId="0" applyFont="1" applyBorder="1" applyAlignment="1">
      <alignment vertical="top" wrapText="1"/>
    </xf>
    <xf numFmtId="0" fontId="22" fillId="0" borderId="17" xfId="0" applyFont="1" applyBorder="1" applyAlignment="1">
      <alignment vertical="top" wrapText="1"/>
    </xf>
    <xf numFmtId="0" fontId="22" fillId="0" borderId="2" xfId="0" applyFont="1" applyBorder="1" applyAlignment="1">
      <alignment vertical="center" wrapText="1"/>
    </xf>
    <xf numFmtId="0" fontId="21" fillId="10" borderId="1" xfId="0" applyFont="1" applyFill="1" applyBorder="1" applyAlignment="1">
      <alignment vertical="top" wrapText="1"/>
    </xf>
    <xf numFmtId="0" fontId="29" fillId="0" borderId="0" xfId="0" applyFont="1">
      <alignment vertical="center"/>
    </xf>
    <xf numFmtId="0" fontId="22" fillId="7" borderId="13" xfId="0" applyFont="1" applyFill="1" applyBorder="1" applyAlignment="1" applyProtection="1">
      <alignment horizontal="left" vertical="top" wrapText="1"/>
      <protection locked="0"/>
    </xf>
    <xf numFmtId="0" fontId="17" fillId="0" borderId="0" xfId="29" applyFont="1">
      <alignment vertical="center"/>
    </xf>
    <xf numFmtId="14" fontId="19" fillId="0" borderId="0" xfId="0" applyNumberFormat="1" applyFont="1">
      <alignment vertical="center"/>
    </xf>
    <xf numFmtId="0" fontId="22" fillId="0" borderId="1" xfId="0" quotePrefix="1" applyFont="1" applyBorder="1" applyAlignment="1">
      <alignment horizontal="left" vertical="center" wrapText="1"/>
    </xf>
    <xf numFmtId="0" fontId="17" fillId="0" borderId="0" xfId="30" applyFont="1">
      <alignment vertical="center"/>
    </xf>
    <xf numFmtId="0" fontId="21" fillId="6" borderId="13" xfId="0" applyFont="1" applyFill="1" applyBorder="1" applyAlignment="1">
      <alignment vertical="center" wrapText="1"/>
    </xf>
    <xf numFmtId="0" fontId="21" fillId="6" borderId="15" xfId="0" applyFont="1" applyFill="1" applyBorder="1" applyAlignment="1">
      <alignment vertical="center" wrapText="1"/>
    </xf>
    <xf numFmtId="0" fontId="21" fillId="6" borderId="14" xfId="0" applyFont="1" applyFill="1" applyBorder="1" applyAlignment="1">
      <alignment vertical="center" wrapText="1"/>
    </xf>
    <xf numFmtId="20" fontId="22" fillId="0" borderId="1" xfId="0" applyNumberFormat="1" applyFont="1" applyBorder="1" applyAlignment="1">
      <alignment horizontal="left" vertical="center" wrapText="1"/>
    </xf>
    <xf numFmtId="46" fontId="22" fillId="0" borderId="1" xfId="0" applyNumberFormat="1" applyFont="1" applyBorder="1" applyAlignment="1">
      <alignment horizontal="left" vertical="center" wrapText="1"/>
    </xf>
    <xf numFmtId="49" fontId="22" fillId="0" borderId="1" xfId="0" applyNumberFormat="1" applyFont="1" applyBorder="1" applyAlignment="1">
      <alignment horizontal="left" vertical="center" wrapText="1"/>
    </xf>
    <xf numFmtId="0" fontId="22" fillId="0" borderId="14" xfId="0" applyFont="1" applyBorder="1" applyAlignment="1">
      <alignment vertical="top" wrapText="1"/>
    </xf>
    <xf numFmtId="0" fontId="17" fillId="0" borderId="0" xfId="31" applyFont="1">
      <alignment vertical="center"/>
    </xf>
    <xf numFmtId="0" fontId="21" fillId="7" borderId="14" xfId="0" applyFont="1" applyFill="1" applyBorder="1" applyAlignment="1">
      <alignment vertical="top" wrapText="1"/>
    </xf>
    <xf numFmtId="0" fontId="21" fillId="7" borderId="1" xfId="0" applyFont="1" applyFill="1" applyBorder="1" applyAlignment="1">
      <alignment horizontal="left" vertical="center" wrapText="1"/>
    </xf>
    <xf numFmtId="179" fontId="22" fillId="0" borderId="1" xfId="0" applyNumberFormat="1" applyFont="1" applyBorder="1" applyAlignment="1">
      <alignment vertical="top" wrapText="1"/>
    </xf>
    <xf numFmtId="180" fontId="22" fillId="0" borderId="1" xfId="0" applyNumberFormat="1" applyFont="1" applyBorder="1" applyAlignment="1" applyProtection="1">
      <alignment horizontal="left" vertical="top" wrapText="1"/>
      <protection locked="0"/>
    </xf>
    <xf numFmtId="180" fontId="22" fillId="0" borderId="13" xfId="0" applyNumberFormat="1" applyFont="1" applyBorder="1" applyAlignment="1" applyProtection="1">
      <alignment horizontal="left" vertical="top" wrapText="1"/>
      <protection locked="0"/>
    </xf>
    <xf numFmtId="0" fontId="31" fillId="3" borderId="1" xfId="0" applyFont="1" applyFill="1" applyBorder="1" applyAlignment="1" applyProtection="1">
      <protection locked="0"/>
    </xf>
    <xf numFmtId="0" fontId="21" fillId="6" borderId="9" xfId="0" applyFont="1" applyFill="1" applyBorder="1" applyAlignment="1">
      <alignment vertical="center" wrapText="1"/>
    </xf>
    <xf numFmtId="0" fontId="22" fillId="0" borderId="4" xfId="0" applyFont="1" applyBorder="1" applyAlignment="1">
      <alignment vertical="top" wrapText="1"/>
    </xf>
    <xf numFmtId="0" fontId="22" fillId="0" borderId="3" xfId="0" applyFont="1" applyBorder="1" applyAlignment="1">
      <alignment vertical="top" wrapText="1"/>
    </xf>
    <xf numFmtId="0" fontId="22" fillId="0" borderId="1" xfId="0" quotePrefix="1" applyFont="1" applyBorder="1" applyAlignment="1">
      <alignment vertical="top" wrapText="1"/>
    </xf>
    <xf numFmtId="0" fontId="22" fillId="5" borderId="1" xfId="0" applyFont="1" applyFill="1" applyBorder="1" applyAlignment="1">
      <alignment vertical="top" wrapText="1"/>
    </xf>
    <xf numFmtId="0" fontId="22" fillId="7" borderId="13" xfId="0" applyFont="1" applyFill="1" applyBorder="1" applyAlignment="1">
      <alignment vertical="top" wrapText="1"/>
    </xf>
    <xf numFmtId="0" fontId="21" fillId="6" borderId="6" xfId="0" applyFont="1" applyFill="1" applyBorder="1" applyAlignment="1">
      <alignment vertical="top" wrapText="1"/>
    </xf>
    <xf numFmtId="0" fontId="22" fillId="0" borderId="7" xfId="0" applyFont="1" applyBorder="1" applyAlignment="1">
      <alignment vertical="top" wrapText="1"/>
    </xf>
    <xf numFmtId="0" fontId="21" fillId="0" borderId="1" xfId="0" quotePrefix="1" applyFont="1" applyBorder="1" applyAlignment="1">
      <alignment horizontal="left" vertical="top" wrapText="1"/>
    </xf>
    <xf numFmtId="0" fontId="21" fillId="6" borderId="8" xfId="0" applyFont="1" applyFill="1" applyBorder="1" applyAlignment="1">
      <alignment vertical="center" wrapText="1"/>
    </xf>
    <xf numFmtId="0" fontId="17" fillId="0" borderId="0" xfId="21" applyFont="1" applyAlignment="1">
      <alignment vertical="top"/>
    </xf>
    <xf numFmtId="0" fontId="22" fillId="0" borderId="0" xfId="0" applyFont="1" applyAlignment="1">
      <alignment vertical="top"/>
    </xf>
    <xf numFmtId="0" fontId="22" fillId="0" borderId="0" xfId="0" applyFont="1" applyAlignment="1">
      <alignment horizontal="left" vertical="top"/>
    </xf>
    <xf numFmtId="0" fontId="25" fillId="0" borderId="0" xfId="3" applyAlignment="1" applyProtection="1">
      <alignment vertical="top"/>
    </xf>
    <xf numFmtId="0" fontId="22" fillId="0" borderId="1" xfId="0" quotePrefix="1" applyFont="1" applyBorder="1" applyAlignment="1">
      <alignment horizontal="left" vertical="top" wrapText="1"/>
    </xf>
    <xf numFmtId="0" fontId="22" fillId="6" borderId="1" xfId="0" applyFont="1" applyFill="1" applyBorder="1" applyAlignment="1">
      <alignment horizontal="left" vertical="top" wrapText="1"/>
    </xf>
    <xf numFmtId="0" fontId="21" fillId="6" borderId="3" xfId="0" applyFont="1" applyFill="1" applyBorder="1" applyAlignment="1">
      <alignment horizontal="left" vertical="center" wrapText="1"/>
    </xf>
    <xf numFmtId="0" fontId="21" fillId="6" borderId="1" xfId="0" applyFont="1" applyFill="1" applyBorder="1" applyAlignment="1">
      <alignment horizontal="left" vertical="top" wrapText="1"/>
    </xf>
    <xf numFmtId="0" fontId="17" fillId="0" borderId="0" xfId="30" applyFont="1" applyAlignment="1">
      <alignment vertical="top"/>
    </xf>
    <xf numFmtId="0" fontId="22" fillId="6" borderId="9" xfId="0" applyFont="1" applyFill="1" applyBorder="1" applyAlignment="1">
      <alignment vertical="top"/>
    </xf>
    <xf numFmtId="0" fontId="22" fillId="0" borderId="9" xfId="0" applyFont="1" applyBorder="1" applyAlignment="1">
      <alignment horizontal="left" vertical="top" wrapText="1"/>
    </xf>
    <xf numFmtId="0" fontId="22" fillId="0" borderId="11" xfId="0" applyFont="1" applyBorder="1" applyAlignment="1">
      <alignment horizontal="center" vertical="top" wrapText="1"/>
    </xf>
    <xf numFmtId="0" fontId="22" fillId="6" borderId="14" xfId="0" applyFont="1" applyFill="1" applyBorder="1">
      <alignment vertical="center"/>
    </xf>
    <xf numFmtId="0" fontId="22" fillId="6" borderId="1" xfId="0" applyFont="1" applyFill="1" applyBorder="1">
      <alignment vertical="center"/>
    </xf>
    <xf numFmtId="0" fontId="21" fillId="6" borderId="4" xfId="0" applyFont="1" applyFill="1" applyBorder="1" applyAlignment="1">
      <alignment horizontal="left" vertical="center" wrapText="1"/>
    </xf>
    <xf numFmtId="0" fontId="21" fillId="6" borderId="3" xfId="0" applyFont="1" applyFill="1" applyBorder="1" applyAlignment="1" applyProtection="1">
      <alignment horizontal="left" vertical="center" wrapText="1"/>
      <protection locked="0"/>
    </xf>
    <xf numFmtId="0" fontId="21" fillId="6" borderId="4" xfId="0" applyFont="1" applyFill="1" applyBorder="1" applyAlignment="1" applyProtection="1">
      <alignment horizontal="left" vertical="center" wrapText="1"/>
      <protection locked="0"/>
    </xf>
    <xf numFmtId="0" fontId="22" fillId="2" borderId="10" xfId="0" applyFont="1" applyFill="1" applyBorder="1" applyAlignment="1">
      <alignment vertical="top" wrapText="1"/>
    </xf>
    <xf numFmtId="0" fontId="22" fillId="2" borderId="11" xfId="0" applyFont="1" applyFill="1" applyBorder="1" applyAlignment="1">
      <alignment vertical="top" wrapText="1"/>
    </xf>
    <xf numFmtId="0" fontId="22" fillId="2" borderId="9" xfId="0" applyFont="1" applyFill="1" applyBorder="1" applyAlignment="1">
      <alignment vertical="top" wrapText="1"/>
    </xf>
    <xf numFmtId="0" fontId="38" fillId="0" borderId="0" xfId="0" applyFont="1">
      <alignment vertical="center"/>
    </xf>
    <xf numFmtId="0" fontId="21" fillId="6" borderId="8" xfId="0" applyFont="1" applyFill="1" applyBorder="1" applyAlignment="1">
      <alignment vertical="top" wrapText="1"/>
    </xf>
    <xf numFmtId="0" fontId="21" fillId="6" borderId="2" xfId="0" applyFont="1" applyFill="1" applyBorder="1" applyAlignment="1">
      <alignment vertical="top" wrapText="1"/>
    </xf>
    <xf numFmtId="0" fontId="21" fillId="6" borderId="7" xfId="0" applyFont="1" applyFill="1" applyBorder="1" applyAlignment="1">
      <alignment vertical="top" wrapText="1"/>
    </xf>
    <xf numFmtId="0" fontId="22" fillId="6" borderId="14" xfId="0" applyFont="1" applyFill="1" applyBorder="1" applyAlignment="1">
      <alignment vertical="top"/>
    </xf>
    <xf numFmtId="0" fontId="22" fillId="6" borderId="10" xfId="0" applyFont="1" applyFill="1" applyBorder="1">
      <alignment vertical="center"/>
    </xf>
    <xf numFmtId="0" fontId="31" fillId="0" borderId="0" xfId="0" applyFont="1">
      <alignment vertical="center"/>
    </xf>
    <xf numFmtId="0" fontId="31" fillId="3" borderId="1" xfId="0" applyFont="1" applyFill="1" applyBorder="1" applyAlignment="1" applyProtection="1">
      <alignment vertical="top"/>
      <protection locked="0"/>
    </xf>
    <xf numFmtId="0" fontId="31" fillId="3" borderId="14" xfId="0" applyFont="1" applyFill="1" applyBorder="1" applyAlignment="1" applyProtection="1">
      <alignment vertical="top"/>
      <protection locked="0"/>
    </xf>
    <xf numFmtId="49" fontId="21" fillId="0" borderId="1" xfId="0" applyNumberFormat="1" applyFont="1" applyBorder="1" applyAlignment="1" applyProtection="1">
      <alignment vertical="top"/>
      <protection locked="0"/>
    </xf>
    <xf numFmtId="0" fontId="41" fillId="0" borderId="1" xfId="24" applyFont="1" applyBorder="1" applyAlignment="1" applyProtection="1">
      <alignment vertical="top"/>
      <protection locked="0"/>
    </xf>
    <xf numFmtId="0" fontId="31" fillId="3" borderId="1" xfId="0" applyFont="1" applyFill="1" applyBorder="1" applyAlignment="1" applyProtection="1">
      <alignment vertical="top" wrapText="1"/>
      <protection locked="0"/>
    </xf>
    <xf numFmtId="49" fontId="22" fillId="0" borderId="1" xfId="0" applyNumberFormat="1" applyFont="1" applyBorder="1" applyAlignment="1" applyProtection="1">
      <alignment vertical="top"/>
      <protection locked="0"/>
    </xf>
    <xf numFmtId="0" fontId="31" fillId="3" borderId="14" xfId="0" applyFont="1" applyFill="1" applyBorder="1" applyAlignment="1" applyProtection="1">
      <protection locked="0"/>
    </xf>
    <xf numFmtId="49" fontId="22" fillId="0" borderId="1" xfId="0" applyNumberFormat="1" applyFont="1" applyBorder="1" applyProtection="1">
      <alignment vertical="center"/>
      <protection locked="0"/>
    </xf>
    <xf numFmtId="0" fontId="41" fillId="0" borderId="1" xfId="24" applyFont="1" applyBorder="1" applyAlignment="1" applyProtection="1">
      <protection locked="0"/>
    </xf>
    <xf numFmtId="49" fontId="21" fillId="0" borderId="1" xfId="0" applyNumberFormat="1" applyFont="1" applyBorder="1" applyProtection="1">
      <alignment vertical="center"/>
      <protection locked="0"/>
    </xf>
    <xf numFmtId="49" fontId="42" fillId="0" borderId="1" xfId="0" applyNumberFormat="1" applyFont="1" applyBorder="1" applyProtection="1">
      <alignment vertical="center"/>
      <protection locked="0"/>
    </xf>
    <xf numFmtId="49" fontId="21" fillId="0" borderId="1" xfId="0" applyNumberFormat="1" applyFont="1" applyBorder="1" applyAlignment="1" applyProtection="1">
      <alignment horizontal="left" vertical="center"/>
      <protection locked="0"/>
    </xf>
    <xf numFmtId="0" fontId="31" fillId="3" borderId="10" xfId="0" applyFont="1" applyFill="1" applyBorder="1" applyAlignment="1" applyProtection="1">
      <protection locked="0"/>
    </xf>
    <xf numFmtId="0" fontId="31" fillId="0" borderId="1" xfId="0" applyFont="1" applyBorder="1">
      <alignment vertical="center"/>
    </xf>
    <xf numFmtId="0" fontId="22" fillId="3" borderId="1" xfId="0" applyFont="1" applyFill="1" applyBorder="1" applyAlignment="1" applyProtection="1">
      <protection locked="0"/>
    </xf>
    <xf numFmtId="0" fontId="21" fillId="6" borderId="4" xfId="0" applyFont="1" applyFill="1" applyBorder="1" applyAlignment="1">
      <alignment vertical="center" wrapText="1"/>
    </xf>
    <xf numFmtId="0" fontId="21" fillId="6" borderId="2" xfId="0" applyFont="1" applyFill="1" applyBorder="1" applyAlignment="1" applyProtection="1">
      <alignment vertical="center" wrapText="1"/>
      <protection locked="0"/>
    </xf>
    <xf numFmtId="0" fontId="21" fillId="6" borderId="3" xfId="0" applyFont="1" applyFill="1" applyBorder="1" applyAlignment="1" applyProtection="1">
      <alignment vertical="center" wrapText="1"/>
      <protection locked="0"/>
    </xf>
    <xf numFmtId="0" fontId="21" fillId="6" borderId="3" xfId="0" applyFont="1" applyFill="1" applyBorder="1" applyAlignment="1">
      <alignment horizontal="left" vertical="center"/>
    </xf>
    <xf numFmtId="0" fontId="22" fillId="0" borderId="13" xfId="0" applyFont="1" applyBorder="1">
      <alignment vertical="center"/>
    </xf>
    <xf numFmtId="0" fontId="22" fillId="3" borderId="11" xfId="0" applyFont="1" applyFill="1" applyBorder="1" applyAlignment="1" applyProtection="1">
      <protection locked="0"/>
    </xf>
    <xf numFmtId="0" fontId="22" fillId="0" borderId="17" xfId="0" applyFont="1" applyBorder="1">
      <alignment vertical="center"/>
    </xf>
    <xf numFmtId="0" fontId="22" fillId="0" borderId="11" xfId="0" applyFont="1" applyBorder="1">
      <alignment vertical="center"/>
    </xf>
    <xf numFmtId="0" fontId="22" fillId="3" borderId="9" xfId="0" applyFont="1" applyFill="1" applyBorder="1" applyAlignment="1" applyProtection="1">
      <protection locked="0"/>
    </xf>
    <xf numFmtId="0" fontId="22" fillId="0" borderId="8" xfId="0" applyFont="1" applyBorder="1">
      <alignment vertical="center"/>
    </xf>
    <xf numFmtId="0" fontId="31" fillId="0" borderId="0" xfId="0" applyFont="1" applyProtection="1">
      <alignment vertical="center"/>
      <protection locked="0"/>
    </xf>
    <xf numFmtId="0" fontId="22" fillId="9" borderId="1" xfId="0" applyFont="1" applyFill="1" applyBorder="1" applyAlignment="1" applyProtection="1">
      <protection locked="0"/>
    </xf>
    <xf numFmtId="0" fontId="31" fillId="3" borderId="1" xfId="0" applyFont="1" applyFill="1" applyBorder="1" applyAlignment="1" applyProtection="1">
      <alignment horizontal="left" vertical="center"/>
      <protection locked="0"/>
    </xf>
    <xf numFmtId="0" fontId="22" fillId="3" borderId="14" xfId="0" applyFont="1" applyFill="1" applyBorder="1" applyAlignment="1" applyProtection="1">
      <protection locked="0"/>
    </xf>
    <xf numFmtId="0" fontId="22" fillId="3" borderId="12" xfId="0" applyFont="1" applyFill="1" applyBorder="1" applyAlignment="1" applyProtection="1">
      <protection locked="0"/>
    </xf>
    <xf numFmtId="0" fontId="22" fillId="10" borderId="1" xfId="0" applyFont="1" applyFill="1" applyBorder="1" applyAlignment="1"/>
    <xf numFmtId="0" fontId="22" fillId="3" borderId="13" xfId="0" applyFont="1" applyFill="1" applyBorder="1" applyAlignment="1" applyProtection="1">
      <protection locked="0"/>
    </xf>
    <xf numFmtId="0" fontId="22" fillId="0" borderId="1" xfId="0" applyFont="1" applyBorder="1" applyProtection="1">
      <alignment vertical="center"/>
      <protection locked="0"/>
    </xf>
    <xf numFmtId="0" fontId="22" fillId="3" borderId="15" xfId="0" applyFont="1" applyFill="1" applyBorder="1" applyAlignment="1" applyProtection="1">
      <protection locked="0"/>
    </xf>
    <xf numFmtId="0" fontId="22" fillId="3" borderId="0" xfId="0" applyFont="1" applyFill="1" applyAlignment="1" applyProtection="1">
      <protection locked="0"/>
    </xf>
    <xf numFmtId="0" fontId="22" fillId="0" borderId="0" xfId="0" applyFont="1" applyProtection="1">
      <alignment vertical="center"/>
      <protection locked="0"/>
    </xf>
    <xf numFmtId="0" fontId="22" fillId="3" borderId="1" xfId="0" applyFont="1" applyFill="1" applyBorder="1" applyAlignment="1" applyProtection="1">
      <alignment vertical="top" wrapText="1"/>
      <protection locked="0"/>
    </xf>
    <xf numFmtId="49" fontId="22" fillId="3" borderId="1" xfId="0" applyNumberFormat="1" applyFont="1" applyFill="1" applyBorder="1" applyAlignment="1" applyProtection="1">
      <alignment vertical="top" wrapText="1"/>
      <protection locked="0"/>
    </xf>
    <xf numFmtId="49" fontId="22" fillId="3" borderId="1" xfId="0" applyNumberFormat="1" applyFont="1" applyFill="1" applyBorder="1" applyAlignment="1" applyProtection="1">
      <protection locked="0"/>
    </xf>
    <xf numFmtId="49" fontId="22" fillId="0" borderId="0" xfId="0" applyNumberFormat="1" applyFont="1">
      <alignment vertical="center"/>
    </xf>
    <xf numFmtId="49" fontId="22" fillId="3" borderId="1" xfId="0" quotePrefix="1" applyNumberFormat="1" applyFont="1" applyFill="1" applyBorder="1" applyAlignment="1" applyProtection="1">
      <alignment vertical="top" wrapText="1"/>
      <protection locked="0"/>
    </xf>
    <xf numFmtId="0" fontId="21" fillId="6" borderId="3" xfId="0" applyFont="1" applyFill="1" applyBorder="1">
      <alignment vertical="center"/>
    </xf>
    <xf numFmtId="0" fontId="22" fillId="0" borderId="1" xfId="0" applyFont="1" applyBorder="1" applyAlignment="1" applyProtection="1">
      <protection locked="0"/>
    </xf>
    <xf numFmtId="0" fontId="22" fillId="0" borderId="1" xfId="0" applyFont="1" applyBorder="1" applyAlignment="1"/>
    <xf numFmtId="0" fontId="22" fillId="0" borderId="1" xfId="0" applyFont="1" applyBorder="1" applyAlignment="1" applyProtection="1">
      <alignment horizontal="left"/>
      <protection locked="0"/>
    </xf>
    <xf numFmtId="14" fontId="22" fillId="0" borderId="1" xfId="0" applyNumberFormat="1" applyFont="1" applyBorder="1" applyAlignment="1" applyProtection="1">
      <alignment horizontal="left"/>
      <protection locked="0"/>
    </xf>
    <xf numFmtId="178" fontId="22" fillId="0" borderId="1" xfId="0" applyNumberFormat="1" applyFont="1" applyBorder="1" applyAlignment="1" applyProtection="1">
      <alignment horizontal="left" vertical="center"/>
      <protection locked="0"/>
    </xf>
    <xf numFmtId="176" fontId="22" fillId="0" borderId="1" xfId="0" applyNumberFormat="1" applyFont="1" applyBorder="1" applyProtection="1">
      <alignment vertical="center"/>
      <protection locked="0"/>
    </xf>
    <xf numFmtId="0" fontId="22" fillId="0" borderId="1" xfId="0" applyFont="1" applyBorder="1" applyAlignment="1" applyProtection="1">
      <alignment horizontal="left" vertical="center"/>
      <protection locked="0"/>
    </xf>
    <xf numFmtId="0" fontId="22" fillId="0" borderId="14" xfId="0" applyFont="1" applyBorder="1" applyAlignment="1"/>
    <xf numFmtId="0" fontId="22" fillId="0" borderId="9" xfId="0" applyFont="1" applyBorder="1" applyAlignment="1" applyProtection="1">
      <protection locked="0"/>
    </xf>
    <xf numFmtId="0" fontId="22" fillId="0" borderId="9" xfId="0" applyFont="1" applyBorder="1" applyAlignment="1" applyProtection="1">
      <alignment horizontal="left"/>
      <protection locked="0"/>
    </xf>
    <xf numFmtId="177" fontId="22" fillId="0" borderId="1" xfId="0" applyNumberFormat="1" applyFont="1" applyBorder="1" applyAlignment="1" applyProtection="1">
      <alignment horizontal="left" vertical="center"/>
      <protection locked="0"/>
    </xf>
    <xf numFmtId="0" fontId="22" fillId="0" borderId="1" xfId="0" quotePrefix="1" applyFont="1" applyBorder="1" applyAlignment="1" applyProtection="1">
      <protection locked="0"/>
    </xf>
    <xf numFmtId="0" fontId="31" fillId="6" borderId="14" xfId="0" applyFont="1" applyFill="1" applyBorder="1" applyAlignment="1">
      <alignment vertical="top"/>
    </xf>
    <xf numFmtId="0" fontId="31" fillId="6" borderId="15" xfId="0" applyFont="1" applyFill="1" applyBorder="1" applyAlignment="1">
      <alignment vertical="top"/>
    </xf>
    <xf numFmtId="0" fontId="31" fillId="6" borderId="13" xfId="0" applyFont="1" applyFill="1" applyBorder="1" applyAlignment="1">
      <alignment vertical="top"/>
    </xf>
    <xf numFmtId="0" fontId="31" fillId="0" borderId="0" xfId="0" applyFont="1" applyAlignment="1">
      <alignment vertical="top"/>
    </xf>
    <xf numFmtId="0" fontId="31" fillId="6" borderId="0" xfId="0" applyFont="1" applyFill="1" applyAlignment="1">
      <alignment vertical="top"/>
    </xf>
    <xf numFmtId="0" fontId="17" fillId="0" borderId="0" xfId="26" applyFont="1" applyAlignment="1">
      <alignment vertical="top"/>
    </xf>
    <xf numFmtId="0" fontId="22" fillId="6" borderId="2" xfId="0" applyFont="1" applyFill="1" applyBorder="1" applyAlignment="1">
      <alignment vertical="top"/>
    </xf>
    <xf numFmtId="0" fontId="22" fillId="6" borderId="3" xfId="0" applyFont="1" applyFill="1" applyBorder="1" applyAlignment="1">
      <alignment vertical="top"/>
    </xf>
    <xf numFmtId="0" fontId="22" fillId="6" borderId="17" xfId="0" applyFont="1" applyFill="1" applyBorder="1" applyAlignment="1">
      <alignment vertical="top" wrapText="1"/>
    </xf>
    <xf numFmtId="0" fontId="22" fillId="2" borderId="1" xfId="0" quotePrefix="1" applyFont="1" applyFill="1" applyBorder="1" applyAlignment="1" applyProtection="1">
      <protection locked="0"/>
    </xf>
    <xf numFmtId="0" fontId="22" fillId="2" borderId="14" xfId="0" quotePrefix="1" applyFont="1" applyFill="1" applyBorder="1" applyAlignment="1" applyProtection="1">
      <protection locked="0"/>
    </xf>
    <xf numFmtId="0" fontId="22" fillId="3" borderId="12" xfId="0" quotePrefix="1" applyFont="1" applyFill="1" applyBorder="1" applyAlignment="1" applyProtection="1">
      <protection locked="0"/>
    </xf>
    <xf numFmtId="0" fontId="22" fillId="3" borderId="1" xfId="0" quotePrefix="1" applyFont="1" applyFill="1" applyBorder="1" applyAlignment="1" applyProtection="1">
      <protection locked="0"/>
    </xf>
    <xf numFmtId="0" fontId="22" fillId="0" borderId="1" xfId="0" applyFont="1" applyBorder="1" applyAlignment="1">
      <alignment horizontal="left" vertical="top"/>
    </xf>
    <xf numFmtId="0" fontId="21" fillId="6" borderId="14" xfId="0" applyFont="1" applyFill="1" applyBorder="1" applyAlignment="1">
      <alignment vertical="top"/>
    </xf>
    <xf numFmtId="0" fontId="21" fillId="6" borderId="10" xfId="0" applyFont="1" applyFill="1" applyBorder="1" applyAlignment="1">
      <alignment vertical="center" wrapText="1"/>
    </xf>
    <xf numFmtId="0" fontId="22" fillId="3" borderId="1" xfId="0" applyFont="1" applyFill="1" applyBorder="1" applyProtection="1">
      <alignment vertical="center"/>
      <protection locked="0"/>
    </xf>
    <xf numFmtId="0" fontId="22" fillId="3" borderId="14" xfId="0" applyFont="1" applyFill="1" applyBorder="1" applyProtection="1">
      <alignment vertical="center"/>
      <protection locked="0"/>
    </xf>
    <xf numFmtId="49" fontId="22" fillId="3" borderId="1" xfId="0" applyNumberFormat="1" applyFont="1" applyFill="1" applyBorder="1" applyProtection="1">
      <alignment vertical="center"/>
      <protection locked="0"/>
    </xf>
    <xf numFmtId="0" fontId="22" fillId="10" borderId="1" xfId="0" applyFont="1" applyFill="1" applyBorder="1" applyAlignment="1" applyProtection="1">
      <protection locked="0"/>
    </xf>
    <xf numFmtId="0" fontId="22" fillId="6" borderId="2" xfId="0" applyFont="1" applyFill="1" applyBorder="1">
      <alignment vertical="center"/>
    </xf>
    <xf numFmtId="0" fontId="22" fillId="6" borderId="4" xfId="0" applyFont="1" applyFill="1" applyBorder="1">
      <alignment vertical="center"/>
    </xf>
    <xf numFmtId="0" fontId="22" fillId="6" borderId="3" xfId="0" applyFont="1" applyFill="1" applyBorder="1">
      <alignment vertical="center"/>
    </xf>
    <xf numFmtId="0" fontId="22" fillId="6" borderId="13" xfId="0" applyFont="1" applyFill="1" applyBorder="1">
      <alignment vertical="center"/>
    </xf>
    <xf numFmtId="0" fontId="22" fillId="6" borderId="15" xfId="0" applyFont="1" applyFill="1" applyBorder="1">
      <alignment vertical="center"/>
    </xf>
    <xf numFmtId="0" fontId="22" fillId="6" borderId="6" xfId="0" applyFont="1" applyFill="1" applyBorder="1">
      <alignment vertical="center"/>
    </xf>
    <xf numFmtId="0" fontId="22" fillId="6" borderId="8" xfId="0" applyFont="1" applyFill="1" applyBorder="1">
      <alignment vertical="center"/>
    </xf>
    <xf numFmtId="0" fontId="22" fillId="6" borderId="7" xfId="0" applyFont="1" applyFill="1" applyBorder="1">
      <alignment vertical="center"/>
    </xf>
    <xf numFmtId="0" fontId="22" fillId="0" borderId="14" xfId="0" applyFont="1" applyBorder="1" applyAlignment="1" applyProtection="1">
      <protection locked="0"/>
    </xf>
    <xf numFmtId="0" fontId="22" fillId="0" borderId="12" xfId="0" applyFont="1" applyBorder="1" applyAlignment="1" applyProtection="1">
      <protection locked="0"/>
    </xf>
    <xf numFmtId="0" fontId="22" fillId="0" borderId="1" xfId="0" applyFont="1" applyBorder="1" applyAlignment="1" applyProtection="1">
      <alignment vertical="center" wrapText="1"/>
      <protection locked="0"/>
    </xf>
    <xf numFmtId="2" fontId="22" fillId="0" borderId="1" xfId="0" applyNumberFormat="1" applyFont="1" applyBorder="1" applyProtection="1">
      <alignment vertical="center"/>
      <protection locked="0"/>
    </xf>
    <xf numFmtId="0" fontId="22" fillId="0" borderId="1" xfId="0" quotePrefix="1" applyFont="1" applyBorder="1" applyProtection="1">
      <alignment vertical="center"/>
      <protection locked="0"/>
    </xf>
    <xf numFmtId="0" fontId="22" fillId="6" borderId="15" xfId="0" applyFont="1" applyFill="1" applyBorder="1" applyAlignment="1">
      <alignment vertical="top"/>
    </xf>
    <xf numFmtId="0" fontId="22" fillId="6" borderId="6" xfId="0" applyFont="1" applyFill="1" applyBorder="1" applyAlignment="1">
      <alignment vertical="top"/>
    </xf>
    <xf numFmtId="0" fontId="22" fillId="6" borderId="7" xfId="0" applyFont="1" applyFill="1" applyBorder="1" applyAlignment="1">
      <alignment vertical="top"/>
    </xf>
    <xf numFmtId="0" fontId="22" fillId="11" borderId="1" xfId="0" applyFont="1" applyFill="1" applyBorder="1" applyAlignment="1" applyProtection="1">
      <protection locked="0"/>
    </xf>
    <xf numFmtId="0" fontId="22" fillId="0" borderId="2" xfId="0" applyFont="1" applyBorder="1">
      <alignment vertical="center"/>
    </xf>
    <xf numFmtId="0" fontId="22" fillId="0" borderId="6" xfId="0" applyFont="1" applyBorder="1">
      <alignment vertical="center"/>
    </xf>
    <xf numFmtId="0" fontId="22" fillId="0" borderId="3" xfId="0" applyFont="1" applyBorder="1">
      <alignment vertical="center"/>
    </xf>
    <xf numFmtId="0" fontId="22" fillId="0" borderId="7" xfId="0" applyFont="1" applyBorder="1">
      <alignment vertical="center"/>
    </xf>
    <xf numFmtId="14" fontId="22" fillId="3" borderId="1" xfId="0" applyNumberFormat="1" applyFont="1" applyFill="1" applyBorder="1" applyAlignment="1" applyProtection="1">
      <protection locked="0"/>
    </xf>
    <xf numFmtId="0" fontId="22" fillId="3" borderId="1" xfId="0" applyFont="1" applyFill="1" applyBorder="1" applyAlignment="1"/>
    <xf numFmtId="49" fontId="22" fillId="0" borderId="1" xfId="10" applyNumberFormat="1" applyFont="1" applyBorder="1" applyAlignment="1">
      <alignment horizontal="left"/>
    </xf>
    <xf numFmtId="49" fontId="22" fillId="0" borderId="1" xfId="0" applyNumberFormat="1" applyFont="1" applyBorder="1" applyAlignment="1">
      <alignment horizontal="left"/>
    </xf>
    <xf numFmtId="0" fontId="22" fillId="6" borderId="13" xfId="0" applyFont="1" applyFill="1" applyBorder="1" applyAlignment="1">
      <alignment vertical="top"/>
    </xf>
    <xf numFmtId="0" fontId="22" fillId="6" borderId="4" xfId="0" applyFont="1" applyFill="1" applyBorder="1" applyAlignment="1">
      <alignment vertical="top"/>
    </xf>
    <xf numFmtId="0" fontId="22" fillId="2" borderId="1" xfId="0" applyFont="1" applyFill="1" applyBorder="1" applyAlignment="1" applyProtection="1">
      <protection locked="0"/>
    </xf>
    <xf numFmtId="0" fontId="21" fillId="6" borderId="9" xfId="0" applyFont="1" applyFill="1" applyBorder="1" applyAlignment="1">
      <alignment horizontal="left" vertical="top" wrapText="1"/>
    </xf>
    <xf numFmtId="0" fontId="22" fillId="2" borderId="12" xfId="0" applyFont="1" applyFill="1" applyBorder="1" applyAlignment="1" applyProtection="1">
      <protection locked="0"/>
    </xf>
    <xf numFmtId="0" fontId="17" fillId="0" borderId="0" xfId="31" applyFont="1" applyAlignment="1">
      <alignment vertical="top"/>
    </xf>
    <xf numFmtId="0" fontId="38" fillId="0" borderId="0" xfId="0" applyFont="1" applyAlignment="1">
      <alignment vertical="top"/>
    </xf>
    <xf numFmtId="0" fontId="22" fillId="3" borderId="1" xfId="0" applyFont="1" applyFill="1" applyBorder="1" applyAlignment="1" applyProtection="1">
      <alignment vertical="top"/>
      <protection locked="0"/>
    </xf>
    <xf numFmtId="0" fontId="22" fillId="2" borderId="1" xfId="0" applyFont="1" applyFill="1" applyBorder="1" applyAlignment="1" applyProtection="1">
      <alignment vertical="top"/>
      <protection locked="0"/>
    </xf>
    <xf numFmtId="0" fontId="21" fillId="7" borderId="10" xfId="0" applyFont="1" applyFill="1" applyBorder="1" applyAlignment="1">
      <alignment vertical="top" wrapText="1"/>
    </xf>
    <xf numFmtId="0" fontId="22" fillId="0" borderId="4" xfId="0" applyFont="1" applyBorder="1" applyAlignment="1" applyProtection="1">
      <protection locked="0"/>
    </xf>
    <xf numFmtId="0" fontId="22" fillId="0" borderId="17" xfId="0" applyFont="1" applyBorder="1" applyAlignment="1" applyProtection="1">
      <protection locked="0"/>
    </xf>
    <xf numFmtId="0" fontId="22" fillId="0" borderId="8" xfId="0" applyFont="1" applyBorder="1" applyAlignment="1" applyProtection="1">
      <protection locked="0"/>
    </xf>
    <xf numFmtId="0" fontId="22" fillId="3" borderId="10" xfId="0" applyFont="1" applyFill="1" applyBorder="1" applyAlignment="1" applyProtection="1">
      <protection locked="0"/>
    </xf>
    <xf numFmtId="0" fontId="31" fillId="9" borderId="1" xfId="0" applyFont="1" applyFill="1" applyBorder="1" applyAlignment="1" applyProtection="1">
      <alignment vertical="top"/>
      <protection locked="0"/>
    </xf>
    <xf numFmtId="0" fontId="31" fillId="9" borderId="14" xfId="0" applyFont="1" applyFill="1" applyBorder="1" applyAlignment="1" applyProtection="1">
      <alignment vertical="top"/>
      <protection locked="0"/>
    </xf>
    <xf numFmtId="49" fontId="21" fillId="9" borderId="1" xfId="0" applyNumberFormat="1" applyFont="1" applyFill="1" applyBorder="1" applyAlignment="1" applyProtection="1">
      <alignment vertical="top"/>
      <protection locked="0"/>
    </xf>
    <xf numFmtId="0" fontId="41" fillId="9" borderId="1" xfId="24" applyFont="1" applyFill="1" applyBorder="1" applyAlignment="1" applyProtection="1">
      <alignment vertical="top"/>
      <protection locked="0"/>
    </xf>
    <xf numFmtId="0" fontId="31" fillId="9" borderId="1" xfId="0" applyFont="1" applyFill="1" applyBorder="1" applyAlignment="1" applyProtection="1">
      <alignment vertical="top" wrapText="1"/>
      <protection locked="0"/>
    </xf>
    <xf numFmtId="0" fontId="31" fillId="9" borderId="1" xfId="0" applyFont="1" applyFill="1" applyBorder="1" applyAlignment="1" applyProtection="1">
      <protection locked="0"/>
    </xf>
    <xf numFmtId="0" fontId="31" fillId="9" borderId="14" xfId="0" applyFont="1" applyFill="1" applyBorder="1" applyAlignment="1" applyProtection="1">
      <alignment vertical="top" wrapText="1"/>
      <protection locked="0"/>
    </xf>
    <xf numFmtId="0" fontId="31" fillId="9" borderId="10" xfId="0" applyFont="1" applyFill="1" applyBorder="1" applyAlignment="1" applyProtection="1">
      <protection locked="0"/>
    </xf>
    <xf numFmtId="0" fontId="31" fillId="9" borderId="4" xfId="0" applyFont="1" applyFill="1" applyBorder="1">
      <alignment vertical="center"/>
    </xf>
    <xf numFmtId="0" fontId="31" fillId="9" borderId="10" xfId="0" applyFont="1" applyFill="1" applyBorder="1">
      <alignment vertical="center"/>
    </xf>
    <xf numFmtId="0" fontId="31" fillId="9" borderId="1" xfId="0" applyFont="1" applyFill="1" applyBorder="1">
      <alignment vertical="center"/>
    </xf>
    <xf numFmtId="0" fontId="22" fillId="9" borderId="13" xfId="0" applyFont="1" applyFill="1" applyBorder="1">
      <alignment vertical="center"/>
    </xf>
    <xf numFmtId="0" fontId="22" fillId="9" borderId="11" xfId="0" applyFont="1" applyFill="1" applyBorder="1" applyAlignment="1" applyProtection="1">
      <protection locked="0"/>
    </xf>
    <xf numFmtId="0" fontId="22" fillId="9" borderId="17" xfId="0" applyFont="1" applyFill="1" applyBorder="1">
      <alignment vertical="center"/>
    </xf>
    <xf numFmtId="0" fontId="22" fillId="9" borderId="11" xfId="0" applyFont="1" applyFill="1" applyBorder="1">
      <alignment vertical="center"/>
    </xf>
    <xf numFmtId="0" fontId="22" fillId="9" borderId="9" xfId="0" applyFont="1" applyFill="1" applyBorder="1" applyAlignment="1" applyProtection="1">
      <protection locked="0"/>
    </xf>
    <xf numFmtId="0" fontId="22" fillId="9" borderId="8" xfId="0" applyFont="1" applyFill="1" applyBorder="1">
      <alignment vertical="center"/>
    </xf>
    <xf numFmtId="0" fontId="22" fillId="9" borderId="9" xfId="0" applyFont="1" applyFill="1" applyBorder="1">
      <alignment vertical="center"/>
    </xf>
    <xf numFmtId="49" fontId="22" fillId="9" borderId="1" xfId="0" quotePrefix="1" applyNumberFormat="1" applyFont="1" applyFill="1" applyBorder="1" applyAlignment="1" applyProtection="1">
      <alignment vertical="top" wrapText="1"/>
      <protection locked="0"/>
    </xf>
    <xf numFmtId="49" fontId="22" fillId="9" borderId="1" xfId="0" applyNumberFormat="1" applyFont="1" applyFill="1" applyBorder="1" applyAlignment="1" applyProtection="1">
      <alignment vertical="top" wrapText="1"/>
      <protection locked="0"/>
    </xf>
    <xf numFmtId="0" fontId="22" fillId="9" borderId="10" xfId="0" applyFont="1" applyFill="1" applyBorder="1" applyAlignment="1" applyProtection="1">
      <protection locked="0"/>
    </xf>
    <xf numFmtId="0" fontId="22" fillId="9" borderId="4" xfId="0" applyFont="1" applyFill="1" applyBorder="1" applyAlignment="1" applyProtection="1">
      <protection locked="0"/>
    </xf>
    <xf numFmtId="0" fontId="22" fillId="9" borderId="8" xfId="0" applyFont="1" applyFill="1" applyBorder="1" applyAlignment="1" applyProtection="1">
      <protection locked="0"/>
    </xf>
    <xf numFmtId="0" fontId="22" fillId="9" borderId="1" xfId="0" applyFont="1" applyFill="1" applyBorder="1" applyAlignment="1"/>
    <xf numFmtId="0" fontId="22" fillId="9" borderId="1" xfId="0" applyFont="1" applyFill="1" applyBorder="1" applyAlignment="1" applyProtection="1">
      <alignment horizontal="left"/>
      <protection locked="0"/>
    </xf>
    <xf numFmtId="14" fontId="22" fillId="9" borderId="1" xfId="0" applyNumberFormat="1" applyFont="1" applyFill="1" applyBorder="1" applyAlignment="1" applyProtection="1">
      <alignment horizontal="left"/>
      <protection locked="0"/>
    </xf>
    <xf numFmtId="178" fontId="22" fillId="9" borderId="1" xfId="0" applyNumberFormat="1" applyFont="1" applyFill="1" applyBorder="1" applyAlignment="1" applyProtection="1">
      <alignment horizontal="left" vertical="center"/>
      <protection locked="0"/>
    </xf>
    <xf numFmtId="176" fontId="22" fillId="9" borderId="1" xfId="0" applyNumberFormat="1" applyFont="1" applyFill="1" applyBorder="1" applyProtection="1">
      <alignment vertical="center"/>
      <protection locked="0"/>
    </xf>
    <xf numFmtId="0" fontId="31" fillId="8" borderId="12" xfId="0" applyFont="1" applyFill="1" applyBorder="1" applyAlignment="1" applyProtection="1">
      <alignment vertical="top"/>
      <protection locked="0"/>
    </xf>
    <xf numFmtId="0" fontId="31" fillId="8" borderId="1" xfId="0" applyFont="1" applyFill="1" applyBorder="1" applyAlignment="1" applyProtection="1">
      <alignment vertical="top"/>
      <protection locked="0"/>
    </xf>
    <xf numFmtId="0" fontId="31" fillId="8" borderId="13" xfId="0" applyFont="1" applyFill="1" applyBorder="1" applyAlignment="1" applyProtection="1">
      <alignment vertical="top"/>
      <protection locked="0"/>
    </xf>
    <xf numFmtId="0" fontId="43" fillId="9" borderId="1" xfId="0" applyFont="1" applyFill="1" applyBorder="1" applyAlignment="1" applyProtection="1">
      <alignment horizontal="left" vertical="top"/>
      <protection locked="0"/>
    </xf>
    <xf numFmtId="0" fontId="31" fillId="0" borderId="1" xfId="0" applyFont="1" applyBorder="1" applyAlignment="1" applyProtection="1">
      <alignment vertical="top"/>
      <protection locked="0"/>
    </xf>
    <xf numFmtId="0" fontId="43" fillId="0" borderId="1" xfId="0" applyFont="1" applyBorder="1" applyAlignment="1" applyProtection="1">
      <alignment horizontal="left" vertical="top"/>
      <protection locked="0"/>
    </xf>
    <xf numFmtId="0" fontId="31" fillId="6" borderId="2" xfId="0" applyFont="1" applyFill="1" applyBorder="1" applyAlignment="1">
      <alignment vertical="top"/>
    </xf>
    <xf numFmtId="0" fontId="31" fillId="6" borderId="3" xfId="0" applyFont="1" applyFill="1" applyBorder="1" applyAlignment="1">
      <alignment vertical="top"/>
    </xf>
    <xf numFmtId="0" fontId="31" fillId="6" borderId="4" xfId="0" applyFont="1" applyFill="1" applyBorder="1" applyAlignment="1">
      <alignment vertical="top"/>
    </xf>
    <xf numFmtId="0" fontId="31" fillId="6" borderId="7" xfId="0" applyFont="1" applyFill="1" applyBorder="1" applyAlignment="1">
      <alignment vertical="top"/>
    </xf>
    <xf numFmtId="0" fontId="31" fillId="6" borderId="6" xfId="0" applyFont="1" applyFill="1" applyBorder="1" applyAlignment="1">
      <alignment vertical="top"/>
    </xf>
    <xf numFmtId="0" fontId="31" fillId="6" borderId="8" xfId="0" applyFont="1" applyFill="1" applyBorder="1" applyAlignment="1">
      <alignment vertical="top"/>
    </xf>
    <xf numFmtId="0" fontId="31" fillId="9" borderId="12" xfId="0" applyFont="1" applyFill="1" applyBorder="1" applyAlignment="1" applyProtection="1">
      <alignment vertical="top" wrapText="1"/>
      <protection locked="0"/>
    </xf>
    <xf numFmtId="0" fontId="31" fillId="9" borderId="12" xfId="0" applyFont="1" applyFill="1" applyBorder="1" applyAlignment="1" applyProtection="1">
      <alignment vertical="top"/>
      <protection locked="0"/>
    </xf>
    <xf numFmtId="0" fontId="31" fillId="0" borderId="14" xfId="0" applyFont="1" applyBorder="1" applyAlignment="1" applyProtection="1">
      <alignment vertical="top"/>
      <protection locked="0"/>
    </xf>
    <xf numFmtId="0" fontId="31" fillId="3" borderId="12" xfId="0" applyFont="1" applyFill="1" applyBorder="1" applyAlignment="1" applyProtection="1">
      <alignment vertical="top"/>
      <protection locked="0"/>
    </xf>
    <xf numFmtId="0" fontId="31" fillId="0" borderId="14" xfId="0" quotePrefix="1" applyFont="1" applyBorder="1" applyAlignment="1" applyProtection="1">
      <alignment vertical="top"/>
      <protection locked="0"/>
    </xf>
    <xf numFmtId="0" fontId="17" fillId="0" borderId="0" xfId="24" applyFont="1" applyAlignment="1">
      <alignment vertical="top"/>
    </xf>
    <xf numFmtId="0" fontId="19" fillId="0" borderId="0" xfId="0" applyFont="1" applyAlignment="1">
      <alignment vertical="top"/>
    </xf>
    <xf numFmtId="0" fontId="40" fillId="0" borderId="0" xfId="3" applyFont="1" applyAlignment="1" applyProtection="1">
      <alignment vertical="top"/>
    </xf>
    <xf numFmtId="0" fontId="22" fillId="9" borderId="1" xfId="0" applyFont="1" applyFill="1" applyBorder="1" applyAlignment="1" applyProtection="1">
      <alignment vertical="top"/>
      <protection locked="0"/>
    </xf>
    <xf numFmtId="0" fontId="22" fillId="9" borderId="1" xfId="0" applyFont="1" applyFill="1" applyBorder="1" applyAlignment="1" applyProtection="1">
      <alignment horizontal="left" vertical="top"/>
      <protection locked="0"/>
    </xf>
    <xf numFmtId="2" fontId="22" fillId="9" borderId="1" xfId="0" applyNumberFormat="1" applyFont="1" applyFill="1" applyBorder="1" applyAlignment="1" applyProtection="1">
      <alignment horizontal="left" vertical="top"/>
      <protection locked="0"/>
    </xf>
    <xf numFmtId="2" fontId="22" fillId="9" borderId="1" xfId="0" applyNumberFormat="1" applyFont="1" applyFill="1" applyBorder="1" applyAlignment="1" applyProtection="1">
      <alignment vertical="top"/>
      <protection locked="0"/>
    </xf>
    <xf numFmtId="0" fontId="22" fillId="0" borderId="1" xfId="0" applyFont="1" applyBorder="1" applyAlignment="1" applyProtection="1">
      <alignment vertical="top"/>
      <protection locked="0"/>
    </xf>
    <xf numFmtId="0" fontId="22" fillId="0" borderId="1" xfId="0" applyFont="1" applyBorder="1" applyAlignment="1" applyProtection="1">
      <alignment horizontal="left" vertical="top"/>
      <protection locked="0"/>
    </xf>
    <xf numFmtId="2" fontId="22" fillId="0" borderId="1" xfId="0" applyNumberFormat="1" applyFont="1" applyBorder="1" applyAlignment="1" applyProtection="1">
      <alignment horizontal="left" vertical="top"/>
      <protection locked="0"/>
    </xf>
    <xf numFmtId="2" fontId="22" fillId="0" borderId="1" xfId="0" applyNumberFormat="1" applyFont="1" applyBorder="1" applyAlignment="1" applyProtection="1">
      <alignment vertical="top"/>
      <protection locked="0"/>
    </xf>
    <xf numFmtId="0" fontId="22" fillId="9" borderId="1" xfId="0" applyFont="1" applyFill="1" applyBorder="1" applyProtection="1">
      <alignment vertical="center"/>
      <protection locked="0"/>
    </xf>
    <xf numFmtId="0" fontId="22" fillId="9" borderId="14" xfId="0" applyFont="1" applyFill="1" applyBorder="1" applyProtection="1">
      <alignment vertical="center"/>
      <protection locked="0"/>
    </xf>
    <xf numFmtId="49" fontId="22" fillId="9" borderId="1" xfId="0" applyNumberFormat="1" applyFont="1" applyFill="1" applyBorder="1" applyProtection="1">
      <alignment vertical="center"/>
      <protection locked="0"/>
    </xf>
    <xf numFmtId="0" fontId="22" fillId="9" borderId="14" xfId="0" applyFont="1" applyFill="1" applyBorder="1" applyAlignment="1" applyProtection="1">
      <protection locked="0"/>
    </xf>
    <xf numFmtId="0" fontId="22" fillId="9" borderId="12" xfId="0" applyFont="1" applyFill="1" applyBorder="1" applyAlignment="1" applyProtection="1">
      <protection locked="0"/>
    </xf>
    <xf numFmtId="0" fontId="22" fillId="9" borderId="1" xfId="0" quotePrefix="1" applyFont="1" applyFill="1" applyBorder="1" applyAlignment="1" applyProtection="1">
      <protection locked="0"/>
    </xf>
    <xf numFmtId="0" fontId="22" fillId="9" borderId="1" xfId="0" applyFont="1" applyFill="1" applyBorder="1" applyAlignment="1" applyProtection="1">
      <alignment vertical="center" wrapText="1"/>
      <protection locked="0"/>
    </xf>
    <xf numFmtId="2" fontId="22" fillId="9" borderId="1" xfId="0" applyNumberFormat="1" applyFont="1" applyFill="1" applyBorder="1" applyProtection="1">
      <alignment vertical="center"/>
      <protection locked="0"/>
    </xf>
    <xf numFmtId="0" fontId="22" fillId="9" borderId="1" xfId="0" quotePrefix="1" applyFont="1" applyFill="1" applyBorder="1" applyProtection="1">
      <alignment vertical="center"/>
      <protection locked="0"/>
    </xf>
    <xf numFmtId="0" fontId="17" fillId="0" borderId="0" xfId="29" applyFont="1" applyAlignment="1">
      <alignment vertical="top"/>
    </xf>
    <xf numFmtId="0" fontId="22" fillId="9" borderId="14" xfId="0" applyFont="1" applyFill="1" applyBorder="1" applyAlignment="1" applyProtection="1">
      <alignment vertical="top"/>
      <protection locked="0"/>
    </xf>
    <xf numFmtId="0" fontId="22" fillId="9" borderId="12" xfId="0" applyFont="1" applyFill="1" applyBorder="1" applyAlignment="1" applyProtection="1">
      <alignment vertical="top"/>
      <protection locked="0"/>
    </xf>
    <xf numFmtId="0" fontId="22" fillId="0" borderId="14" xfId="0" applyFont="1" applyBorder="1" applyAlignment="1" applyProtection="1">
      <alignment vertical="top"/>
      <protection locked="0"/>
    </xf>
    <xf numFmtId="0" fontId="22" fillId="0" borderId="12" xfId="0" applyFont="1" applyBorder="1" applyAlignment="1" applyProtection="1">
      <alignment vertical="top"/>
      <protection locked="0"/>
    </xf>
    <xf numFmtId="0" fontId="22" fillId="0" borderId="13" xfId="0" applyFont="1" applyBorder="1" applyAlignment="1" applyProtection="1">
      <alignment vertical="top"/>
      <protection locked="0"/>
    </xf>
    <xf numFmtId="0" fontId="22" fillId="9" borderId="13" xfId="0" applyFont="1" applyFill="1" applyBorder="1" applyAlignment="1" applyProtection="1">
      <alignment vertical="top"/>
      <protection locked="0"/>
    </xf>
    <xf numFmtId="180" fontId="22" fillId="9" borderId="13" xfId="0" applyNumberFormat="1" applyFont="1" applyFill="1" applyBorder="1" applyAlignment="1" applyProtection="1">
      <alignment horizontal="left" vertical="top" wrapText="1"/>
      <protection locked="0"/>
    </xf>
    <xf numFmtId="180" fontId="22" fillId="9" borderId="1" xfId="0" applyNumberFormat="1" applyFont="1" applyFill="1" applyBorder="1" applyAlignment="1" applyProtection="1">
      <alignment horizontal="left" vertical="top" wrapText="1"/>
      <protection locked="0"/>
    </xf>
    <xf numFmtId="0" fontId="22" fillId="3" borderId="14" xfId="0" applyFont="1" applyFill="1" applyBorder="1" applyAlignment="1" applyProtection="1">
      <alignment vertical="top"/>
      <protection locked="0"/>
    </xf>
    <xf numFmtId="14" fontId="22" fillId="9" borderId="1" xfId="0" applyNumberFormat="1" applyFont="1" applyFill="1" applyBorder="1" applyAlignment="1" applyProtection="1">
      <protection locked="0"/>
    </xf>
    <xf numFmtId="0" fontId="2" fillId="0" borderId="4" xfId="0" applyFont="1" applyBorder="1">
      <alignment vertical="center"/>
    </xf>
    <xf numFmtId="0" fontId="2" fillId="0" borderId="10" xfId="0" applyFont="1" applyBorder="1">
      <alignment vertical="center"/>
    </xf>
    <xf numFmtId="0" fontId="2" fillId="0" borderId="1" xfId="0" applyFont="1" applyBorder="1">
      <alignment vertical="center"/>
    </xf>
    <xf numFmtId="0" fontId="1" fillId="0" borderId="1" xfId="0" applyFont="1" applyBorder="1">
      <alignment vertical="center"/>
    </xf>
    <xf numFmtId="14" fontId="0" fillId="0" borderId="1" xfId="0" applyNumberFormat="1" applyBorder="1" applyAlignment="1">
      <alignment horizontal="center" vertical="center" wrapText="1"/>
    </xf>
    <xf numFmtId="0" fontId="19" fillId="0" borderId="2"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4" xfId="0" applyFont="1" applyBorder="1" applyAlignment="1">
      <alignment horizontal="center" vertical="center" wrapText="1"/>
    </xf>
    <xf numFmtId="0" fontId="19" fillId="0" borderId="5" xfId="0" applyFont="1" applyBorder="1" applyAlignment="1">
      <alignment horizontal="center" vertical="center" wrapText="1"/>
    </xf>
    <xf numFmtId="0" fontId="19" fillId="0" borderId="0" xfId="0" applyFont="1" applyAlignment="1">
      <alignment horizontal="center" vertical="center" wrapText="1"/>
    </xf>
    <xf numFmtId="0" fontId="19" fillId="0" borderId="17" xfId="0" applyFont="1" applyBorder="1" applyAlignment="1">
      <alignment horizontal="center" vertical="center" wrapText="1"/>
    </xf>
    <xf numFmtId="0" fontId="19" fillId="0" borderId="6" xfId="0" applyFont="1" applyBorder="1" applyAlignment="1">
      <alignment horizontal="center" vertical="center" wrapText="1"/>
    </xf>
    <xf numFmtId="0" fontId="19" fillId="0" borderId="7" xfId="0" applyFont="1" applyBorder="1" applyAlignment="1">
      <alignment horizontal="center" vertical="center" wrapText="1"/>
    </xf>
    <xf numFmtId="0" fontId="19" fillId="0" borderId="8" xfId="0" applyFont="1" applyBorder="1" applyAlignment="1">
      <alignment horizontal="center" vertical="center" wrapText="1"/>
    </xf>
    <xf numFmtId="0" fontId="19" fillId="0" borderId="3" xfId="0" applyFont="1" applyBorder="1" applyAlignment="1">
      <alignment horizontal="center" vertical="center"/>
    </xf>
    <xf numFmtId="0" fontId="19" fillId="0" borderId="4" xfId="0" applyFont="1" applyBorder="1" applyAlignment="1">
      <alignment horizontal="center" vertical="center"/>
    </xf>
    <xf numFmtId="0" fontId="19" fillId="0" borderId="5" xfId="0" applyFont="1" applyBorder="1" applyAlignment="1">
      <alignment horizontal="center" vertical="center"/>
    </xf>
    <xf numFmtId="0" fontId="19" fillId="0" borderId="0" xfId="0" applyFont="1" applyAlignment="1">
      <alignment horizontal="center" vertical="center"/>
    </xf>
    <xf numFmtId="0" fontId="19" fillId="0" borderId="17" xfId="0" applyFont="1" applyBorder="1" applyAlignment="1">
      <alignment horizontal="center" vertical="center"/>
    </xf>
    <xf numFmtId="0" fontId="19" fillId="0" borderId="6" xfId="0" applyFont="1" applyBorder="1" applyAlignment="1">
      <alignment horizontal="center" vertical="center"/>
    </xf>
    <xf numFmtId="0" fontId="19" fillId="0" borderId="7" xfId="0" applyFont="1" applyBorder="1" applyAlignment="1">
      <alignment horizontal="center" vertical="center"/>
    </xf>
    <xf numFmtId="0" fontId="19" fillId="0" borderId="8" xfId="0" applyFont="1" applyBorder="1" applyAlignment="1">
      <alignment horizontal="center" vertical="center"/>
    </xf>
    <xf numFmtId="14" fontId="19" fillId="0" borderId="14" xfId="0" applyNumberFormat="1" applyFont="1" applyBorder="1" applyAlignment="1">
      <alignment horizontal="center" vertical="center"/>
    </xf>
    <xf numFmtId="14" fontId="19" fillId="0" borderId="15" xfId="0" applyNumberFormat="1" applyFont="1" applyBorder="1" applyAlignment="1">
      <alignment horizontal="center" vertical="center"/>
    </xf>
    <xf numFmtId="14" fontId="19" fillId="0" borderId="13" xfId="0" applyNumberFormat="1" applyFont="1" applyBorder="1" applyAlignment="1">
      <alignment horizontal="center" vertical="center"/>
    </xf>
    <xf numFmtId="0" fontId="37" fillId="0" borderId="0" xfId="0" applyFont="1" applyAlignment="1">
      <alignment horizontal="center" vertical="center"/>
    </xf>
    <xf numFmtId="0" fontId="35" fillId="0" borderId="0" xfId="0" applyFont="1" applyAlignment="1">
      <alignment horizontal="center"/>
    </xf>
    <xf numFmtId="0" fontId="35" fillId="0" borderId="16" xfId="0" applyFont="1" applyBorder="1" applyAlignment="1">
      <alignment horizontal="center"/>
    </xf>
    <xf numFmtId="0" fontId="36" fillId="0" borderId="2" xfId="0" applyFont="1" applyBorder="1" applyAlignment="1">
      <alignment horizontal="center" vertical="center"/>
    </xf>
    <xf numFmtId="0" fontId="36" fillId="0" borderId="3" xfId="0" applyFont="1" applyBorder="1" applyAlignment="1">
      <alignment horizontal="center" vertical="center"/>
    </xf>
    <xf numFmtId="0" fontId="36" fillId="0" borderId="4" xfId="0" applyFont="1" applyBorder="1" applyAlignment="1">
      <alignment horizontal="center" vertical="center"/>
    </xf>
    <xf numFmtId="0" fontId="36" fillId="0" borderId="5" xfId="0" applyFont="1" applyBorder="1" applyAlignment="1">
      <alignment horizontal="center" vertical="center"/>
    </xf>
    <xf numFmtId="0" fontId="36" fillId="0" borderId="0" xfId="0" applyFont="1" applyAlignment="1">
      <alignment horizontal="center" vertical="center"/>
    </xf>
    <xf numFmtId="0" fontId="36" fillId="0" borderId="17" xfId="0" applyFont="1" applyBorder="1" applyAlignment="1">
      <alignment horizontal="center" vertical="center"/>
    </xf>
    <xf numFmtId="0" fontId="35" fillId="0" borderId="5" xfId="0" applyFont="1" applyBorder="1" applyAlignment="1">
      <alignment horizontal="center" vertical="center"/>
    </xf>
    <xf numFmtId="0" fontId="35" fillId="0" borderId="0" xfId="0" applyFont="1" applyAlignment="1">
      <alignment horizontal="center" vertical="center"/>
    </xf>
    <xf numFmtId="0" fontId="35" fillId="0" borderId="17" xfId="0" applyFont="1" applyBorder="1" applyAlignment="1">
      <alignment horizontal="center" vertical="center"/>
    </xf>
    <xf numFmtId="0" fontId="35" fillId="0" borderId="6" xfId="0" applyFont="1" applyBorder="1" applyAlignment="1">
      <alignment horizontal="center" vertical="center"/>
    </xf>
    <xf numFmtId="0" fontId="35" fillId="0" borderId="7" xfId="0" applyFont="1" applyBorder="1" applyAlignment="1">
      <alignment horizontal="center" vertical="center"/>
    </xf>
    <xf numFmtId="0" fontId="35" fillId="0" borderId="8" xfId="0" applyFont="1" applyBorder="1" applyAlignment="1">
      <alignment horizontal="center" vertical="center"/>
    </xf>
    <xf numFmtId="14" fontId="37" fillId="0" borderId="0" xfId="0" applyNumberFormat="1" applyFont="1" applyAlignment="1">
      <alignment horizontal="center" vertical="center"/>
    </xf>
    <xf numFmtId="0" fontId="22" fillId="0" borderId="10" xfId="0" applyFont="1" applyBorder="1" applyAlignment="1">
      <alignment horizontal="left" vertical="top" wrapText="1"/>
    </xf>
    <xf numFmtId="0" fontId="22" fillId="0" borderId="11" xfId="0" applyFont="1" applyBorder="1" applyAlignment="1">
      <alignment horizontal="left" vertical="top" wrapText="1"/>
    </xf>
    <xf numFmtId="0" fontId="22" fillId="0" borderId="9" xfId="0" applyFont="1" applyBorder="1" applyAlignment="1">
      <alignment horizontal="left" vertical="top" wrapText="1"/>
    </xf>
    <xf numFmtId="0" fontId="22" fillId="0" borderId="10" xfId="0" applyFont="1" applyBorder="1" applyAlignment="1">
      <alignment horizontal="center" vertical="top" wrapText="1"/>
    </xf>
    <xf numFmtId="0" fontId="22" fillId="0" borderId="11" xfId="0" applyFont="1" applyBorder="1" applyAlignment="1">
      <alignment horizontal="center" vertical="top" wrapText="1"/>
    </xf>
    <xf numFmtId="0" fontId="22" fillId="0" borderId="9" xfId="0" applyFont="1" applyBorder="1" applyAlignment="1">
      <alignment horizontal="center" vertical="top" wrapText="1"/>
    </xf>
    <xf numFmtId="0" fontId="22" fillId="6" borderId="14" xfId="0" applyFont="1" applyFill="1" applyBorder="1">
      <alignment vertical="center"/>
    </xf>
    <xf numFmtId="0" fontId="22" fillId="6" borderId="1" xfId="0" applyFont="1" applyFill="1" applyBorder="1">
      <alignment vertical="center"/>
    </xf>
    <xf numFmtId="0" fontId="22" fillId="6" borderId="10" xfId="0" applyFont="1" applyFill="1" applyBorder="1">
      <alignment vertical="center"/>
    </xf>
    <xf numFmtId="0" fontId="22" fillId="6" borderId="11" xfId="0" applyFont="1" applyFill="1" applyBorder="1">
      <alignment vertical="center"/>
    </xf>
    <xf numFmtId="0" fontId="0" fillId="6" borderId="1" xfId="0" applyFill="1" applyBorder="1">
      <alignment vertical="center"/>
    </xf>
    <xf numFmtId="0" fontId="0" fillId="6" borderId="1" xfId="0" applyFill="1" applyBorder="1" applyProtection="1">
      <alignment vertical="center"/>
      <protection locked="0"/>
    </xf>
    <xf numFmtId="0" fontId="22" fillId="6" borderId="10" xfId="0" applyFont="1" applyFill="1" applyBorder="1" applyAlignment="1">
      <alignment horizontal="left" vertical="top" wrapText="1"/>
    </xf>
    <xf numFmtId="0" fontId="22" fillId="6" borderId="9" xfId="0" applyFont="1" applyFill="1" applyBorder="1">
      <alignment vertical="center"/>
    </xf>
    <xf numFmtId="0" fontId="21" fillId="6" borderId="3" xfId="0" applyFont="1" applyFill="1" applyBorder="1" applyAlignment="1">
      <alignment horizontal="left" vertical="center" wrapText="1"/>
    </xf>
    <xf numFmtId="0" fontId="31" fillId="6" borderId="1" xfId="0" applyFont="1" applyFill="1" applyBorder="1" applyAlignment="1">
      <alignment vertical="top"/>
    </xf>
    <xf numFmtId="0" fontId="21" fillId="6" borderId="1" xfId="0" applyFont="1" applyFill="1" applyBorder="1" applyAlignment="1">
      <alignment horizontal="left" vertical="center" wrapText="1"/>
    </xf>
    <xf numFmtId="0" fontId="0" fillId="6" borderId="10" xfId="0" applyFill="1" applyBorder="1">
      <alignment vertical="center"/>
    </xf>
    <xf numFmtId="0" fontId="0" fillId="6" borderId="11" xfId="0" applyFill="1" applyBorder="1">
      <alignment vertical="center"/>
    </xf>
    <xf numFmtId="0" fontId="0" fillId="6" borderId="9" xfId="0" applyFill="1" applyBorder="1">
      <alignment vertical="center"/>
    </xf>
    <xf numFmtId="0" fontId="22" fillId="6" borderId="14" xfId="0" applyFont="1" applyFill="1" applyBorder="1" applyAlignment="1">
      <alignment vertical="top"/>
    </xf>
    <xf numFmtId="0" fontId="22" fillId="6" borderId="1" xfId="0" applyFont="1" applyFill="1" applyBorder="1" applyAlignment="1">
      <alignment vertical="top"/>
    </xf>
    <xf numFmtId="0" fontId="21" fillId="6" borderId="10" xfId="0" applyFont="1" applyFill="1" applyBorder="1" applyAlignment="1">
      <alignment horizontal="left" vertical="top" wrapText="1"/>
    </xf>
    <xf numFmtId="0" fontId="21" fillId="6" borderId="9" xfId="0" applyFont="1" applyFill="1" applyBorder="1" applyAlignment="1">
      <alignment horizontal="left" vertical="top" wrapText="1"/>
    </xf>
    <xf numFmtId="0" fontId="22" fillId="6" borderId="14" xfId="0" applyFont="1" applyFill="1" applyBorder="1" applyAlignment="1">
      <alignment horizontal="center" vertical="center"/>
    </xf>
    <xf numFmtId="0" fontId="22" fillId="6" borderId="15" xfId="0" applyFont="1" applyFill="1" applyBorder="1" applyAlignment="1">
      <alignment horizontal="center" vertical="center"/>
    </xf>
    <xf numFmtId="0" fontId="22" fillId="6" borderId="13" xfId="0" applyFont="1" applyFill="1" applyBorder="1" applyAlignment="1">
      <alignment horizontal="center" vertical="center"/>
    </xf>
    <xf numFmtId="0" fontId="22" fillId="2" borderId="10" xfId="0" applyFont="1" applyFill="1" applyBorder="1" applyAlignment="1">
      <alignment vertical="top" wrapText="1"/>
    </xf>
    <xf numFmtId="0" fontId="22" fillId="2" borderId="11" xfId="0" applyFont="1" applyFill="1" applyBorder="1" applyAlignment="1">
      <alignment vertical="top" wrapText="1"/>
    </xf>
    <xf numFmtId="0" fontId="22" fillId="2" borderId="9" xfId="0" applyFont="1" applyFill="1" applyBorder="1" applyAlignment="1">
      <alignment vertical="top" wrapText="1"/>
    </xf>
    <xf numFmtId="0" fontId="22" fillId="6" borderId="14" xfId="0" applyFont="1" applyFill="1" applyBorder="1" applyAlignment="1">
      <alignment horizontal="left" vertical="center"/>
    </xf>
    <xf numFmtId="0" fontId="22" fillId="6" borderId="15" xfId="0" applyFont="1" applyFill="1" applyBorder="1" applyAlignment="1">
      <alignment horizontal="left" vertical="center"/>
    </xf>
    <xf numFmtId="0" fontId="22" fillId="6" borderId="13" xfId="0" applyFont="1" applyFill="1" applyBorder="1" applyAlignment="1">
      <alignment horizontal="left" vertical="center"/>
    </xf>
    <xf numFmtId="0" fontId="22" fillId="6" borderId="4" xfId="0" applyFont="1" applyFill="1" applyBorder="1" applyAlignment="1">
      <alignment horizontal="center" vertical="center"/>
    </xf>
    <xf numFmtId="0" fontId="22" fillId="6" borderId="17" xfId="0" applyFont="1" applyFill="1" applyBorder="1" applyAlignment="1">
      <alignment horizontal="center" vertical="center"/>
    </xf>
    <xf numFmtId="0" fontId="22" fillId="6" borderId="8" xfId="0" applyFont="1" applyFill="1" applyBorder="1" applyAlignment="1">
      <alignment horizontal="center" vertical="center"/>
    </xf>
    <xf numFmtId="0" fontId="22" fillId="0" borderId="15" xfId="0" applyFont="1" applyBorder="1">
      <alignment vertical="center"/>
    </xf>
    <xf numFmtId="0" fontId="22" fillId="0" borderId="13" xfId="0" applyFont="1" applyBorder="1">
      <alignment vertical="center"/>
    </xf>
    <xf numFmtId="0" fontId="22" fillId="6" borderId="14" xfId="0" applyFont="1" applyFill="1" applyBorder="1" applyAlignment="1">
      <alignment horizontal="left" vertical="top"/>
    </xf>
    <xf numFmtId="0" fontId="22" fillId="6" borderId="15" xfId="0" applyFont="1" applyFill="1" applyBorder="1" applyAlignment="1">
      <alignment horizontal="left" vertical="top"/>
    </xf>
    <xf numFmtId="0" fontId="22" fillId="6" borderId="13" xfId="0" applyFont="1" applyFill="1" applyBorder="1" applyAlignment="1">
      <alignment horizontal="left" vertical="top"/>
    </xf>
    <xf numFmtId="0" fontId="22" fillId="6" borderId="14" xfId="0" applyFont="1" applyFill="1" applyBorder="1" applyAlignment="1">
      <alignment horizontal="center" vertical="top" wrapText="1"/>
    </xf>
    <xf numFmtId="0" fontId="22" fillId="6" borderId="15" xfId="0" applyFont="1" applyFill="1" applyBorder="1" applyAlignment="1">
      <alignment horizontal="center" vertical="top" wrapText="1"/>
    </xf>
    <xf numFmtId="0" fontId="22" fillId="6" borderId="13" xfId="0" applyFont="1" applyFill="1" applyBorder="1" applyAlignment="1">
      <alignment horizontal="center" vertical="top" wrapText="1"/>
    </xf>
    <xf numFmtId="0" fontId="21" fillId="6" borderId="14" xfId="0" applyFont="1" applyFill="1" applyBorder="1" applyAlignment="1">
      <alignment horizontal="left" vertical="top" wrapText="1"/>
    </xf>
    <xf numFmtId="0" fontId="21" fillId="6" borderId="15" xfId="0" applyFont="1" applyFill="1" applyBorder="1" applyAlignment="1">
      <alignment horizontal="left" vertical="top" wrapText="1"/>
    </xf>
    <xf numFmtId="0" fontId="21" fillId="6" borderId="13" xfId="0" applyFont="1" applyFill="1" applyBorder="1" applyAlignment="1">
      <alignment horizontal="left" vertical="top" wrapText="1"/>
    </xf>
    <xf numFmtId="0" fontId="0" fillId="11" borderId="1" xfId="0" applyFill="1" applyBorder="1">
      <alignment vertical="center"/>
    </xf>
    <xf numFmtId="0" fontId="0" fillId="11" borderId="1" xfId="0" applyFill="1" applyBorder="1" applyAlignment="1">
      <alignment horizontal="center" vertical="center" wrapText="1"/>
    </xf>
    <xf numFmtId="0" fontId="26" fillId="11" borderId="1" xfId="3" applyFont="1" applyFill="1" applyBorder="1">
      <alignment vertical="center"/>
    </xf>
    <xf numFmtId="0" fontId="0" fillId="11" borderId="1" xfId="0" applyFill="1" applyBorder="1" applyAlignment="1">
      <alignment vertical="center" wrapText="1"/>
    </xf>
  </cellXfs>
  <cellStyles count="32">
    <cellStyle name="Normal 2" xfId="2" xr:uid="{27607F87-74DF-431C-BA9A-A29AE75CBB21}"/>
    <cellStyle name="ハイパーリンク" xfId="3" builtinId="8"/>
    <cellStyle name="標準" xfId="0" builtinId="0"/>
    <cellStyle name="標準 2" xfId="1" xr:uid="{9C6C678F-D78D-45ED-8C3A-9DDD1CABF8D9}"/>
    <cellStyle name="標準 2 2" xfId="4" xr:uid="{7D5CCFCA-9FFD-487C-A232-A75349CBE837}"/>
    <cellStyle name="標準 2 2 2" xfId="5" xr:uid="{47B1882D-DD95-48A9-9F73-2F557752BE23}"/>
    <cellStyle name="標準 2 2 2 2" xfId="6" xr:uid="{0AE5EB88-0695-4E71-968D-CFB0874A97CC}"/>
    <cellStyle name="標準 2 2 2 2 2" xfId="7" xr:uid="{4D13E008-9907-4DAC-B7DF-40C7D5469D4F}"/>
    <cellStyle name="標準 2 2 2 2 2 2" xfId="8" xr:uid="{E79910AA-DE7C-4F12-9866-043680C6BD24}"/>
    <cellStyle name="標準 2 2 2 2 2 3" xfId="9" xr:uid="{F21DC37F-6F2E-4EF0-B13D-E8150630710F}"/>
    <cellStyle name="標準 2 2 2 2 2 4" xfId="24" xr:uid="{EB3BE363-AEA0-47F2-91BC-24794C710FE7}"/>
    <cellStyle name="標準 2 2 2 2 3" xfId="14" xr:uid="{0BC89B50-B996-4F32-A12A-F6A89F010291}"/>
    <cellStyle name="標準 2 2 2 2 3 2" xfId="23" xr:uid="{47601FF7-9EF6-42E8-85ED-B9AE2840F538}"/>
    <cellStyle name="標準 2 2 2 2 3 3" xfId="18" xr:uid="{C64ED288-437C-4989-8AA9-9AF0ED7E2436}"/>
    <cellStyle name="標準 2 2 2 2 3 3 2" xfId="27" xr:uid="{776C55E7-015B-4F37-8A51-D315B7312032}"/>
    <cellStyle name="標準 2 2 2 2 4" xfId="22" xr:uid="{520BD074-7C3A-4892-81D3-A16315636681}"/>
    <cellStyle name="標準 2 2 2 3 2" xfId="16" xr:uid="{D0CECAE1-B9B6-48E1-B86E-99F8DC4C48BB}"/>
    <cellStyle name="標準 2 2 2 3 2 2" xfId="31" xr:uid="{8F49AFB3-D467-40DA-864B-1526CDDD054C}"/>
    <cellStyle name="標準 2 2 3" xfId="11" xr:uid="{AB8DAD6B-6F07-4F84-AFF4-9001F04CD5BE}"/>
    <cellStyle name="標準 2 2 3 2" xfId="25" xr:uid="{81A145C3-232F-4000-AAC7-C32908300803}"/>
    <cellStyle name="標準 2 2 4" xfId="13" xr:uid="{FAA0CA57-CC80-47D6-86EC-D6EBE1EFFACE}"/>
    <cellStyle name="標準 2 2 5" xfId="29" xr:uid="{1ECAAFE3-9402-4217-849D-CF28898487A5}"/>
    <cellStyle name="標準 2 2 6" xfId="26" xr:uid="{A52C315D-7B46-4A7C-BDF7-C2CC64705B84}"/>
    <cellStyle name="標準 2 3" xfId="12" xr:uid="{1C014ACD-DAA1-4DF1-9B40-427746B15741}"/>
    <cellStyle name="標準 2 4" xfId="15" xr:uid="{9F25C8E6-9714-4DB7-8282-F332EBEF3C83}"/>
    <cellStyle name="標準 2 5" xfId="19" xr:uid="{61AEE34D-F39A-40DA-B7E2-EA692E3F7590}"/>
    <cellStyle name="標準 2 5 2" xfId="28" xr:uid="{F3034A00-3053-469C-AE56-C1D18ABAC879}"/>
    <cellStyle name="標準 2 5 3" xfId="30" xr:uid="{E294E9D5-962F-423B-9276-3FC0B3E9E9A6}"/>
    <cellStyle name="標準 2 6" xfId="20" xr:uid="{1C441B75-B284-42F9-9CF7-F98393D593E2}"/>
    <cellStyle name="標準 2 6 2" xfId="21" xr:uid="{F1437579-E44C-4B25-AF36-705E0127B1E0}"/>
    <cellStyle name="標準 3" xfId="10" xr:uid="{942EA3AA-1AAC-488E-A27D-5DABE16255B0}"/>
    <cellStyle name="標準 3 3" xfId="17" xr:uid="{64B06E6E-9B38-4C99-AD83-EC1A9044B121}"/>
  </cellStyles>
  <dxfs count="0"/>
  <tableStyles count="0" defaultTableStyle="TableStyleMedium2" defaultPivotStyle="PivotStyleLight16"/>
  <colors>
    <mruColors>
      <color rgb="FFFFBD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theme" Target="theme/theme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externalLink" Target="externalLinks/externalLink2.xml"/><Relationship Id="rId99" Type="http://schemas.openxmlformats.org/officeDocument/2006/relationships/customXml" Target="../customXml/item1.xml"/><Relationship Id="rId10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xml"/><Relationship Id="rId98" Type="http://schemas.openxmlformats.org/officeDocument/2006/relationships/calcChain" Target="calcChain.xml"/><Relationship Id="rId3" Type="http://schemas.openxmlformats.org/officeDocument/2006/relationships/worksheet" Target="worksheets/sheet3.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activeX1.xml><?xml version="1.0" encoding="utf-8"?>
<ax:ocx xmlns:ax="http://schemas.microsoft.com/office/2006/activeX" xmlns:r="http://schemas.openxmlformats.org/officeDocument/2006/relationships" ax:classid="{5512D11A-5CC6-11CF-8D67-00AA00BDCE1D}" ax:persistence="persistStream" r:id="rId1"/>
</file>

<file path=xl/activeX/activeX2.xml><?xml version="1.0" encoding="utf-8"?>
<ax:ocx xmlns:ax="http://schemas.microsoft.com/office/2006/activeX" xmlns:r="http://schemas.openxmlformats.org/officeDocument/2006/relationships" ax:classid="{5512D11A-5CC6-11CF-8D67-00AA00BDCE1D}" ax:persistence="persistStream" r:id="rId1"/>
</file>

<file path=xl/activeX/activeX3.xml><?xml version="1.0" encoding="utf-8"?>
<ax:ocx xmlns:ax="http://schemas.microsoft.com/office/2006/activeX" xmlns:r="http://schemas.openxmlformats.org/officeDocument/2006/relationships" ax:classid="{5512D11A-5CC6-11CF-8D67-00AA00BDCE1D}" ax:persistence="persistStream" r:id="rId1"/>
</file>

<file path=xl/activeX/activeX4.xml><?xml version="1.0" encoding="utf-8"?>
<ax:ocx xmlns:ax="http://schemas.microsoft.com/office/2006/activeX" xmlns:r="http://schemas.openxmlformats.org/officeDocument/2006/relationships" ax:classid="{5512D11A-5CC6-11CF-8D67-00AA00BDCE1D}" ax:persistence="persistStream" r:id="rId1"/>
</file>

<file path=xl/activeX/activeX5.xml><?xml version="1.0" encoding="utf-8"?>
<ax:ocx xmlns:ax="http://schemas.microsoft.com/office/2006/activeX" xmlns:r="http://schemas.openxmlformats.org/officeDocument/2006/relationships" ax:classid="{5512D11A-5CC6-11CF-8D67-00AA00BDCE1D}" ax:persistence="persistStream" r:id="rId1"/>
</file>

<file path=xl/activeX/activeX6.xml><?xml version="1.0" encoding="utf-8"?>
<ax:ocx xmlns:ax="http://schemas.microsoft.com/office/2006/activeX" xmlns:r="http://schemas.openxmlformats.org/officeDocument/2006/relationships" ax:classid="{5512D11A-5CC6-11CF-8D67-00AA00BDCE1D}" ax:persistence="persistStream" r:id="rId1"/>
</file>

<file path=xl/activeX/activeX7.xml><?xml version="1.0" encoding="utf-8"?>
<ax:ocx xmlns:ax="http://schemas.microsoft.com/office/2006/activeX" xmlns:r="http://schemas.openxmlformats.org/officeDocument/2006/relationships" ax:classid="{5512D11A-5CC6-11CF-8D67-00AA00BDCE1D}" ax:persistence="persistStream" r:id="rId1"/>
</file>

<file path=xl/activeX/activeX8.xml><?xml version="1.0" encoding="utf-8"?>
<ax:ocx xmlns:ax="http://schemas.microsoft.com/office/2006/activeX" xmlns:r="http://schemas.openxmlformats.org/officeDocument/2006/relationships" ax:classid="{5512D11A-5CC6-11CF-8D67-00AA00BDCE1D}" ax:persistence="persistStream" r:id="rId1"/>
</file>

<file path=xl/activeX/activeX9.xml><?xml version="1.0" encoding="utf-8"?>
<ax:ocx xmlns:ax="http://schemas.microsoft.com/office/2006/activeX" xmlns:r="http://schemas.openxmlformats.org/officeDocument/2006/relationships" ax:classid="{5512D11A-5CC6-11CF-8D67-00AA00BDCE1D}" ax:persistence="persistStream"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10</xdr:col>
      <xdr:colOff>85725</xdr:colOff>
      <xdr:row>20</xdr:row>
      <xdr:rowOff>164465</xdr:rowOff>
    </xdr:from>
    <xdr:to>
      <xdr:col>11</xdr:col>
      <xdr:colOff>0</xdr:colOff>
      <xdr:row>32</xdr:row>
      <xdr:rowOff>102235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7316450" y="8032115"/>
          <a:ext cx="1533525" cy="2376170"/>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ja-JP" altLang="en-US" sz="1100" b="1">
              <a:latin typeface="Meiryo UI" panose="020B0604030504040204" pitchFamily="50" charset="-128"/>
              <a:ea typeface="Meiryo UI" panose="020B0604030504040204" pitchFamily="50" charset="-128"/>
            </a:rPr>
            <a:t>国別にするのであれば、別シートで定義が必要。</a:t>
          </a:r>
          <a:endParaRPr kumimoji="1" lang="en-US" altLang="ja-JP" sz="1100" b="1">
            <a:latin typeface="Meiryo UI" panose="020B0604030504040204" pitchFamily="50" charset="-128"/>
            <a:ea typeface="Meiryo UI" panose="020B0604030504040204" pitchFamily="50" charset="-128"/>
          </a:endParaRPr>
        </a:p>
        <a:p>
          <a:pPr algn="ctr"/>
          <a:r>
            <a:rPr kumimoji="1" lang="en-US" altLang="ja-JP" sz="1100" b="1">
              <a:latin typeface="Meiryo UI" panose="020B0604030504040204" pitchFamily="50" charset="-128"/>
              <a:ea typeface="Meiryo UI" panose="020B0604030504040204" pitchFamily="50" charset="-128"/>
            </a:rPr>
            <a:t>※</a:t>
          </a:r>
          <a:r>
            <a:rPr kumimoji="1" lang="ja-JP" altLang="en-US" sz="1100" b="1">
              <a:latin typeface="Meiryo UI" panose="020B0604030504040204" pitchFamily="50" charset="-128"/>
              <a:ea typeface="Meiryo UI" panose="020B0604030504040204" pitchFamily="50" charset="-128"/>
            </a:rPr>
            <a:t>基本はデフォルトで用意されているものを使用する</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0</xdr:colOff>
          <xdr:row>4</xdr:row>
          <xdr:rowOff>0</xdr:rowOff>
        </xdr:from>
        <xdr:to>
          <xdr:col>4</xdr:col>
          <xdr:colOff>222250</xdr:colOff>
          <xdr:row>5</xdr:row>
          <xdr:rowOff>57150</xdr:rowOff>
        </xdr:to>
        <xdr:sp macro="" textlink="">
          <xdr:nvSpPr>
            <xdr:cNvPr id="2883585" name="Control 1" hidden="1">
              <a:extLst>
                <a:ext uri="{63B3BB69-23CF-44E3-9099-C40C66FF867C}">
                  <a14:compatExt spid="_x0000_s2883585"/>
                </a:ext>
                <a:ext uri="{FF2B5EF4-FFF2-40B4-BE49-F238E27FC236}">
                  <a16:creationId xmlns:a16="http://schemas.microsoft.com/office/drawing/2014/main" id="{00000000-0008-0000-0500-00000100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xdr:row>
          <xdr:rowOff>95250</xdr:rowOff>
        </xdr:from>
        <xdr:to>
          <xdr:col>4</xdr:col>
          <xdr:colOff>222250</xdr:colOff>
          <xdr:row>6</xdr:row>
          <xdr:rowOff>152400</xdr:rowOff>
        </xdr:to>
        <xdr:sp macro="" textlink="">
          <xdr:nvSpPr>
            <xdr:cNvPr id="2883586" name="Control 2" hidden="1">
              <a:extLst>
                <a:ext uri="{63B3BB69-23CF-44E3-9099-C40C66FF867C}">
                  <a14:compatExt spid="_x0000_s2883586"/>
                </a:ext>
                <a:ext uri="{FF2B5EF4-FFF2-40B4-BE49-F238E27FC236}">
                  <a16:creationId xmlns:a16="http://schemas.microsoft.com/office/drawing/2014/main" id="{00000000-0008-0000-0500-00000200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16</xdr:row>
          <xdr:rowOff>0</xdr:rowOff>
        </xdr:from>
        <xdr:to>
          <xdr:col>4</xdr:col>
          <xdr:colOff>222250</xdr:colOff>
          <xdr:row>17</xdr:row>
          <xdr:rowOff>57150</xdr:rowOff>
        </xdr:to>
        <xdr:sp macro="" textlink="">
          <xdr:nvSpPr>
            <xdr:cNvPr id="2883587" name="Control 3" hidden="1">
              <a:extLst>
                <a:ext uri="{63B3BB69-23CF-44E3-9099-C40C66FF867C}">
                  <a14:compatExt spid="_x0000_s2883587"/>
                </a:ext>
                <a:ext uri="{FF2B5EF4-FFF2-40B4-BE49-F238E27FC236}">
                  <a16:creationId xmlns:a16="http://schemas.microsoft.com/office/drawing/2014/main" id="{00000000-0008-0000-0500-00000300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16</xdr:row>
          <xdr:rowOff>0</xdr:rowOff>
        </xdr:from>
        <xdr:to>
          <xdr:col>4</xdr:col>
          <xdr:colOff>222250</xdr:colOff>
          <xdr:row>17</xdr:row>
          <xdr:rowOff>57150</xdr:rowOff>
        </xdr:to>
        <xdr:sp macro="" textlink="">
          <xdr:nvSpPr>
            <xdr:cNvPr id="2883588" name="Control 4" hidden="1">
              <a:extLst>
                <a:ext uri="{63B3BB69-23CF-44E3-9099-C40C66FF867C}">
                  <a14:compatExt spid="_x0000_s2883588"/>
                </a:ext>
                <a:ext uri="{FF2B5EF4-FFF2-40B4-BE49-F238E27FC236}">
                  <a16:creationId xmlns:a16="http://schemas.microsoft.com/office/drawing/2014/main" id="{00000000-0008-0000-0500-00000400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16</xdr:row>
          <xdr:rowOff>0</xdr:rowOff>
        </xdr:from>
        <xdr:to>
          <xdr:col>4</xdr:col>
          <xdr:colOff>222250</xdr:colOff>
          <xdr:row>17</xdr:row>
          <xdr:rowOff>57150</xdr:rowOff>
        </xdr:to>
        <xdr:sp macro="" textlink="">
          <xdr:nvSpPr>
            <xdr:cNvPr id="2883589" name="Control 5" hidden="1">
              <a:extLst>
                <a:ext uri="{63B3BB69-23CF-44E3-9099-C40C66FF867C}">
                  <a14:compatExt spid="_x0000_s2883589"/>
                </a:ext>
                <a:ext uri="{FF2B5EF4-FFF2-40B4-BE49-F238E27FC236}">
                  <a16:creationId xmlns:a16="http://schemas.microsoft.com/office/drawing/2014/main" id="{00000000-0008-0000-0500-00000500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16</xdr:row>
          <xdr:rowOff>0</xdr:rowOff>
        </xdr:from>
        <xdr:to>
          <xdr:col>4</xdr:col>
          <xdr:colOff>222250</xdr:colOff>
          <xdr:row>17</xdr:row>
          <xdr:rowOff>57150</xdr:rowOff>
        </xdr:to>
        <xdr:sp macro="" textlink="">
          <xdr:nvSpPr>
            <xdr:cNvPr id="2883590" name="Control 6" hidden="1">
              <a:extLst>
                <a:ext uri="{63B3BB69-23CF-44E3-9099-C40C66FF867C}">
                  <a14:compatExt spid="_x0000_s2883590"/>
                </a:ext>
                <a:ext uri="{FF2B5EF4-FFF2-40B4-BE49-F238E27FC236}">
                  <a16:creationId xmlns:a16="http://schemas.microsoft.com/office/drawing/2014/main" id="{00000000-0008-0000-0500-00000600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16</xdr:row>
          <xdr:rowOff>0</xdr:rowOff>
        </xdr:from>
        <xdr:to>
          <xdr:col>4</xdr:col>
          <xdr:colOff>222250</xdr:colOff>
          <xdr:row>17</xdr:row>
          <xdr:rowOff>57150</xdr:rowOff>
        </xdr:to>
        <xdr:sp macro="" textlink="">
          <xdr:nvSpPr>
            <xdr:cNvPr id="2883591" name="Control 7" hidden="1">
              <a:extLst>
                <a:ext uri="{63B3BB69-23CF-44E3-9099-C40C66FF867C}">
                  <a14:compatExt spid="_x0000_s2883591"/>
                </a:ext>
                <a:ext uri="{FF2B5EF4-FFF2-40B4-BE49-F238E27FC236}">
                  <a16:creationId xmlns:a16="http://schemas.microsoft.com/office/drawing/2014/main" id="{00000000-0008-0000-0500-00000700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16</xdr:row>
          <xdr:rowOff>0</xdr:rowOff>
        </xdr:from>
        <xdr:to>
          <xdr:col>4</xdr:col>
          <xdr:colOff>222250</xdr:colOff>
          <xdr:row>17</xdr:row>
          <xdr:rowOff>57150</xdr:rowOff>
        </xdr:to>
        <xdr:sp macro="" textlink="">
          <xdr:nvSpPr>
            <xdr:cNvPr id="2883592" name="Control 8" hidden="1">
              <a:extLst>
                <a:ext uri="{63B3BB69-23CF-44E3-9099-C40C66FF867C}">
                  <a14:compatExt spid="_x0000_s2883592"/>
                </a:ext>
                <a:ext uri="{FF2B5EF4-FFF2-40B4-BE49-F238E27FC236}">
                  <a16:creationId xmlns:a16="http://schemas.microsoft.com/office/drawing/2014/main" id="{00000000-0008-0000-0500-00000800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16</xdr:row>
          <xdr:rowOff>0</xdr:rowOff>
        </xdr:from>
        <xdr:to>
          <xdr:col>4</xdr:col>
          <xdr:colOff>222250</xdr:colOff>
          <xdr:row>17</xdr:row>
          <xdr:rowOff>57150</xdr:rowOff>
        </xdr:to>
        <xdr:sp macro="" textlink="">
          <xdr:nvSpPr>
            <xdr:cNvPr id="2883593" name="Control 9" hidden="1">
              <a:extLst>
                <a:ext uri="{63B3BB69-23CF-44E3-9099-C40C66FF867C}">
                  <a14:compatExt spid="_x0000_s2883593"/>
                </a:ext>
                <a:ext uri="{FF2B5EF4-FFF2-40B4-BE49-F238E27FC236}">
                  <a16:creationId xmlns:a16="http://schemas.microsoft.com/office/drawing/2014/main" id="{00000000-0008-0000-0500-00000900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2</xdr:col>
      <xdr:colOff>381000</xdr:colOff>
      <xdr:row>11</xdr:row>
      <xdr:rowOff>76200</xdr:rowOff>
    </xdr:from>
    <xdr:to>
      <xdr:col>3</xdr:col>
      <xdr:colOff>952500</xdr:colOff>
      <xdr:row>25</xdr:row>
      <xdr:rowOff>133350</xdr:rowOff>
    </xdr:to>
    <xdr:sp macro="" textlink="">
      <xdr:nvSpPr>
        <xdr:cNvPr id="2" name="四角形: 角を丸くする 1">
          <a:extLst>
            <a:ext uri="{FF2B5EF4-FFF2-40B4-BE49-F238E27FC236}">
              <a16:creationId xmlns:a16="http://schemas.microsoft.com/office/drawing/2014/main" id="{00000000-0008-0000-1100-000002000000}"/>
            </a:ext>
          </a:extLst>
        </xdr:cNvPr>
        <xdr:cNvSpPr/>
      </xdr:nvSpPr>
      <xdr:spPr>
        <a:xfrm>
          <a:off x="942975" y="2105025"/>
          <a:ext cx="1514475" cy="24574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自動生成しない場合は削除</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397510</xdr:colOff>
      <xdr:row>51</xdr:row>
      <xdr:rowOff>73660</xdr:rowOff>
    </xdr:from>
    <xdr:to>
      <xdr:col>9</xdr:col>
      <xdr:colOff>1021080</xdr:colOff>
      <xdr:row>53</xdr:row>
      <xdr:rowOff>152400</xdr:rowOff>
    </xdr:to>
    <xdr:sp macro="" textlink="">
      <xdr:nvSpPr>
        <xdr:cNvPr id="2" name="正方形/長方形 1">
          <a:extLst>
            <a:ext uri="{FF2B5EF4-FFF2-40B4-BE49-F238E27FC236}">
              <a16:creationId xmlns:a16="http://schemas.microsoft.com/office/drawing/2014/main" id="{00000000-0008-0000-5200-000002000000}"/>
            </a:ext>
          </a:extLst>
        </xdr:cNvPr>
        <xdr:cNvSpPr/>
      </xdr:nvSpPr>
      <xdr:spPr>
        <a:xfrm>
          <a:off x="5864860" y="9789160"/>
          <a:ext cx="1944370" cy="4597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お客様業務に合わせた財務分析コードが自動で追加され、</a:t>
          </a:r>
          <a:endParaRPr kumimoji="1" lang="en-US" altLang="ja-JP" sz="1100"/>
        </a:p>
        <a:p>
          <a:pPr algn="l"/>
          <a:r>
            <a:rPr kumimoji="1" lang="ja-JP" altLang="en-US" sz="1100"/>
            <a:t>その後、各財務分析コードごとに、分析コード値を設定する。</a:t>
          </a:r>
          <a:endParaRPr kumimoji="1" lang="en-US" altLang="ja-JP"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330200</xdr:colOff>
      <xdr:row>51</xdr:row>
      <xdr:rowOff>152400</xdr:rowOff>
    </xdr:from>
    <xdr:to>
      <xdr:col>7</xdr:col>
      <xdr:colOff>1143000</xdr:colOff>
      <xdr:row>55</xdr:row>
      <xdr:rowOff>6350</xdr:rowOff>
    </xdr:to>
    <xdr:sp macro="" textlink="">
      <xdr:nvSpPr>
        <xdr:cNvPr id="2" name="正方形/長方形 1">
          <a:extLst>
            <a:ext uri="{FF2B5EF4-FFF2-40B4-BE49-F238E27FC236}">
              <a16:creationId xmlns:a16="http://schemas.microsoft.com/office/drawing/2014/main" id="{00000000-0008-0000-5800-000002000000}"/>
            </a:ext>
          </a:extLst>
        </xdr:cNvPr>
        <xdr:cNvSpPr/>
      </xdr:nvSpPr>
      <xdr:spPr>
        <a:xfrm>
          <a:off x="5016500" y="9867900"/>
          <a:ext cx="1231900" cy="6159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お客様業務に合わせた財務分析コードが自動で追加され、</a:t>
          </a:r>
          <a:endParaRPr kumimoji="1" lang="en-US" altLang="ja-JP" sz="1100"/>
        </a:p>
        <a:p>
          <a:pPr algn="l"/>
          <a:r>
            <a:rPr kumimoji="1" lang="ja-JP" altLang="en-US" sz="1100"/>
            <a:t>その後、各財務分析コードごとに、分析コード値を設定する。</a:t>
          </a:r>
          <a:endParaRPr kumimoji="1" lang="en-US" altLang="ja-JP"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003file\Project\public\work\customer\project\tcs\&#23455;&#34892;&#31995;\2.&#35373;&#35336;\&#12450;&#12503;&#12522;\DM\&#12486;&#12540;&#12502;&#12523;&#23450;&#3268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ersonal/mifukuda_jbs_com/Documents/&#12487;&#12473;&#12463;&#12488;&#12483;&#12503;/FO&#27231;&#33021;&#26908;&#35388;&#12469;&#12540;&#12499;&#12473;&#21270;/&#12497;&#12521;&#12513;&#12540;&#12479;&#12471;&#12540;&#12488;/SATO_&#12497;&#12521;&#12513;&#12540;&#12479;&#23450;&#32681;&#26360;/BR100_ERP&#35373;&#23450;&#38917;&#30446;&#19968;&#35239;_&#36001;&#21209;&#32076;&#29702;&#65288;&#19968;&#33324;&#20250;&#35336;&#65289;_v4.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社員リスト"/>
      <sheetName val="マスタ"/>
      <sheetName val="属性リスト"/>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版履歴"/>
      <sheetName val="ERP設定項目一覧"/>
      <sheetName val="1.1　法人-番号順序（NEX）"/>
      <sheetName val="一般会計パラメータ"/>
      <sheetName val="一般会計パラメータ-番号順序"/>
      <sheetName val="元帳"/>
      <sheetName val="元帳-勘定構造"/>
      <sheetName val="会計カレンダー"/>
      <sheetName val="会計カレンダー-設定値"/>
      <sheetName val="通貨"/>
      <sheetName val="通貨-設定値"/>
      <sheetName val="勘定科目表"/>
      <sheetName val="勘定科目表-設定値"/>
      <sheetName val="勘定構造のコンフィギュレーション"/>
      <sheetName val="勘定構造のコンフィギュレーション-設定値"/>
      <sheetName val="主勘定カテゴリ"/>
      <sheetName val="主勘定カテゴリ-設定値"/>
      <sheetName val="財務分析コード"/>
      <sheetName val="財務分析コード-設定値"/>
      <sheetName val="財務分析コード値"/>
      <sheetName val="財務分析コード値-設定値"/>
      <sheetName val="財務分析コード（翻訳）"/>
      <sheetName val="財務分析コード（翻訳）-設定値"/>
      <sheetName val="元帳カレンダー"/>
      <sheetName val="元帳カレンダー-設定値"/>
      <sheetName val="仕訳帳名"/>
      <sheetName val="仕訳帳名-設定値"/>
      <sheetName val="通貨の再評価勘定"/>
      <sheetName val="通貨の再評価勘定-設定値"/>
      <sheetName val="通貨の為替レート"/>
      <sheetName val="通貨の為替レート-設定値"/>
      <sheetName val="為替レートタイプ "/>
      <sheetName val="為替レートタイプ-設定値"/>
      <sheetName val="日付範囲"/>
      <sheetName val="日付範囲-設定値"/>
      <sheetName val="財務分析コードセット"/>
      <sheetName val="財務分析コードセット-設定値"/>
      <sheetName val="自動トランザクションの勘定"/>
      <sheetName val="自動トランザクションの勘定-設定値"/>
      <sheetName val="既定の説明"/>
      <sheetName val="既定の説明-設定値"/>
      <sheetName val="アプリケーション統合用の財務分析コードの構成"/>
      <sheetName val="アプリケーション統合用の財務分析コード-設定値"/>
      <sheetName val="主勘定"/>
      <sheetName val="主勘定-設定値"/>
      <sheetName val="主勘定（法人の上書き）-設定値"/>
      <sheetName val="一般会計ワークフロー"/>
      <sheetName val="一般会計ワークフロー-設定値"/>
      <sheetName val="マスタ"/>
      <sheetName val="年度末決算テンプレートの設定"/>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ow r="5">
          <cell r="B5" t="str">
            <v>はい</v>
          </cell>
          <cell r="R5" t="str">
            <v>は</v>
          </cell>
          <cell r="S5" t="str">
            <v>主勘定</v>
          </cell>
          <cell r="U5" t="str">
            <v>加重平均</v>
          </cell>
          <cell r="W5" t="str">
            <v>日数</v>
          </cell>
          <cell r="Y5" t="str">
            <v>標準</v>
          </cell>
          <cell r="Z5" t="str">
            <v>男性</v>
          </cell>
          <cell r="AB5" t="str">
            <v>損益</v>
          </cell>
          <cell r="BA5" t="str">
            <v>既定の分析コード形式</v>
          </cell>
        </row>
        <row r="6">
          <cell r="B6" t="str">
            <v>いいえ</v>
          </cell>
          <cell r="J6" t="str">
            <v>損益</v>
          </cell>
          <cell r="K6" t="str">
            <v>ヘッダー</v>
          </cell>
          <cell r="L6" t="str">
            <v>借方</v>
          </cell>
          <cell r="M6" t="str">
            <v>結果</v>
          </cell>
          <cell r="O6" t="str">
            <v>オプション</v>
          </cell>
          <cell r="R6" t="str">
            <v>は次の値で始まる</v>
          </cell>
          <cell r="U6" t="str">
            <v>平均</v>
          </cell>
          <cell r="W6" t="str">
            <v>月</v>
          </cell>
          <cell r="Y6" t="str">
            <v>切り捨て</v>
          </cell>
          <cell r="Z6" t="str">
            <v>女性</v>
          </cell>
          <cell r="AB6" t="str">
            <v>収益</v>
          </cell>
          <cell r="BA6" t="str">
            <v>勘定分析コード形式</v>
          </cell>
        </row>
        <row r="7">
          <cell r="J7" t="str">
            <v>収益</v>
          </cell>
          <cell r="K7" t="str">
            <v>空のヘッダー</v>
          </cell>
          <cell r="L7" t="str">
            <v>貸方</v>
          </cell>
          <cell r="M7" t="str">
            <v>残高</v>
          </cell>
          <cell r="O7" t="str">
            <v>必須</v>
          </cell>
          <cell r="R7" t="str">
            <v>次の値で終了</v>
          </cell>
          <cell r="U7" t="str">
            <v>現在</v>
          </cell>
          <cell r="W7" t="str">
            <v>年</v>
          </cell>
          <cell r="Y7" t="str">
            <v>切り上げ</v>
          </cell>
          <cell r="AB7" t="str">
            <v>経費</v>
          </cell>
          <cell r="BA7" t="str">
            <v>予算登録分析コード形式</v>
          </cell>
        </row>
        <row r="8">
          <cell r="J8" t="str">
            <v>経費</v>
          </cell>
          <cell r="K8" t="str">
            <v>ページのヘッダー</v>
          </cell>
          <cell r="M8" t="str">
            <v>資本</v>
          </cell>
          <cell r="O8" t="str">
            <v>1つの有効なオプションを指定</v>
          </cell>
          <cell r="R8" t="str">
            <v>は次の値の間（両端を含む）</v>
          </cell>
          <cell r="U8" t="str">
            <v>トランザクション日付</v>
          </cell>
          <cell r="AB8" t="str">
            <v>貸借対照表</v>
          </cell>
          <cell r="BA8" t="str">
            <v>予算計画分析コード形式</v>
          </cell>
        </row>
        <row r="9">
          <cell r="J9" t="str">
            <v>貸借対照表</v>
          </cell>
          <cell r="O9" t="str">
            <v>複数の有効なオプションを指定</v>
          </cell>
          <cell r="R9" t="str">
            <v>は次の値の間</v>
          </cell>
          <cell r="AB9" t="str">
            <v>資産</v>
          </cell>
        </row>
        <row r="10">
          <cell r="B10" t="str">
            <v>チェック有</v>
          </cell>
          <cell r="J10" t="str">
            <v>資産</v>
          </cell>
          <cell r="R10" t="str">
            <v>は次の値以上</v>
          </cell>
          <cell r="AB10" t="str">
            <v>負債</v>
          </cell>
        </row>
        <row r="11">
          <cell r="B11" t="str">
            <v>チェック無</v>
          </cell>
          <cell r="J11" t="str">
            <v>負債</v>
          </cell>
          <cell r="R11" t="str">
            <v>は次の値より大きい</v>
          </cell>
          <cell r="AB11" t="str">
            <v>株主資本</v>
          </cell>
        </row>
        <row r="12">
          <cell r="J12" t="str">
            <v>株主資本</v>
          </cell>
          <cell r="R12" t="str">
            <v>は次の値以下</v>
          </cell>
        </row>
        <row r="13">
          <cell r="J13" t="str">
            <v>合計</v>
          </cell>
          <cell r="R13" t="str">
            <v>は次の値より小さい</v>
          </cell>
        </row>
        <row r="14">
          <cell r="J14" t="str">
            <v>レポート</v>
          </cell>
          <cell r="R14" t="str">
            <v>は次の値と類似する</v>
          </cell>
        </row>
        <row r="15">
          <cell r="J15" t="str">
            <v>共通</v>
          </cell>
        </row>
        <row r="27">
          <cell r="B27" t="str">
            <v>Accounts receivable - bad debts reserve</v>
          </cell>
          <cell r="C27" t="str">
            <v>保留中</v>
          </cell>
          <cell r="D27" t="str">
            <v>残高との関連</v>
          </cell>
          <cell r="E27" t="str">
            <v>元帳</v>
          </cell>
          <cell r="I27" t="str">
            <v>オープン</v>
          </cell>
        </row>
        <row r="28">
          <cell r="B28" t="str">
            <v>Amount difference</v>
          </cell>
          <cell r="C28" t="str">
            <v>開始</v>
          </cell>
          <cell r="D28" t="str">
            <v>手動</v>
          </cell>
          <cell r="E28" t="str">
            <v>顧客</v>
          </cell>
          <cell r="I28" t="str">
            <v>開始</v>
          </cell>
        </row>
        <row r="29">
          <cell r="B29" t="str">
            <v>Assessed tax</v>
          </cell>
          <cell r="C29" t="str">
            <v>完全に閉じる</v>
          </cell>
          <cell r="D29" t="str">
            <v>１つの伝票番号のみ</v>
          </cell>
          <cell r="E29" t="str">
            <v>仕入先</v>
          </cell>
          <cell r="I29" t="str">
            <v>終了</v>
          </cell>
        </row>
        <row r="30">
          <cell r="B30" t="str">
            <v>Cash</v>
          </cell>
          <cell r="E30" t="str">
            <v>プロジェクト</v>
          </cell>
        </row>
        <row r="31">
          <cell r="B31" t="str">
            <v>Deferrals</v>
          </cell>
          <cell r="E31" t="str">
            <v>固定資産</v>
          </cell>
        </row>
        <row r="32">
          <cell r="B32" t="str">
            <v>Exch. adjustment</v>
          </cell>
          <cell r="E32" t="str">
            <v>銀行</v>
          </cell>
        </row>
        <row r="33">
          <cell r="B33" t="str">
            <v>Fixed assets transaction</v>
          </cell>
        </row>
        <row r="34">
          <cell r="B34" t="str">
            <v>General tax adjust/benefit/incentive</v>
          </cell>
        </row>
        <row r="35">
          <cell r="B35" t="str">
            <v>Land tax</v>
          </cell>
        </row>
        <row r="36">
          <cell r="B36" t="str">
            <v>Tax cost price</v>
          </cell>
        </row>
        <row r="37">
          <cell r="B37" t="str">
            <v>Tax differences</v>
          </cell>
          <cell r="C37" t="str">
            <v>アクセスレベル</v>
          </cell>
        </row>
        <row r="38">
          <cell r="B38" t="str">
            <v>Transactions of FA budgets</v>
          </cell>
          <cell r="C38" t="str">
            <v>&lt;すべて&gt;</v>
          </cell>
        </row>
        <row r="39">
          <cell r="B39" t="str">
            <v>Transport tax</v>
          </cell>
          <cell r="C39" t="str">
            <v>&lt;なし&gt;</v>
          </cell>
        </row>
        <row r="40">
          <cell r="B40" t="str">
            <v>なし</v>
          </cell>
          <cell r="C40" t="str">
            <v>Approvers</v>
          </cell>
        </row>
        <row r="41">
          <cell r="B41" t="str">
            <v>プロジェクト - 経費</v>
          </cell>
          <cell r="C41" t="str">
            <v>Originator</v>
          </cell>
        </row>
        <row r="42">
          <cell r="B42" t="str">
            <v>レポート通貨の調整</v>
          </cell>
          <cell r="C42" t="str">
            <v>OverBudget</v>
          </cell>
        </row>
        <row r="43">
          <cell r="B43" t="str">
            <v>予算</v>
          </cell>
          <cell r="C43" t="str">
            <v>文字列（ユーザ定義）</v>
          </cell>
        </row>
        <row r="44">
          <cell r="B44" t="str">
            <v>仕入先の銀行送金為替</v>
          </cell>
        </row>
        <row r="45">
          <cell r="B45" t="str">
            <v>仕入先再振出支払手形</v>
          </cell>
        </row>
        <row r="46">
          <cell r="B46" t="str">
            <v>仕入先出金</v>
          </cell>
        </row>
        <row r="47">
          <cell r="B47" t="str">
            <v>仕入先振出支払手形</v>
          </cell>
        </row>
        <row r="48">
          <cell r="B48" t="str">
            <v>仕入先決済支払手形</v>
          </cell>
        </row>
        <row r="49">
          <cell r="B49" t="str">
            <v>仕入先請求書</v>
          </cell>
        </row>
        <row r="50">
          <cell r="B50" t="str">
            <v>仕入先請求管理グループ</v>
          </cell>
        </row>
        <row r="51">
          <cell r="B51" t="str">
            <v>仕入先請求記録</v>
          </cell>
        </row>
        <row r="52">
          <cell r="B52" t="str">
            <v>仕入帳</v>
          </cell>
        </row>
        <row r="53">
          <cell r="B53" t="str">
            <v>受取手形再振出の顧客</v>
          </cell>
        </row>
        <row r="54">
          <cell r="B54" t="str">
            <v>受取手形受取拒否の顧客</v>
          </cell>
        </row>
        <row r="55">
          <cell r="B55" t="str">
            <v>固定資産の転記</v>
          </cell>
        </row>
        <row r="56">
          <cell r="B56" t="str">
            <v>固定資産予算</v>
          </cell>
        </row>
        <row r="57">
          <cell r="B57" t="str">
            <v>定期処理</v>
          </cell>
        </row>
        <row r="58">
          <cell r="B58" t="str">
            <v>承認</v>
          </cell>
        </row>
        <row r="59">
          <cell r="B59" t="str">
            <v>毎日</v>
          </cell>
        </row>
        <row r="60">
          <cell r="B60" t="str">
            <v>消去</v>
          </cell>
        </row>
        <row r="61">
          <cell r="B61" t="str">
            <v>給与</v>
          </cell>
        </row>
        <row r="62">
          <cell r="B62" t="str">
            <v>給与出金</v>
          </cell>
        </row>
        <row r="63">
          <cell r="B63" t="str">
            <v>統計トランザクション</v>
          </cell>
        </row>
        <row r="64">
          <cell r="B64" t="str">
            <v>配賦</v>
          </cell>
        </row>
        <row r="65">
          <cell r="B65" t="str">
            <v>銀行小切手の取消</v>
          </cell>
        </row>
        <row r="66">
          <cell r="B66" t="str">
            <v>銀行預金伝票の取消</v>
          </cell>
        </row>
        <row r="67">
          <cell r="B67" t="str">
            <v>関税申告</v>
          </cell>
        </row>
        <row r="68">
          <cell r="B68" t="str">
            <v>顧客による受取手形の受理</v>
          </cell>
        </row>
        <row r="69">
          <cell r="B69" t="str">
            <v>顧客の銀行送金為替</v>
          </cell>
        </row>
        <row r="70">
          <cell r="B70" t="str">
            <v>顧客振出受取手形</v>
          </cell>
        </row>
        <row r="71">
          <cell r="B71" t="str">
            <v>顧客支払</v>
          </cell>
        </row>
        <row r="72">
          <cell r="B72" t="str">
            <v>顧客決済受取手形</v>
          </cell>
        </row>
        <row r="99">
          <cell r="F99" t="str">
            <v>小売り用店舗在庫パラメーター</v>
          </cell>
        </row>
        <row r="100">
          <cell r="F100" t="str">
            <v>工順</v>
          </cell>
        </row>
        <row r="101">
          <cell r="F101" t="str">
            <v>旅費交通費</v>
          </cell>
        </row>
        <row r="102">
          <cell r="F102" t="str">
            <v>時刻と出金</v>
          </cell>
        </row>
        <row r="103">
          <cell r="F103" t="str">
            <v>注文処理</v>
          </cell>
        </row>
        <row r="104">
          <cell r="F104" t="str">
            <v>消費税支払</v>
          </cell>
        </row>
        <row r="105">
          <cell r="F105" t="str">
            <v>生産</v>
          </cell>
        </row>
        <row r="106">
          <cell r="F106" t="str">
            <v>生産管理</v>
          </cell>
        </row>
        <row r="107">
          <cell r="F107" t="str">
            <v>税申告</v>
          </cell>
        </row>
        <row r="108">
          <cell r="F108" t="str">
            <v>管理</v>
          </cell>
        </row>
        <row r="109">
          <cell r="F109" t="str">
            <v>組織</v>
          </cell>
        </row>
        <row r="110">
          <cell r="F110" t="str">
            <v>給与</v>
          </cell>
        </row>
        <row r="111">
          <cell r="F111" t="str">
            <v>署名活動</v>
          </cell>
        </row>
        <row r="112">
          <cell r="F112" t="str">
            <v>製品コンプライアンス</v>
          </cell>
        </row>
        <row r="113">
          <cell r="F113" t="str">
            <v>警告</v>
          </cell>
        </row>
        <row r="114">
          <cell r="F114" t="str">
            <v>販売</v>
          </cell>
        </row>
        <row r="115">
          <cell r="F115" t="str">
            <v>販売とマーケティング</v>
          </cell>
        </row>
        <row r="116">
          <cell r="F116" t="str">
            <v>買掛金管理</v>
          </cell>
        </row>
        <row r="117">
          <cell r="F117" t="str">
            <v>購買</v>
          </cell>
        </row>
        <row r="118">
          <cell r="F118" t="str">
            <v>輸送管理</v>
          </cell>
        </row>
        <row r="119">
          <cell r="F119" t="str">
            <v>部品表</v>
          </cell>
        </row>
        <row r="120">
          <cell r="F120" t="str">
            <v>銀行</v>
          </cell>
        </row>
        <row r="121">
          <cell r="F121" t="str">
            <v>@CostAccounting:Enum_NumberSeqModul</v>
          </cell>
        </row>
        <row r="122">
          <cell r="F122" t="str">
            <v>Advance holders</v>
          </cell>
        </row>
        <row r="123">
          <cell r="F123" t="str">
            <v>Asset management</v>
          </cell>
        </row>
        <row r="124">
          <cell r="F124" t="str">
            <v>Costs absorption</v>
          </cell>
        </row>
        <row r="125">
          <cell r="F125" t="str">
            <v>Deferrals</v>
          </cell>
        </row>
        <row r="126">
          <cell r="F126" t="str">
            <v>DOMパラメーター</v>
          </cell>
        </row>
        <row r="127">
          <cell r="F127" t="str">
            <v>EGAIS</v>
          </cell>
        </row>
        <row r="128">
          <cell r="F128" t="str">
            <v>elvoice</v>
          </cell>
        </row>
        <row r="129">
          <cell r="F129" t="str">
            <v>Fixed assets</v>
          </cell>
        </row>
        <row r="130">
          <cell r="F130" t="str">
            <v>India EXIM</v>
          </cell>
        </row>
        <row r="131">
          <cell r="F131" t="str">
            <v>Payroll(Russia)</v>
          </cell>
        </row>
        <row r="132">
          <cell r="F132" t="str">
            <v>Petty cash</v>
          </cell>
        </row>
        <row r="133">
          <cell r="F133" t="str">
            <v>PRODCOM</v>
          </cell>
        </row>
        <row r="134">
          <cell r="F134" t="str">
            <v>Profit tax</v>
          </cell>
        </row>
        <row r="135">
          <cell r="F135" t="str">
            <v>SAD documents</v>
          </cell>
        </row>
        <row r="136">
          <cell r="F136" t="str">
            <v>Staff administration</v>
          </cell>
        </row>
        <row r="137">
          <cell r="F137" t="str">
            <v>Translation</v>
          </cell>
        </row>
        <row r="138">
          <cell r="F138" t="str">
            <v>アドレス帳</v>
          </cell>
        </row>
        <row r="139">
          <cell r="F139" t="str">
            <v>アンケート</v>
          </cell>
        </row>
        <row r="140">
          <cell r="F140" t="str">
            <v>インターネット</v>
          </cell>
        </row>
        <row r="141">
          <cell r="F141" t="str">
            <v>キャッシュフロー管理</v>
          </cell>
        </row>
        <row r="142">
          <cell r="F142" t="str">
            <v>サービス管理</v>
          </cell>
        </row>
        <row r="143">
          <cell r="F143" t="str">
            <v>ドキュメント管理</v>
          </cell>
        </row>
        <row r="144">
          <cell r="F144" t="str">
            <v>ファッションモジュール</v>
          </cell>
        </row>
        <row r="145">
          <cell r="F145" t="str">
            <v>フリート管理</v>
          </cell>
        </row>
        <row r="146">
          <cell r="F146" t="str">
            <v>プロジェクト</v>
          </cell>
        </row>
        <row r="147">
          <cell r="F147" t="str">
            <v>プロセスの配分</v>
          </cell>
        </row>
        <row r="148">
          <cell r="F148" t="str">
            <v>マスタープラン</v>
          </cell>
        </row>
        <row r="149">
          <cell r="F149" t="str">
            <v>ワークフロー</v>
          </cell>
        </row>
        <row r="150">
          <cell r="F150" t="str">
            <v>一般会計</v>
          </cell>
        </row>
        <row r="151">
          <cell r="F151" t="str">
            <v>予算</v>
          </cell>
        </row>
        <row r="152">
          <cell r="F152" t="str">
            <v>人事管理</v>
          </cell>
        </row>
        <row r="153">
          <cell r="F153" t="str">
            <v>仕入先管理</v>
          </cell>
        </row>
        <row r="154">
          <cell r="F154" t="str">
            <v>会計帳簿</v>
          </cell>
        </row>
        <row r="155">
          <cell r="F155" t="str">
            <v>倉庫管理</v>
          </cell>
        </row>
        <row r="156">
          <cell r="F156" t="str">
            <v>取引割引</v>
          </cell>
        </row>
        <row r="157">
          <cell r="F157" t="str">
            <v>固定資産</v>
          </cell>
        </row>
        <row r="158">
          <cell r="F158" t="str">
            <v>在庫倉庫管理</v>
          </cell>
        </row>
        <row r="159">
          <cell r="F159" t="str">
            <v>在庫管理</v>
          </cell>
        </row>
        <row r="160">
          <cell r="F160" t="str">
            <v>基本設定</v>
          </cell>
        </row>
        <row r="161">
          <cell r="F161" t="str">
            <v>売掛金管理</v>
          </cell>
        </row>
        <row r="162">
          <cell r="F162" t="str">
            <v>対外貿易</v>
          </cell>
        </row>
        <row r="163">
          <cell r="F163" t="str">
            <v>小売パラメーター</v>
          </cell>
        </row>
        <row r="164">
          <cell r="F164" t="str">
            <v>小売店舗</v>
          </cell>
        </row>
        <row r="237">
          <cell r="B237" t="str">
            <v>会計年度</v>
          </cell>
          <cell r="C237" t="str">
            <v>開始</v>
          </cell>
          <cell r="D237" t="str">
            <v>日数</v>
          </cell>
          <cell r="F237" t="str">
            <v>為替レート差異</v>
          </cell>
          <cell r="H237" t="str">
            <v>外貨再評価</v>
          </cell>
        </row>
        <row r="238">
          <cell r="B238" t="str">
            <v>期間</v>
          </cell>
          <cell r="C238" t="str">
            <v>終了</v>
          </cell>
          <cell r="D238" t="str">
            <v>月</v>
          </cell>
          <cell r="F238" t="str">
            <v>為替レート差損</v>
          </cell>
          <cell r="H238" t="str">
            <v>元帳 - 連結</v>
          </cell>
        </row>
        <row r="239">
          <cell r="B239" t="str">
            <v>年</v>
          </cell>
          <cell r="D239" t="str">
            <v>年</v>
          </cell>
          <cell r="F239" t="str">
            <v>会社間合計</v>
          </cell>
          <cell r="H239" t="str">
            <v>元帳 - 会計通貨での少額差分</v>
          </cell>
        </row>
        <row r="240">
          <cell r="B240" t="str">
            <v>半年</v>
          </cell>
          <cell r="D240" t="str">
            <v>期間</v>
          </cell>
          <cell r="F240" t="str">
            <v>消費税</v>
          </cell>
          <cell r="H240" t="str">
            <v>元帳 - 開始トランザクション</v>
          </cell>
        </row>
        <row r="241">
          <cell r="B241" t="str">
            <v>三次</v>
          </cell>
          <cell r="F241" t="str">
            <v>消費税丸め</v>
          </cell>
          <cell r="H241" t="str">
            <v>元帳 - レポート通貨の少額丸め</v>
          </cell>
        </row>
        <row r="242">
          <cell r="B242" t="str">
            <v>四半期</v>
          </cell>
          <cell r="F242" t="str">
            <v>配賦</v>
          </cell>
          <cell r="H242" t="str">
            <v>元帳 - 清算トランザクション</v>
          </cell>
        </row>
        <row r="243">
          <cell r="B243" t="str">
            <v>月</v>
          </cell>
          <cell r="F243" t="str">
            <v>投資税</v>
          </cell>
          <cell r="H243" t="str">
            <v>会計通貨換算差益</v>
          </cell>
        </row>
        <row r="244">
          <cell r="B244" t="str">
            <v>週</v>
          </cell>
          <cell r="F244" t="str">
            <v>流動性</v>
          </cell>
          <cell r="H244" t="str">
            <v>会計通貨換算差損</v>
          </cell>
        </row>
        <row r="245">
          <cell r="F245" t="str">
            <v>レポート通貨における少額差分</v>
          </cell>
          <cell r="H245" t="str">
            <v>トランザクションのリバース</v>
          </cell>
        </row>
        <row r="246">
          <cell r="F246" t="str">
            <v>エラー勘定</v>
          </cell>
          <cell r="H246" t="str">
            <v>決済</v>
          </cell>
        </row>
        <row r="247">
          <cell r="F247" t="str">
            <v>会計通貨での少額差分</v>
          </cell>
          <cell r="H247" t="str">
            <v>振り戻された決済</v>
          </cell>
        </row>
        <row r="248">
          <cell r="F248" t="str">
            <v>期末結果</v>
          </cell>
          <cell r="H248" t="str">
            <v>元帳 - 生成された配布</v>
          </cell>
        </row>
        <row r="249">
          <cell r="F249" t="str">
            <v>清算</v>
          </cell>
          <cell r="H249" t="str">
            <v>元帳 - 生成された消去</v>
          </cell>
        </row>
        <row r="250">
          <cell r="F250" t="str">
            <v>仕訳元帳</v>
          </cell>
          <cell r="H250" t="str">
            <v>元帳 - 逆仕訳入力</v>
          </cell>
        </row>
        <row r="251">
          <cell r="F251" t="str">
            <v>現金割引</v>
          </cell>
          <cell r="H251" t="str">
            <v>レポート通貨換算益</v>
          </cell>
        </row>
        <row r="252">
          <cell r="F252" t="str">
            <v>残高勘定の連結差額</v>
          </cell>
          <cell r="H252" t="str">
            <v>レポート通貨換算損</v>
          </cell>
        </row>
        <row r="253">
          <cell r="F253" t="str">
            <v>支払手数料</v>
          </cell>
          <cell r="H253" t="str">
            <v>顧客 - 受取手形、元帳</v>
          </cell>
        </row>
        <row r="254">
          <cell r="F254" t="str">
            <v>消費税レポート</v>
          </cell>
          <cell r="H254" t="str">
            <v>顧客 - 受取手形、顧客</v>
          </cell>
        </row>
        <row r="255">
          <cell r="F255" t="str">
            <v>決算トランザクションと開始トランザクションの振替</v>
          </cell>
          <cell r="H255" t="str">
            <v>顧客 - 請求書、元帳</v>
          </cell>
        </row>
        <row r="256">
          <cell r="F256" t="str">
            <v>銀行</v>
          </cell>
          <cell r="H256" t="str">
            <v>顧客 - 請求書、顧客</v>
          </cell>
        </row>
        <row r="257">
          <cell r="F257" t="str">
            <v>会計通貨換算差益</v>
          </cell>
          <cell r="H257" t="str">
            <v>顧客 - 訂正票、元帳</v>
          </cell>
        </row>
        <row r="258">
          <cell r="F258" t="str">
            <v>会計通貨換算差損</v>
          </cell>
          <cell r="H258" t="str">
            <v>顧客 - 訂正票、顧客</v>
          </cell>
        </row>
        <row r="259">
          <cell r="F259" t="str">
            <v>源泉徴収税</v>
          </cell>
          <cell r="H259" t="str">
            <v>顧客 - 為替調整、元帳</v>
          </cell>
        </row>
        <row r="260">
          <cell r="F260" t="str">
            <v>連結差額の差益勘定</v>
          </cell>
          <cell r="H260" t="str">
            <v>顧客 - 為替調整、顧客</v>
          </cell>
        </row>
        <row r="261">
          <cell r="F261" t="str">
            <v>消費された見積間接原価、仕掛品</v>
          </cell>
          <cell r="H261" t="str">
            <v>顧客 - 現金割引、元帳</v>
          </cell>
        </row>
        <row r="262">
          <cell r="F262" t="str">
            <v>配賦された間接原価</v>
          </cell>
          <cell r="H262" t="str">
            <v>顧客 - 現金割引、顧客</v>
          </cell>
        </row>
        <row r="263">
          <cell r="F263" t="str">
            <v>消費された間接原価の原価、仕掛品</v>
          </cell>
          <cell r="H263" t="str">
            <v>顧客 - 利息、元帳</v>
          </cell>
        </row>
        <row r="264">
          <cell r="F264" t="str">
            <v>自由書式の請求書</v>
          </cell>
          <cell r="H264" t="str">
            <v>顧客 - 利息、顧客</v>
          </cell>
        </row>
        <row r="265">
          <cell r="F265" t="str">
            <v>注文請求書丸め</v>
          </cell>
          <cell r="H265" t="str">
            <v>顧客 - 督促状、元帳</v>
          </cell>
        </row>
        <row r="266">
          <cell r="F266" t="str">
            <v>単位原価、出荷済</v>
          </cell>
          <cell r="H266" t="str">
            <v>顧客 - 督促状、顧客</v>
          </cell>
        </row>
        <row r="267">
          <cell r="F267" t="str">
            <v>売上原価、出荷済</v>
          </cell>
          <cell r="H267" t="str">
            <v>顧客 - 少額差分、元帳</v>
          </cell>
        </row>
        <row r="268">
          <cell r="F268" t="str">
            <v>単位原価、請求済</v>
          </cell>
          <cell r="H268" t="str">
            <v>顧客 - 少額差分、顧客</v>
          </cell>
        </row>
        <row r="269">
          <cell r="F269" t="str">
            <v>売上、コミッション</v>
          </cell>
          <cell r="H269" t="str">
            <v>顧客 - 利息手数料、元帳</v>
          </cell>
        </row>
        <row r="270">
          <cell r="F270" t="str">
            <v>売上、コミッション相殺</v>
          </cell>
          <cell r="H270" t="str">
            <v>顧客 - 利息手数料、顧客</v>
          </cell>
        </row>
        <row r="271">
          <cell r="F271" t="str">
            <v>販売-梱包明細売上</v>
          </cell>
          <cell r="H271" t="str">
            <v>顧客 - 端数切り捨て</v>
          </cell>
        </row>
        <row r="272">
          <cell r="F272" t="str">
            <v>販売-梱包明細売上相殺</v>
          </cell>
          <cell r="H272" t="str">
            <v>顧客 - 現金払い</v>
          </cell>
        </row>
        <row r="273">
          <cell r="F273" t="str">
            <v>リベート</v>
          </cell>
          <cell r="H273" t="str">
            <v>顧客 - 支払、顧客</v>
          </cell>
        </row>
        <row r="274">
          <cell r="F274" t="str">
            <v>CW 損失勘定</v>
          </cell>
          <cell r="H274" t="str">
            <v>会社間顧客決済</v>
          </cell>
        </row>
        <row r="275">
          <cell r="F275" t="str">
            <v>CW 利益勘定</v>
          </cell>
          <cell r="H275" t="str">
            <v>仕入先 - 為替調整、元帳</v>
          </cell>
        </row>
        <row r="276">
          <cell r="F276" t="str">
            <v>製品の購買支出</v>
          </cell>
          <cell r="H276" t="str">
            <v>仕入先 - 為替調整、仕入先</v>
          </cell>
        </row>
        <row r="277">
          <cell r="F277" t="str">
            <v>購買、割引</v>
          </cell>
          <cell r="H277" t="str">
            <v>仕入先 - 現金割引、元帳</v>
          </cell>
        </row>
        <row r="278">
          <cell r="F278" t="str">
            <v>仕入現金</v>
          </cell>
          <cell r="H278" t="str">
            <v>仕入先 - 現金割引、仕入先</v>
          </cell>
        </row>
        <row r="279">
          <cell r="F279" t="str">
            <v>購買品の輸送</v>
          </cell>
          <cell r="H279" t="str">
            <v>仕入先 - 少額差分、元帳</v>
          </cell>
        </row>
        <row r="280">
          <cell r="F280" t="str">
            <v>仕入手数料</v>
          </cell>
          <cell r="H280" t="str">
            <v>仕入先 - 少額差分、仕入先</v>
          </cell>
        </row>
        <row r="281">
          <cell r="F281" t="str">
            <v>送料の転記</v>
          </cell>
          <cell r="H281" t="str">
            <v>仕入先 - 支払、元帳</v>
          </cell>
        </row>
        <row r="282">
          <cell r="F282" t="str">
            <v>仕入相手勘定</v>
          </cell>
          <cell r="H282" t="str">
            <v>仕入先 - 支払、仕入先</v>
          </cell>
        </row>
        <row r="283">
          <cell r="F283" t="str">
            <v>仕入先請求書丸め</v>
          </cell>
          <cell r="H283" t="str">
            <v>仕入先 - 少額丸め</v>
          </cell>
        </row>
        <row r="284">
          <cell r="F284" t="str">
            <v>購買溶融金額、運賃</v>
          </cell>
          <cell r="H284" t="str">
            <v>仕入先 - 現金払い</v>
          </cell>
        </row>
        <row r="285">
          <cell r="F285" t="str">
            <v>購買要求金額の関税</v>
          </cell>
          <cell r="H285" t="str">
            <v>仕入先 - 支払手形、元帳</v>
          </cell>
        </row>
        <row r="286">
          <cell r="F286" t="str">
            <v>購買費保険</v>
          </cell>
          <cell r="H286" t="str">
            <v>仕入先 - 支払手形、仕入先</v>
          </cell>
        </row>
        <row r="287">
          <cell r="F287" t="str">
            <v>受領済の購入材料の原価</v>
          </cell>
          <cell r="H287" t="str">
            <v>会社間仕入先決済</v>
          </cell>
        </row>
        <row r="288">
          <cell r="F288" t="str">
            <v>購買支出、未請求</v>
          </cell>
          <cell r="H288" t="str">
            <v>販売注文 - 請求書、元帳</v>
          </cell>
        </row>
        <row r="289">
          <cell r="F289" t="str">
            <v>請求済の購入材料の原価</v>
          </cell>
          <cell r="H289" t="str">
            <v>販売注文 - 請求書、顧客</v>
          </cell>
        </row>
        <row r="290">
          <cell r="F290" t="str">
            <v>購買、固定入庫価格差益</v>
          </cell>
          <cell r="H290" t="str">
            <v>販売注文 - 訂正票、元帳</v>
          </cell>
        </row>
        <row r="291">
          <cell r="F291" t="str">
            <v>購買、固定入庫価格損失</v>
          </cell>
          <cell r="H291" t="str">
            <v>販売注文 - 訂正票、顧客</v>
          </cell>
        </row>
        <row r="292">
          <cell r="F292" t="str">
            <v>購買、固定入庫価格相殺</v>
          </cell>
          <cell r="H292" t="str">
            <v>販売注文 - 梱包明細票、元帳</v>
          </cell>
        </row>
        <row r="293">
          <cell r="F293" t="str">
            <v>在庫入庫</v>
          </cell>
          <cell r="H293" t="str">
            <v>販売 - コミッション</v>
          </cell>
        </row>
        <row r="294">
          <cell r="F294" t="str">
            <v>在庫払出</v>
          </cell>
          <cell r="H294" t="str">
            <v>販売 - 割引合計</v>
          </cell>
        </row>
        <row r="295">
          <cell r="F295" t="str">
            <v>棚卸資産経費、利益</v>
          </cell>
          <cell r="H295" t="str">
            <v>発注書 - 請求書、元帳</v>
          </cell>
        </row>
        <row r="296">
          <cell r="F296" t="str">
            <v>棚卸資産経費、損失</v>
          </cell>
          <cell r="H296" t="str">
            <v>発注書 - 請求書、仕入先</v>
          </cell>
        </row>
        <row r="297">
          <cell r="F297" t="str">
            <v>在庫、固定入庫価格差益</v>
          </cell>
          <cell r="H297" t="str">
            <v>発注書 - 訂正票、元帳</v>
          </cell>
        </row>
        <row r="298">
          <cell r="F298" t="str">
            <v>在庫、固定入庫価格損失</v>
          </cell>
          <cell r="H298" t="str">
            <v>発注書 - 訂正票、仕入先</v>
          </cell>
        </row>
        <row r="299">
          <cell r="F299" t="str">
            <v>事前債務</v>
          </cell>
          <cell r="H299" t="str">
            <v>発注書 - 製品受領書、元帳</v>
          </cell>
        </row>
        <row r="300">
          <cell r="F300" t="str">
            <v>債務</v>
          </cell>
          <cell r="H300" t="str">
            <v>発注書</v>
          </cell>
        </row>
        <row r="301">
          <cell r="F301" t="str">
            <v>AP請求書</v>
          </cell>
          <cell r="H301" t="str">
            <v>購買 - 割引合計</v>
          </cell>
        </row>
        <row r="302">
          <cell r="F302" t="str">
            <v>予算</v>
          </cell>
          <cell r="H302" t="str">
            <v>発注書 - 発注書の確認、元帳</v>
          </cell>
        </row>
        <row r="303">
          <cell r="F303" t="str">
            <v>発注書の年度末決算処理</v>
          </cell>
          <cell r="H303" t="str">
            <v>在庫 - 原価計算済 - 調整</v>
          </cell>
        </row>
        <row r="304">
          <cell r="F304" t="str">
            <v>見積製造原価</v>
          </cell>
          <cell r="H304" t="str">
            <v>在庫 - 原価計算済</v>
          </cell>
        </row>
        <row r="305">
          <cell r="F305" t="str">
            <v>見積製造原価、仕掛品</v>
          </cell>
          <cell r="H305" t="str">
            <v>在庫 - 仕訳帳 - トランザクション</v>
          </cell>
        </row>
        <row r="306">
          <cell r="F306" t="str">
            <v>消費された材料の原価</v>
          </cell>
          <cell r="H306" t="str">
            <v>在庫 - 仕訳帳 - 調整</v>
          </cell>
        </row>
        <row r="307">
          <cell r="F307" t="str">
            <v>消費された材料の原価、仕掛品</v>
          </cell>
          <cell r="H307" t="str">
            <v>在庫 - 仕訳帳 - 移動</v>
          </cell>
        </row>
        <row r="308">
          <cell r="F308" t="str">
            <v>製造原価</v>
          </cell>
          <cell r="H308" t="str">
            <v>在庫 - 仕訳帳 - 棚卸</v>
          </cell>
        </row>
        <row r="309">
          <cell r="F309" t="str">
            <v>製造原価、仕掛品</v>
          </cell>
          <cell r="H309" t="str">
            <v>在庫 - 仕訳帳 - BOM</v>
          </cell>
        </row>
        <row r="310">
          <cell r="F310" t="str">
            <v>消費された材料の見積原価、仕掛品</v>
          </cell>
          <cell r="H310" t="str">
            <v>在庫 - 検査指示</v>
          </cell>
        </row>
        <row r="311">
          <cell r="F311" t="str">
            <v>消費された材料の見積原価</v>
          </cell>
          <cell r="H311" t="str">
            <v>移動オーダー</v>
          </cell>
        </row>
        <row r="312">
          <cell r="F312" t="str">
            <v>消費された見積製造原価、仕掛品</v>
          </cell>
          <cell r="H312" t="str">
            <v>在庫の再評価</v>
          </cell>
        </row>
        <row r="313">
          <cell r="F313" t="str">
            <v>配賦された見積製造原価</v>
          </cell>
          <cell r="H313" t="str">
            <v>現物在庫</v>
          </cell>
        </row>
        <row r="314">
          <cell r="F314" t="str">
            <v>配賦された製造原価</v>
          </cell>
          <cell r="H314" t="str">
            <v>MRP（資材所要量計画）- 原価計算</v>
          </cell>
        </row>
        <row r="315">
          <cell r="F315" t="str">
            <v>生産仕損</v>
          </cell>
          <cell r="H315" t="str">
            <v>MRP（資材所要量計画）- ピッキングリスト</v>
          </cell>
        </row>
        <row r="316">
          <cell r="F316" t="str">
            <v>消費された製造原価、仕掛品</v>
          </cell>
          <cell r="H316" t="str">
            <v>MRP（資材所要量計画）- 完了レポート</v>
          </cell>
        </row>
        <row r="317">
          <cell r="F317" t="str">
            <v>生産相手勘定、仕損</v>
          </cell>
          <cell r="H317" t="str">
            <v>MRP（資材所要量計画）- 工順カード</v>
          </cell>
        </row>
        <row r="318">
          <cell r="F318" t="str">
            <v>リーンサービス仕掛品受領書</v>
          </cell>
          <cell r="H318" t="str">
            <v>MRP（資材所要量計画）- ジョブカード</v>
          </cell>
        </row>
        <row r="319">
          <cell r="F319" t="str">
            <v>リーンサービス仕掛品清算中</v>
          </cell>
          <cell r="H319" t="str">
            <v>MRP（資材所要量計画）- 原価計算調整</v>
          </cell>
        </row>
        <row r="320">
          <cell r="F320" t="str">
            <v>プロジェクト - 原価</v>
          </cell>
          <cell r="H320" t="str">
            <v>MRP（資材所要量計画）- 間接原価</v>
          </cell>
        </row>
        <row r="321">
          <cell r="F321" t="str">
            <v>プロジェクト - 給与配賦</v>
          </cell>
          <cell r="H321" t="str">
            <v>かんばん</v>
          </cell>
        </row>
        <row r="322">
          <cell r="F322" t="str">
            <v>プロジェクト - 仕掛品原価</v>
          </cell>
          <cell r="H322" t="str">
            <v>かんばん - 原価計算</v>
          </cell>
        </row>
        <row r="323">
          <cell r="F323" t="str">
            <v>プロジェクト - 原価-品目</v>
          </cell>
          <cell r="H323" t="str">
            <v>プロジェクト - 請求書、元帳</v>
          </cell>
        </row>
        <row r="324">
          <cell r="F324" t="str">
            <v>プロジェクト - 仕掛品原価 - 品目</v>
          </cell>
          <cell r="H324" t="str">
            <v>プロジェクト - 請求書、顧客</v>
          </cell>
        </row>
        <row r="325">
          <cell r="F325" t="str">
            <v>プロジェクト - 請求済み収益</v>
          </cell>
          <cell r="H325" t="str">
            <v>プロジェクト - 訂正票、元帳</v>
          </cell>
        </row>
        <row r="326">
          <cell r="F326" t="str">
            <v>プロジェクト - 分割払い請求済</v>
          </cell>
          <cell r="H326" t="str">
            <v>プロジェクト - 訂正票、顧客</v>
          </cell>
        </row>
        <row r="327">
          <cell r="F327" t="str">
            <v>プロジェクト - 未収収益 - 販売額</v>
          </cell>
          <cell r="H327" t="str">
            <v>プロジェクト - 転記、元帳</v>
          </cell>
        </row>
        <row r="328">
          <cell r="F328" t="str">
            <v>プロジェクト - 仕掛品 - 販売額</v>
          </cell>
          <cell r="H328" t="str">
            <v>プロジェクト - 予算作成、元帳</v>
          </cell>
        </row>
        <row r="329">
          <cell r="F329" t="str">
            <v>プロジェクト - 未収収益 - 生産</v>
          </cell>
          <cell r="H329" t="str">
            <v>給与 - 更新、元帳</v>
          </cell>
        </row>
        <row r="330">
          <cell r="F330" t="str">
            <v>プロジェクト - 仕掛品 - 生産</v>
          </cell>
          <cell r="H330" t="str">
            <v>給与 - 逆、元帳</v>
          </cell>
        </row>
        <row r="331">
          <cell r="F331" t="str">
            <v>プロジェクト - 未収収益 - 利益</v>
          </cell>
          <cell r="H331" t="str">
            <v>固定資産 - 転記、元帳</v>
          </cell>
        </row>
        <row r="332">
          <cell r="F332" t="str">
            <v>プロジェクト - 仕掛品 - 利益</v>
          </cell>
          <cell r="H332" t="str">
            <v>固定資産 - 引当の取消</v>
          </cell>
        </row>
        <row r="333">
          <cell r="F333" t="str">
            <v>元帳に記載しない</v>
          </cell>
          <cell r="H333" t="str">
            <v>ナレッジ摘要</v>
          </cell>
        </row>
        <row r="334">
          <cell r="F334" t="str">
            <v>プロジェクト - 未収損失</v>
          </cell>
          <cell r="H334" t="str">
            <v>消費税 - 消費税決済</v>
          </cell>
        </row>
        <row r="335">
          <cell r="F335" t="str">
            <v>プロジェクト - 未収収益 - 分割払い</v>
          </cell>
          <cell r="H335" t="str">
            <v>仕入関税レポーティング</v>
          </cell>
        </row>
        <row r="336">
          <cell r="F336" t="str">
            <v>プロジェクト - 仕掛品請求済 - 分割払い</v>
          </cell>
          <cell r="H336" t="str">
            <v>定期売買</v>
          </cell>
        </row>
        <row r="337">
          <cell r="F337" t="str">
            <v>元帳なし</v>
          </cell>
          <cell r="H337" t="str">
            <v>経費計算書のトランザクション</v>
          </cell>
        </row>
        <row r="338">
          <cell r="F338" t="str">
            <v>給与の借方勘定</v>
          </cell>
          <cell r="H338" t="str">
            <v>定期売買</v>
          </cell>
        </row>
        <row r="339">
          <cell r="F339" t="str">
            <v>給与貸方勘定</v>
          </cell>
          <cell r="H339" t="str">
            <v>発注書 - 発注書の確定、元帳</v>
          </cell>
        </row>
        <row r="340">
          <cell r="F340" t="str">
            <v>固定資産、借方</v>
          </cell>
          <cell r="H340" t="str">
            <v>発注書 - 製品受領書の確定、元帳</v>
          </cell>
        </row>
        <row r="341">
          <cell r="F341" t="str">
            <v>固定資産、貸方</v>
          </cell>
          <cell r="H341" t="str">
            <v>発注書 - 年度末決算、元帳</v>
          </cell>
        </row>
        <row r="342">
          <cell r="F342" t="str">
            <v>仕訳元帳 - 単一勘定</v>
          </cell>
          <cell r="H342" t="str">
            <v>発注書 - 年度末オープン、元帳</v>
          </cell>
        </row>
        <row r="343">
          <cell r="F343" t="str">
            <v>購買、請求金額</v>
          </cell>
          <cell r="H343" t="str">
            <v>減価償却調整</v>
          </cell>
        </row>
        <row r="344">
          <cell r="F344" t="str">
            <v>購買、在庫変動</v>
          </cell>
          <cell r="H344" t="str">
            <v>MRP（資材所要量計画）- 連産物/副産物</v>
          </cell>
        </row>
        <row r="345">
          <cell r="F345" t="str">
            <v>購買、見越計上</v>
          </cell>
          <cell r="H345" t="str">
            <v>リベート請求仕訳帳</v>
          </cell>
        </row>
        <row r="346">
          <cell r="F346" t="str">
            <v>入庫時の未収消費税</v>
          </cell>
          <cell r="H346" t="str">
            <v>リベート顧客控除仕訳帳</v>
          </cell>
        </row>
        <row r="347">
          <cell r="F347" t="str">
            <v>購買、製品受領書の購買</v>
          </cell>
          <cell r="H347" t="str">
            <v>リベート取引支出見越計上仕訳帳</v>
          </cell>
        </row>
        <row r="348">
          <cell r="F348" t="str">
            <v>売上、梱包明細税</v>
          </cell>
          <cell r="H348" t="str">
            <v>販売注文 - クーポン、元帳</v>
          </cell>
        </row>
        <row r="349">
          <cell r="F349" t="str">
            <v>未収収益 - 定期売買</v>
          </cell>
          <cell r="H349" t="str">
            <v>顧客 - 損益処理</v>
          </cell>
        </row>
        <row r="350">
          <cell r="F350" t="str">
            <v>仕掛品 - 定期売買</v>
          </cell>
          <cell r="H350" t="str">
            <v>銀行 - 外貨再評価。銀行</v>
          </cell>
        </row>
        <row r="351">
          <cell r="F351" t="str">
            <v>原価変更差額</v>
          </cell>
          <cell r="H351" t="str">
            <v>銀行 - 外貨再評価。元帳</v>
          </cell>
        </row>
        <row r="352">
          <cell r="F352" t="str">
            <v>システムによる丸め</v>
          </cell>
        </row>
        <row r="353">
          <cell r="F353" t="str">
            <v>前払</v>
          </cell>
        </row>
        <row r="354">
          <cell r="F354" t="str">
            <v>購買価格差異</v>
          </cell>
        </row>
        <row r="355">
          <cell r="F355" t="str">
            <v>支払アプリケーション</v>
          </cell>
        </row>
        <row r="356">
          <cell r="F356" t="str">
            <v>生産価格差異</v>
          </cell>
        </row>
        <row r="357">
          <cell r="F357" t="str">
            <v>在庫の単位間の支払</v>
          </cell>
        </row>
        <row r="358">
          <cell r="F358" t="str">
            <v>在庫の単位間の収入</v>
          </cell>
        </row>
        <row r="359">
          <cell r="F359" t="str">
            <v>配賦された見積間接原価</v>
          </cell>
        </row>
        <row r="360">
          <cell r="F360" t="str">
            <v>生産ロットサイズの差異</v>
          </cell>
        </row>
        <row r="361">
          <cell r="F361" t="str">
            <v>生産数量の差異</v>
          </cell>
        </row>
        <row r="362">
          <cell r="F362" t="str">
            <v>生産代替の差異</v>
          </cell>
        </row>
        <row r="363">
          <cell r="F363" t="str">
            <v>差異を丸める</v>
          </cell>
        </row>
        <row r="364">
          <cell r="F364" t="str">
            <v>固定資産受入</v>
          </cell>
        </row>
        <row r="365">
          <cell r="F365" t="str">
            <v>経費 - 運賃</v>
          </cell>
        </row>
        <row r="366">
          <cell r="F366" t="str">
            <v>経費 - 企業CC清算中</v>
          </cell>
        </row>
        <row r="367">
          <cell r="F367" t="str">
            <v>経費 - 作業者清算中</v>
          </cell>
        </row>
        <row r="368">
          <cell r="F368" t="str">
            <v>経費 - 作業者前払い</v>
          </cell>
        </row>
        <row r="369">
          <cell r="F369" t="str">
            <v>プロジェクト - 損金処理の上限</v>
          </cell>
        </row>
        <row r="370">
          <cell r="F370" t="str">
            <v>顧客支払保持売上</v>
          </cell>
        </row>
        <row r="371">
          <cell r="F371" t="str">
            <v>仕入先保留</v>
          </cell>
        </row>
        <row r="372">
          <cell r="F372" t="str">
            <v>在庫原価再評価</v>
          </cell>
        </row>
        <row r="373">
          <cell r="F373" t="str">
            <v>支出の購買支出</v>
          </cell>
        </row>
        <row r="374">
          <cell r="F374" t="str">
            <v>移動平均の価格差異</v>
          </cell>
        </row>
        <row r="375">
          <cell r="F375" t="str">
            <v>移動平均の原価の再評価</v>
          </cell>
        </row>
        <row r="376">
          <cell r="F376" t="str">
            <v>会社間原価</v>
          </cell>
        </row>
        <row r="377">
          <cell r="F377" t="str">
            <v>会社間収益</v>
          </cell>
        </row>
        <row r="378">
          <cell r="F378" t="str">
            <v>口座取引明細書</v>
          </cell>
        </row>
        <row r="379">
          <cell r="F379" t="str">
            <v>給与</v>
          </cell>
        </row>
        <row r="380">
          <cell r="F380" t="str">
            <v>単位間 - 借方</v>
          </cell>
        </row>
        <row r="381">
          <cell r="F381" t="str">
            <v>単位間 - 貸方</v>
          </cell>
        </row>
        <row r="382">
          <cell r="F382" t="str">
            <v>返品販売注文の売上</v>
          </cell>
        </row>
        <row r="383">
          <cell r="F383" t="str">
            <v>返品販売注文の消費</v>
          </cell>
        </row>
        <row r="384">
          <cell r="F384" t="str">
            <v>過少支払の損金処理</v>
          </cell>
        </row>
        <row r="385">
          <cell r="F385" t="str">
            <v>ブローカー料金</v>
          </cell>
        </row>
        <row r="386">
          <cell r="F386" t="str">
            <v>債務</v>
          </cell>
        </row>
        <row r="387">
          <cell r="F387" t="str">
            <v>一般予算引当の年度末決算</v>
          </cell>
        </row>
        <row r="388">
          <cell r="F388" t="str">
            <v>India GST</v>
          </cell>
        </row>
        <row r="389">
          <cell r="F389" t="str">
            <v>レポート通貨の調整</v>
          </cell>
        </row>
      </sheetData>
      <sheetData sheetId="50"/>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control" Target="../activeX/activeX4.xml"/><Relationship Id="rId13" Type="http://schemas.openxmlformats.org/officeDocument/2006/relationships/control" Target="../activeX/activeX9.xml"/><Relationship Id="rId3" Type="http://schemas.openxmlformats.org/officeDocument/2006/relationships/vmlDrawing" Target="../drawings/vmlDrawing1.vml"/><Relationship Id="rId7" Type="http://schemas.openxmlformats.org/officeDocument/2006/relationships/control" Target="../activeX/activeX3.xml"/><Relationship Id="rId12" Type="http://schemas.openxmlformats.org/officeDocument/2006/relationships/control" Target="../activeX/activeX8.xml"/><Relationship Id="rId2" Type="http://schemas.openxmlformats.org/officeDocument/2006/relationships/drawing" Target="../drawings/drawing2.xml"/><Relationship Id="rId1" Type="http://schemas.openxmlformats.org/officeDocument/2006/relationships/printerSettings" Target="../printerSettings/printerSettings6.bin"/><Relationship Id="rId6" Type="http://schemas.openxmlformats.org/officeDocument/2006/relationships/control" Target="../activeX/activeX2.xml"/><Relationship Id="rId11" Type="http://schemas.openxmlformats.org/officeDocument/2006/relationships/control" Target="../activeX/activeX7.xml"/><Relationship Id="rId5" Type="http://schemas.openxmlformats.org/officeDocument/2006/relationships/image" Target="../media/image1.emf"/><Relationship Id="rId10" Type="http://schemas.openxmlformats.org/officeDocument/2006/relationships/control" Target="../activeX/activeX6.xml"/><Relationship Id="rId4" Type="http://schemas.openxmlformats.org/officeDocument/2006/relationships/control" Target="../activeX/activeX1.xml"/><Relationship Id="rId9" Type="http://schemas.openxmlformats.org/officeDocument/2006/relationships/control" Target="../activeX/activeX5.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8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9.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5.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97588-7E4A-4660-B4DA-FE61973339B4}">
  <sheetPr codeName="Sheet2">
    <pageSetUpPr autoPageBreaks="0"/>
  </sheetPr>
  <dimension ref="A1:AK37"/>
  <sheetViews>
    <sheetView showGridLines="0" tabSelected="1" zoomScaleNormal="100" zoomScaleSheetLayoutView="100" workbookViewId="0">
      <selection activeCell="B17" sqref="B17"/>
    </sheetView>
  </sheetViews>
  <sheetFormatPr defaultColWidth="2.140625" defaultRowHeight="15" customHeight="1"/>
  <cols>
    <col min="1" max="16384" width="2.140625" style="81"/>
  </cols>
  <sheetData>
    <row r="1" spans="1:37" ht="15" customHeight="1">
      <c r="A1" s="80"/>
      <c r="B1" s="80"/>
      <c r="C1" s="80"/>
      <c r="D1" s="80"/>
      <c r="E1" s="80"/>
      <c r="F1" s="80"/>
      <c r="G1" s="80"/>
      <c r="H1" s="80"/>
      <c r="I1" s="80"/>
      <c r="J1" s="80"/>
      <c r="K1" s="80"/>
      <c r="L1" s="80"/>
      <c r="M1" s="80"/>
      <c r="N1" s="80"/>
      <c r="O1" s="80"/>
      <c r="P1" s="80"/>
      <c r="Q1" s="80"/>
      <c r="R1" s="80"/>
      <c r="S1" s="80"/>
      <c r="T1" s="80"/>
      <c r="U1" s="80"/>
      <c r="V1" s="80"/>
      <c r="W1" s="80"/>
      <c r="X1" s="80"/>
      <c r="Y1" s="80"/>
      <c r="Z1" s="80"/>
      <c r="AA1" s="80"/>
      <c r="AB1" s="80"/>
      <c r="AC1" s="80"/>
      <c r="AD1" s="80"/>
      <c r="AE1" s="80"/>
      <c r="AF1" s="80"/>
      <c r="AG1" s="80"/>
      <c r="AH1" s="80"/>
      <c r="AI1" s="80"/>
      <c r="AJ1" s="80"/>
      <c r="AK1" s="80"/>
    </row>
    <row r="2" spans="1:37" ht="15" customHeight="1">
      <c r="A2" s="80"/>
      <c r="B2" s="80"/>
      <c r="C2" s="82"/>
      <c r="D2" s="82"/>
      <c r="E2" s="82"/>
      <c r="F2" s="82"/>
      <c r="G2" s="82"/>
      <c r="H2" s="82"/>
      <c r="I2" s="82"/>
      <c r="J2" s="82"/>
      <c r="K2" s="82"/>
      <c r="L2" s="82"/>
      <c r="M2" s="82"/>
      <c r="N2" s="82"/>
      <c r="O2" s="82"/>
      <c r="P2" s="82"/>
      <c r="Q2" s="82"/>
      <c r="R2" s="80"/>
      <c r="S2" s="80"/>
      <c r="T2" s="80"/>
      <c r="U2" s="80"/>
      <c r="V2" s="80"/>
      <c r="W2" s="80"/>
      <c r="X2" s="80"/>
      <c r="Y2" s="80"/>
      <c r="Z2" s="80"/>
      <c r="AA2" s="80"/>
      <c r="AB2" s="80"/>
      <c r="AC2" s="80"/>
      <c r="AD2" s="80"/>
      <c r="AE2" s="80"/>
      <c r="AF2" s="80"/>
      <c r="AG2" s="80"/>
      <c r="AH2" s="80"/>
      <c r="AI2" s="80"/>
      <c r="AJ2" s="80"/>
      <c r="AK2" s="80"/>
    </row>
    <row r="3" spans="1:37" ht="15" customHeight="1">
      <c r="A3" s="80"/>
      <c r="B3" s="83" t="s">
        <v>2903</v>
      </c>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row>
    <row r="4" spans="1:37" ht="15" customHeight="1">
      <c r="A4" s="84"/>
      <c r="B4" s="84"/>
      <c r="C4" s="84"/>
      <c r="D4" s="84"/>
      <c r="E4" s="84"/>
      <c r="F4" s="84"/>
      <c r="G4" s="84"/>
      <c r="H4" s="84"/>
      <c r="I4" s="84"/>
      <c r="J4" s="418"/>
      <c r="K4" s="418"/>
      <c r="L4" s="418"/>
      <c r="M4" s="80"/>
      <c r="N4" s="80"/>
      <c r="O4" s="80"/>
      <c r="P4" s="80"/>
      <c r="Q4" s="80"/>
      <c r="R4" s="80"/>
      <c r="S4" s="80"/>
      <c r="T4" s="80"/>
      <c r="U4" s="80"/>
      <c r="V4" s="80"/>
      <c r="W4" s="80"/>
      <c r="X4" s="80"/>
      <c r="Y4" s="80"/>
      <c r="Z4" s="80"/>
      <c r="AA4" s="80"/>
      <c r="AB4" s="80"/>
      <c r="AC4" s="80"/>
      <c r="AD4" s="80"/>
      <c r="AE4" s="80"/>
      <c r="AF4" s="80"/>
      <c r="AG4" s="80"/>
      <c r="AH4" s="80"/>
      <c r="AI4" s="80"/>
      <c r="AJ4" s="80"/>
      <c r="AK4" s="80"/>
    </row>
    <row r="5" spans="1:37" ht="15" customHeight="1">
      <c r="A5" s="85"/>
      <c r="B5" s="85"/>
      <c r="C5" s="85"/>
      <c r="D5" s="85"/>
      <c r="E5" s="85"/>
      <c r="F5" s="85"/>
      <c r="G5" s="85"/>
      <c r="H5" s="85"/>
      <c r="I5" s="85"/>
      <c r="J5" s="419"/>
      <c r="K5" s="419"/>
      <c r="L5" s="419"/>
      <c r="M5" s="80"/>
      <c r="N5" s="80"/>
      <c r="O5" s="80"/>
      <c r="P5" s="80"/>
      <c r="Q5" s="80"/>
      <c r="R5" s="80"/>
      <c r="S5" s="80"/>
      <c r="T5" s="80"/>
      <c r="U5" s="80"/>
      <c r="V5" s="80"/>
      <c r="W5" s="80"/>
      <c r="X5" s="80"/>
      <c r="Y5" s="80"/>
      <c r="Z5" s="80"/>
      <c r="AA5" s="80"/>
      <c r="AB5" s="80"/>
      <c r="AC5" s="80"/>
      <c r="AD5" s="80"/>
      <c r="AE5" s="80"/>
      <c r="AF5" s="80"/>
      <c r="AG5" s="80"/>
      <c r="AH5" s="80"/>
      <c r="AI5" s="80"/>
      <c r="AJ5" s="80"/>
      <c r="AK5" s="80"/>
    </row>
    <row r="6" spans="1:37" ht="15" customHeight="1">
      <c r="A6" s="80"/>
      <c r="B6" s="80"/>
      <c r="C6" s="80"/>
      <c r="D6" s="80"/>
      <c r="E6" s="80"/>
      <c r="F6" s="80"/>
      <c r="G6" s="80"/>
      <c r="H6" s="80"/>
      <c r="I6" s="80"/>
      <c r="J6" s="80"/>
      <c r="K6" s="80"/>
      <c r="L6" s="80"/>
      <c r="M6" s="80"/>
      <c r="N6" s="80"/>
      <c r="O6" s="80"/>
      <c r="P6" s="80"/>
      <c r="Q6" s="80"/>
      <c r="R6" s="80"/>
      <c r="S6" s="80"/>
      <c r="T6" s="80"/>
      <c r="U6" s="80"/>
      <c r="V6" s="80"/>
      <c r="W6" s="80"/>
      <c r="X6" s="80"/>
      <c r="Y6" s="80"/>
      <c r="Z6" s="80"/>
      <c r="AA6" s="80"/>
      <c r="AB6" s="80"/>
      <c r="AC6" s="80"/>
      <c r="AD6" s="80"/>
      <c r="AE6" s="80"/>
      <c r="AF6" s="80"/>
      <c r="AG6" s="80"/>
      <c r="AH6" s="80"/>
      <c r="AI6" s="80"/>
      <c r="AJ6" s="80"/>
      <c r="AK6" s="80"/>
    </row>
    <row r="7" spans="1:37" ht="15" customHeight="1">
      <c r="A7" s="80"/>
      <c r="B7" s="80"/>
      <c r="C7" s="80"/>
      <c r="D7" s="80"/>
      <c r="E7" s="80"/>
      <c r="F7" s="80"/>
      <c r="G7" s="80"/>
      <c r="H7" s="80"/>
      <c r="I7" s="80"/>
      <c r="J7" s="80"/>
      <c r="K7" s="80"/>
      <c r="L7" s="80"/>
      <c r="M7" s="80"/>
      <c r="N7" s="80"/>
      <c r="O7" s="80"/>
      <c r="P7" s="80"/>
      <c r="Q7" s="80"/>
      <c r="R7" s="80"/>
      <c r="S7" s="80"/>
      <c r="T7" s="80"/>
      <c r="U7" s="80"/>
      <c r="V7" s="80"/>
      <c r="W7" s="80"/>
      <c r="X7" s="80"/>
      <c r="Y7" s="80"/>
      <c r="Z7" s="80"/>
      <c r="AA7" s="80"/>
      <c r="AB7" s="80"/>
      <c r="AC7" s="80"/>
      <c r="AD7" s="80"/>
      <c r="AE7" s="80"/>
      <c r="AF7" s="80"/>
      <c r="AG7" s="80"/>
      <c r="AH7" s="80"/>
      <c r="AI7" s="80"/>
      <c r="AJ7" s="80"/>
      <c r="AK7" s="80"/>
    </row>
    <row r="8" spans="1:37" ht="15" customHeight="1">
      <c r="A8" s="80"/>
      <c r="B8" s="80"/>
      <c r="C8" s="80"/>
      <c r="D8" s="80"/>
      <c r="E8" s="80"/>
      <c r="F8" s="80"/>
      <c r="G8" s="80"/>
      <c r="H8" s="80"/>
      <c r="I8" s="80"/>
      <c r="J8" s="80"/>
      <c r="K8" s="80"/>
      <c r="L8" s="80"/>
      <c r="M8" s="80"/>
      <c r="N8" s="80"/>
      <c r="O8" s="80"/>
      <c r="P8" s="80"/>
      <c r="Q8" s="80"/>
      <c r="R8" s="80"/>
      <c r="S8" s="80"/>
      <c r="T8" s="80"/>
      <c r="U8" s="80"/>
      <c r="V8" s="80"/>
      <c r="W8" s="80"/>
      <c r="X8" s="80"/>
      <c r="Y8" s="80"/>
      <c r="Z8" s="80"/>
      <c r="AA8" s="80"/>
      <c r="AB8" s="80"/>
      <c r="AC8" s="80"/>
      <c r="AD8" s="80"/>
      <c r="AE8" s="80"/>
      <c r="AF8" s="80"/>
      <c r="AG8" s="80"/>
      <c r="AH8" s="80"/>
      <c r="AI8" s="80"/>
      <c r="AJ8" s="80"/>
      <c r="AK8" s="80"/>
    </row>
    <row r="9" spans="1:37" ht="15" customHeight="1">
      <c r="A9" s="80"/>
      <c r="B9" s="80"/>
      <c r="C9" s="80"/>
      <c r="D9" s="80"/>
      <c r="E9" s="80"/>
      <c r="F9" s="80"/>
      <c r="G9" s="80"/>
      <c r="H9" s="80"/>
      <c r="I9" s="80"/>
      <c r="J9" s="80"/>
      <c r="K9" s="80"/>
      <c r="L9" s="80"/>
      <c r="M9" s="80"/>
      <c r="N9" s="80"/>
      <c r="O9" s="80"/>
      <c r="P9" s="80"/>
      <c r="Q9" s="80"/>
      <c r="R9" s="80"/>
      <c r="S9" s="80"/>
      <c r="T9" s="80"/>
      <c r="U9" s="80"/>
      <c r="V9" s="80"/>
      <c r="W9" s="80"/>
      <c r="X9" s="80"/>
      <c r="Y9" s="80"/>
      <c r="Z9" s="80"/>
      <c r="AA9" s="80"/>
      <c r="AB9" s="80"/>
      <c r="AC9" s="80"/>
      <c r="AD9" s="80"/>
      <c r="AE9" s="80"/>
      <c r="AF9" s="80"/>
      <c r="AG9" s="80"/>
      <c r="AH9" s="80"/>
      <c r="AI9" s="80"/>
      <c r="AJ9" s="80"/>
      <c r="AK9" s="80"/>
    </row>
    <row r="10" spans="1:37" ht="15" customHeight="1">
      <c r="A10" s="80"/>
      <c r="B10" s="420" t="s">
        <v>2902</v>
      </c>
      <c r="C10" s="421"/>
      <c r="D10" s="421"/>
      <c r="E10" s="421"/>
      <c r="F10" s="421"/>
      <c r="G10" s="421"/>
      <c r="H10" s="421"/>
      <c r="I10" s="421"/>
      <c r="J10" s="421"/>
      <c r="K10" s="421"/>
      <c r="L10" s="421"/>
      <c r="M10" s="421"/>
      <c r="N10" s="421"/>
      <c r="O10" s="421"/>
      <c r="P10" s="421"/>
      <c r="Q10" s="421"/>
      <c r="R10" s="421"/>
      <c r="S10" s="421"/>
      <c r="T10" s="421"/>
      <c r="U10" s="421"/>
      <c r="V10" s="421"/>
      <c r="W10" s="421"/>
      <c r="X10" s="421"/>
      <c r="Y10" s="421"/>
      <c r="Z10" s="421"/>
      <c r="AA10" s="421"/>
      <c r="AB10" s="421"/>
      <c r="AC10" s="421"/>
      <c r="AD10" s="421"/>
      <c r="AE10" s="422"/>
      <c r="AF10" s="80"/>
      <c r="AG10" s="80"/>
      <c r="AH10" s="80"/>
      <c r="AI10" s="80"/>
      <c r="AJ10" s="80"/>
      <c r="AK10" s="80"/>
    </row>
    <row r="11" spans="1:37" ht="15" customHeight="1">
      <c r="A11" s="80"/>
      <c r="B11" s="423"/>
      <c r="C11" s="424"/>
      <c r="D11" s="424"/>
      <c r="E11" s="424"/>
      <c r="F11" s="424"/>
      <c r="G11" s="424"/>
      <c r="H11" s="424"/>
      <c r="I11" s="424"/>
      <c r="J11" s="424"/>
      <c r="K11" s="424"/>
      <c r="L11" s="424"/>
      <c r="M11" s="424"/>
      <c r="N11" s="424"/>
      <c r="O11" s="424"/>
      <c r="P11" s="424"/>
      <c r="Q11" s="424"/>
      <c r="R11" s="424"/>
      <c r="S11" s="424"/>
      <c r="T11" s="424"/>
      <c r="U11" s="424"/>
      <c r="V11" s="424"/>
      <c r="W11" s="424"/>
      <c r="X11" s="424"/>
      <c r="Y11" s="424"/>
      <c r="Z11" s="424"/>
      <c r="AA11" s="424"/>
      <c r="AB11" s="424"/>
      <c r="AC11" s="424"/>
      <c r="AD11" s="424"/>
      <c r="AE11" s="425"/>
      <c r="AF11" s="80"/>
      <c r="AG11" s="80"/>
      <c r="AH11" s="80"/>
      <c r="AI11" s="80"/>
      <c r="AJ11" s="80"/>
      <c r="AK11" s="80"/>
    </row>
    <row r="12" spans="1:37" ht="15" customHeight="1">
      <c r="A12" s="80"/>
      <c r="B12" s="423"/>
      <c r="C12" s="424"/>
      <c r="D12" s="424"/>
      <c r="E12" s="424"/>
      <c r="F12" s="424"/>
      <c r="G12" s="424"/>
      <c r="H12" s="424"/>
      <c r="I12" s="424"/>
      <c r="J12" s="424"/>
      <c r="K12" s="424"/>
      <c r="L12" s="424"/>
      <c r="M12" s="424"/>
      <c r="N12" s="424"/>
      <c r="O12" s="424"/>
      <c r="P12" s="424"/>
      <c r="Q12" s="424"/>
      <c r="R12" s="424"/>
      <c r="S12" s="424"/>
      <c r="T12" s="424"/>
      <c r="U12" s="424"/>
      <c r="V12" s="424"/>
      <c r="W12" s="424"/>
      <c r="X12" s="424"/>
      <c r="Y12" s="424"/>
      <c r="Z12" s="424"/>
      <c r="AA12" s="424"/>
      <c r="AB12" s="424"/>
      <c r="AC12" s="424"/>
      <c r="AD12" s="424"/>
      <c r="AE12" s="425"/>
      <c r="AF12" s="80"/>
      <c r="AG12" s="80"/>
      <c r="AH12" s="80"/>
      <c r="AI12" s="80"/>
      <c r="AJ12" s="80"/>
      <c r="AK12" s="80"/>
    </row>
    <row r="13" spans="1:37" ht="15" customHeight="1">
      <c r="A13" s="80"/>
      <c r="B13" s="423"/>
      <c r="C13" s="424"/>
      <c r="D13" s="424"/>
      <c r="E13" s="424"/>
      <c r="F13" s="424"/>
      <c r="G13" s="424"/>
      <c r="H13" s="424"/>
      <c r="I13" s="424"/>
      <c r="J13" s="424"/>
      <c r="K13" s="424"/>
      <c r="L13" s="424"/>
      <c r="M13" s="424"/>
      <c r="N13" s="424"/>
      <c r="O13" s="424"/>
      <c r="P13" s="424"/>
      <c r="Q13" s="424"/>
      <c r="R13" s="424"/>
      <c r="S13" s="424"/>
      <c r="T13" s="424"/>
      <c r="U13" s="424"/>
      <c r="V13" s="424"/>
      <c r="W13" s="424"/>
      <c r="X13" s="424"/>
      <c r="Y13" s="424"/>
      <c r="Z13" s="424"/>
      <c r="AA13" s="424"/>
      <c r="AB13" s="424"/>
      <c r="AC13" s="424"/>
      <c r="AD13" s="424"/>
      <c r="AE13" s="425"/>
      <c r="AF13" s="80"/>
      <c r="AG13" s="80"/>
      <c r="AH13" s="80"/>
      <c r="AI13" s="80"/>
      <c r="AJ13" s="80"/>
      <c r="AK13" s="80"/>
    </row>
    <row r="14" spans="1:37" ht="15" customHeight="1">
      <c r="A14" s="80"/>
      <c r="B14" s="426" t="s">
        <v>2914</v>
      </c>
      <c r="C14" s="427"/>
      <c r="D14" s="427"/>
      <c r="E14" s="427"/>
      <c r="F14" s="427"/>
      <c r="G14" s="427"/>
      <c r="H14" s="427"/>
      <c r="I14" s="427"/>
      <c r="J14" s="427"/>
      <c r="K14" s="427"/>
      <c r="L14" s="427"/>
      <c r="M14" s="427"/>
      <c r="N14" s="427"/>
      <c r="O14" s="427"/>
      <c r="P14" s="427"/>
      <c r="Q14" s="427"/>
      <c r="R14" s="427"/>
      <c r="S14" s="427"/>
      <c r="T14" s="427"/>
      <c r="U14" s="427"/>
      <c r="V14" s="427"/>
      <c r="W14" s="427"/>
      <c r="X14" s="427"/>
      <c r="Y14" s="427"/>
      <c r="Z14" s="427"/>
      <c r="AA14" s="427"/>
      <c r="AB14" s="427"/>
      <c r="AC14" s="427"/>
      <c r="AD14" s="427"/>
      <c r="AE14" s="428"/>
      <c r="AF14" s="80"/>
      <c r="AG14" s="80"/>
      <c r="AH14" s="80"/>
      <c r="AI14" s="80"/>
      <c r="AJ14" s="80"/>
      <c r="AK14" s="80"/>
    </row>
    <row r="15" spans="1:37" ht="15" customHeight="1">
      <c r="A15" s="80"/>
      <c r="B15" s="426"/>
      <c r="C15" s="427"/>
      <c r="D15" s="427"/>
      <c r="E15" s="427"/>
      <c r="F15" s="427"/>
      <c r="G15" s="427"/>
      <c r="H15" s="427"/>
      <c r="I15" s="427"/>
      <c r="J15" s="427"/>
      <c r="K15" s="427"/>
      <c r="L15" s="427"/>
      <c r="M15" s="427"/>
      <c r="N15" s="427"/>
      <c r="O15" s="427"/>
      <c r="P15" s="427"/>
      <c r="Q15" s="427"/>
      <c r="R15" s="427"/>
      <c r="S15" s="427"/>
      <c r="T15" s="427"/>
      <c r="U15" s="427"/>
      <c r="V15" s="427"/>
      <c r="W15" s="427"/>
      <c r="X15" s="427"/>
      <c r="Y15" s="427"/>
      <c r="Z15" s="427"/>
      <c r="AA15" s="427"/>
      <c r="AB15" s="427"/>
      <c r="AC15" s="427"/>
      <c r="AD15" s="427"/>
      <c r="AE15" s="428"/>
      <c r="AF15" s="80"/>
      <c r="AG15" s="80"/>
      <c r="AH15" s="80"/>
      <c r="AI15" s="80"/>
      <c r="AJ15" s="80"/>
      <c r="AK15" s="80"/>
    </row>
    <row r="16" spans="1:37" ht="15" customHeight="1">
      <c r="A16" s="80"/>
      <c r="B16" s="429"/>
      <c r="C16" s="430"/>
      <c r="D16" s="430"/>
      <c r="E16" s="430"/>
      <c r="F16" s="430"/>
      <c r="G16" s="430"/>
      <c r="H16" s="430"/>
      <c r="I16" s="430"/>
      <c r="J16" s="430"/>
      <c r="K16" s="430"/>
      <c r="L16" s="430"/>
      <c r="M16" s="430"/>
      <c r="N16" s="430"/>
      <c r="O16" s="430"/>
      <c r="P16" s="430"/>
      <c r="Q16" s="430"/>
      <c r="R16" s="430"/>
      <c r="S16" s="430"/>
      <c r="T16" s="430"/>
      <c r="U16" s="430"/>
      <c r="V16" s="430"/>
      <c r="W16" s="430"/>
      <c r="X16" s="430"/>
      <c r="Y16" s="430"/>
      <c r="Z16" s="430"/>
      <c r="AA16" s="430"/>
      <c r="AB16" s="430"/>
      <c r="AC16" s="430"/>
      <c r="AD16" s="430"/>
      <c r="AE16" s="431"/>
      <c r="AF16" s="80"/>
      <c r="AG16" s="80"/>
      <c r="AH16" s="80"/>
      <c r="AI16" s="80"/>
      <c r="AJ16" s="80"/>
      <c r="AK16" s="80"/>
    </row>
    <row r="17" spans="1:37" ht="15" customHeight="1">
      <c r="A17" s="80"/>
      <c r="B17" s="80"/>
      <c r="C17" s="80"/>
      <c r="D17" s="80"/>
      <c r="E17" s="80"/>
      <c r="F17" s="80"/>
      <c r="G17" s="80"/>
      <c r="H17" s="80"/>
      <c r="I17" s="80"/>
      <c r="J17" s="80"/>
      <c r="K17" s="80"/>
      <c r="L17" s="80"/>
      <c r="M17" s="80"/>
      <c r="N17" s="80"/>
      <c r="O17" s="80"/>
      <c r="P17" s="80"/>
      <c r="Q17" s="80"/>
      <c r="R17" s="80"/>
      <c r="S17" s="80"/>
      <c r="T17" s="80"/>
      <c r="U17" s="80"/>
      <c r="V17" s="80"/>
      <c r="W17" s="80"/>
      <c r="X17" s="80"/>
      <c r="Y17" s="80"/>
      <c r="Z17" s="80"/>
      <c r="AA17" s="80"/>
      <c r="AB17" s="80"/>
      <c r="AC17" s="80"/>
      <c r="AD17" s="80"/>
      <c r="AE17" s="80"/>
      <c r="AF17" s="80"/>
      <c r="AG17" s="80"/>
      <c r="AH17" s="80"/>
      <c r="AI17" s="80"/>
      <c r="AJ17" s="80"/>
      <c r="AK17" s="80"/>
    </row>
    <row r="18" spans="1:37" ht="15" customHeight="1">
      <c r="A18" s="80"/>
      <c r="B18" s="80"/>
      <c r="C18" s="80"/>
      <c r="D18" s="80"/>
      <c r="E18" s="80"/>
      <c r="F18" s="80"/>
      <c r="G18" s="80"/>
      <c r="H18" s="80"/>
      <c r="I18" s="80"/>
      <c r="J18" s="80"/>
      <c r="K18" s="80"/>
      <c r="L18" s="80"/>
      <c r="M18" s="80"/>
      <c r="N18" s="80"/>
      <c r="O18" s="80"/>
      <c r="P18" s="80"/>
      <c r="Q18" s="80"/>
      <c r="R18" s="80"/>
      <c r="S18" s="80"/>
      <c r="T18" s="80"/>
      <c r="U18" s="80"/>
      <c r="V18" s="80"/>
      <c r="W18" s="80"/>
      <c r="X18" s="80"/>
      <c r="Y18" s="80"/>
      <c r="Z18" s="80"/>
      <c r="AA18" s="80"/>
      <c r="AB18" s="80"/>
      <c r="AC18" s="80"/>
      <c r="AD18" s="80"/>
      <c r="AE18" s="80"/>
      <c r="AF18" s="80"/>
      <c r="AG18" s="80"/>
      <c r="AH18" s="80"/>
      <c r="AI18" s="80"/>
      <c r="AJ18" s="80"/>
      <c r="AK18" s="80"/>
    </row>
    <row r="19" spans="1:37" ht="15" customHeight="1">
      <c r="A19" s="80"/>
      <c r="B19" s="80"/>
      <c r="C19" s="80"/>
      <c r="D19" s="80"/>
      <c r="E19" s="80"/>
      <c r="F19" s="80"/>
      <c r="G19" s="80"/>
      <c r="H19" s="80"/>
      <c r="I19" s="80"/>
      <c r="J19" s="80"/>
      <c r="K19" s="80"/>
      <c r="L19" s="80"/>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row>
    <row r="20" spans="1:37" ht="15" customHeight="1">
      <c r="A20" s="80"/>
      <c r="B20" s="80"/>
      <c r="C20" s="80"/>
      <c r="D20" s="80"/>
      <c r="E20" s="80"/>
      <c r="F20" s="80"/>
      <c r="G20" s="80"/>
      <c r="H20" s="80"/>
      <c r="I20" s="80"/>
      <c r="J20" s="80"/>
      <c r="K20" s="80"/>
      <c r="L20" s="80"/>
      <c r="M20" s="80"/>
      <c r="N20" s="80"/>
      <c r="O20" s="80"/>
      <c r="P20" s="80"/>
      <c r="Q20" s="80"/>
      <c r="R20" s="80"/>
      <c r="S20" s="80"/>
      <c r="T20" s="80"/>
      <c r="U20" s="80"/>
      <c r="V20" s="80"/>
      <c r="W20" s="80"/>
      <c r="X20" s="80"/>
      <c r="Y20" s="80"/>
      <c r="Z20" s="80"/>
      <c r="AA20" s="80"/>
      <c r="AB20" s="80"/>
      <c r="AC20" s="80"/>
      <c r="AD20" s="80"/>
      <c r="AE20" s="80"/>
      <c r="AF20" s="80"/>
      <c r="AG20" s="80"/>
      <c r="AH20" s="80"/>
      <c r="AI20" s="80"/>
      <c r="AJ20" s="80"/>
      <c r="AK20" s="80"/>
    </row>
    <row r="21" spans="1:37" ht="15" customHeight="1">
      <c r="A21" s="80"/>
      <c r="B21" s="80"/>
      <c r="C21" s="80"/>
      <c r="D21" s="80"/>
      <c r="E21" s="80"/>
      <c r="F21" s="80"/>
      <c r="G21" s="80"/>
      <c r="H21" s="80"/>
      <c r="I21" s="80"/>
      <c r="J21" s="80"/>
      <c r="K21" s="80"/>
      <c r="L21" s="80"/>
      <c r="M21" s="80"/>
      <c r="N21" s="80"/>
      <c r="O21" s="80"/>
      <c r="P21" s="80"/>
      <c r="Q21" s="80"/>
      <c r="R21" s="80"/>
      <c r="S21" s="80"/>
      <c r="T21" s="80"/>
      <c r="U21" s="80"/>
      <c r="V21" s="80"/>
      <c r="W21" s="80"/>
      <c r="X21" s="80"/>
      <c r="Y21" s="80"/>
      <c r="Z21" s="80"/>
      <c r="AA21" s="80"/>
      <c r="AB21" s="80"/>
      <c r="AC21" s="80"/>
      <c r="AD21" s="80"/>
      <c r="AE21" s="80"/>
      <c r="AF21" s="80"/>
      <c r="AG21" s="80"/>
      <c r="AH21" s="80"/>
      <c r="AI21" s="80"/>
      <c r="AJ21" s="80"/>
      <c r="AK21" s="80"/>
    </row>
    <row r="22" spans="1:37" ht="15" customHeight="1">
      <c r="A22" s="80"/>
      <c r="B22" s="417" t="s">
        <v>352</v>
      </c>
      <c r="C22" s="417"/>
      <c r="D22" s="417"/>
      <c r="E22" s="417"/>
      <c r="F22" s="417"/>
      <c r="G22" s="417"/>
      <c r="H22" s="417"/>
      <c r="I22" s="417"/>
      <c r="J22" s="417"/>
      <c r="K22" s="417"/>
      <c r="L22" s="417"/>
      <c r="M22" s="417"/>
      <c r="N22" s="417"/>
      <c r="O22" s="417"/>
      <c r="P22" s="417"/>
      <c r="Q22" s="417"/>
      <c r="R22" s="417"/>
      <c r="S22" s="417"/>
      <c r="T22" s="417"/>
      <c r="U22" s="417"/>
      <c r="V22" s="417"/>
      <c r="W22" s="417"/>
      <c r="X22" s="417"/>
      <c r="Y22" s="417"/>
      <c r="Z22" s="417"/>
      <c r="AA22" s="417"/>
      <c r="AB22" s="417"/>
      <c r="AC22" s="417"/>
      <c r="AD22" s="417"/>
      <c r="AE22" s="417"/>
      <c r="AF22" s="80"/>
      <c r="AG22" s="80"/>
      <c r="AH22" s="80"/>
      <c r="AI22" s="80"/>
      <c r="AJ22" s="80"/>
      <c r="AK22" s="80"/>
    </row>
    <row r="23" spans="1:37" ht="15" customHeight="1">
      <c r="A23" s="80"/>
      <c r="B23" s="417"/>
      <c r="C23" s="417"/>
      <c r="D23" s="417"/>
      <c r="E23" s="417"/>
      <c r="F23" s="417"/>
      <c r="G23" s="417"/>
      <c r="H23" s="417"/>
      <c r="I23" s="417"/>
      <c r="J23" s="417"/>
      <c r="K23" s="417"/>
      <c r="L23" s="417"/>
      <c r="M23" s="417"/>
      <c r="N23" s="417"/>
      <c r="O23" s="417"/>
      <c r="P23" s="417"/>
      <c r="Q23" s="417"/>
      <c r="R23" s="417"/>
      <c r="S23" s="417"/>
      <c r="T23" s="417"/>
      <c r="U23" s="417"/>
      <c r="V23" s="417"/>
      <c r="W23" s="417"/>
      <c r="X23" s="417"/>
      <c r="Y23" s="417"/>
      <c r="Z23" s="417"/>
      <c r="AA23" s="417"/>
      <c r="AB23" s="417"/>
      <c r="AC23" s="417"/>
      <c r="AD23" s="417"/>
      <c r="AE23" s="417"/>
      <c r="AF23" s="80"/>
      <c r="AG23" s="80"/>
      <c r="AH23" s="80"/>
      <c r="AI23" s="80"/>
      <c r="AJ23" s="80"/>
      <c r="AK23" s="80"/>
    </row>
    <row r="24" spans="1:37" ht="15" customHeight="1">
      <c r="A24" s="80"/>
      <c r="B24" s="432">
        <v>45546</v>
      </c>
      <c r="C24" s="432"/>
      <c r="D24" s="432"/>
      <c r="E24" s="432"/>
      <c r="F24" s="432"/>
      <c r="G24" s="432"/>
      <c r="H24" s="432"/>
      <c r="I24" s="432"/>
      <c r="J24" s="432"/>
      <c r="K24" s="432"/>
      <c r="L24" s="432"/>
      <c r="M24" s="432"/>
      <c r="N24" s="432"/>
      <c r="O24" s="432"/>
      <c r="P24" s="432"/>
      <c r="Q24" s="432"/>
      <c r="R24" s="432"/>
      <c r="S24" s="432"/>
      <c r="T24" s="432"/>
      <c r="U24" s="432"/>
      <c r="V24" s="432"/>
      <c r="W24" s="432"/>
      <c r="X24" s="432"/>
      <c r="Y24" s="432"/>
      <c r="Z24" s="432"/>
      <c r="AA24" s="432"/>
      <c r="AB24" s="432"/>
      <c r="AC24" s="432"/>
      <c r="AD24" s="432"/>
      <c r="AE24" s="432"/>
      <c r="AF24" s="80"/>
      <c r="AG24" s="80"/>
      <c r="AH24" s="80"/>
      <c r="AI24" s="80"/>
      <c r="AJ24" s="80"/>
      <c r="AK24" s="80"/>
    </row>
    <row r="25" spans="1:37" ht="15" customHeight="1">
      <c r="A25" s="80"/>
      <c r="B25" s="432"/>
      <c r="C25" s="432"/>
      <c r="D25" s="432"/>
      <c r="E25" s="432"/>
      <c r="F25" s="432"/>
      <c r="G25" s="432"/>
      <c r="H25" s="432"/>
      <c r="I25" s="432"/>
      <c r="J25" s="432"/>
      <c r="K25" s="432"/>
      <c r="L25" s="432"/>
      <c r="M25" s="432"/>
      <c r="N25" s="432"/>
      <c r="O25" s="432"/>
      <c r="P25" s="432"/>
      <c r="Q25" s="432"/>
      <c r="R25" s="432"/>
      <c r="S25" s="432"/>
      <c r="T25" s="432"/>
      <c r="U25" s="432"/>
      <c r="V25" s="432"/>
      <c r="W25" s="432"/>
      <c r="X25" s="432"/>
      <c r="Y25" s="432"/>
      <c r="Z25" s="432"/>
      <c r="AA25" s="432"/>
      <c r="AB25" s="432"/>
      <c r="AC25" s="432"/>
      <c r="AD25" s="432"/>
      <c r="AE25" s="432"/>
      <c r="AF25" s="80"/>
      <c r="AG25" s="80"/>
      <c r="AH25" s="80"/>
      <c r="AI25" s="80"/>
      <c r="AJ25" s="80"/>
      <c r="AK25" s="80"/>
    </row>
    <row r="26" spans="1:37" ht="15" customHeight="1">
      <c r="A26" s="80"/>
      <c r="B26" s="417" t="s">
        <v>353</v>
      </c>
      <c r="C26" s="417"/>
      <c r="D26" s="417"/>
      <c r="E26" s="417"/>
      <c r="F26" s="417"/>
      <c r="G26" s="417"/>
      <c r="H26" s="417"/>
      <c r="I26" s="417"/>
      <c r="J26" s="417"/>
      <c r="K26" s="417"/>
      <c r="L26" s="417"/>
      <c r="M26" s="417"/>
      <c r="N26" s="417"/>
      <c r="O26" s="417"/>
      <c r="P26" s="417"/>
      <c r="Q26" s="417"/>
      <c r="R26" s="417"/>
      <c r="S26" s="417"/>
      <c r="T26" s="417"/>
      <c r="U26" s="417"/>
      <c r="V26" s="417"/>
      <c r="W26" s="417"/>
      <c r="X26" s="417"/>
      <c r="Y26" s="417"/>
      <c r="Z26" s="417"/>
      <c r="AA26" s="417"/>
      <c r="AB26" s="417"/>
      <c r="AC26" s="417"/>
      <c r="AD26" s="417"/>
      <c r="AE26" s="417"/>
      <c r="AF26" s="80"/>
      <c r="AG26" s="80"/>
      <c r="AH26" s="80"/>
      <c r="AI26" s="80"/>
      <c r="AJ26" s="80"/>
      <c r="AK26" s="80"/>
    </row>
    <row r="27" spans="1:37" ht="15" customHeight="1">
      <c r="A27" s="80"/>
      <c r="B27" s="417"/>
      <c r="C27" s="417"/>
      <c r="D27" s="417"/>
      <c r="E27" s="417"/>
      <c r="F27" s="417"/>
      <c r="G27" s="417"/>
      <c r="H27" s="417"/>
      <c r="I27" s="417"/>
      <c r="J27" s="417"/>
      <c r="K27" s="417"/>
      <c r="L27" s="417"/>
      <c r="M27" s="417"/>
      <c r="N27" s="417"/>
      <c r="O27" s="417"/>
      <c r="P27" s="417"/>
      <c r="Q27" s="417"/>
      <c r="R27" s="417"/>
      <c r="S27" s="417"/>
      <c r="T27" s="417"/>
      <c r="U27" s="417"/>
      <c r="V27" s="417"/>
      <c r="W27" s="417"/>
      <c r="X27" s="417"/>
      <c r="Y27" s="417"/>
      <c r="Z27" s="417"/>
      <c r="AA27" s="417"/>
      <c r="AB27" s="417"/>
      <c r="AC27" s="417"/>
      <c r="AD27" s="417"/>
      <c r="AE27" s="417"/>
      <c r="AF27" s="80"/>
      <c r="AG27" s="80"/>
      <c r="AH27" s="80"/>
      <c r="AI27" s="80"/>
      <c r="AJ27" s="80"/>
      <c r="AK27" s="80"/>
    </row>
    <row r="28" spans="1:37" ht="15" customHeight="1">
      <c r="A28" s="80"/>
      <c r="B28" s="80"/>
      <c r="C28" s="80"/>
      <c r="D28" s="80"/>
      <c r="E28" s="80"/>
      <c r="F28" s="80"/>
      <c r="G28" s="80"/>
      <c r="H28" s="80"/>
      <c r="I28" s="80"/>
      <c r="J28" s="80"/>
      <c r="K28" s="80"/>
      <c r="L28" s="80"/>
      <c r="M28" s="80"/>
      <c r="N28" s="80"/>
      <c r="O28" s="80"/>
      <c r="P28" s="80"/>
      <c r="Q28" s="80"/>
      <c r="R28" s="80"/>
      <c r="S28" s="80"/>
      <c r="T28" s="80"/>
      <c r="U28" s="80"/>
      <c r="V28" s="80"/>
      <c r="W28" s="80"/>
      <c r="X28" s="80"/>
      <c r="Y28" s="80"/>
      <c r="Z28" s="80"/>
      <c r="AA28" s="80"/>
      <c r="AB28" s="80"/>
      <c r="AC28" s="80"/>
      <c r="AD28" s="80"/>
      <c r="AE28" s="80"/>
      <c r="AF28" s="80"/>
      <c r="AG28" s="80"/>
      <c r="AH28" s="80"/>
      <c r="AI28" s="80"/>
      <c r="AJ28" s="80"/>
      <c r="AK28" s="80"/>
    </row>
    <row r="29" spans="1:37" ht="15" customHeight="1">
      <c r="A29" s="80"/>
      <c r="B29" s="80"/>
      <c r="C29" s="80"/>
      <c r="D29" s="80"/>
      <c r="E29" s="80"/>
      <c r="F29" s="412" t="s">
        <v>354</v>
      </c>
      <c r="G29" s="412"/>
      <c r="H29" s="412"/>
      <c r="I29" s="412"/>
      <c r="J29" s="412"/>
      <c r="K29" s="412"/>
      <c r="L29" s="86"/>
      <c r="M29" s="86"/>
      <c r="N29" s="86"/>
      <c r="O29" s="404" t="s">
        <v>355</v>
      </c>
      <c r="P29" s="412"/>
      <c r="Q29" s="412"/>
      <c r="R29" s="412"/>
      <c r="S29" s="86"/>
      <c r="T29" s="86"/>
      <c r="U29" s="86"/>
      <c r="V29" s="80"/>
      <c r="W29" s="80"/>
      <c r="X29" s="80"/>
      <c r="Y29" s="80"/>
      <c r="Z29" s="80"/>
      <c r="AA29" s="80"/>
      <c r="AB29" s="80"/>
      <c r="AC29" s="80"/>
      <c r="AD29" s="80"/>
      <c r="AE29" s="80"/>
      <c r="AF29" s="80"/>
      <c r="AG29" s="80"/>
      <c r="AH29" s="80"/>
      <c r="AI29" s="80"/>
      <c r="AJ29" s="80"/>
      <c r="AK29" s="80"/>
    </row>
    <row r="30" spans="1:37">
      <c r="A30" s="80"/>
      <c r="B30" s="80"/>
      <c r="C30" s="80"/>
      <c r="D30" s="80"/>
      <c r="E30" s="80"/>
      <c r="F30" s="414">
        <v>45546</v>
      </c>
      <c r="G30" s="415"/>
      <c r="H30" s="415"/>
      <c r="I30" s="415"/>
      <c r="J30" s="415"/>
      <c r="K30" s="415"/>
      <c r="L30" s="87"/>
      <c r="M30" s="86"/>
      <c r="N30" s="414" t="s">
        <v>358</v>
      </c>
      <c r="O30" s="415"/>
      <c r="P30" s="415"/>
      <c r="Q30" s="415"/>
      <c r="R30" s="415"/>
      <c r="S30" s="416"/>
      <c r="T30" s="86"/>
      <c r="U30" s="86"/>
      <c r="V30" s="80"/>
      <c r="W30" s="80"/>
      <c r="X30" s="80"/>
      <c r="Y30" s="80"/>
      <c r="Z30" s="80"/>
      <c r="AA30" s="80"/>
      <c r="AB30" s="80"/>
      <c r="AC30" s="80"/>
      <c r="AD30" s="80"/>
      <c r="AE30" s="80"/>
      <c r="AF30" s="80"/>
      <c r="AG30" s="80"/>
      <c r="AH30" s="80"/>
      <c r="AI30" s="80"/>
      <c r="AJ30" s="80"/>
      <c r="AK30" s="80"/>
    </row>
    <row r="31" spans="1:37" ht="15" customHeight="1">
      <c r="A31" s="80"/>
      <c r="B31" s="80"/>
      <c r="C31" s="80"/>
      <c r="D31" s="80"/>
      <c r="E31" s="80"/>
      <c r="F31" s="397" t="s">
        <v>2904</v>
      </c>
      <c r="G31" s="398"/>
      <c r="H31" s="398"/>
      <c r="I31" s="398"/>
      <c r="J31" s="398"/>
      <c r="K31" s="399"/>
      <c r="L31" s="87"/>
      <c r="M31" s="86"/>
      <c r="N31" s="397" t="s">
        <v>356</v>
      </c>
      <c r="O31" s="406"/>
      <c r="P31" s="406"/>
      <c r="Q31" s="406"/>
      <c r="R31" s="406"/>
      <c r="S31" s="407"/>
      <c r="T31" s="86"/>
      <c r="U31" s="86"/>
      <c r="V31" s="80"/>
      <c r="W31" s="80"/>
      <c r="X31" s="80"/>
      <c r="Y31" s="80"/>
      <c r="Z31" s="80"/>
      <c r="AA31" s="80"/>
      <c r="AB31" s="80"/>
      <c r="AC31" s="80"/>
      <c r="AD31" s="80"/>
      <c r="AE31" s="80"/>
      <c r="AF31" s="80"/>
      <c r="AG31" s="80"/>
      <c r="AH31" s="80"/>
      <c r="AI31" s="80"/>
      <c r="AJ31" s="80"/>
      <c r="AK31" s="80"/>
    </row>
    <row r="32" spans="1:37">
      <c r="A32" s="80"/>
      <c r="B32" s="80"/>
      <c r="C32" s="80"/>
      <c r="D32" s="80"/>
      <c r="E32" s="80"/>
      <c r="F32" s="400"/>
      <c r="G32" s="401"/>
      <c r="H32" s="401"/>
      <c r="I32" s="401"/>
      <c r="J32" s="401"/>
      <c r="K32" s="402"/>
      <c r="L32" s="87"/>
      <c r="M32" s="86"/>
      <c r="N32" s="408"/>
      <c r="O32" s="409"/>
      <c r="P32" s="409"/>
      <c r="Q32" s="409"/>
      <c r="R32" s="409"/>
      <c r="S32" s="410"/>
      <c r="T32" s="86"/>
      <c r="U32" s="86"/>
      <c r="V32" s="80"/>
      <c r="W32" s="80"/>
      <c r="X32" s="80"/>
      <c r="Y32" s="80"/>
      <c r="Z32" s="80"/>
      <c r="AA32" s="80"/>
      <c r="AB32" s="80"/>
      <c r="AC32" s="80"/>
      <c r="AD32" s="80"/>
      <c r="AE32" s="80"/>
      <c r="AF32" s="80"/>
      <c r="AG32" s="80"/>
      <c r="AH32" s="80"/>
      <c r="AI32" s="80"/>
      <c r="AJ32" s="80"/>
      <c r="AK32" s="80"/>
    </row>
    <row r="33" spans="1:37">
      <c r="A33" s="80"/>
      <c r="B33" s="80"/>
      <c r="C33" s="80"/>
      <c r="D33" s="80"/>
      <c r="E33" s="80"/>
      <c r="F33" s="400"/>
      <c r="G33" s="401"/>
      <c r="H33" s="401"/>
      <c r="I33" s="401"/>
      <c r="J33" s="401"/>
      <c r="K33" s="402"/>
      <c r="L33" s="87"/>
      <c r="M33" s="86"/>
      <c r="N33" s="408"/>
      <c r="O33" s="409"/>
      <c r="P33" s="409"/>
      <c r="Q33" s="409"/>
      <c r="R33" s="409"/>
      <c r="S33" s="410"/>
      <c r="T33" s="86"/>
      <c r="U33" s="86"/>
      <c r="V33" s="80"/>
      <c r="W33" s="80"/>
      <c r="X33" s="80"/>
      <c r="Y33" s="80"/>
      <c r="Z33" s="80"/>
      <c r="AA33" s="80"/>
      <c r="AB33" s="80"/>
      <c r="AC33" s="80"/>
      <c r="AD33" s="80"/>
      <c r="AE33" s="80"/>
      <c r="AF33" s="80"/>
      <c r="AG33" s="80"/>
      <c r="AH33" s="80"/>
      <c r="AI33" s="80"/>
      <c r="AJ33" s="80"/>
      <c r="AK33" s="80"/>
    </row>
    <row r="34" spans="1:37">
      <c r="A34" s="80"/>
      <c r="B34" s="80"/>
      <c r="C34" s="80"/>
      <c r="D34" s="80"/>
      <c r="E34" s="80"/>
      <c r="F34" s="400"/>
      <c r="G34" s="401"/>
      <c r="H34" s="401"/>
      <c r="I34" s="401"/>
      <c r="J34" s="401"/>
      <c r="K34" s="402"/>
      <c r="L34" s="87"/>
      <c r="M34" s="86"/>
      <c r="N34" s="408"/>
      <c r="O34" s="409"/>
      <c r="P34" s="409"/>
      <c r="Q34" s="409"/>
      <c r="R34" s="409"/>
      <c r="S34" s="410"/>
      <c r="T34" s="86"/>
      <c r="U34" s="86"/>
      <c r="V34" s="80"/>
      <c r="W34" s="80"/>
      <c r="X34" s="80"/>
      <c r="Y34" s="80"/>
      <c r="Z34" s="80"/>
      <c r="AA34" s="80"/>
      <c r="AB34" s="80"/>
      <c r="AC34" s="80"/>
      <c r="AD34" s="80"/>
      <c r="AE34" s="80"/>
      <c r="AF34" s="80"/>
      <c r="AG34" s="80"/>
      <c r="AH34" s="80"/>
      <c r="AI34" s="80"/>
      <c r="AJ34" s="80"/>
      <c r="AK34" s="80"/>
    </row>
    <row r="35" spans="1:37">
      <c r="A35" s="80"/>
      <c r="B35" s="80"/>
      <c r="C35" s="80"/>
      <c r="D35" s="80"/>
      <c r="E35" s="80"/>
      <c r="F35" s="403"/>
      <c r="G35" s="404"/>
      <c r="H35" s="404"/>
      <c r="I35" s="404"/>
      <c r="J35" s="404"/>
      <c r="K35" s="405"/>
      <c r="L35" s="87"/>
      <c r="M35" s="86"/>
      <c r="N35" s="411"/>
      <c r="O35" s="412"/>
      <c r="P35" s="412"/>
      <c r="Q35" s="412"/>
      <c r="R35" s="412"/>
      <c r="S35" s="413"/>
      <c r="T35" s="86"/>
      <c r="U35" s="86"/>
      <c r="V35" s="80"/>
      <c r="W35" s="80"/>
      <c r="X35" s="80"/>
      <c r="Y35" s="80"/>
      <c r="Z35" s="80"/>
      <c r="AA35" s="80"/>
      <c r="AB35" s="80"/>
      <c r="AC35" s="80"/>
      <c r="AD35" s="80"/>
      <c r="AE35" s="80"/>
      <c r="AF35" s="80"/>
      <c r="AG35" s="80"/>
      <c r="AH35" s="80"/>
      <c r="AI35" s="80"/>
      <c r="AJ35" s="80"/>
      <c r="AK35" s="80"/>
    </row>
    <row r="36" spans="1:37" ht="15" customHeight="1">
      <c r="A36" s="80"/>
      <c r="B36" s="80"/>
      <c r="C36" s="80"/>
      <c r="D36" s="80"/>
      <c r="E36" s="80"/>
      <c r="F36" s="80"/>
      <c r="G36" s="80"/>
      <c r="H36" s="80"/>
      <c r="I36" s="80"/>
      <c r="J36" s="80"/>
      <c r="K36" s="80"/>
      <c r="L36" s="80"/>
      <c r="M36" s="80"/>
      <c r="N36" s="80"/>
      <c r="O36" s="80"/>
      <c r="P36" s="80"/>
      <c r="Q36" s="80"/>
      <c r="R36" s="80"/>
      <c r="S36" s="80"/>
      <c r="T36" s="80"/>
      <c r="U36" s="80"/>
      <c r="V36" s="80"/>
      <c r="W36" s="80"/>
      <c r="X36" s="80"/>
      <c r="Y36" s="80"/>
      <c r="Z36" s="80"/>
      <c r="AA36" s="80"/>
      <c r="AB36" s="80"/>
      <c r="AC36" s="80"/>
      <c r="AD36" s="80"/>
      <c r="AE36" s="80"/>
      <c r="AF36" s="80"/>
      <c r="AG36" s="80"/>
      <c r="AH36" s="80"/>
      <c r="AI36" s="80"/>
      <c r="AJ36" s="80"/>
      <c r="AK36" s="80"/>
    </row>
    <row r="37" spans="1:37" ht="15" customHeight="1">
      <c r="A37" s="80"/>
      <c r="B37" s="80"/>
      <c r="C37" s="80"/>
      <c r="D37" s="80"/>
      <c r="E37" s="80"/>
      <c r="F37" s="80"/>
      <c r="G37" s="80"/>
      <c r="H37" s="80"/>
      <c r="I37" s="80"/>
      <c r="J37" s="80"/>
      <c r="K37" s="80"/>
      <c r="L37" s="80"/>
      <c r="M37" s="80"/>
      <c r="N37" s="80"/>
      <c r="O37" s="80"/>
      <c r="P37" s="80"/>
      <c r="Q37" s="80"/>
      <c r="R37" s="80"/>
      <c r="S37" s="80"/>
      <c r="T37" s="80"/>
      <c r="U37" s="80"/>
      <c r="V37" s="80"/>
      <c r="W37" s="80"/>
      <c r="X37" s="80"/>
      <c r="Y37" s="80"/>
      <c r="Z37" s="80"/>
      <c r="AA37" s="80"/>
      <c r="AB37" s="80"/>
      <c r="AC37" s="80"/>
      <c r="AD37" s="80"/>
      <c r="AE37" s="80"/>
      <c r="AF37" s="80"/>
      <c r="AG37" s="80"/>
      <c r="AH37" s="80"/>
      <c r="AI37" s="80"/>
      <c r="AJ37" s="80"/>
      <c r="AK37" s="80"/>
    </row>
  </sheetData>
  <mergeCells count="12">
    <mergeCell ref="B26:AE27"/>
    <mergeCell ref="J4:L5"/>
    <mergeCell ref="B10:AE13"/>
    <mergeCell ref="B14:AE16"/>
    <mergeCell ref="B22:AE23"/>
    <mergeCell ref="B24:AE25"/>
    <mergeCell ref="F31:K35"/>
    <mergeCell ref="N31:S35"/>
    <mergeCell ref="F29:K29"/>
    <mergeCell ref="O29:R29"/>
    <mergeCell ref="F30:K30"/>
    <mergeCell ref="N30:S30"/>
  </mergeCells>
  <phoneticPr fontId="14"/>
  <pageMargins left="0.7" right="0.7" top="0.75" bottom="0.75" header="0.3" footer="0.3"/>
  <pageSetup paperSize="9" scale="67"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9059C-E936-4D2C-B3D5-5D854EC3116D}">
  <sheetPr codeName="Sheet4"/>
  <dimension ref="A1:J17"/>
  <sheetViews>
    <sheetView showGridLines="0" zoomScaleNormal="100" zoomScaleSheetLayoutView="100" workbookViewId="0">
      <pane ySplit="3" topLeftCell="A4" activePane="bottomLeft" state="frozen"/>
      <selection pane="bottomLeft" activeCell="H11" sqref="H11"/>
    </sheetView>
  </sheetViews>
  <sheetFormatPr defaultColWidth="8.78515625" defaultRowHeight="15"/>
  <cols>
    <col min="1" max="1" width="2.78515625" customWidth="1"/>
    <col min="2" max="2" width="3.78515625" bestFit="1" customWidth="1"/>
    <col min="3" max="3" width="16" bestFit="1" customWidth="1"/>
    <col min="4" max="4" width="12.140625" style="65" bestFit="1" customWidth="1"/>
    <col min="5" max="5" width="24.42578125" bestFit="1" customWidth="1"/>
    <col min="6" max="6" width="12.140625" style="65" bestFit="1" customWidth="1"/>
    <col min="7" max="7" width="12.140625" style="65" customWidth="1"/>
    <col min="8" max="8" width="68.140625" customWidth="1"/>
    <col min="9" max="9" width="59.2109375" customWidth="1"/>
    <col min="10" max="10" width="19.640625" customWidth="1"/>
  </cols>
  <sheetData>
    <row r="1" spans="1:10" ht="19.5">
      <c r="A1" s="62" t="s">
        <v>362</v>
      </c>
      <c r="E1" s="10"/>
    </row>
    <row r="3" spans="1:10">
      <c r="B3" s="63" t="s">
        <v>0</v>
      </c>
      <c r="C3" s="63" t="s">
        <v>2</v>
      </c>
      <c r="D3" s="66" t="s">
        <v>314</v>
      </c>
      <c r="E3" s="63" t="s">
        <v>3</v>
      </c>
      <c r="F3" s="66" t="s">
        <v>364</v>
      </c>
      <c r="G3" s="66" t="s">
        <v>365</v>
      </c>
      <c r="H3" s="63" t="s">
        <v>4</v>
      </c>
      <c r="I3" s="63" t="s">
        <v>5</v>
      </c>
    </row>
    <row r="4" spans="1:10" ht="30">
      <c r="B4" s="61">
        <f t="shared" ref="B4:B16" si="0">ROW()-3</f>
        <v>1</v>
      </c>
      <c r="C4" s="61" t="s">
        <v>6</v>
      </c>
      <c r="D4" s="89" t="s">
        <v>315</v>
      </c>
      <c r="E4" s="95" t="s">
        <v>8</v>
      </c>
      <c r="F4" s="89"/>
      <c r="G4" s="89"/>
      <c r="H4" s="90" t="s">
        <v>2690</v>
      </c>
      <c r="I4" s="90" t="s">
        <v>346</v>
      </c>
      <c r="J4" s="64"/>
    </row>
    <row r="5" spans="1:10" ht="45">
      <c r="B5" s="61">
        <f t="shared" si="0"/>
        <v>2</v>
      </c>
      <c r="C5" s="61" t="s">
        <v>6</v>
      </c>
      <c r="D5" s="89" t="s">
        <v>315</v>
      </c>
      <c r="E5" s="95" t="s">
        <v>7</v>
      </c>
      <c r="F5" s="89" t="s">
        <v>2913</v>
      </c>
      <c r="G5" s="396">
        <v>45548</v>
      </c>
      <c r="H5" s="90" t="s">
        <v>2684</v>
      </c>
      <c r="I5" s="90" t="s">
        <v>366</v>
      </c>
      <c r="J5" s="64"/>
    </row>
    <row r="6" spans="1:10" ht="45">
      <c r="B6" s="61">
        <f t="shared" si="0"/>
        <v>3</v>
      </c>
      <c r="C6" s="61" t="s">
        <v>367</v>
      </c>
      <c r="D6" s="89" t="s">
        <v>315</v>
      </c>
      <c r="E6" s="95" t="s">
        <v>374</v>
      </c>
      <c r="F6" s="89"/>
      <c r="G6" s="89"/>
      <c r="H6" s="90" t="s">
        <v>370</v>
      </c>
      <c r="I6" s="90" t="s">
        <v>371</v>
      </c>
      <c r="J6" s="64"/>
    </row>
    <row r="7" spans="1:10" ht="45">
      <c r="B7" s="480">
        <f t="shared" si="0"/>
        <v>4</v>
      </c>
      <c r="C7" s="480" t="s">
        <v>367</v>
      </c>
      <c r="D7" s="481" t="s">
        <v>315</v>
      </c>
      <c r="E7" s="482" t="s">
        <v>368</v>
      </c>
      <c r="F7" s="481" t="s">
        <v>2809</v>
      </c>
      <c r="G7" s="481" t="s">
        <v>2809</v>
      </c>
      <c r="H7" s="483" t="s">
        <v>2685</v>
      </c>
      <c r="I7" s="483" t="s">
        <v>372</v>
      </c>
      <c r="J7" s="64"/>
    </row>
    <row r="8" spans="1:10" ht="30">
      <c r="B8" s="61">
        <f t="shared" si="0"/>
        <v>5</v>
      </c>
      <c r="C8" s="61" t="s">
        <v>367</v>
      </c>
      <c r="D8" s="89" t="s">
        <v>315</v>
      </c>
      <c r="E8" s="95" t="s">
        <v>369</v>
      </c>
      <c r="F8" s="89"/>
      <c r="G8" s="89"/>
      <c r="H8" s="90" t="s">
        <v>2691</v>
      </c>
      <c r="I8" s="90" t="s">
        <v>373</v>
      </c>
      <c r="J8" s="64"/>
    </row>
    <row r="9" spans="1:10" ht="45">
      <c r="B9" s="61">
        <f t="shared" si="0"/>
        <v>6</v>
      </c>
      <c r="C9" s="61" t="s">
        <v>367</v>
      </c>
      <c r="D9" s="89" t="s">
        <v>315</v>
      </c>
      <c r="E9" s="95" t="s">
        <v>2816</v>
      </c>
      <c r="F9" s="89"/>
      <c r="G9" s="89"/>
      <c r="H9" s="90" t="s">
        <v>2819</v>
      </c>
      <c r="I9" s="90" t="s">
        <v>2820</v>
      </c>
      <c r="J9" s="64"/>
    </row>
    <row r="10" spans="1:10" ht="30">
      <c r="B10" s="61">
        <f t="shared" si="0"/>
        <v>7</v>
      </c>
      <c r="C10" s="61" t="s">
        <v>375</v>
      </c>
      <c r="D10" s="89" t="s">
        <v>376</v>
      </c>
      <c r="E10" s="95" t="s">
        <v>377</v>
      </c>
      <c r="F10" s="89"/>
      <c r="G10" s="89"/>
      <c r="H10" s="90" t="s">
        <v>2687</v>
      </c>
      <c r="I10" s="90" t="s">
        <v>378</v>
      </c>
      <c r="J10" s="64"/>
    </row>
    <row r="11" spans="1:10" ht="30">
      <c r="B11" s="61">
        <f t="shared" si="0"/>
        <v>8</v>
      </c>
      <c r="C11" s="61" t="s">
        <v>379</v>
      </c>
      <c r="D11" s="89" t="s">
        <v>380</v>
      </c>
      <c r="E11" s="95" t="s">
        <v>381</v>
      </c>
      <c r="F11" s="89"/>
      <c r="G11" s="89"/>
      <c r="H11" s="90" t="s">
        <v>382</v>
      </c>
      <c r="I11" s="90" t="s">
        <v>383</v>
      </c>
      <c r="J11" s="64"/>
    </row>
    <row r="12" spans="1:10" ht="30">
      <c r="B12" s="61">
        <f t="shared" si="0"/>
        <v>9</v>
      </c>
      <c r="C12" s="61" t="s">
        <v>387</v>
      </c>
      <c r="D12" s="91" t="s">
        <v>384</v>
      </c>
      <c r="E12" s="95" t="s">
        <v>385</v>
      </c>
      <c r="F12" s="91"/>
      <c r="G12" s="91"/>
      <c r="H12" s="90" t="s">
        <v>386</v>
      </c>
      <c r="I12" s="90" t="s">
        <v>388</v>
      </c>
      <c r="J12" s="64"/>
    </row>
    <row r="13" spans="1:10" ht="30">
      <c r="B13" s="61">
        <f t="shared" si="0"/>
        <v>10</v>
      </c>
      <c r="C13" s="61" t="s">
        <v>390</v>
      </c>
      <c r="D13" s="91" t="s">
        <v>334</v>
      </c>
      <c r="E13" s="95" t="s">
        <v>391</v>
      </c>
      <c r="F13" s="89"/>
      <c r="G13" s="91"/>
      <c r="H13" s="90" t="s">
        <v>2707</v>
      </c>
      <c r="I13" s="90" t="s">
        <v>392</v>
      </c>
      <c r="J13" s="64"/>
    </row>
    <row r="14" spans="1:10" ht="30">
      <c r="B14" s="61">
        <f t="shared" si="0"/>
        <v>11</v>
      </c>
      <c r="C14" s="61" t="s">
        <v>390</v>
      </c>
      <c r="D14" s="91" t="s">
        <v>315</v>
      </c>
      <c r="E14" s="95" t="s">
        <v>393</v>
      </c>
      <c r="F14" s="89"/>
      <c r="G14" s="91"/>
      <c r="H14" s="90" t="s">
        <v>2709</v>
      </c>
      <c r="I14" s="90" t="s">
        <v>394</v>
      </c>
      <c r="J14" s="64"/>
    </row>
    <row r="15" spans="1:10" ht="30">
      <c r="B15" s="61">
        <f t="shared" si="0"/>
        <v>12</v>
      </c>
      <c r="C15" s="61" t="s">
        <v>390</v>
      </c>
      <c r="D15" s="91" t="s">
        <v>315</v>
      </c>
      <c r="E15" s="92" t="s">
        <v>395</v>
      </c>
      <c r="F15" s="91"/>
      <c r="G15" s="91"/>
      <c r="H15" s="90" t="s">
        <v>2710</v>
      </c>
      <c r="I15" s="90" t="s">
        <v>396</v>
      </c>
      <c r="J15" s="64"/>
    </row>
    <row r="16" spans="1:10" ht="45">
      <c r="B16" s="61">
        <f t="shared" si="0"/>
        <v>13</v>
      </c>
      <c r="C16" s="61" t="s">
        <v>390</v>
      </c>
      <c r="D16" s="91" t="s">
        <v>315</v>
      </c>
      <c r="E16" s="95" t="s">
        <v>397</v>
      </c>
      <c r="F16" s="89"/>
      <c r="G16" s="91"/>
      <c r="H16" s="90" t="s">
        <v>2712</v>
      </c>
      <c r="I16" s="90" t="s">
        <v>1922</v>
      </c>
      <c r="J16" s="64"/>
    </row>
    <row r="17" spans="8:8">
      <c r="H17" s="55"/>
    </row>
  </sheetData>
  <phoneticPr fontId="14"/>
  <dataValidations count="1">
    <dataValidation type="list" allowBlank="1" showInputMessage="1" showErrorMessage="1" sqref="D4:D16" xr:uid="{6376AE48-76DB-420D-9EEF-81D72B62136E}">
      <formula1>"共通,個別"</formula1>
    </dataValidation>
  </dataValidations>
  <hyperlinks>
    <hyperlink ref="E5" location="住所の設定!A1" display="住所の設定" xr:uid="{D39DF249-97C7-44EF-A816-019BD3715637}"/>
    <hyperlink ref="E4" location="作業単位!A1" display="作業単位" xr:uid="{54179649-4935-46D0-88DF-6003307EC1CC}"/>
    <hyperlink ref="E10" location="通貨の為替レート!A1" display="通貨の為替レート" xr:uid="{8EC256F9-0450-4A3A-A316-D7A3E6DC3DE9}"/>
    <hyperlink ref="E11" location="顧客!A1" display="顧客" xr:uid="{59E4502F-F584-4543-9896-ED007BE354F5}"/>
    <hyperlink ref="E12" location="仕入先!A1" display="仕入先" xr:uid="{F0D61C71-0575-4241-A4E3-634732FA443E}"/>
    <hyperlink ref="E15" location="職務!A1" display="職務" xr:uid="{4A289B6E-8442-47F8-9E08-AD2B08A99A8D}"/>
    <hyperlink ref="E6" location="ユーザーをロールに割り当てる!A1" display="ユーザーをロールに割り当てる" xr:uid="{21ECEF39-B1B1-4AA7-B74D-75E1BA481003}"/>
    <hyperlink ref="E8" location="ユーザーIDへの作業者の割当!A1" display="ユーザーIDへの作業者の割当" xr:uid="{018FFFA5-EFB7-4363-A8F2-5C8BA055305F}"/>
    <hyperlink ref="E13" location="従業員!A1" display="従業員" xr:uid="{F0F83754-B590-4D59-8D8B-0AFF4397101D}"/>
    <hyperlink ref="E14" location="部門!A1" display="部門" xr:uid="{1DFA7DED-2834-4B44-ABF9-B5051886F384}"/>
    <hyperlink ref="E16" location="職位!A1" display="職位" xr:uid="{D61ACCCB-6F1B-4EFD-BFE7-2EA069413F9B}"/>
    <hyperlink ref="E9" location="ユーザーグループ!A1" display="ユーザーグループ" xr:uid="{D3730D10-D6C2-4530-8F27-05DB94876358}"/>
  </hyperlinks>
  <pageMargins left="0.7" right="0.7" top="0.75" bottom="0.75" header="0.3" footer="0.3"/>
  <pageSetup paperSize="9" scale="31"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A6D2A-7720-4B42-AE07-57954C05FD76}">
  <sheetPr codeName="Sheet148"/>
  <dimension ref="A1:L32"/>
  <sheetViews>
    <sheetView showGridLines="0" zoomScaleNormal="100" workbookViewId="0">
      <pane xSplit="6" ySplit="5" topLeftCell="G6" activePane="bottomRight" state="frozen"/>
      <selection pane="topRight"/>
      <selection pane="bottomLeft"/>
      <selection pane="bottomRight" activeCell="G6" sqref="G6"/>
    </sheetView>
  </sheetViews>
  <sheetFormatPr defaultColWidth="8.78515625" defaultRowHeight="13.5"/>
  <cols>
    <col min="1" max="1" width="2.78515625" style="46" customWidth="1"/>
    <col min="2" max="2" width="3.35546875" style="46" bestFit="1" customWidth="1"/>
    <col min="3" max="3" width="11.78515625" style="46" customWidth="1"/>
    <col min="4" max="4" width="8" style="46" customWidth="1"/>
    <col min="5" max="5" width="14.2109375" style="46" customWidth="1"/>
    <col min="6" max="6" width="19.78515625" style="46" customWidth="1"/>
    <col min="7" max="7" width="29.78515625" style="46" customWidth="1"/>
    <col min="8" max="8" width="17.78515625" style="46" bestFit="1" customWidth="1"/>
    <col min="9" max="9" width="17.42578125" style="46" customWidth="1"/>
    <col min="10" max="10" width="22.42578125" style="46" customWidth="1"/>
    <col min="11" max="11" width="18.2109375" style="46" customWidth="1"/>
    <col min="12" max="12" width="13.2109375" style="46" customWidth="1"/>
    <col min="13" max="16384" width="8.78515625" style="46"/>
  </cols>
  <sheetData>
    <row r="1" spans="1:12" customFormat="1" ht="19.5">
      <c r="A1" s="99" t="s">
        <v>345</v>
      </c>
    </row>
    <row r="2" spans="1:12" customFormat="1" ht="15">
      <c r="B2" t="s">
        <v>181</v>
      </c>
    </row>
    <row r="3" spans="1:12" customFormat="1" ht="15">
      <c r="B3" t="s">
        <v>348</v>
      </c>
    </row>
    <row r="4" spans="1:12" customFormat="1" ht="15">
      <c r="A4" s="10" t="s">
        <v>363</v>
      </c>
    </row>
    <row r="5" spans="1:12">
      <c r="B5" s="11" t="s">
        <v>1</v>
      </c>
      <c r="C5" s="12" t="s">
        <v>9</v>
      </c>
      <c r="D5" s="12" t="s">
        <v>10</v>
      </c>
      <c r="E5" s="12" t="s">
        <v>11</v>
      </c>
      <c r="F5" s="13" t="s">
        <v>12</v>
      </c>
      <c r="G5" s="13" t="s">
        <v>13</v>
      </c>
      <c r="H5" s="12" t="s">
        <v>14</v>
      </c>
      <c r="I5" s="11" t="s">
        <v>15</v>
      </c>
      <c r="J5" s="11" t="s">
        <v>16</v>
      </c>
      <c r="K5" s="14" t="s">
        <v>17</v>
      </c>
      <c r="L5" s="14" t="s">
        <v>18</v>
      </c>
    </row>
    <row r="6" spans="1:12" ht="60" customHeight="1">
      <c r="B6" s="15">
        <f t="shared" ref="B6:B13" si="0">ROW() - 5</f>
        <v>1</v>
      </c>
      <c r="C6" s="433" t="s">
        <v>166</v>
      </c>
      <c r="D6" s="436"/>
      <c r="E6" s="433" t="s">
        <v>8</v>
      </c>
      <c r="F6" s="17" t="s">
        <v>19</v>
      </c>
      <c r="G6" s="17"/>
      <c r="H6" s="17" t="s">
        <v>20</v>
      </c>
      <c r="I6" s="23" t="s">
        <v>21</v>
      </c>
      <c r="J6" s="23"/>
      <c r="K6" s="2" t="s">
        <v>2664</v>
      </c>
      <c r="L6" s="3"/>
    </row>
    <row r="7" spans="1:12" ht="65.25" customHeight="1">
      <c r="B7" s="15">
        <f t="shared" si="0"/>
        <v>2</v>
      </c>
      <c r="C7" s="434"/>
      <c r="D7" s="437"/>
      <c r="E7" s="434"/>
      <c r="F7" s="17" t="s">
        <v>316</v>
      </c>
      <c r="G7" s="17" t="s">
        <v>317</v>
      </c>
      <c r="H7" s="17" t="s">
        <v>20</v>
      </c>
      <c r="I7" s="23" t="s">
        <v>21</v>
      </c>
      <c r="J7" s="23" t="s">
        <v>2828</v>
      </c>
      <c r="K7" s="2" t="s">
        <v>2664</v>
      </c>
      <c r="L7" s="3"/>
    </row>
    <row r="8" spans="1:12" ht="85.5" customHeight="1">
      <c r="B8" s="15">
        <f t="shared" si="0"/>
        <v>3</v>
      </c>
      <c r="C8" s="435"/>
      <c r="D8" s="438"/>
      <c r="E8" s="435"/>
      <c r="F8" s="17" t="s">
        <v>318</v>
      </c>
      <c r="G8" s="17"/>
      <c r="H8" s="17" t="s">
        <v>320</v>
      </c>
      <c r="I8" s="23" t="s">
        <v>21</v>
      </c>
      <c r="J8" s="23"/>
      <c r="K8" s="2" t="s">
        <v>2664</v>
      </c>
      <c r="L8" s="3"/>
    </row>
    <row r="9" spans="1:12" ht="60" customHeight="1">
      <c r="B9" s="15">
        <f t="shared" si="0"/>
        <v>4</v>
      </c>
      <c r="C9" s="433" t="s">
        <v>23</v>
      </c>
      <c r="D9" s="436"/>
      <c r="E9" s="436"/>
      <c r="F9" s="17" t="s">
        <v>25</v>
      </c>
      <c r="G9" s="17"/>
      <c r="H9" s="17" t="s">
        <v>20</v>
      </c>
      <c r="I9" s="23" t="s">
        <v>182</v>
      </c>
      <c r="J9" s="23"/>
      <c r="K9" s="2" t="s">
        <v>2664</v>
      </c>
      <c r="L9" s="3"/>
    </row>
    <row r="10" spans="1:12" ht="62.25" customHeight="1">
      <c r="B10" s="15">
        <f t="shared" si="0"/>
        <v>5</v>
      </c>
      <c r="C10" s="434"/>
      <c r="D10" s="437"/>
      <c r="E10" s="437"/>
      <c r="F10" s="17" t="s">
        <v>24</v>
      </c>
      <c r="G10" s="17" t="s">
        <v>183</v>
      </c>
      <c r="H10" s="17" t="s">
        <v>20</v>
      </c>
      <c r="I10" s="29" t="s">
        <v>21</v>
      </c>
      <c r="J10" s="23"/>
      <c r="K10" s="2" t="s">
        <v>2664</v>
      </c>
      <c r="L10" s="3"/>
    </row>
    <row r="11" spans="1:12" ht="64.5" customHeight="1">
      <c r="B11" s="15">
        <f t="shared" si="0"/>
        <v>6</v>
      </c>
      <c r="C11" s="434"/>
      <c r="D11" s="437"/>
      <c r="E11" s="437"/>
      <c r="F11" s="17" t="s">
        <v>26</v>
      </c>
      <c r="G11" s="17" t="s">
        <v>184</v>
      </c>
      <c r="H11" s="17" t="s">
        <v>27</v>
      </c>
      <c r="I11" s="29" t="s">
        <v>57</v>
      </c>
      <c r="J11" s="23"/>
      <c r="K11" s="2" t="s">
        <v>2664</v>
      </c>
      <c r="L11" s="3"/>
    </row>
    <row r="12" spans="1:12" ht="58.5" customHeight="1">
      <c r="B12" s="15">
        <f t="shared" si="0"/>
        <v>7</v>
      </c>
      <c r="C12" s="434"/>
      <c r="D12" s="437"/>
      <c r="E12" s="437"/>
      <c r="F12" s="17" t="s">
        <v>185</v>
      </c>
      <c r="G12" s="17"/>
      <c r="H12" s="17" t="s">
        <v>20</v>
      </c>
      <c r="I12" s="29" t="s">
        <v>21</v>
      </c>
      <c r="J12" s="23"/>
      <c r="K12" s="2" t="s">
        <v>2664</v>
      </c>
      <c r="L12" s="3"/>
    </row>
    <row r="13" spans="1:12" ht="64.5" customHeight="1">
      <c r="B13" s="15">
        <f t="shared" si="0"/>
        <v>8</v>
      </c>
      <c r="C13" s="435"/>
      <c r="D13" s="438"/>
      <c r="E13" s="438"/>
      <c r="F13" s="17" t="s">
        <v>186</v>
      </c>
      <c r="G13" s="17" t="s">
        <v>51</v>
      </c>
      <c r="H13" s="17" t="s">
        <v>351</v>
      </c>
      <c r="I13" s="29" t="s">
        <v>21</v>
      </c>
      <c r="J13" s="23"/>
      <c r="K13" s="2" t="s">
        <v>2664</v>
      </c>
      <c r="L13" s="3"/>
    </row>
    <row r="14" spans="1:12" ht="68.25" customHeight="1">
      <c r="B14" s="21">
        <f t="shared" ref="B14:B32" si="1">ROW() - 4</f>
        <v>10</v>
      </c>
      <c r="C14" s="193" t="s">
        <v>29</v>
      </c>
      <c r="D14" s="193"/>
      <c r="E14" s="193"/>
      <c r="F14" s="26" t="s">
        <v>30</v>
      </c>
      <c r="G14" s="26"/>
      <c r="H14" s="22" t="s">
        <v>20</v>
      </c>
      <c r="I14" s="29" t="s">
        <v>21</v>
      </c>
      <c r="J14" s="26"/>
      <c r="K14" s="2" t="s">
        <v>2664</v>
      </c>
      <c r="L14" s="3"/>
    </row>
    <row r="15" spans="1:12" ht="111.75" customHeight="1">
      <c r="B15" s="21">
        <f t="shared" si="1"/>
        <v>11</v>
      </c>
      <c r="C15" s="194"/>
      <c r="D15" s="194"/>
      <c r="E15" s="194"/>
      <c r="F15" s="26" t="s">
        <v>31</v>
      </c>
      <c r="G15" s="26"/>
      <c r="H15" s="22" t="s">
        <v>20</v>
      </c>
      <c r="I15" s="29" t="s">
        <v>21</v>
      </c>
      <c r="J15" s="26" t="s">
        <v>187</v>
      </c>
      <c r="K15" s="2" t="s">
        <v>2664</v>
      </c>
      <c r="L15" s="3"/>
    </row>
    <row r="16" spans="1:12" ht="243">
      <c r="B16" s="21">
        <f t="shared" si="1"/>
        <v>12</v>
      </c>
      <c r="C16" s="194"/>
      <c r="D16" s="194"/>
      <c r="E16" s="194"/>
      <c r="F16" s="26" t="s">
        <v>32</v>
      </c>
      <c r="G16" s="26"/>
      <c r="H16" s="26" t="s">
        <v>188</v>
      </c>
      <c r="I16" s="29" t="s">
        <v>21</v>
      </c>
      <c r="J16" s="26"/>
      <c r="K16" s="2" t="s">
        <v>2664</v>
      </c>
      <c r="L16" s="3"/>
    </row>
    <row r="17" spans="2:12" ht="57.75" customHeight="1">
      <c r="B17" s="21">
        <f t="shared" si="1"/>
        <v>13</v>
      </c>
      <c r="C17" s="194"/>
      <c r="D17" s="194"/>
      <c r="E17" s="195"/>
      <c r="F17" s="26" t="s">
        <v>33</v>
      </c>
      <c r="G17" s="26"/>
      <c r="H17" s="26" t="s">
        <v>27</v>
      </c>
      <c r="I17" s="29" t="s">
        <v>21</v>
      </c>
      <c r="J17" s="26"/>
      <c r="K17" s="2" t="s">
        <v>2664</v>
      </c>
      <c r="L17" s="3"/>
    </row>
    <row r="18" spans="2:12" ht="69" customHeight="1">
      <c r="B18" s="21">
        <f t="shared" si="1"/>
        <v>14</v>
      </c>
      <c r="C18" s="194"/>
      <c r="D18" s="194"/>
      <c r="E18" s="194" t="s">
        <v>34</v>
      </c>
      <c r="F18" s="26" t="s">
        <v>35</v>
      </c>
      <c r="G18" s="26"/>
      <c r="H18" s="26" t="s">
        <v>36</v>
      </c>
      <c r="I18" s="29" t="s">
        <v>21</v>
      </c>
      <c r="J18" s="26" t="s">
        <v>37</v>
      </c>
      <c r="K18" s="2" t="s">
        <v>2664</v>
      </c>
      <c r="L18" s="3"/>
    </row>
    <row r="19" spans="2:12" ht="60" customHeight="1">
      <c r="B19" s="21">
        <f t="shared" si="1"/>
        <v>15</v>
      </c>
      <c r="C19" s="194"/>
      <c r="D19" s="194"/>
      <c r="E19" s="194"/>
      <c r="F19" s="26" t="s">
        <v>38</v>
      </c>
      <c r="G19" s="26"/>
      <c r="H19" s="26" t="s">
        <v>50</v>
      </c>
      <c r="I19" s="29" t="s">
        <v>21</v>
      </c>
      <c r="J19" s="26" t="s">
        <v>37</v>
      </c>
      <c r="K19" s="2" t="s">
        <v>2664</v>
      </c>
      <c r="L19" s="3"/>
    </row>
    <row r="20" spans="2:12" ht="61.5" customHeight="1">
      <c r="B20" s="21">
        <f t="shared" si="1"/>
        <v>16</v>
      </c>
      <c r="C20" s="194"/>
      <c r="D20" s="194"/>
      <c r="E20" s="194"/>
      <c r="F20" s="26" t="s">
        <v>31</v>
      </c>
      <c r="G20" s="26"/>
      <c r="H20" s="26" t="s">
        <v>20</v>
      </c>
      <c r="I20" s="29" t="s">
        <v>21</v>
      </c>
      <c r="J20" s="26" t="s">
        <v>37</v>
      </c>
      <c r="K20" s="2" t="s">
        <v>2664</v>
      </c>
      <c r="L20" s="3"/>
    </row>
    <row r="21" spans="2:12" ht="64.5" customHeight="1">
      <c r="B21" s="21">
        <f t="shared" si="1"/>
        <v>17</v>
      </c>
      <c r="C21" s="194"/>
      <c r="D21" s="194"/>
      <c r="E21" s="194"/>
      <c r="F21" s="73" t="s">
        <v>39</v>
      </c>
      <c r="G21" s="73"/>
      <c r="H21" s="73" t="s">
        <v>20</v>
      </c>
      <c r="I21" s="79" t="s">
        <v>21</v>
      </c>
      <c r="J21" s="73" t="s">
        <v>37</v>
      </c>
      <c r="K21" s="2" t="s">
        <v>2664</v>
      </c>
      <c r="L21" s="75"/>
    </row>
    <row r="22" spans="2:12" ht="72" customHeight="1">
      <c r="B22" s="21">
        <f t="shared" si="1"/>
        <v>18</v>
      </c>
      <c r="C22" s="194"/>
      <c r="D22" s="194"/>
      <c r="E22" s="194"/>
      <c r="F22" s="26" t="s">
        <v>40</v>
      </c>
      <c r="G22" s="26"/>
      <c r="H22" s="26" t="s">
        <v>20</v>
      </c>
      <c r="I22" s="29" t="s">
        <v>21</v>
      </c>
      <c r="J22" s="26" t="s">
        <v>37</v>
      </c>
      <c r="K22" s="2" t="s">
        <v>2664</v>
      </c>
      <c r="L22" s="3"/>
    </row>
    <row r="23" spans="2:12" ht="63.75" customHeight="1">
      <c r="B23" s="21">
        <f t="shared" si="1"/>
        <v>19</v>
      </c>
      <c r="C23" s="194"/>
      <c r="D23" s="194"/>
      <c r="E23" s="194"/>
      <c r="F23" s="73" t="s">
        <v>41</v>
      </c>
      <c r="G23" s="73"/>
      <c r="H23" s="73" t="s">
        <v>20</v>
      </c>
      <c r="I23" s="79" t="s">
        <v>21</v>
      </c>
      <c r="J23" s="73" t="s">
        <v>37</v>
      </c>
      <c r="K23" s="2" t="s">
        <v>2664</v>
      </c>
      <c r="L23" s="75"/>
    </row>
    <row r="24" spans="2:12" ht="57" customHeight="1">
      <c r="B24" s="21">
        <f t="shared" si="1"/>
        <v>20</v>
      </c>
      <c r="C24" s="194"/>
      <c r="D24" s="194"/>
      <c r="E24" s="194"/>
      <c r="F24" s="26" t="s">
        <v>42</v>
      </c>
      <c r="G24" s="26"/>
      <c r="H24" s="26" t="s">
        <v>20</v>
      </c>
      <c r="I24" s="29" t="s">
        <v>21</v>
      </c>
      <c r="J24" s="26" t="s">
        <v>37</v>
      </c>
      <c r="K24" s="2" t="s">
        <v>2664</v>
      </c>
      <c r="L24" s="3"/>
    </row>
    <row r="25" spans="2:12" ht="56.25" customHeight="1">
      <c r="B25" s="21">
        <f t="shared" si="1"/>
        <v>21</v>
      </c>
      <c r="C25" s="194"/>
      <c r="D25" s="194"/>
      <c r="E25" s="194"/>
      <c r="F25" s="26" t="s">
        <v>350</v>
      </c>
      <c r="G25" s="26"/>
      <c r="H25" s="26" t="s">
        <v>20</v>
      </c>
      <c r="I25" s="29" t="s">
        <v>21</v>
      </c>
      <c r="J25" s="26" t="s">
        <v>37</v>
      </c>
      <c r="K25" s="2" t="s">
        <v>2664</v>
      </c>
      <c r="L25" s="3"/>
    </row>
    <row r="26" spans="2:12" ht="56.25" customHeight="1">
      <c r="B26" s="21">
        <f t="shared" si="1"/>
        <v>22</v>
      </c>
      <c r="C26" s="194"/>
      <c r="D26" s="194"/>
      <c r="E26" s="194"/>
      <c r="F26" s="26" t="s">
        <v>33</v>
      </c>
      <c r="G26" s="26"/>
      <c r="H26" s="26" t="s">
        <v>27</v>
      </c>
      <c r="I26" s="29" t="s">
        <v>21</v>
      </c>
      <c r="J26" s="26" t="s">
        <v>37</v>
      </c>
      <c r="K26" s="2" t="s">
        <v>2664</v>
      </c>
      <c r="L26" s="3"/>
    </row>
    <row r="27" spans="2:12" ht="56.25" customHeight="1">
      <c r="B27" s="21">
        <f t="shared" si="1"/>
        <v>23</v>
      </c>
      <c r="C27" s="194"/>
      <c r="D27" s="194"/>
      <c r="E27" s="194"/>
      <c r="F27" s="26" t="s">
        <v>43</v>
      </c>
      <c r="G27" s="26"/>
      <c r="H27" s="26" t="s">
        <v>27</v>
      </c>
      <c r="I27" s="29" t="s">
        <v>21</v>
      </c>
      <c r="J27" s="26" t="s">
        <v>37</v>
      </c>
      <c r="K27" s="2" t="s">
        <v>2664</v>
      </c>
      <c r="L27" s="3"/>
    </row>
    <row r="28" spans="2:12" ht="63.75" customHeight="1">
      <c r="B28" s="21">
        <f t="shared" si="1"/>
        <v>24</v>
      </c>
      <c r="C28" s="30" t="s">
        <v>44</v>
      </c>
      <c r="D28" s="193"/>
      <c r="E28" s="30"/>
      <c r="F28" s="25" t="s">
        <v>45</v>
      </c>
      <c r="G28" s="25"/>
      <c r="H28" s="26" t="s">
        <v>20</v>
      </c>
      <c r="I28" s="26" t="s">
        <v>21</v>
      </c>
      <c r="J28" s="26"/>
      <c r="K28" s="2" t="s">
        <v>2664</v>
      </c>
      <c r="L28" s="2"/>
    </row>
    <row r="29" spans="2:12" ht="108">
      <c r="B29" s="21">
        <f t="shared" si="1"/>
        <v>25</v>
      </c>
      <c r="C29" s="31"/>
      <c r="D29" s="194"/>
      <c r="E29" s="31"/>
      <c r="F29" s="28" t="s">
        <v>46</v>
      </c>
      <c r="G29" s="28"/>
      <c r="H29" s="25" t="s">
        <v>189</v>
      </c>
      <c r="I29" s="29" t="s">
        <v>21</v>
      </c>
      <c r="J29" s="29"/>
      <c r="K29" s="2" t="s">
        <v>2664</v>
      </c>
      <c r="L29" s="3"/>
    </row>
    <row r="30" spans="2:12" ht="60" customHeight="1">
      <c r="B30" s="21">
        <f t="shared" si="1"/>
        <v>26</v>
      </c>
      <c r="C30" s="31"/>
      <c r="D30" s="194"/>
      <c r="E30" s="31"/>
      <c r="F30" s="28" t="s">
        <v>47</v>
      </c>
      <c r="G30" s="28"/>
      <c r="H30" s="25" t="s">
        <v>20</v>
      </c>
      <c r="I30" s="29" t="s">
        <v>21</v>
      </c>
      <c r="J30" s="29"/>
      <c r="K30" s="2" t="s">
        <v>2664</v>
      </c>
      <c r="L30" s="3"/>
    </row>
    <row r="31" spans="2:12" ht="56.25" customHeight="1">
      <c r="B31" s="21">
        <f t="shared" si="1"/>
        <v>27</v>
      </c>
      <c r="C31" s="31"/>
      <c r="D31" s="31"/>
      <c r="E31" s="31"/>
      <c r="F31" s="28" t="s">
        <v>48</v>
      </c>
      <c r="G31" s="28"/>
      <c r="H31" s="26" t="s">
        <v>20</v>
      </c>
      <c r="I31" s="29" t="s">
        <v>21</v>
      </c>
      <c r="J31" s="29"/>
      <c r="K31" s="2" t="s">
        <v>2664</v>
      </c>
      <c r="L31" s="3"/>
    </row>
    <row r="32" spans="2:12" ht="64.5" customHeight="1">
      <c r="B32" s="21">
        <f t="shared" si="1"/>
        <v>28</v>
      </c>
      <c r="C32" s="32"/>
      <c r="D32" s="32"/>
      <c r="E32" s="32"/>
      <c r="F32" s="28" t="s">
        <v>33</v>
      </c>
      <c r="G32" s="28"/>
      <c r="H32" s="26" t="s">
        <v>65</v>
      </c>
      <c r="I32" s="29" t="s">
        <v>359</v>
      </c>
      <c r="J32" s="29"/>
      <c r="K32" s="2" t="s">
        <v>2664</v>
      </c>
      <c r="L32" s="3"/>
    </row>
  </sheetData>
  <mergeCells count="6">
    <mergeCell ref="C6:C8"/>
    <mergeCell ref="D6:D8"/>
    <mergeCell ref="E6:E8"/>
    <mergeCell ref="C9:C13"/>
    <mergeCell ref="D9:D13"/>
    <mergeCell ref="E9:E13"/>
  </mergeCells>
  <phoneticPr fontId="14"/>
  <hyperlinks>
    <hyperlink ref="A4" location="パラメータ設定一覧!A1" display="パラメータ設定一覧へ" xr:uid="{34B75605-AEF8-49D9-B00E-7D3B5B295B32}"/>
  </hyperlinks>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3E95D-299E-40A3-9404-6E3796CEB634}">
  <sheetPr codeName="Sheet149"/>
  <dimension ref="A1:AC109"/>
  <sheetViews>
    <sheetView showGridLines="0" zoomScaleNormal="100" workbookViewId="0">
      <pane xSplit="5" ySplit="8" topLeftCell="F9" activePane="bottomRight" state="frozen"/>
      <selection pane="topRight"/>
      <selection pane="bottomLeft"/>
      <selection pane="bottomRight" activeCell="F9" sqref="F9"/>
    </sheetView>
  </sheetViews>
  <sheetFormatPr defaultColWidth="8.78515625" defaultRowHeight="13.5"/>
  <cols>
    <col min="1" max="1" width="2.78515625" style="202" customWidth="1"/>
    <col min="2" max="2" width="5.42578125" style="202" customWidth="1"/>
    <col min="3" max="3" width="21.35546875" style="202" bestFit="1" customWidth="1"/>
    <col min="4" max="4" width="16" style="202" customWidth="1"/>
    <col min="5" max="5" width="23.42578125" style="202" bestFit="1" customWidth="1"/>
    <col min="6" max="6" width="20.35546875" style="202" customWidth="1"/>
    <col min="7" max="8" width="11.78515625" style="202" customWidth="1"/>
    <col min="9" max="9" width="11.35546875" style="202" customWidth="1"/>
    <col min="10" max="10" width="16.2109375" style="202" customWidth="1"/>
    <col min="11" max="11" width="10.2109375" style="202" customWidth="1"/>
    <col min="12" max="12" width="12.42578125" style="202" customWidth="1"/>
    <col min="13" max="14" width="15.2109375" style="202" customWidth="1"/>
    <col min="15" max="15" width="18.2109375" style="202" customWidth="1"/>
    <col min="16" max="16" width="15.2109375" style="202" customWidth="1"/>
    <col min="17" max="17" width="11.78515625" style="202" customWidth="1"/>
    <col min="18" max="18" width="17.42578125" style="202" customWidth="1"/>
    <col min="19" max="19" width="12.2109375" style="202" customWidth="1"/>
    <col min="20" max="20" width="11.78515625" style="202" customWidth="1"/>
    <col min="21" max="23" width="9.2109375" style="202" customWidth="1"/>
    <col min="24" max="24" width="18" style="202" customWidth="1"/>
    <col min="25" max="25" width="15.35546875" style="202" customWidth="1"/>
    <col min="26" max="26" width="13.640625" style="202" customWidth="1"/>
    <col min="27" max="27" width="17.2109375" style="202" customWidth="1"/>
    <col min="28" max="28" width="8.2109375" style="202" customWidth="1"/>
    <col min="29" max="29" width="13.2109375" style="202" customWidth="1"/>
    <col min="30" max="16384" width="8.78515625" style="202"/>
  </cols>
  <sheetData>
    <row r="1" spans="1:29" customFormat="1" ht="19.5">
      <c r="A1" s="99" t="s">
        <v>2670</v>
      </c>
    </row>
    <row r="2" spans="1:29" customFormat="1" ht="15">
      <c r="A2" s="196" t="s">
        <v>2668</v>
      </c>
    </row>
    <row r="3" spans="1:29" customFormat="1" ht="15">
      <c r="A3" s="10" t="s">
        <v>363</v>
      </c>
    </row>
    <row r="4" spans="1:29" s="46" customFormat="1" ht="15.75" customHeight="1">
      <c r="B4" s="439" t="s">
        <v>1</v>
      </c>
      <c r="C4" s="37" t="s">
        <v>166</v>
      </c>
      <c r="D4" s="38"/>
      <c r="E4" s="39"/>
      <c r="F4" s="45" t="s">
        <v>23</v>
      </c>
      <c r="G4" s="35"/>
      <c r="H4" s="35"/>
      <c r="I4" s="35"/>
      <c r="J4" s="36"/>
      <c r="K4" s="37" t="s">
        <v>29</v>
      </c>
      <c r="L4" s="38"/>
      <c r="M4" s="38"/>
      <c r="N4" s="38"/>
      <c r="O4" s="38"/>
      <c r="P4" s="38"/>
      <c r="Q4" s="38"/>
      <c r="R4" s="38"/>
      <c r="S4" s="38"/>
      <c r="T4" s="38"/>
      <c r="U4" s="38"/>
      <c r="V4" s="38"/>
      <c r="W4" s="38"/>
      <c r="X4" s="39"/>
      <c r="Y4" s="45" t="s">
        <v>44</v>
      </c>
      <c r="Z4" s="35"/>
      <c r="AA4" s="35"/>
      <c r="AB4" s="35"/>
      <c r="AC4" s="36"/>
    </row>
    <row r="5" spans="1:29" s="46" customFormat="1">
      <c r="B5" s="439"/>
      <c r="C5" s="56" t="s">
        <v>8</v>
      </c>
      <c r="D5" s="41"/>
      <c r="E5" s="42"/>
      <c r="F5" s="56"/>
      <c r="G5" s="41"/>
      <c r="H5" s="41"/>
      <c r="I5" s="41"/>
      <c r="J5" s="42"/>
      <c r="K5" s="56" t="s">
        <v>172</v>
      </c>
      <c r="L5" s="41"/>
      <c r="M5" s="41"/>
      <c r="N5" s="42"/>
      <c r="O5" s="37" t="s">
        <v>34</v>
      </c>
      <c r="P5" s="38"/>
      <c r="Q5" s="38"/>
      <c r="R5" s="38"/>
      <c r="S5" s="38"/>
      <c r="T5" s="38"/>
      <c r="U5" s="38"/>
      <c r="V5" s="38"/>
      <c r="W5" s="38"/>
      <c r="X5" s="39"/>
      <c r="Y5" s="56"/>
      <c r="Z5" s="41"/>
      <c r="AA5" s="41"/>
      <c r="AB5" s="41"/>
      <c r="AC5" s="42"/>
    </row>
    <row r="6" spans="1:29" s="46" customFormat="1">
      <c r="B6" s="440"/>
      <c r="C6" s="185" t="s">
        <v>19</v>
      </c>
      <c r="D6" s="185" t="s">
        <v>319</v>
      </c>
      <c r="E6" s="125" t="s">
        <v>191</v>
      </c>
      <c r="F6" s="69" t="s">
        <v>25</v>
      </c>
      <c r="G6" s="69" t="s">
        <v>24</v>
      </c>
      <c r="H6" s="69" t="s">
        <v>26</v>
      </c>
      <c r="I6" s="40" t="s">
        <v>185</v>
      </c>
      <c r="J6" s="40" t="s">
        <v>186</v>
      </c>
      <c r="K6" s="181" t="s">
        <v>30</v>
      </c>
      <c r="L6" s="181" t="s">
        <v>31</v>
      </c>
      <c r="M6" s="181" t="s">
        <v>32</v>
      </c>
      <c r="N6" s="181" t="s">
        <v>33</v>
      </c>
      <c r="O6" s="181" t="s">
        <v>35</v>
      </c>
      <c r="P6" s="181" t="s">
        <v>38</v>
      </c>
      <c r="Q6" s="181" t="s">
        <v>31</v>
      </c>
      <c r="R6" s="73" t="s">
        <v>39</v>
      </c>
      <c r="S6" s="181" t="s">
        <v>40</v>
      </c>
      <c r="T6" s="73" t="s">
        <v>41</v>
      </c>
      <c r="U6" s="181" t="s">
        <v>42</v>
      </c>
      <c r="V6" s="181" t="s">
        <v>350</v>
      </c>
      <c r="W6" s="181" t="s">
        <v>33</v>
      </c>
      <c r="X6" s="181" t="s">
        <v>43</v>
      </c>
      <c r="Y6" s="183" t="s">
        <v>45</v>
      </c>
      <c r="Z6" s="69" t="s">
        <v>46</v>
      </c>
      <c r="AA6" s="69" t="s">
        <v>47</v>
      </c>
      <c r="AB6" s="69" t="s">
        <v>48</v>
      </c>
      <c r="AC6" s="69" t="s">
        <v>33</v>
      </c>
    </row>
    <row r="7" spans="1:29" s="46" customFormat="1" ht="81">
      <c r="B7" s="440"/>
      <c r="C7" s="24" t="s">
        <v>20</v>
      </c>
      <c r="D7" s="24" t="s">
        <v>2827</v>
      </c>
      <c r="E7" s="24" t="s">
        <v>2666</v>
      </c>
      <c r="F7" s="24" t="s">
        <v>20</v>
      </c>
      <c r="G7" s="24" t="s">
        <v>20</v>
      </c>
      <c r="H7" s="24" t="s">
        <v>27</v>
      </c>
      <c r="I7" s="24" t="s">
        <v>20</v>
      </c>
      <c r="J7" s="24" t="s">
        <v>351</v>
      </c>
      <c r="K7" s="27" t="s">
        <v>20</v>
      </c>
      <c r="L7" s="27" t="s">
        <v>20</v>
      </c>
      <c r="M7" s="18"/>
      <c r="N7" s="18" t="s">
        <v>27</v>
      </c>
      <c r="O7" s="18" t="s">
        <v>36</v>
      </c>
      <c r="P7" s="18" t="s">
        <v>50</v>
      </c>
      <c r="Q7" s="18" t="s">
        <v>20</v>
      </c>
      <c r="R7" s="73" t="s">
        <v>20</v>
      </c>
      <c r="S7" s="18" t="s">
        <v>20</v>
      </c>
      <c r="T7" s="73" t="s">
        <v>20</v>
      </c>
      <c r="U7" s="18" t="s">
        <v>20</v>
      </c>
      <c r="V7" s="18" t="s">
        <v>20</v>
      </c>
      <c r="W7" s="18" t="s">
        <v>27</v>
      </c>
      <c r="X7" s="18" t="s">
        <v>27</v>
      </c>
      <c r="Y7" s="18" t="s">
        <v>20</v>
      </c>
      <c r="Z7" s="27"/>
      <c r="AA7" s="27" t="s">
        <v>20</v>
      </c>
      <c r="AB7" s="18" t="s">
        <v>20</v>
      </c>
      <c r="AC7" s="18" t="s">
        <v>65</v>
      </c>
    </row>
    <row r="8" spans="1:29" s="46" customFormat="1">
      <c r="B8" s="440"/>
      <c r="C8" s="24" t="s">
        <v>2667</v>
      </c>
      <c r="D8" s="24" t="s">
        <v>2667</v>
      </c>
      <c r="E8" s="24" t="s">
        <v>2667</v>
      </c>
      <c r="F8" s="24"/>
      <c r="G8" s="24"/>
      <c r="H8" s="24"/>
      <c r="I8" s="24"/>
      <c r="J8" s="24"/>
      <c r="K8" s="27"/>
      <c r="L8" s="27"/>
      <c r="M8" s="18"/>
      <c r="N8" s="18"/>
      <c r="O8" s="18"/>
      <c r="P8" s="18"/>
      <c r="Q8" s="18"/>
      <c r="R8" s="73"/>
      <c r="S8" s="18"/>
      <c r="T8" s="73"/>
      <c r="U8" s="18"/>
      <c r="V8" s="18"/>
      <c r="W8" s="18"/>
      <c r="X8" s="18"/>
      <c r="Y8" s="18"/>
      <c r="Z8" s="27"/>
      <c r="AA8" s="27"/>
      <c r="AB8" s="18"/>
      <c r="AC8" s="18"/>
    </row>
    <row r="9" spans="1:29" ht="16.5">
      <c r="B9" s="316" t="s">
        <v>1226</v>
      </c>
      <c r="C9" s="317" t="s">
        <v>2825</v>
      </c>
      <c r="D9" s="318" t="s">
        <v>2826</v>
      </c>
      <c r="E9" s="322" t="s">
        <v>2824</v>
      </c>
      <c r="F9" s="317" t="s">
        <v>2825</v>
      </c>
      <c r="G9" s="316"/>
      <c r="H9" s="319"/>
      <c r="I9" s="316"/>
      <c r="J9" s="319"/>
      <c r="K9" s="316"/>
      <c r="L9" s="320"/>
      <c r="M9" s="316"/>
      <c r="N9" s="316"/>
      <c r="O9" s="316"/>
      <c r="P9" s="316"/>
      <c r="Q9" s="320"/>
      <c r="R9" s="316"/>
      <c r="S9" s="316"/>
      <c r="T9" s="316"/>
      <c r="U9" s="316"/>
      <c r="V9" s="316"/>
      <c r="W9" s="316"/>
      <c r="X9" s="316"/>
      <c r="Y9" s="316"/>
      <c r="Z9" s="316"/>
      <c r="AA9" s="316"/>
      <c r="AB9" s="321"/>
      <c r="AC9" s="321"/>
    </row>
    <row r="10" spans="1:29" ht="16.5">
      <c r="B10" s="203">
        <f>ROW() - 9</f>
        <v>1</v>
      </c>
      <c r="C10" s="204"/>
      <c r="D10" s="205"/>
      <c r="E10" s="204"/>
      <c r="F10" s="204"/>
      <c r="G10" s="203"/>
      <c r="H10" s="206"/>
      <c r="I10" s="203"/>
      <c r="J10" s="206"/>
      <c r="K10" s="203"/>
      <c r="L10" s="207"/>
      <c r="M10" s="203"/>
      <c r="N10" s="203"/>
      <c r="O10" s="203"/>
      <c r="P10" s="203"/>
      <c r="Q10" s="207"/>
      <c r="R10" s="203"/>
      <c r="S10" s="203"/>
      <c r="T10" s="203"/>
      <c r="U10" s="203"/>
      <c r="V10" s="203"/>
      <c r="W10" s="203"/>
      <c r="X10" s="203"/>
      <c r="Y10" s="203"/>
      <c r="Z10" s="203"/>
      <c r="AA10" s="203"/>
      <c r="AB10" s="165"/>
      <c r="AC10" s="165"/>
    </row>
    <row r="11" spans="1:29" ht="16.5">
      <c r="B11" s="203">
        <f t="shared" ref="B11:B74" si="0">ROW() - 9</f>
        <v>2</v>
      </c>
      <c r="C11" s="204"/>
      <c r="D11" s="205"/>
      <c r="E11" s="204"/>
      <c r="F11" s="204"/>
      <c r="G11" s="203"/>
      <c r="H11" s="206"/>
      <c r="I11" s="203"/>
      <c r="J11" s="206"/>
      <c r="K11" s="203"/>
      <c r="L11" s="203"/>
      <c r="M11" s="203"/>
      <c r="N11" s="203"/>
      <c r="O11" s="203"/>
      <c r="P11" s="203"/>
      <c r="Q11" s="203"/>
      <c r="R11" s="203"/>
      <c r="S11" s="203"/>
      <c r="T11" s="203"/>
      <c r="U11" s="203"/>
      <c r="V11" s="203"/>
      <c r="W11" s="203"/>
      <c r="X11" s="203"/>
      <c r="Y11" s="203"/>
      <c r="Z11" s="203"/>
      <c r="AA11" s="203"/>
      <c r="AB11" s="165"/>
      <c r="AC11" s="165"/>
    </row>
    <row r="12" spans="1:29" ht="16.5">
      <c r="B12" s="203">
        <f t="shared" si="0"/>
        <v>3</v>
      </c>
      <c r="C12" s="204"/>
      <c r="D12" s="205"/>
      <c r="E12" s="204"/>
      <c r="F12" s="204"/>
      <c r="G12" s="203"/>
      <c r="H12" s="206"/>
      <c r="I12" s="203"/>
      <c r="J12" s="206"/>
      <c r="K12" s="203"/>
      <c r="L12" s="203"/>
      <c r="M12" s="203"/>
      <c r="N12" s="203"/>
      <c r="O12" s="203"/>
      <c r="P12" s="203"/>
      <c r="Q12" s="203"/>
      <c r="R12" s="203"/>
      <c r="S12" s="203"/>
      <c r="T12" s="203"/>
      <c r="U12" s="203"/>
      <c r="V12" s="203"/>
      <c r="W12" s="203"/>
      <c r="X12" s="203"/>
      <c r="Y12" s="203"/>
      <c r="Z12" s="203"/>
      <c r="AA12" s="203"/>
      <c r="AB12" s="165"/>
      <c r="AC12" s="165"/>
    </row>
    <row r="13" spans="1:29" ht="16.5">
      <c r="B13" s="203">
        <f t="shared" si="0"/>
        <v>4</v>
      </c>
      <c r="C13" s="204"/>
      <c r="D13" s="205"/>
      <c r="E13" s="204"/>
      <c r="F13" s="204"/>
      <c r="G13" s="203"/>
      <c r="H13" s="206"/>
      <c r="I13" s="203"/>
      <c r="J13" s="206"/>
      <c r="K13" s="203"/>
      <c r="L13" s="207"/>
      <c r="M13" s="203"/>
      <c r="N13" s="203"/>
      <c r="O13" s="203"/>
      <c r="P13" s="203"/>
      <c r="Q13" s="207"/>
      <c r="R13" s="203"/>
      <c r="S13" s="203"/>
      <c r="T13" s="203"/>
      <c r="U13" s="203"/>
      <c r="V13" s="203"/>
      <c r="W13" s="203"/>
      <c r="X13" s="203"/>
      <c r="Y13" s="203"/>
      <c r="Z13" s="203"/>
      <c r="AA13" s="203"/>
      <c r="AB13" s="165"/>
      <c r="AC13" s="165"/>
    </row>
    <row r="14" spans="1:29" ht="16.5">
      <c r="B14" s="203">
        <f t="shared" si="0"/>
        <v>5</v>
      </c>
      <c r="C14" s="204"/>
      <c r="D14" s="205"/>
      <c r="E14" s="204"/>
      <c r="F14" s="204"/>
      <c r="G14" s="203"/>
      <c r="H14" s="206"/>
      <c r="I14" s="203"/>
      <c r="J14" s="206"/>
      <c r="K14" s="203"/>
      <c r="L14" s="203"/>
      <c r="M14" s="203"/>
      <c r="N14" s="203"/>
      <c r="O14" s="203"/>
      <c r="P14" s="203"/>
      <c r="Q14" s="203"/>
      <c r="R14" s="203"/>
      <c r="S14" s="203"/>
      <c r="T14" s="203"/>
      <c r="U14" s="203"/>
      <c r="V14" s="203"/>
      <c r="W14" s="203"/>
      <c r="X14" s="203"/>
      <c r="Y14" s="203"/>
      <c r="Z14" s="203"/>
      <c r="AA14" s="203"/>
      <c r="AB14" s="165"/>
      <c r="AC14" s="165"/>
    </row>
    <row r="15" spans="1:29" ht="16.5">
      <c r="B15" s="203">
        <f t="shared" si="0"/>
        <v>6</v>
      </c>
      <c r="C15" s="204"/>
      <c r="D15" s="205"/>
      <c r="E15" s="204"/>
      <c r="F15" s="204"/>
      <c r="G15" s="203"/>
      <c r="H15" s="206"/>
      <c r="I15" s="203"/>
      <c r="J15" s="206"/>
      <c r="K15" s="203"/>
      <c r="L15" s="203"/>
      <c r="M15" s="203"/>
      <c r="N15" s="203"/>
      <c r="O15" s="203"/>
      <c r="P15" s="203"/>
      <c r="Q15" s="203"/>
      <c r="R15" s="203"/>
      <c r="S15" s="203"/>
      <c r="T15" s="203"/>
      <c r="U15" s="203"/>
      <c r="V15" s="203"/>
      <c r="W15" s="203"/>
      <c r="X15" s="203"/>
      <c r="Y15" s="203"/>
      <c r="Z15" s="203"/>
      <c r="AA15" s="203"/>
      <c r="AB15" s="165"/>
      <c r="AC15" s="165"/>
    </row>
    <row r="16" spans="1:29" ht="16.5">
      <c r="B16" s="203">
        <f t="shared" si="0"/>
        <v>7</v>
      </c>
      <c r="C16" s="204"/>
      <c r="D16" s="205"/>
      <c r="E16" s="204"/>
      <c r="F16" s="204"/>
      <c r="G16" s="203"/>
      <c r="H16" s="206"/>
      <c r="I16" s="203"/>
      <c r="J16" s="206"/>
      <c r="K16" s="203"/>
      <c r="L16" s="207"/>
      <c r="M16" s="203"/>
      <c r="N16" s="203"/>
      <c r="O16" s="203"/>
      <c r="P16" s="203"/>
      <c r="Q16" s="207"/>
      <c r="R16" s="203"/>
      <c r="S16" s="203"/>
      <c r="T16" s="203"/>
      <c r="U16" s="203"/>
      <c r="V16" s="203"/>
      <c r="W16" s="203"/>
      <c r="X16" s="203"/>
      <c r="Y16" s="203"/>
      <c r="Z16" s="203"/>
      <c r="AA16" s="203"/>
      <c r="AB16" s="165"/>
      <c r="AC16" s="165"/>
    </row>
    <row r="17" spans="2:29" ht="16.5">
      <c r="B17" s="203">
        <f t="shared" si="0"/>
        <v>8</v>
      </c>
      <c r="C17" s="204"/>
      <c r="D17" s="205"/>
      <c r="E17" s="204"/>
      <c r="F17" s="204"/>
      <c r="G17" s="203"/>
      <c r="H17" s="206"/>
      <c r="I17" s="203"/>
      <c r="J17" s="206"/>
      <c r="K17" s="203"/>
      <c r="L17" s="207"/>
      <c r="M17" s="203"/>
      <c r="N17" s="203"/>
      <c r="O17" s="203"/>
      <c r="P17" s="203"/>
      <c r="Q17" s="207"/>
      <c r="R17" s="203"/>
      <c r="S17" s="203"/>
      <c r="T17" s="203"/>
      <c r="U17" s="203"/>
      <c r="V17" s="203"/>
      <c r="W17" s="203"/>
      <c r="X17" s="203"/>
      <c r="Y17" s="203"/>
      <c r="Z17" s="203"/>
      <c r="AA17" s="203"/>
      <c r="AB17" s="165"/>
      <c r="AC17" s="165"/>
    </row>
    <row r="18" spans="2:29" ht="16.5">
      <c r="B18" s="203">
        <f t="shared" si="0"/>
        <v>9</v>
      </c>
      <c r="C18" s="204"/>
      <c r="D18" s="205"/>
      <c r="E18" s="204"/>
      <c r="F18" s="204"/>
      <c r="G18" s="203"/>
      <c r="H18" s="206"/>
      <c r="I18" s="203"/>
      <c r="J18" s="206"/>
      <c r="K18" s="203"/>
      <c r="L18" s="207"/>
      <c r="M18" s="203"/>
      <c r="N18" s="203"/>
      <c r="O18" s="203"/>
      <c r="P18" s="203"/>
      <c r="Q18" s="207"/>
      <c r="R18" s="203"/>
      <c r="S18" s="203"/>
      <c r="T18" s="203"/>
      <c r="U18" s="203"/>
      <c r="V18" s="203"/>
      <c r="W18" s="203"/>
      <c r="X18" s="203"/>
      <c r="Y18" s="204"/>
      <c r="Z18" s="203"/>
      <c r="AA18" s="203"/>
      <c r="AB18" s="165"/>
      <c r="AC18" s="165"/>
    </row>
    <row r="19" spans="2:29" ht="16.5">
      <c r="B19" s="203">
        <f t="shared" si="0"/>
        <v>10</v>
      </c>
      <c r="C19" s="204"/>
      <c r="D19" s="205"/>
      <c r="E19" s="204"/>
      <c r="F19" s="204"/>
      <c r="G19" s="203"/>
      <c r="H19" s="206"/>
      <c r="I19" s="203"/>
      <c r="J19" s="206"/>
      <c r="K19" s="203"/>
      <c r="L19" s="207"/>
      <c r="M19" s="203"/>
      <c r="N19" s="203"/>
      <c r="O19" s="203"/>
      <c r="P19" s="203"/>
      <c r="Q19" s="207"/>
      <c r="R19" s="203"/>
      <c r="S19" s="203"/>
      <c r="T19" s="203"/>
      <c r="U19" s="203"/>
      <c r="V19" s="203"/>
      <c r="W19" s="203"/>
      <c r="X19" s="203"/>
      <c r="Y19" s="204"/>
      <c r="Z19" s="203"/>
      <c r="AA19" s="203"/>
      <c r="AB19" s="165"/>
      <c r="AC19" s="165"/>
    </row>
    <row r="20" spans="2:29" ht="16.5">
      <c r="B20" s="203">
        <f t="shared" si="0"/>
        <v>11</v>
      </c>
      <c r="C20" s="204"/>
      <c r="D20" s="205"/>
      <c r="E20" s="204"/>
      <c r="F20" s="204"/>
      <c r="G20" s="203"/>
      <c r="H20" s="206"/>
      <c r="I20" s="203"/>
      <c r="J20" s="206"/>
      <c r="K20" s="203"/>
      <c r="L20" s="207"/>
      <c r="M20" s="203"/>
      <c r="N20" s="203"/>
      <c r="O20" s="203"/>
      <c r="P20" s="203"/>
      <c r="Q20" s="207"/>
      <c r="R20" s="203"/>
      <c r="S20" s="203"/>
      <c r="T20" s="203"/>
      <c r="U20" s="203"/>
      <c r="V20" s="203"/>
      <c r="W20" s="203"/>
      <c r="X20" s="203"/>
      <c r="Y20" s="204"/>
      <c r="Z20" s="203"/>
      <c r="AA20" s="203"/>
      <c r="AB20" s="165"/>
      <c r="AC20" s="165"/>
    </row>
    <row r="21" spans="2:29" ht="16.5">
      <c r="B21" s="203">
        <f t="shared" si="0"/>
        <v>12</v>
      </c>
      <c r="C21" s="204"/>
      <c r="D21" s="208"/>
      <c r="E21" s="204"/>
      <c r="F21" s="204"/>
      <c r="G21" s="203"/>
      <c r="H21" s="206"/>
      <c r="I21" s="203"/>
      <c r="J21" s="206"/>
      <c r="K21" s="203"/>
      <c r="L21" s="207"/>
      <c r="M21" s="203"/>
      <c r="N21" s="203"/>
      <c r="O21" s="203"/>
      <c r="P21" s="203"/>
      <c r="Q21" s="207"/>
      <c r="R21" s="203"/>
      <c r="S21" s="203"/>
      <c r="T21" s="203"/>
      <c r="U21" s="203"/>
      <c r="V21" s="203"/>
      <c r="W21" s="203"/>
      <c r="X21" s="203"/>
      <c r="Y21" s="204"/>
      <c r="Z21" s="203"/>
      <c r="AA21" s="203"/>
      <c r="AB21" s="165"/>
      <c r="AC21" s="165"/>
    </row>
    <row r="22" spans="2:29" ht="16.5">
      <c r="B22" s="203">
        <f t="shared" si="0"/>
        <v>13</v>
      </c>
      <c r="C22" s="204"/>
      <c r="D22" s="208"/>
      <c r="E22" s="204"/>
      <c r="F22" s="204"/>
      <c r="G22" s="203"/>
      <c r="H22" s="206"/>
      <c r="I22" s="203"/>
      <c r="J22" s="206"/>
      <c r="K22" s="203"/>
      <c r="L22" s="207"/>
      <c r="M22" s="203"/>
      <c r="N22" s="203"/>
      <c r="O22" s="203"/>
      <c r="P22" s="203"/>
      <c r="Q22" s="207"/>
      <c r="R22" s="203"/>
      <c r="S22" s="203"/>
      <c r="T22" s="203"/>
      <c r="U22" s="203"/>
      <c r="V22" s="203"/>
      <c r="W22" s="203"/>
      <c r="X22" s="203"/>
      <c r="Y22" s="204"/>
      <c r="Z22" s="203"/>
      <c r="AA22" s="203"/>
      <c r="AB22" s="165"/>
      <c r="AC22" s="165"/>
    </row>
    <row r="23" spans="2:29" ht="16.5">
      <c r="B23" s="203">
        <f t="shared" si="0"/>
        <v>14</v>
      </c>
      <c r="C23" s="204"/>
      <c r="D23" s="208"/>
      <c r="E23" s="204"/>
      <c r="F23" s="204"/>
      <c r="G23" s="203"/>
      <c r="H23" s="206"/>
      <c r="I23" s="203"/>
      <c r="J23" s="206"/>
      <c r="K23" s="203"/>
      <c r="L23" s="203"/>
      <c r="M23" s="203"/>
      <c r="N23" s="203"/>
      <c r="O23" s="203"/>
      <c r="P23" s="203"/>
      <c r="Q23" s="203"/>
      <c r="R23" s="203"/>
      <c r="S23" s="203"/>
      <c r="T23" s="203"/>
      <c r="U23" s="203"/>
      <c r="V23" s="203"/>
      <c r="W23" s="203"/>
      <c r="X23" s="203"/>
      <c r="Y23" s="203"/>
      <c r="Z23" s="203"/>
      <c r="AA23" s="203"/>
      <c r="AB23" s="165"/>
      <c r="AC23" s="165"/>
    </row>
    <row r="24" spans="2:29" ht="16.5">
      <c r="B24" s="203">
        <f t="shared" si="0"/>
        <v>15</v>
      </c>
      <c r="C24" s="204"/>
      <c r="D24" s="208"/>
      <c r="E24" s="204"/>
      <c r="F24" s="204"/>
      <c r="G24" s="203"/>
      <c r="H24" s="206"/>
      <c r="I24" s="203"/>
      <c r="J24" s="206"/>
      <c r="K24" s="203"/>
      <c r="L24" s="207"/>
      <c r="M24" s="203"/>
      <c r="N24" s="203"/>
      <c r="O24" s="203"/>
      <c r="P24" s="203"/>
      <c r="Q24" s="207"/>
      <c r="R24" s="203"/>
      <c r="S24" s="203"/>
      <c r="T24" s="203"/>
      <c r="U24" s="203"/>
      <c r="V24" s="203"/>
      <c r="W24" s="203"/>
      <c r="X24" s="203"/>
      <c r="Y24" s="204"/>
      <c r="Z24" s="203"/>
      <c r="AA24" s="203"/>
      <c r="AB24" s="165"/>
      <c r="AC24" s="165"/>
    </row>
    <row r="25" spans="2:29" ht="16.5">
      <c r="B25" s="203">
        <f t="shared" si="0"/>
        <v>16</v>
      </c>
      <c r="C25" s="204"/>
      <c r="D25" s="205"/>
      <c r="E25" s="204"/>
      <c r="F25" s="204"/>
      <c r="G25" s="203"/>
      <c r="H25" s="206"/>
      <c r="I25" s="203"/>
      <c r="J25" s="206"/>
      <c r="K25" s="203"/>
      <c r="L25" s="207"/>
      <c r="M25" s="203"/>
      <c r="N25" s="203"/>
      <c r="O25" s="203"/>
      <c r="P25" s="203"/>
      <c r="Q25" s="207"/>
      <c r="R25" s="203"/>
      <c r="S25" s="203"/>
      <c r="T25" s="203"/>
      <c r="U25" s="203"/>
      <c r="V25" s="203"/>
      <c r="W25" s="203"/>
      <c r="X25" s="203"/>
      <c r="Y25" s="204"/>
      <c r="Z25" s="203"/>
      <c r="AA25" s="203"/>
      <c r="AB25" s="165"/>
      <c r="AC25" s="165"/>
    </row>
    <row r="26" spans="2:29" ht="16.5">
      <c r="B26" s="203">
        <f t="shared" si="0"/>
        <v>17</v>
      </c>
      <c r="C26" s="204"/>
      <c r="D26" s="205"/>
      <c r="E26" s="204"/>
      <c r="F26" s="204"/>
      <c r="G26" s="203"/>
      <c r="H26" s="206"/>
      <c r="I26" s="203"/>
      <c r="J26" s="206"/>
      <c r="K26" s="203"/>
      <c r="L26" s="207"/>
      <c r="M26" s="203"/>
      <c r="N26" s="203"/>
      <c r="O26" s="203"/>
      <c r="P26" s="203"/>
      <c r="Q26" s="207"/>
      <c r="R26" s="203"/>
      <c r="S26" s="203"/>
      <c r="T26" s="203"/>
      <c r="U26" s="203"/>
      <c r="V26" s="203"/>
      <c r="W26" s="203"/>
      <c r="X26" s="203"/>
      <c r="Y26" s="204"/>
      <c r="Z26" s="203"/>
      <c r="AA26" s="203"/>
      <c r="AB26" s="165"/>
      <c r="AC26" s="165"/>
    </row>
    <row r="27" spans="2:29" ht="16.5">
      <c r="B27" s="203">
        <f t="shared" si="0"/>
        <v>18</v>
      </c>
      <c r="C27" s="204"/>
      <c r="D27" s="208"/>
      <c r="E27" s="204"/>
      <c r="F27" s="204"/>
      <c r="G27" s="203"/>
      <c r="H27" s="206"/>
      <c r="I27" s="203"/>
      <c r="J27" s="206"/>
      <c r="K27" s="203"/>
      <c r="L27" s="207"/>
      <c r="M27" s="203"/>
      <c r="N27" s="203"/>
      <c r="O27" s="203"/>
      <c r="P27" s="203"/>
      <c r="Q27" s="207"/>
      <c r="R27" s="203"/>
      <c r="S27" s="203"/>
      <c r="T27" s="203"/>
      <c r="U27" s="203"/>
      <c r="V27" s="203"/>
      <c r="W27" s="203"/>
      <c r="X27" s="203"/>
      <c r="Y27" s="204"/>
      <c r="Z27" s="203"/>
      <c r="AA27" s="203"/>
      <c r="AB27" s="165"/>
      <c r="AC27" s="165"/>
    </row>
    <row r="28" spans="2:29" ht="16.5">
      <c r="B28" s="203">
        <f t="shared" si="0"/>
        <v>19</v>
      </c>
      <c r="C28" s="204"/>
      <c r="D28" s="205"/>
      <c r="E28" s="204"/>
      <c r="F28" s="204"/>
      <c r="G28" s="203"/>
      <c r="H28" s="206"/>
      <c r="I28" s="203"/>
      <c r="J28" s="206"/>
      <c r="K28" s="203"/>
      <c r="L28" s="207"/>
      <c r="M28" s="203"/>
      <c r="N28" s="203"/>
      <c r="O28" s="203"/>
      <c r="P28" s="203"/>
      <c r="Q28" s="207"/>
      <c r="R28" s="203"/>
      <c r="S28" s="203"/>
      <c r="T28" s="203"/>
      <c r="U28" s="203"/>
      <c r="V28" s="203"/>
      <c r="W28" s="203"/>
      <c r="X28" s="203"/>
      <c r="Y28" s="204"/>
      <c r="Z28" s="203"/>
      <c r="AA28" s="203"/>
      <c r="AB28" s="165"/>
      <c r="AC28" s="165"/>
    </row>
    <row r="29" spans="2:29" ht="16.5">
      <c r="B29" s="203">
        <f t="shared" si="0"/>
        <v>20</v>
      </c>
      <c r="C29" s="204"/>
      <c r="D29" s="205"/>
      <c r="E29" s="204"/>
      <c r="F29" s="204"/>
      <c r="G29" s="203"/>
      <c r="H29" s="206"/>
      <c r="I29" s="203"/>
      <c r="J29" s="206"/>
      <c r="K29" s="203"/>
      <c r="L29" s="207"/>
      <c r="M29" s="203"/>
      <c r="N29" s="203"/>
      <c r="O29" s="203"/>
      <c r="P29" s="203"/>
      <c r="Q29" s="207"/>
      <c r="R29" s="203"/>
      <c r="S29" s="203"/>
      <c r="T29" s="203"/>
      <c r="U29" s="203"/>
      <c r="V29" s="203"/>
      <c r="W29" s="203"/>
      <c r="X29" s="203"/>
      <c r="Y29" s="204"/>
      <c r="Z29" s="203"/>
      <c r="AA29" s="203"/>
      <c r="AB29" s="165"/>
      <c r="AC29" s="165"/>
    </row>
    <row r="30" spans="2:29" ht="16.5">
      <c r="B30" s="203">
        <f t="shared" si="0"/>
        <v>21</v>
      </c>
      <c r="C30" s="204"/>
      <c r="D30" s="205"/>
      <c r="E30" s="204"/>
      <c r="F30" s="204"/>
      <c r="G30" s="203"/>
      <c r="H30" s="206"/>
      <c r="I30" s="203"/>
      <c r="J30" s="206"/>
      <c r="K30" s="203"/>
      <c r="L30" s="203"/>
      <c r="M30" s="203"/>
      <c r="N30" s="203"/>
      <c r="O30" s="203"/>
      <c r="P30" s="203"/>
      <c r="Q30" s="203"/>
      <c r="R30" s="203"/>
      <c r="S30" s="203"/>
      <c r="T30" s="203"/>
      <c r="U30" s="203"/>
      <c r="V30" s="203"/>
      <c r="W30" s="203"/>
      <c r="X30" s="203"/>
      <c r="Y30" s="203"/>
      <c r="Z30" s="203"/>
      <c r="AA30" s="203"/>
      <c r="AB30" s="165"/>
      <c r="AC30" s="165"/>
    </row>
    <row r="31" spans="2:29" ht="16.5">
      <c r="B31" s="203">
        <f t="shared" si="0"/>
        <v>22</v>
      </c>
      <c r="C31" s="204"/>
      <c r="D31" s="205"/>
      <c r="E31" s="204"/>
      <c r="F31" s="204"/>
      <c r="G31" s="203"/>
      <c r="H31" s="206"/>
      <c r="I31" s="203"/>
      <c r="J31" s="206"/>
      <c r="K31" s="203"/>
      <c r="L31" s="207"/>
      <c r="M31" s="203"/>
      <c r="N31" s="203"/>
      <c r="O31" s="203"/>
      <c r="P31" s="203"/>
      <c r="Q31" s="207"/>
      <c r="R31" s="203"/>
      <c r="S31" s="203"/>
      <c r="T31" s="203"/>
      <c r="U31" s="203"/>
      <c r="V31" s="203"/>
      <c r="W31" s="203"/>
      <c r="X31" s="203"/>
      <c r="Y31" s="204"/>
      <c r="Z31" s="203"/>
      <c r="AA31" s="203"/>
      <c r="AB31" s="165"/>
      <c r="AC31" s="165"/>
    </row>
    <row r="32" spans="2:29" ht="16.5">
      <c r="B32" s="203">
        <f t="shared" si="0"/>
        <v>23</v>
      </c>
      <c r="C32" s="204"/>
      <c r="D32" s="205"/>
      <c r="E32" s="204"/>
      <c r="F32" s="204"/>
      <c r="G32" s="203"/>
      <c r="H32" s="206"/>
      <c r="I32" s="203"/>
      <c r="J32" s="206"/>
      <c r="K32" s="203"/>
      <c r="L32" s="207"/>
      <c r="M32" s="203"/>
      <c r="N32" s="203"/>
      <c r="O32" s="203"/>
      <c r="P32" s="203"/>
      <c r="Q32" s="207"/>
      <c r="R32" s="203"/>
      <c r="S32" s="203"/>
      <c r="T32" s="203"/>
      <c r="U32" s="203"/>
      <c r="V32" s="203"/>
      <c r="W32" s="203"/>
      <c r="X32" s="203"/>
      <c r="Y32" s="204"/>
      <c r="Z32" s="203"/>
      <c r="AA32" s="203"/>
      <c r="AB32" s="165"/>
      <c r="AC32" s="165"/>
    </row>
    <row r="33" spans="2:29" ht="16.5">
      <c r="B33" s="203">
        <f t="shared" si="0"/>
        <v>24</v>
      </c>
      <c r="C33" s="204"/>
      <c r="D33" s="208"/>
      <c r="E33" s="204"/>
      <c r="F33" s="204"/>
      <c r="G33" s="203"/>
      <c r="H33" s="206"/>
      <c r="I33" s="203"/>
      <c r="J33" s="206"/>
      <c r="K33" s="203"/>
      <c r="L33" s="207"/>
      <c r="M33" s="203"/>
      <c r="N33" s="203"/>
      <c r="O33" s="203"/>
      <c r="P33" s="203"/>
      <c r="Q33" s="207"/>
      <c r="R33" s="203"/>
      <c r="S33" s="203"/>
      <c r="T33" s="203"/>
      <c r="U33" s="203"/>
      <c r="V33" s="203"/>
      <c r="W33" s="203"/>
      <c r="X33" s="203"/>
      <c r="Y33" s="204"/>
      <c r="Z33" s="203"/>
      <c r="AA33" s="203"/>
      <c r="AB33" s="165"/>
      <c r="AC33" s="165"/>
    </row>
    <row r="34" spans="2:29" ht="16.5">
      <c r="B34" s="203">
        <f t="shared" si="0"/>
        <v>25</v>
      </c>
      <c r="C34" s="204"/>
      <c r="D34" s="208"/>
      <c r="E34" s="204"/>
      <c r="F34" s="204"/>
      <c r="G34" s="203"/>
      <c r="H34" s="206"/>
      <c r="I34" s="203"/>
      <c r="J34" s="206"/>
      <c r="K34" s="203"/>
      <c r="L34" s="203"/>
      <c r="M34" s="203"/>
      <c r="N34" s="203"/>
      <c r="O34" s="203"/>
      <c r="P34" s="203"/>
      <c r="Q34" s="203"/>
      <c r="R34" s="203"/>
      <c r="S34" s="203"/>
      <c r="T34" s="203"/>
      <c r="U34" s="203"/>
      <c r="V34" s="203"/>
      <c r="W34" s="203"/>
      <c r="X34" s="203"/>
      <c r="Y34" s="203"/>
      <c r="Z34" s="203"/>
      <c r="AA34" s="203"/>
      <c r="AB34" s="165"/>
      <c r="AC34" s="165"/>
    </row>
    <row r="35" spans="2:29" ht="16.5">
      <c r="B35" s="203">
        <f t="shared" si="0"/>
        <v>26</v>
      </c>
      <c r="C35" s="204"/>
      <c r="D35" s="208"/>
      <c r="E35" s="204"/>
      <c r="F35" s="204"/>
      <c r="G35" s="203"/>
      <c r="H35" s="206"/>
      <c r="I35" s="203"/>
      <c r="J35" s="206"/>
      <c r="K35" s="203"/>
      <c r="L35" s="207"/>
      <c r="M35" s="203"/>
      <c r="N35" s="203"/>
      <c r="O35" s="203"/>
      <c r="P35" s="203"/>
      <c r="Q35" s="207"/>
      <c r="R35" s="203"/>
      <c r="S35" s="203"/>
      <c r="T35" s="203"/>
      <c r="U35" s="203"/>
      <c r="V35" s="203"/>
      <c r="W35" s="203"/>
      <c r="X35" s="203"/>
      <c r="Y35" s="204"/>
      <c r="Z35" s="203"/>
      <c r="AA35" s="203"/>
      <c r="AB35" s="165"/>
      <c r="AC35" s="165"/>
    </row>
    <row r="36" spans="2:29" ht="16.5">
      <c r="B36" s="203">
        <f t="shared" si="0"/>
        <v>27</v>
      </c>
      <c r="C36" s="209"/>
      <c r="D36" s="210"/>
      <c r="E36" s="204"/>
      <c r="F36" s="209"/>
      <c r="G36" s="165"/>
      <c r="H36" s="211"/>
      <c r="I36" s="165"/>
      <c r="J36" s="211"/>
      <c r="K36" s="165"/>
      <c r="L36" s="165"/>
      <c r="M36" s="165"/>
      <c r="N36" s="165"/>
      <c r="O36" s="165"/>
      <c r="P36" s="165"/>
      <c r="Q36" s="165"/>
      <c r="R36" s="165"/>
      <c r="S36" s="165"/>
      <c r="T36" s="165"/>
      <c r="U36" s="165"/>
      <c r="V36" s="165"/>
      <c r="W36" s="165"/>
      <c r="X36" s="165"/>
      <c r="Y36" s="165"/>
      <c r="Z36" s="165"/>
      <c r="AA36" s="165"/>
      <c r="AB36" s="165"/>
      <c r="AC36" s="165"/>
    </row>
    <row r="37" spans="2:29" ht="16.5">
      <c r="B37" s="203">
        <f t="shared" si="0"/>
        <v>28</v>
      </c>
      <c r="C37" s="209"/>
      <c r="D37" s="210"/>
      <c r="E37" s="204"/>
      <c r="F37" s="209"/>
      <c r="G37" s="165"/>
      <c r="H37" s="211"/>
      <c r="I37" s="165"/>
      <c r="J37" s="211"/>
      <c r="K37" s="165"/>
      <c r="L37" s="165"/>
      <c r="M37" s="165"/>
      <c r="N37" s="165"/>
      <c r="O37" s="165"/>
      <c r="P37" s="165"/>
      <c r="Q37" s="165"/>
      <c r="R37" s="165"/>
      <c r="S37" s="165"/>
      <c r="T37" s="165"/>
      <c r="U37" s="165"/>
      <c r="V37" s="165"/>
      <c r="W37" s="165"/>
      <c r="X37" s="165"/>
      <c r="Y37" s="165"/>
      <c r="Z37" s="165"/>
      <c r="AA37" s="165"/>
      <c r="AB37" s="165"/>
      <c r="AC37" s="165"/>
    </row>
    <row r="38" spans="2:29" ht="16.5">
      <c r="B38" s="203">
        <f t="shared" si="0"/>
        <v>29</v>
      </c>
      <c r="C38" s="209"/>
      <c r="D38" s="210"/>
      <c r="E38" s="204"/>
      <c r="F38" s="209"/>
      <c r="G38" s="165"/>
      <c r="H38" s="211"/>
      <c r="I38" s="165"/>
      <c r="J38" s="211"/>
      <c r="K38" s="165"/>
      <c r="L38" s="165"/>
      <c r="M38" s="165"/>
      <c r="N38" s="165"/>
      <c r="O38" s="165"/>
      <c r="P38" s="165"/>
      <c r="Q38" s="165"/>
      <c r="R38" s="165"/>
      <c r="S38" s="165"/>
      <c r="T38" s="165"/>
      <c r="U38" s="165"/>
      <c r="V38" s="165"/>
      <c r="W38" s="165"/>
      <c r="X38" s="165"/>
      <c r="Y38" s="165"/>
      <c r="Z38" s="165"/>
      <c r="AA38" s="165"/>
      <c r="AB38" s="165"/>
      <c r="AC38" s="165"/>
    </row>
    <row r="39" spans="2:29" ht="16.5">
      <c r="B39" s="203">
        <f t="shared" si="0"/>
        <v>30</v>
      </c>
      <c r="C39" s="209"/>
      <c r="D39" s="210"/>
      <c r="E39" s="204"/>
      <c r="F39" s="209"/>
      <c r="G39" s="165"/>
      <c r="H39" s="211"/>
      <c r="I39" s="165"/>
      <c r="J39" s="211"/>
      <c r="K39" s="165"/>
      <c r="L39" s="165"/>
      <c r="M39" s="165"/>
      <c r="N39" s="165"/>
      <c r="O39" s="165"/>
      <c r="P39" s="165"/>
      <c r="Q39" s="165"/>
      <c r="R39" s="165"/>
      <c r="S39" s="165"/>
      <c r="T39" s="165"/>
      <c r="U39" s="165"/>
      <c r="V39" s="165"/>
      <c r="W39" s="165"/>
      <c r="X39" s="165"/>
      <c r="Y39" s="165"/>
      <c r="Z39" s="165"/>
      <c r="AA39" s="165"/>
      <c r="AB39" s="165"/>
      <c r="AC39" s="165"/>
    </row>
    <row r="40" spans="2:29" ht="16.5">
      <c r="B40" s="203">
        <f t="shared" si="0"/>
        <v>31</v>
      </c>
      <c r="C40" s="209"/>
      <c r="D40" s="212"/>
      <c r="E40" s="204"/>
      <c r="F40" s="209"/>
      <c r="G40" s="165"/>
      <c r="H40" s="211"/>
      <c r="I40" s="165"/>
      <c r="J40" s="211"/>
      <c r="K40" s="165"/>
      <c r="L40" s="165"/>
      <c r="M40" s="165"/>
      <c r="N40" s="165"/>
      <c r="O40" s="165"/>
      <c r="P40" s="165"/>
      <c r="Q40" s="165"/>
      <c r="R40" s="165"/>
      <c r="S40" s="165"/>
      <c r="T40" s="165"/>
      <c r="U40" s="165"/>
      <c r="V40" s="165"/>
      <c r="W40" s="165"/>
      <c r="X40" s="165"/>
      <c r="Y40" s="165"/>
      <c r="Z40" s="165"/>
      <c r="AA40" s="165"/>
      <c r="AB40" s="165"/>
      <c r="AC40" s="165"/>
    </row>
    <row r="41" spans="2:29" ht="16.5">
      <c r="B41" s="203">
        <f t="shared" si="0"/>
        <v>32</v>
      </c>
      <c r="C41" s="209"/>
      <c r="D41" s="213"/>
      <c r="E41" s="204"/>
      <c r="F41" s="209"/>
      <c r="G41" s="165"/>
      <c r="H41" s="211"/>
      <c r="I41" s="165"/>
      <c r="J41" s="211"/>
      <c r="K41" s="165"/>
      <c r="L41" s="165"/>
      <c r="M41" s="165"/>
      <c r="N41" s="165"/>
      <c r="O41" s="165"/>
      <c r="P41" s="165"/>
      <c r="Q41" s="165"/>
      <c r="R41" s="165"/>
      <c r="S41" s="165"/>
      <c r="T41" s="165"/>
      <c r="U41" s="165"/>
      <c r="V41" s="165"/>
      <c r="W41" s="165"/>
      <c r="X41" s="165"/>
      <c r="Y41" s="165"/>
      <c r="Z41" s="165"/>
      <c r="AA41" s="165"/>
      <c r="AB41" s="165"/>
      <c r="AC41" s="165"/>
    </row>
    <row r="42" spans="2:29" ht="16.5">
      <c r="B42" s="203">
        <f t="shared" si="0"/>
        <v>33</v>
      </c>
      <c r="C42" s="209"/>
      <c r="D42" s="212"/>
      <c r="E42" s="204"/>
      <c r="F42" s="209"/>
      <c r="G42" s="165"/>
      <c r="H42" s="211"/>
      <c r="I42" s="165"/>
      <c r="J42" s="211"/>
      <c r="K42" s="165"/>
      <c r="L42" s="165"/>
      <c r="M42" s="165"/>
      <c r="N42" s="165"/>
      <c r="O42" s="165"/>
      <c r="P42" s="165"/>
      <c r="Q42" s="165"/>
      <c r="R42" s="165"/>
      <c r="S42" s="165"/>
      <c r="T42" s="165"/>
      <c r="U42" s="165"/>
      <c r="V42" s="165"/>
      <c r="W42" s="165"/>
      <c r="X42" s="165"/>
      <c r="Y42" s="165"/>
      <c r="Z42" s="165"/>
      <c r="AA42" s="165"/>
      <c r="AB42" s="165"/>
      <c r="AC42" s="165"/>
    </row>
    <row r="43" spans="2:29" ht="16.5">
      <c r="B43" s="203">
        <f t="shared" si="0"/>
        <v>34</v>
      </c>
      <c r="C43" s="209"/>
      <c r="D43" s="212"/>
      <c r="E43" s="204"/>
      <c r="F43" s="209"/>
      <c r="G43" s="165"/>
      <c r="H43" s="211"/>
      <c r="I43" s="165"/>
      <c r="J43" s="211"/>
      <c r="K43" s="165"/>
      <c r="L43" s="165"/>
      <c r="M43" s="165"/>
      <c r="N43" s="165"/>
      <c r="O43" s="165"/>
      <c r="P43" s="165"/>
      <c r="Q43" s="165"/>
      <c r="R43" s="165"/>
      <c r="S43" s="165"/>
      <c r="T43" s="165"/>
      <c r="U43" s="165"/>
      <c r="V43" s="165"/>
      <c r="W43" s="165"/>
      <c r="X43" s="165"/>
      <c r="Y43" s="165"/>
      <c r="Z43" s="165"/>
      <c r="AA43" s="165"/>
      <c r="AB43" s="165"/>
      <c r="AC43" s="165"/>
    </row>
    <row r="44" spans="2:29" ht="16.5">
      <c r="B44" s="203">
        <f t="shared" si="0"/>
        <v>35</v>
      </c>
      <c r="C44" s="209"/>
      <c r="D44" s="214"/>
      <c r="E44" s="204"/>
      <c r="F44" s="209"/>
      <c r="G44" s="165"/>
      <c r="H44" s="211"/>
      <c r="I44" s="165"/>
      <c r="J44" s="211"/>
      <c r="K44" s="165"/>
      <c r="L44" s="165"/>
      <c r="M44" s="165"/>
      <c r="N44" s="165"/>
      <c r="O44" s="165"/>
      <c r="P44" s="165"/>
      <c r="Q44" s="165"/>
      <c r="R44" s="165"/>
      <c r="S44" s="165"/>
      <c r="T44" s="165"/>
      <c r="U44" s="165"/>
      <c r="V44" s="165"/>
      <c r="W44" s="165"/>
      <c r="X44" s="165"/>
      <c r="Y44" s="165"/>
      <c r="Z44" s="165"/>
      <c r="AA44" s="165"/>
      <c r="AB44" s="165"/>
      <c r="AC44" s="165"/>
    </row>
    <row r="45" spans="2:29" ht="16.5">
      <c r="B45" s="203">
        <f t="shared" si="0"/>
        <v>36</v>
      </c>
      <c r="C45" s="209"/>
      <c r="D45" s="214"/>
      <c r="E45" s="204"/>
      <c r="F45" s="209"/>
      <c r="G45" s="165"/>
      <c r="H45" s="211"/>
      <c r="I45" s="165"/>
      <c r="J45" s="211"/>
      <c r="K45" s="165"/>
      <c r="L45" s="165"/>
      <c r="M45" s="165"/>
      <c r="N45" s="165"/>
      <c r="O45" s="165"/>
      <c r="P45" s="165"/>
      <c r="Q45" s="165"/>
      <c r="R45" s="165"/>
      <c r="S45" s="165"/>
      <c r="T45" s="165"/>
      <c r="U45" s="165"/>
      <c r="V45" s="165"/>
      <c r="W45" s="165"/>
      <c r="X45" s="165"/>
      <c r="Y45" s="165"/>
      <c r="Z45" s="165"/>
      <c r="AA45" s="165"/>
      <c r="AB45" s="165"/>
      <c r="AC45" s="165"/>
    </row>
    <row r="46" spans="2:29" ht="16.5">
      <c r="B46" s="203">
        <f t="shared" si="0"/>
        <v>37</v>
      </c>
      <c r="C46" s="209"/>
      <c r="D46" s="214"/>
      <c r="E46" s="204"/>
      <c r="F46" s="209"/>
      <c r="G46" s="165"/>
      <c r="H46" s="211"/>
      <c r="I46" s="165"/>
      <c r="J46" s="211"/>
      <c r="K46" s="165"/>
      <c r="L46" s="165"/>
      <c r="M46" s="165"/>
      <c r="N46" s="165"/>
      <c r="O46" s="165"/>
      <c r="P46" s="165"/>
      <c r="Q46" s="165"/>
      <c r="R46" s="165"/>
      <c r="S46" s="165"/>
      <c r="T46" s="165"/>
      <c r="U46" s="165"/>
      <c r="V46" s="165"/>
      <c r="W46" s="165"/>
      <c r="X46" s="165"/>
      <c r="Y46" s="165"/>
      <c r="Z46" s="165"/>
      <c r="AA46" s="165"/>
      <c r="AB46" s="165"/>
      <c r="AC46" s="165"/>
    </row>
    <row r="47" spans="2:29" ht="16.5">
      <c r="B47" s="203">
        <f t="shared" si="0"/>
        <v>38</v>
      </c>
      <c r="C47" s="209"/>
      <c r="D47" s="214"/>
      <c r="E47" s="204"/>
      <c r="F47" s="209"/>
      <c r="G47" s="165"/>
      <c r="H47" s="211"/>
      <c r="I47" s="165"/>
      <c r="J47" s="211"/>
      <c r="K47" s="165"/>
      <c r="L47" s="165"/>
      <c r="M47" s="165"/>
      <c r="N47" s="165"/>
      <c r="O47" s="165"/>
      <c r="P47" s="165"/>
      <c r="Q47" s="165"/>
      <c r="R47" s="165"/>
      <c r="S47" s="165"/>
      <c r="T47" s="165"/>
      <c r="U47" s="165"/>
      <c r="V47" s="165"/>
      <c r="W47" s="165"/>
      <c r="X47" s="165"/>
      <c r="Y47" s="165"/>
      <c r="Z47" s="165"/>
      <c r="AA47" s="165"/>
      <c r="AB47" s="165"/>
      <c r="AC47" s="165"/>
    </row>
    <row r="48" spans="2:29" ht="16.5">
      <c r="B48" s="203">
        <f t="shared" si="0"/>
        <v>39</v>
      </c>
      <c r="C48" s="209"/>
      <c r="D48" s="214"/>
      <c r="E48" s="204"/>
      <c r="F48" s="209"/>
      <c r="G48" s="165"/>
      <c r="H48" s="211"/>
      <c r="I48" s="165"/>
      <c r="J48" s="211"/>
      <c r="K48" s="165"/>
      <c r="L48" s="165"/>
      <c r="M48" s="165"/>
      <c r="N48" s="165"/>
      <c r="O48" s="165"/>
      <c r="P48" s="165"/>
      <c r="Q48" s="165"/>
      <c r="R48" s="165"/>
      <c r="S48" s="165"/>
      <c r="T48" s="165"/>
      <c r="U48" s="165"/>
      <c r="V48" s="165"/>
      <c r="W48" s="165"/>
      <c r="X48" s="165"/>
      <c r="Y48" s="165"/>
      <c r="Z48" s="165"/>
      <c r="AA48" s="165"/>
      <c r="AB48" s="165"/>
      <c r="AC48" s="165"/>
    </row>
    <row r="49" spans="2:29" ht="16.5">
      <c r="B49" s="203">
        <f t="shared" si="0"/>
        <v>40</v>
      </c>
      <c r="C49" s="209"/>
      <c r="D49" s="214"/>
      <c r="E49" s="204"/>
      <c r="F49" s="209"/>
      <c r="G49" s="165"/>
      <c r="H49" s="211"/>
      <c r="I49" s="165"/>
      <c r="J49" s="211"/>
      <c r="K49" s="165"/>
      <c r="L49" s="165"/>
      <c r="M49" s="165"/>
      <c r="N49" s="165"/>
      <c r="O49" s="165"/>
      <c r="P49" s="165"/>
      <c r="Q49" s="165"/>
      <c r="R49" s="165"/>
      <c r="S49" s="165"/>
      <c r="T49" s="165"/>
      <c r="U49" s="165"/>
      <c r="V49" s="165"/>
      <c r="W49" s="165"/>
      <c r="X49" s="165"/>
      <c r="Y49" s="165"/>
      <c r="Z49" s="165"/>
      <c r="AA49" s="165"/>
      <c r="AB49" s="165"/>
      <c r="AC49" s="165"/>
    </row>
    <row r="50" spans="2:29" ht="16.5">
      <c r="B50" s="203">
        <f t="shared" si="0"/>
        <v>41</v>
      </c>
      <c r="C50" s="209"/>
      <c r="D50" s="214"/>
      <c r="E50" s="204"/>
      <c r="F50" s="209"/>
      <c r="G50" s="165"/>
      <c r="H50" s="211"/>
      <c r="I50" s="165"/>
      <c r="J50" s="211"/>
      <c r="K50" s="165"/>
      <c r="L50" s="165"/>
      <c r="M50" s="165"/>
      <c r="N50" s="165"/>
      <c r="O50" s="165"/>
      <c r="P50" s="165"/>
      <c r="Q50" s="165"/>
      <c r="R50" s="165"/>
      <c r="S50" s="165"/>
      <c r="T50" s="165"/>
      <c r="U50" s="165"/>
      <c r="V50" s="165"/>
      <c r="W50" s="165"/>
      <c r="X50" s="165"/>
      <c r="Y50" s="165"/>
      <c r="Z50" s="165"/>
      <c r="AA50" s="165"/>
      <c r="AB50" s="165"/>
      <c r="AC50" s="165"/>
    </row>
    <row r="51" spans="2:29" ht="16.5">
      <c r="B51" s="203">
        <f t="shared" si="0"/>
        <v>42</v>
      </c>
      <c r="C51" s="209"/>
      <c r="D51" s="214"/>
      <c r="E51" s="204"/>
      <c r="F51" s="209"/>
      <c r="G51" s="165"/>
      <c r="H51" s="211"/>
      <c r="I51" s="165"/>
      <c r="J51" s="211"/>
      <c r="K51" s="165"/>
      <c r="L51" s="165"/>
      <c r="M51" s="165"/>
      <c r="N51" s="165"/>
      <c r="O51" s="165"/>
      <c r="P51" s="165"/>
      <c r="Q51" s="165"/>
      <c r="R51" s="165"/>
      <c r="S51" s="165"/>
      <c r="T51" s="165"/>
      <c r="U51" s="165"/>
      <c r="V51" s="165"/>
      <c r="W51" s="165"/>
      <c r="X51" s="165"/>
      <c r="Y51" s="165"/>
      <c r="Z51" s="165"/>
      <c r="AA51" s="165"/>
      <c r="AB51" s="165"/>
      <c r="AC51" s="165"/>
    </row>
    <row r="52" spans="2:29" ht="16.5">
      <c r="B52" s="203">
        <f t="shared" si="0"/>
        <v>43</v>
      </c>
      <c r="C52" s="209"/>
      <c r="D52" s="214"/>
      <c r="E52" s="204"/>
      <c r="F52" s="209"/>
      <c r="G52" s="165"/>
      <c r="H52" s="211"/>
      <c r="I52" s="165"/>
      <c r="J52" s="211"/>
      <c r="K52" s="165"/>
      <c r="L52" s="165"/>
      <c r="M52" s="165"/>
      <c r="N52" s="165"/>
      <c r="O52" s="165"/>
      <c r="P52" s="165"/>
      <c r="Q52" s="165"/>
      <c r="R52" s="165"/>
      <c r="S52" s="165"/>
      <c r="T52" s="165"/>
      <c r="U52" s="165"/>
      <c r="V52" s="165"/>
      <c r="W52" s="165"/>
      <c r="X52" s="165"/>
      <c r="Y52" s="165"/>
      <c r="Z52" s="165"/>
      <c r="AA52" s="165"/>
      <c r="AB52" s="165"/>
      <c r="AC52" s="165"/>
    </row>
    <row r="53" spans="2:29" ht="16.5">
      <c r="B53" s="203">
        <f t="shared" si="0"/>
        <v>44</v>
      </c>
      <c r="C53" s="209"/>
      <c r="D53" s="214"/>
      <c r="E53" s="204"/>
      <c r="F53" s="209"/>
      <c r="G53" s="165"/>
      <c r="H53" s="211"/>
      <c r="I53" s="165"/>
      <c r="J53" s="211"/>
      <c r="K53" s="165"/>
      <c r="L53" s="165"/>
      <c r="M53" s="165"/>
      <c r="N53" s="165"/>
      <c r="O53" s="165"/>
      <c r="P53" s="165"/>
      <c r="Q53" s="165"/>
      <c r="R53" s="165"/>
      <c r="S53" s="165"/>
      <c r="T53" s="165"/>
      <c r="U53" s="165"/>
      <c r="V53" s="165"/>
      <c r="W53" s="165"/>
      <c r="X53" s="165"/>
      <c r="Y53" s="165"/>
      <c r="Z53" s="165"/>
      <c r="AA53" s="165"/>
      <c r="AB53" s="165"/>
      <c r="AC53" s="165"/>
    </row>
    <row r="54" spans="2:29" ht="16.5">
      <c r="B54" s="203">
        <f t="shared" si="0"/>
        <v>45</v>
      </c>
      <c r="C54" s="209"/>
      <c r="D54" s="214"/>
      <c r="E54" s="204"/>
      <c r="F54" s="209"/>
      <c r="G54" s="165"/>
      <c r="H54" s="211"/>
      <c r="I54" s="165"/>
      <c r="J54" s="211"/>
      <c r="K54" s="165"/>
      <c r="L54" s="165"/>
      <c r="M54" s="165"/>
      <c r="N54" s="165"/>
      <c r="O54" s="165"/>
      <c r="P54" s="165"/>
      <c r="Q54" s="165"/>
      <c r="R54" s="165"/>
      <c r="S54" s="165"/>
      <c r="T54" s="165"/>
      <c r="U54" s="165"/>
      <c r="V54" s="165"/>
      <c r="W54" s="165"/>
      <c r="X54" s="165"/>
      <c r="Y54" s="165"/>
      <c r="Z54" s="165"/>
      <c r="AA54" s="165"/>
      <c r="AB54" s="165"/>
      <c r="AC54" s="165"/>
    </row>
    <row r="55" spans="2:29" ht="16.5">
      <c r="B55" s="203">
        <f t="shared" si="0"/>
        <v>46</v>
      </c>
      <c r="C55" s="209"/>
      <c r="D55" s="214"/>
      <c r="E55" s="204"/>
      <c r="F55" s="209"/>
      <c r="G55" s="165"/>
      <c r="H55" s="211"/>
      <c r="I55" s="165"/>
      <c r="J55" s="211"/>
      <c r="K55" s="165"/>
      <c r="L55" s="165"/>
      <c r="M55" s="165"/>
      <c r="N55" s="165"/>
      <c r="O55" s="165"/>
      <c r="P55" s="165"/>
      <c r="Q55" s="165"/>
      <c r="R55" s="165"/>
      <c r="S55" s="165"/>
      <c r="T55" s="165"/>
      <c r="U55" s="165"/>
      <c r="V55" s="165"/>
      <c r="W55" s="165"/>
      <c r="X55" s="165"/>
      <c r="Y55" s="165"/>
      <c r="Z55" s="165"/>
      <c r="AA55" s="165"/>
      <c r="AB55" s="165"/>
      <c r="AC55" s="165"/>
    </row>
    <row r="56" spans="2:29" ht="16.5">
      <c r="B56" s="203">
        <f t="shared" si="0"/>
        <v>47</v>
      </c>
      <c r="C56" s="209"/>
      <c r="D56" s="214"/>
      <c r="E56" s="204"/>
      <c r="F56" s="209"/>
      <c r="G56" s="165"/>
      <c r="H56" s="211"/>
      <c r="I56" s="165"/>
      <c r="J56" s="211"/>
      <c r="K56" s="165"/>
      <c r="L56" s="165"/>
      <c r="M56" s="165"/>
      <c r="N56" s="165"/>
      <c r="O56" s="165"/>
      <c r="P56" s="165"/>
      <c r="Q56" s="165"/>
      <c r="R56" s="165"/>
      <c r="S56" s="165"/>
      <c r="T56" s="165"/>
      <c r="U56" s="165"/>
      <c r="V56" s="165"/>
      <c r="W56" s="165"/>
      <c r="X56" s="165"/>
      <c r="Y56" s="165"/>
      <c r="Z56" s="165"/>
      <c r="AA56" s="165"/>
      <c r="AB56" s="165"/>
      <c r="AC56" s="165"/>
    </row>
    <row r="57" spans="2:29" ht="16.5">
      <c r="B57" s="203">
        <f t="shared" si="0"/>
        <v>48</v>
      </c>
      <c r="C57" s="209"/>
      <c r="D57" s="214"/>
      <c r="E57" s="204"/>
      <c r="F57" s="209"/>
      <c r="G57" s="165"/>
      <c r="H57" s="211"/>
      <c r="I57" s="165"/>
      <c r="J57" s="211"/>
      <c r="K57" s="165"/>
      <c r="L57" s="165"/>
      <c r="M57" s="165"/>
      <c r="N57" s="165"/>
      <c r="O57" s="165"/>
      <c r="P57" s="165"/>
      <c r="Q57" s="165"/>
      <c r="R57" s="165"/>
      <c r="S57" s="165"/>
      <c r="T57" s="165"/>
      <c r="U57" s="165"/>
      <c r="V57" s="165"/>
      <c r="W57" s="165"/>
      <c r="X57" s="165"/>
      <c r="Y57" s="165"/>
      <c r="Z57" s="165"/>
      <c r="AA57" s="165"/>
      <c r="AB57" s="165"/>
      <c r="AC57" s="165"/>
    </row>
    <row r="58" spans="2:29" ht="16.5">
      <c r="B58" s="203">
        <f t="shared" si="0"/>
        <v>49</v>
      </c>
      <c r="C58" s="209"/>
      <c r="D58" s="214"/>
      <c r="E58" s="204"/>
      <c r="F58" s="209"/>
      <c r="G58" s="165"/>
      <c r="H58" s="211"/>
      <c r="I58" s="165"/>
      <c r="J58" s="211"/>
      <c r="K58" s="165"/>
      <c r="L58" s="165"/>
      <c r="M58" s="165"/>
      <c r="N58" s="165"/>
      <c r="O58" s="165"/>
      <c r="P58" s="165"/>
      <c r="Q58" s="165"/>
      <c r="R58" s="165"/>
      <c r="S58" s="165"/>
      <c r="T58" s="165"/>
      <c r="U58" s="165"/>
      <c r="V58" s="165"/>
      <c r="W58" s="165"/>
      <c r="X58" s="165"/>
      <c r="Y58" s="165"/>
      <c r="Z58" s="165"/>
      <c r="AA58" s="165"/>
      <c r="AB58" s="165"/>
      <c r="AC58" s="165"/>
    </row>
    <row r="59" spans="2:29" ht="16.5">
      <c r="B59" s="203">
        <f t="shared" si="0"/>
        <v>50</v>
      </c>
      <c r="C59" s="209"/>
      <c r="D59" s="214"/>
      <c r="E59" s="204"/>
      <c r="F59" s="209"/>
      <c r="G59" s="165"/>
      <c r="H59" s="211"/>
      <c r="I59" s="165"/>
      <c r="J59" s="211"/>
      <c r="K59" s="165"/>
      <c r="L59" s="165"/>
      <c r="M59" s="165"/>
      <c r="N59" s="165"/>
      <c r="O59" s="165"/>
      <c r="P59" s="165"/>
      <c r="Q59" s="165"/>
      <c r="R59" s="165"/>
      <c r="S59" s="165"/>
      <c r="T59" s="165"/>
      <c r="U59" s="165"/>
      <c r="V59" s="165"/>
      <c r="W59" s="165"/>
      <c r="X59" s="165"/>
      <c r="Y59" s="165"/>
      <c r="Z59" s="165"/>
      <c r="AA59" s="165"/>
      <c r="AB59" s="165"/>
      <c r="AC59" s="165"/>
    </row>
    <row r="60" spans="2:29" ht="16.5">
      <c r="B60" s="203">
        <f t="shared" si="0"/>
        <v>51</v>
      </c>
      <c r="C60" s="209"/>
      <c r="D60" s="214"/>
      <c r="E60" s="204"/>
      <c r="F60" s="209"/>
      <c r="G60" s="165"/>
      <c r="H60" s="211"/>
      <c r="I60" s="165"/>
      <c r="J60" s="211"/>
      <c r="K60" s="165"/>
      <c r="L60" s="165"/>
      <c r="M60" s="165"/>
      <c r="N60" s="165"/>
      <c r="O60" s="165"/>
      <c r="P60" s="165"/>
      <c r="Q60" s="165"/>
      <c r="R60" s="165"/>
      <c r="S60" s="165"/>
      <c r="T60" s="165"/>
      <c r="U60" s="165"/>
      <c r="V60" s="165"/>
      <c r="W60" s="165"/>
      <c r="X60" s="165"/>
      <c r="Y60" s="165"/>
      <c r="Z60" s="165"/>
      <c r="AA60" s="165"/>
      <c r="AB60" s="165"/>
      <c r="AC60" s="165"/>
    </row>
    <row r="61" spans="2:29" ht="16.5">
      <c r="B61" s="203">
        <f t="shared" si="0"/>
        <v>52</v>
      </c>
      <c r="C61" s="209"/>
      <c r="D61" s="214"/>
      <c r="E61" s="204"/>
      <c r="F61" s="209"/>
      <c r="G61" s="165"/>
      <c r="H61" s="211"/>
      <c r="I61" s="165"/>
      <c r="J61" s="211"/>
      <c r="K61" s="165"/>
      <c r="L61" s="165"/>
      <c r="M61" s="165"/>
      <c r="N61" s="165"/>
      <c r="O61" s="165"/>
      <c r="P61" s="165"/>
      <c r="Q61" s="165"/>
      <c r="R61" s="165"/>
      <c r="S61" s="165"/>
      <c r="T61" s="165"/>
      <c r="U61" s="165"/>
      <c r="V61" s="165"/>
      <c r="W61" s="165"/>
      <c r="X61" s="165"/>
      <c r="Y61" s="165"/>
      <c r="Z61" s="165"/>
      <c r="AA61" s="165"/>
      <c r="AB61" s="165"/>
      <c r="AC61" s="165"/>
    </row>
    <row r="62" spans="2:29" ht="16.5">
      <c r="B62" s="203">
        <f t="shared" si="0"/>
        <v>53</v>
      </c>
      <c r="C62" s="209"/>
      <c r="D62" s="214"/>
      <c r="E62" s="204"/>
      <c r="F62" s="209"/>
      <c r="G62" s="165"/>
      <c r="H62" s="211"/>
      <c r="I62" s="165"/>
      <c r="J62" s="211"/>
      <c r="K62" s="165"/>
      <c r="L62" s="165"/>
      <c r="M62" s="165"/>
      <c r="N62" s="165"/>
      <c r="O62" s="165"/>
      <c r="P62" s="165"/>
      <c r="Q62" s="165"/>
      <c r="R62" s="165"/>
      <c r="S62" s="165"/>
      <c r="T62" s="165"/>
      <c r="U62" s="165"/>
      <c r="V62" s="165"/>
      <c r="W62" s="165"/>
      <c r="X62" s="165"/>
      <c r="Y62" s="165"/>
      <c r="Z62" s="165"/>
      <c r="AA62" s="165"/>
      <c r="AB62" s="165"/>
      <c r="AC62" s="165"/>
    </row>
    <row r="63" spans="2:29" ht="16.5">
      <c r="B63" s="203">
        <f t="shared" si="0"/>
        <v>54</v>
      </c>
      <c r="C63" s="209"/>
      <c r="D63" s="214"/>
      <c r="E63" s="204"/>
      <c r="F63" s="209"/>
      <c r="G63" s="165"/>
      <c r="H63" s="211"/>
      <c r="I63" s="165"/>
      <c r="J63" s="211"/>
      <c r="K63" s="165"/>
      <c r="L63" s="165"/>
      <c r="M63" s="165"/>
      <c r="N63" s="165"/>
      <c r="O63" s="165"/>
      <c r="P63" s="165"/>
      <c r="Q63" s="165"/>
      <c r="R63" s="165"/>
      <c r="S63" s="165"/>
      <c r="T63" s="165"/>
      <c r="U63" s="165"/>
      <c r="V63" s="165"/>
      <c r="W63" s="165"/>
      <c r="X63" s="165"/>
      <c r="Y63" s="165"/>
      <c r="Z63" s="165"/>
      <c r="AA63" s="165"/>
      <c r="AB63" s="165"/>
      <c r="AC63" s="165"/>
    </row>
    <row r="64" spans="2:29" ht="16.5">
      <c r="B64" s="203">
        <f t="shared" si="0"/>
        <v>55</v>
      </c>
      <c r="C64" s="209"/>
      <c r="D64" s="214"/>
      <c r="E64" s="204"/>
      <c r="F64" s="209"/>
      <c r="G64" s="165"/>
      <c r="H64" s="211"/>
      <c r="I64" s="165"/>
      <c r="J64" s="211"/>
      <c r="K64" s="165"/>
      <c r="L64" s="165"/>
      <c r="M64" s="165"/>
      <c r="N64" s="165"/>
      <c r="O64" s="165"/>
      <c r="P64" s="165"/>
      <c r="Q64" s="165"/>
      <c r="R64" s="165"/>
      <c r="S64" s="165"/>
      <c r="T64" s="165"/>
      <c r="U64" s="165"/>
      <c r="V64" s="165"/>
      <c r="W64" s="165"/>
      <c r="X64" s="165"/>
      <c r="Y64" s="165"/>
      <c r="Z64" s="165"/>
      <c r="AA64" s="165"/>
      <c r="AB64" s="165"/>
      <c r="AC64" s="165"/>
    </row>
    <row r="65" spans="2:29" ht="16.5">
      <c r="B65" s="203">
        <f t="shared" si="0"/>
        <v>56</v>
      </c>
      <c r="C65" s="209"/>
      <c r="D65" s="214"/>
      <c r="E65" s="204"/>
      <c r="F65" s="209"/>
      <c r="G65" s="165"/>
      <c r="H65" s="211"/>
      <c r="I65" s="165"/>
      <c r="J65" s="211"/>
      <c r="K65" s="165"/>
      <c r="L65" s="165"/>
      <c r="M65" s="165"/>
      <c r="N65" s="165"/>
      <c r="O65" s="165"/>
      <c r="P65" s="165"/>
      <c r="Q65" s="165"/>
      <c r="R65" s="165"/>
      <c r="S65" s="165"/>
      <c r="T65" s="165"/>
      <c r="U65" s="165"/>
      <c r="V65" s="165"/>
      <c r="W65" s="165"/>
      <c r="X65" s="165"/>
      <c r="Y65" s="165"/>
      <c r="Z65" s="165"/>
      <c r="AA65" s="165"/>
      <c r="AB65" s="165"/>
      <c r="AC65" s="165"/>
    </row>
    <row r="66" spans="2:29" ht="16.5">
      <c r="B66" s="203">
        <f t="shared" si="0"/>
        <v>57</v>
      </c>
      <c r="C66" s="209"/>
      <c r="D66" s="214"/>
      <c r="E66" s="204"/>
      <c r="F66" s="209"/>
      <c r="G66" s="165"/>
      <c r="H66" s="211"/>
      <c r="I66" s="165"/>
      <c r="J66" s="211"/>
      <c r="K66" s="165"/>
      <c r="L66" s="165"/>
      <c r="M66" s="165"/>
      <c r="N66" s="165"/>
      <c r="O66" s="165"/>
      <c r="P66" s="165"/>
      <c r="Q66" s="165"/>
      <c r="R66" s="165"/>
      <c r="S66" s="165"/>
      <c r="T66" s="165"/>
      <c r="U66" s="165"/>
      <c r="V66" s="165"/>
      <c r="W66" s="165"/>
      <c r="X66" s="165"/>
      <c r="Y66" s="165"/>
      <c r="Z66" s="165"/>
      <c r="AA66" s="165"/>
      <c r="AB66" s="165"/>
      <c r="AC66" s="165"/>
    </row>
    <row r="67" spans="2:29" ht="16.5">
      <c r="B67" s="203">
        <f t="shared" si="0"/>
        <v>58</v>
      </c>
      <c r="C67" s="209"/>
      <c r="D67" s="214"/>
      <c r="E67" s="204"/>
      <c r="F67" s="209"/>
      <c r="G67" s="165"/>
      <c r="H67" s="211"/>
      <c r="I67" s="165"/>
      <c r="J67" s="211"/>
      <c r="K67" s="165"/>
      <c r="L67" s="165"/>
      <c r="M67" s="165"/>
      <c r="N67" s="165"/>
      <c r="O67" s="165"/>
      <c r="P67" s="165"/>
      <c r="Q67" s="165"/>
      <c r="R67" s="165"/>
      <c r="S67" s="165"/>
      <c r="T67" s="165"/>
      <c r="U67" s="165"/>
      <c r="V67" s="165"/>
      <c r="W67" s="165"/>
      <c r="X67" s="165"/>
      <c r="Y67" s="165"/>
      <c r="Z67" s="165"/>
      <c r="AA67" s="165"/>
      <c r="AB67" s="165"/>
      <c r="AC67" s="165"/>
    </row>
    <row r="68" spans="2:29" ht="16.5">
      <c r="B68" s="203">
        <f t="shared" si="0"/>
        <v>59</v>
      </c>
      <c r="C68" s="209"/>
      <c r="D68" s="214"/>
      <c r="E68" s="204"/>
      <c r="F68" s="209"/>
      <c r="G68" s="165"/>
      <c r="H68" s="211"/>
      <c r="I68" s="165"/>
      <c r="J68" s="211"/>
      <c r="K68" s="165"/>
      <c r="L68" s="165"/>
      <c r="M68" s="165"/>
      <c r="N68" s="165"/>
      <c r="O68" s="165"/>
      <c r="P68" s="165"/>
      <c r="Q68" s="165"/>
      <c r="R68" s="165"/>
      <c r="S68" s="165"/>
      <c r="T68" s="165"/>
      <c r="U68" s="165"/>
      <c r="V68" s="165"/>
      <c r="W68" s="165"/>
      <c r="X68" s="165"/>
      <c r="Y68" s="165"/>
      <c r="Z68" s="165"/>
      <c r="AA68" s="165"/>
      <c r="AB68" s="165"/>
      <c r="AC68" s="165"/>
    </row>
    <row r="69" spans="2:29" ht="16.5">
      <c r="B69" s="203">
        <f t="shared" si="0"/>
        <v>60</v>
      </c>
      <c r="C69" s="209"/>
      <c r="D69" s="214"/>
      <c r="E69" s="204"/>
      <c r="F69" s="209"/>
      <c r="G69" s="165"/>
      <c r="H69" s="211"/>
      <c r="I69" s="165"/>
      <c r="J69" s="211"/>
      <c r="K69" s="165"/>
      <c r="L69" s="165"/>
      <c r="M69" s="165"/>
      <c r="N69" s="165"/>
      <c r="O69" s="165"/>
      <c r="P69" s="165"/>
      <c r="Q69" s="165"/>
      <c r="R69" s="165"/>
      <c r="S69" s="165"/>
      <c r="T69" s="165"/>
      <c r="U69" s="165"/>
      <c r="V69" s="165"/>
      <c r="W69" s="165"/>
      <c r="X69" s="165"/>
      <c r="Y69" s="165"/>
      <c r="Z69" s="165"/>
      <c r="AA69" s="165"/>
      <c r="AB69" s="165"/>
      <c r="AC69" s="165"/>
    </row>
    <row r="70" spans="2:29" ht="16.5">
      <c r="B70" s="203">
        <f t="shared" si="0"/>
        <v>61</v>
      </c>
      <c r="C70" s="209"/>
      <c r="D70" s="214"/>
      <c r="E70" s="204"/>
      <c r="F70" s="209"/>
      <c r="G70" s="165"/>
      <c r="H70" s="211"/>
      <c r="I70" s="165"/>
      <c r="J70" s="211"/>
      <c r="K70" s="165"/>
      <c r="L70" s="165"/>
      <c r="M70" s="165"/>
      <c r="N70" s="165"/>
      <c r="O70" s="165"/>
      <c r="P70" s="165"/>
      <c r="Q70" s="165"/>
      <c r="R70" s="165"/>
      <c r="S70" s="165"/>
      <c r="T70" s="165"/>
      <c r="U70" s="165"/>
      <c r="V70" s="165"/>
      <c r="W70" s="165"/>
      <c r="X70" s="165"/>
      <c r="Y70" s="165"/>
      <c r="Z70" s="165"/>
      <c r="AA70" s="165"/>
      <c r="AB70" s="165"/>
      <c r="AC70" s="165"/>
    </row>
    <row r="71" spans="2:29" ht="16.5">
      <c r="B71" s="203">
        <f t="shared" si="0"/>
        <v>62</v>
      </c>
      <c r="C71" s="209"/>
      <c r="D71" s="214"/>
      <c r="E71" s="204"/>
      <c r="F71" s="209"/>
      <c r="G71" s="165"/>
      <c r="H71" s="211"/>
      <c r="I71" s="165"/>
      <c r="J71" s="211"/>
      <c r="K71" s="165"/>
      <c r="L71" s="165"/>
      <c r="M71" s="165"/>
      <c r="N71" s="165"/>
      <c r="O71" s="165"/>
      <c r="P71" s="165"/>
      <c r="Q71" s="165"/>
      <c r="R71" s="165"/>
      <c r="S71" s="165"/>
      <c r="T71" s="165"/>
      <c r="U71" s="165"/>
      <c r="V71" s="165"/>
      <c r="W71" s="165"/>
      <c r="X71" s="165"/>
      <c r="Y71" s="165"/>
      <c r="Z71" s="165"/>
      <c r="AA71" s="165"/>
      <c r="AB71" s="165"/>
      <c r="AC71" s="165"/>
    </row>
    <row r="72" spans="2:29" ht="16.5">
      <c r="B72" s="203">
        <f t="shared" si="0"/>
        <v>63</v>
      </c>
      <c r="C72" s="209"/>
      <c r="D72" s="214"/>
      <c r="E72" s="204"/>
      <c r="F72" s="209"/>
      <c r="G72" s="165"/>
      <c r="H72" s="211"/>
      <c r="I72" s="165"/>
      <c r="J72" s="211"/>
      <c r="K72" s="165"/>
      <c r="L72" s="165"/>
      <c r="M72" s="165"/>
      <c r="N72" s="165"/>
      <c r="O72" s="165"/>
      <c r="P72" s="165"/>
      <c r="Q72" s="165"/>
      <c r="R72" s="165"/>
      <c r="S72" s="165"/>
      <c r="T72" s="165"/>
      <c r="U72" s="165"/>
      <c r="V72" s="165"/>
      <c r="W72" s="165"/>
      <c r="X72" s="165"/>
      <c r="Y72" s="165"/>
      <c r="Z72" s="165"/>
      <c r="AA72" s="165"/>
      <c r="AB72" s="165"/>
      <c r="AC72" s="165"/>
    </row>
    <row r="73" spans="2:29" ht="16.5">
      <c r="B73" s="203">
        <f t="shared" si="0"/>
        <v>64</v>
      </c>
      <c r="C73" s="209"/>
      <c r="D73" s="214"/>
      <c r="E73" s="204"/>
      <c r="F73" s="209"/>
      <c r="G73" s="165"/>
      <c r="H73" s="211"/>
      <c r="I73" s="165"/>
      <c r="J73" s="211"/>
      <c r="K73" s="165"/>
      <c r="L73" s="165"/>
      <c r="M73" s="165"/>
      <c r="N73" s="165"/>
      <c r="O73" s="165"/>
      <c r="P73" s="165"/>
      <c r="Q73" s="165"/>
      <c r="R73" s="165"/>
      <c r="S73" s="165"/>
      <c r="T73" s="165"/>
      <c r="U73" s="165"/>
      <c r="V73" s="165"/>
      <c r="W73" s="165"/>
      <c r="X73" s="165"/>
      <c r="Y73" s="165"/>
      <c r="Z73" s="165"/>
      <c r="AA73" s="165"/>
      <c r="AB73" s="165"/>
      <c r="AC73" s="165"/>
    </row>
    <row r="74" spans="2:29" ht="16.5">
      <c r="B74" s="203">
        <f t="shared" si="0"/>
        <v>65</v>
      </c>
      <c r="C74" s="209"/>
      <c r="D74" s="214"/>
      <c r="E74" s="204"/>
      <c r="F74" s="209"/>
      <c r="G74" s="165"/>
      <c r="H74" s="211"/>
      <c r="I74" s="165"/>
      <c r="J74" s="211"/>
      <c r="K74" s="165"/>
      <c r="L74" s="165"/>
      <c r="M74" s="165"/>
      <c r="N74" s="165"/>
      <c r="O74" s="165"/>
      <c r="P74" s="165"/>
      <c r="Q74" s="165"/>
      <c r="R74" s="165"/>
      <c r="S74" s="165"/>
      <c r="T74" s="165"/>
      <c r="U74" s="165"/>
      <c r="V74" s="165"/>
      <c r="W74" s="165"/>
      <c r="X74" s="165"/>
      <c r="Y74" s="165"/>
      <c r="Z74" s="165"/>
      <c r="AA74" s="165"/>
      <c r="AB74" s="165"/>
      <c r="AC74" s="165"/>
    </row>
    <row r="75" spans="2:29" ht="16.5">
      <c r="B75" s="203">
        <f t="shared" ref="B75:B109" si="1">ROW() - 9</f>
        <v>66</v>
      </c>
      <c r="C75" s="209"/>
      <c r="D75" s="214"/>
      <c r="E75" s="204"/>
      <c r="F75" s="209"/>
      <c r="G75" s="165"/>
      <c r="H75" s="211"/>
      <c r="I75" s="165"/>
      <c r="J75" s="211"/>
      <c r="K75" s="165"/>
      <c r="L75" s="165"/>
      <c r="M75" s="165"/>
      <c r="N75" s="165"/>
      <c r="O75" s="165"/>
      <c r="P75" s="165"/>
      <c r="Q75" s="165"/>
      <c r="R75" s="165"/>
      <c r="S75" s="165"/>
      <c r="T75" s="165"/>
      <c r="U75" s="165"/>
      <c r="V75" s="165"/>
      <c r="W75" s="165"/>
      <c r="X75" s="165"/>
      <c r="Y75" s="165"/>
      <c r="Z75" s="165"/>
      <c r="AA75" s="165"/>
      <c r="AB75" s="165"/>
      <c r="AC75" s="165"/>
    </row>
    <row r="76" spans="2:29" ht="16.5">
      <c r="B76" s="203">
        <f t="shared" si="1"/>
        <v>67</v>
      </c>
      <c r="C76" s="209"/>
      <c r="D76" s="214"/>
      <c r="E76" s="204"/>
      <c r="F76" s="209"/>
      <c r="G76" s="165"/>
      <c r="H76" s="211"/>
      <c r="I76" s="165"/>
      <c r="J76" s="211"/>
      <c r="K76" s="165"/>
      <c r="L76" s="165"/>
      <c r="M76" s="165"/>
      <c r="N76" s="165"/>
      <c r="O76" s="165"/>
      <c r="P76" s="165"/>
      <c r="Q76" s="165"/>
      <c r="R76" s="165"/>
      <c r="S76" s="165"/>
      <c r="T76" s="165"/>
      <c r="U76" s="165"/>
      <c r="V76" s="165"/>
      <c r="W76" s="165"/>
      <c r="X76" s="165"/>
      <c r="Y76" s="165"/>
      <c r="Z76" s="165"/>
      <c r="AA76" s="165"/>
      <c r="AB76" s="165"/>
      <c r="AC76" s="165"/>
    </row>
    <row r="77" spans="2:29" ht="16.5">
      <c r="B77" s="203">
        <f t="shared" si="1"/>
        <v>68</v>
      </c>
      <c r="C77" s="209"/>
      <c r="D77" s="214"/>
      <c r="E77" s="204"/>
      <c r="F77" s="209"/>
      <c r="G77" s="165"/>
      <c r="H77" s="211"/>
      <c r="I77" s="165"/>
      <c r="J77" s="211"/>
      <c r="K77" s="165"/>
      <c r="L77" s="165"/>
      <c r="M77" s="165"/>
      <c r="N77" s="165"/>
      <c r="O77" s="165"/>
      <c r="P77" s="165"/>
      <c r="Q77" s="165"/>
      <c r="R77" s="165"/>
      <c r="S77" s="165"/>
      <c r="T77" s="165"/>
      <c r="U77" s="165"/>
      <c r="V77" s="165"/>
      <c r="W77" s="165"/>
      <c r="X77" s="165"/>
      <c r="Y77" s="165"/>
      <c r="Z77" s="165"/>
      <c r="AA77" s="165"/>
      <c r="AB77" s="165"/>
      <c r="AC77" s="165"/>
    </row>
    <row r="78" spans="2:29" ht="16.5">
      <c r="B78" s="203">
        <f t="shared" si="1"/>
        <v>69</v>
      </c>
      <c r="C78" s="209"/>
      <c r="D78" s="214"/>
      <c r="E78" s="204"/>
      <c r="F78" s="209"/>
      <c r="G78" s="165"/>
      <c r="H78" s="211"/>
      <c r="I78" s="165"/>
      <c r="J78" s="211"/>
      <c r="K78" s="165"/>
      <c r="L78" s="165"/>
      <c r="M78" s="165"/>
      <c r="N78" s="165"/>
      <c r="O78" s="165"/>
      <c r="P78" s="165"/>
      <c r="Q78" s="165"/>
      <c r="R78" s="165"/>
      <c r="S78" s="165"/>
      <c r="T78" s="165"/>
      <c r="U78" s="165"/>
      <c r="V78" s="165"/>
      <c r="W78" s="165"/>
      <c r="X78" s="165"/>
      <c r="Y78" s="165"/>
      <c r="Z78" s="165"/>
      <c r="AA78" s="165"/>
      <c r="AB78" s="165"/>
      <c r="AC78" s="165"/>
    </row>
    <row r="79" spans="2:29" ht="16.5">
      <c r="B79" s="203">
        <f t="shared" si="1"/>
        <v>70</v>
      </c>
      <c r="C79" s="209"/>
      <c r="D79" s="214"/>
      <c r="E79" s="204"/>
      <c r="F79" s="209"/>
      <c r="G79" s="165"/>
      <c r="H79" s="211"/>
      <c r="I79" s="165"/>
      <c r="J79" s="211"/>
      <c r="K79" s="165"/>
      <c r="L79" s="165"/>
      <c r="M79" s="165"/>
      <c r="N79" s="165"/>
      <c r="O79" s="165"/>
      <c r="P79" s="165"/>
      <c r="Q79" s="165"/>
      <c r="R79" s="165"/>
      <c r="S79" s="165"/>
      <c r="T79" s="165"/>
      <c r="U79" s="165"/>
      <c r="V79" s="165"/>
      <c r="W79" s="165"/>
      <c r="X79" s="165"/>
      <c r="Y79" s="165"/>
      <c r="Z79" s="165"/>
      <c r="AA79" s="165"/>
      <c r="AB79" s="165"/>
      <c r="AC79" s="165"/>
    </row>
    <row r="80" spans="2:29" ht="16.5">
      <c r="B80" s="203">
        <f t="shared" si="1"/>
        <v>71</v>
      </c>
      <c r="C80" s="209"/>
      <c r="D80" s="214"/>
      <c r="E80" s="204"/>
      <c r="F80" s="209"/>
      <c r="G80" s="165"/>
      <c r="H80" s="211"/>
      <c r="I80" s="165"/>
      <c r="J80" s="211"/>
      <c r="K80" s="165"/>
      <c r="L80" s="165"/>
      <c r="M80" s="165"/>
      <c r="N80" s="165"/>
      <c r="O80" s="165"/>
      <c r="P80" s="165"/>
      <c r="Q80" s="165"/>
      <c r="R80" s="165"/>
      <c r="S80" s="165"/>
      <c r="T80" s="165"/>
      <c r="U80" s="165"/>
      <c r="V80" s="165"/>
      <c r="W80" s="165"/>
      <c r="X80" s="165"/>
      <c r="Y80" s="165"/>
      <c r="Z80" s="165"/>
      <c r="AA80" s="165"/>
      <c r="AB80" s="165"/>
      <c r="AC80" s="165"/>
    </row>
    <row r="81" spans="2:29" ht="16.5">
      <c r="B81" s="203">
        <f t="shared" si="1"/>
        <v>72</v>
      </c>
      <c r="C81" s="209"/>
      <c r="D81" s="214"/>
      <c r="E81" s="204"/>
      <c r="F81" s="209"/>
      <c r="G81" s="165"/>
      <c r="H81" s="211"/>
      <c r="I81" s="165"/>
      <c r="J81" s="211"/>
      <c r="K81" s="165"/>
      <c r="L81" s="165"/>
      <c r="M81" s="165"/>
      <c r="N81" s="165"/>
      <c r="O81" s="165"/>
      <c r="P81" s="165"/>
      <c r="Q81" s="165"/>
      <c r="R81" s="165"/>
      <c r="S81" s="165"/>
      <c r="T81" s="165"/>
      <c r="U81" s="165"/>
      <c r="V81" s="165"/>
      <c r="W81" s="165"/>
      <c r="X81" s="165"/>
      <c r="Y81" s="165"/>
      <c r="Z81" s="165"/>
      <c r="AA81" s="165"/>
      <c r="AB81" s="165"/>
      <c r="AC81" s="165"/>
    </row>
    <row r="82" spans="2:29" ht="16.5">
      <c r="B82" s="203">
        <f t="shared" si="1"/>
        <v>73</v>
      </c>
      <c r="C82" s="209"/>
      <c r="D82" s="214"/>
      <c r="E82" s="204"/>
      <c r="F82" s="209"/>
      <c r="G82" s="165"/>
      <c r="H82" s="211"/>
      <c r="I82" s="165"/>
      <c r="J82" s="211"/>
      <c r="K82" s="165"/>
      <c r="L82" s="165"/>
      <c r="M82" s="165"/>
      <c r="N82" s="165"/>
      <c r="O82" s="165"/>
      <c r="P82" s="165"/>
      <c r="Q82" s="165"/>
      <c r="R82" s="165"/>
      <c r="S82" s="165"/>
      <c r="T82" s="165"/>
      <c r="U82" s="165"/>
      <c r="V82" s="165"/>
      <c r="W82" s="165"/>
      <c r="X82" s="165"/>
      <c r="Y82" s="165"/>
      <c r="Z82" s="165"/>
      <c r="AA82" s="165"/>
      <c r="AB82" s="165"/>
      <c r="AC82" s="165"/>
    </row>
    <row r="83" spans="2:29" ht="16.5">
      <c r="B83" s="203">
        <f t="shared" si="1"/>
        <v>74</v>
      </c>
      <c r="C83" s="209"/>
      <c r="D83" s="214"/>
      <c r="E83" s="204"/>
      <c r="F83" s="209"/>
      <c r="G83" s="165"/>
      <c r="H83" s="211"/>
      <c r="I83" s="165"/>
      <c r="J83" s="211"/>
      <c r="K83" s="165"/>
      <c r="L83" s="165"/>
      <c r="M83" s="165"/>
      <c r="N83" s="165"/>
      <c r="O83" s="165"/>
      <c r="P83" s="165"/>
      <c r="Q83" s="165"/>
      <c r="R83" s="165"/>
      <c r="S83" s="165"/>
      <c r="T83" s="165"/>
      <c r="U83" s="165"/>
      <c r="V83" s="165"/>
      <c r="W83" s="165"/>
      <c r="X83" s="165"/>
      <c r="Y83" s="165"/>
      <c r="Z83" s="165"/>
      <c r="AA83" s="165"/>
      <c r="AB83" s="165"/>
      <c r="AC83" s="165"/>
    </row>
    <row r="84" spans="2:29" ht="16.5">
      <c r="B84" s="203">
        <f t="shared" si="1"/>
        <v>75</v>
      </c>
      <c r="C84" s="209"/>
      <c r="D84" s="214"/>
      <c r="E84" s="204"/>
      <c r="F84" s="209"/>
      <c r="G84" s="165"/>
      <c r="H84" s="211"/>
      <c r="I84" s="165"/>
      <c r="J84" s="211"/>
      <c r="K84" s="165"/>
      <c r="L84" s="165"/>
      <c r="M84" s="165"/>
      <c r="N84" s="165"/>
      <c r="O84" s="165"/>
      <c r="P84" s="165"/>
      <c r="Q84" s="165"/>
      <c r="R84" s="165"/>
      <c r="S84" s="165"/>
      <c r="T84" s="165"/>
      <c r="U84" s="165"/>
      <c r="V84" s="165"/>
      <c r="W84" s="165"/>
      <c r="X84" s="165"/>
      <c r="Y84" s="165"/>
      <c r="Z84" s="165"/>
      <c r="AA84" s="165"/>
      <c r="AB84" s="165"/>
      <c r="AC84" s="165"/>
    </row>
    <row r="85" spans="2:29" ht="16.5">
      <c r="B85" s="203">
        <f t="shared" si="1"/>
        <v>76</v>
      </c>
      <c r="C85" s="209"/>
      <c r="D85" s="214"/>
      <c r="E85" s="204"/>
      <c r="F85" s="209"/>
      <c r="G85" s="165"/>
      <c r="H85" s="211"/>
      <c r="I85" s="165"/>
      <c r="J85" s="211"/>
      <c r="K85" s="165"/>
      <c r="L85" s="165"/>
      <c r="M85" s="165"/>
      <c r="N85" s="165"/>
      <c r="O85" s="165"/>
      <c r="P85" s="165"/>
      <c r="Q85" s="165"/>
      <c r="R85" s="165"/>
      <c r="S85" s="165"/>
      <c r="T85" s="165"/>
      <c r="U85" s="165"/>
      <c r="V85" s="165"/>
      <c r="W85" s="165"/>
      <c r="X85" s="165"/>
      <c r="Y85" s="165"/>
      <c r="Z85" s="165"/>
      <c r="AA85" s="165"/>
      <c r="AB85" s="165"/>
      <c r="AC85" s="165"/>
    </row>
    <row r="86" spans="2:29" ht="16.5">
      <c r="B86" s="203">
        <f t="shared" si="1"/>
        <v>77</v>
      </c>
      <c r="C86" s="209"/>
      <c r="D86" s="214"/>
      <c r="E86" s="204"/>
      <c r="F86" s="209"/>
      <c r="G86" s="165"/>
      <c r="H86" s="211"/>
      <c r="I86" s="165"/>
      <c r="J86" s="211"/>
      <c r="K86" s="165"/>
      <c r="L86" s="165"/>
      <c r="M86" s="165"/>
      <c r="N86" s="165"/>
      <c r="O86" s="165"/>
      <c r="P86" s="165"/>
      <c r="Q86" s="165"/>
      <c r="R86" s="165"/>
      <c r="S86" s="165"/>
      <c r="T86" s="165"/>
      <c r="U86" s="165"/>
      <c r="V86" s="165"/>
      <c r="W86" s="165"/>
      <c r="X86" s="165"/>
      <c r="Y86" s="165"/>
      <c r="Z86" s="165"/>
      <c r="AA86" s="165"/>
      <c r="AB86" s="165"/>
      <c r="AC86" s="165"/>
    </row>
    <row r="87" spans="2:29" ht="16.5">
      <c r="B87" s="203">
        <f t="shared" si="1"/>
        <v>78</v>
      </c>
      <c r="C87" s="209"/>
      <c r="D87" s="214"/>
      <c r="E87" s="204"/>
      <c r="F87" s="209"/>
      <c r="G87" s="165"/>
      <c r="H87" s="211"/>
      <c r="I87" s="165"/>
      <c r="J87" s="211"/>
      <c r="K87" s="165"/>
      <c r="L87" s="165"/>
      <c r="M87" s="165"/>
      <c r="N87" s="165"/>
      <c r="O87" s="165"/>
      <c r="P87" s="165"/>
      <c r="Q87" s="165"/>
      <c r="R87" s="165"/>
      <c r="S87" s="165"/>
      <c r="T87" s="165"/>
      <c r="U87" s="165"/>
      <c r="V87" s="165"/>
      <c r="W87" s="165"/>
      <c r="X87" s="165"/>
      <c r="Y87" s="165"/>
      <c r="Z87" s="165"/>
      <c r="AA87" s="165"/>
      <c r="AB87" s="165"/>
      <c r="AC87" s="165"/>
    </row>
    <row r="88" spans="2:29" ht="16.5">
      <c r="B88" s="203">
        <f t="shared" si="1"/>
        <v>79</v>
      </c>
      <c r="C88" s="209"/>
      <c r="D88" s="214"/>
      <c r="E88" s="204"/>
      <c r="F88" s="209"/>
      <c r="G88" s="165"/>
      <c r="H88" s="211"/>
      <c r="I88" s="165"/>
      <c r="J88" s="211"/>
      <c r="K88" s="165"/>
      <c r="L88" s="165"/>
      <c r="M88" s="165"/>
      <c r="N88" s="165"/>
      <c r="O88" s="165"/>
      <c r="P88" s="165"/>
      <c r="Q88" s="165"/>
      <c r="R88" s="165"/>
      <c r="S88" s="165"/>
      <c r="T88" s="165"/>
      <c r="U88" s="165"/>
      <c r="V88" s="165"/>
      <c r="W88" s="165"/>
      <c r="X88" s="165"/>
      <c r="Y88" s="165"/>
      <c r="Z88" s="165"/>
      <c r="AA88" s="165"/>
      <c r="AB88" s="165"/>
      <c r="AC88" s="165"/>
    </row>
    <row r="89" spans="2:29" ht="16.5">
      <c r="B89" s="203">
        <f t="shared" si="1"/>
        <v>80</v>
      </c>
      <c r="C89" s="209"/>
      <c r="D89" s="214"/>
      <c r="E89" s="204"/>
      <c r="F89" s="209"/>
      <c r="G89" s="165"/>
      <c r="H89" s="211"/>
      <c r="I89" s="165"/>
      <c r="J89" s="211"/>
      <c r="K89" s="165"/>
      <c r="L89" s="165"/>
      <c r="M89" s="165"/>
      <c r="N89" s="165"/>
      <c r="O89" s="165"/>
      <c r="P89" s="165"/>
      <c r="Q89" s="165"/>
      <c r="R89" s="165"/>
      <c r="S89" s="165"/>
      <c r="T89" s="165"/>
      <c r="U89" s="165"/>
      <c r="V89" s="165"/>
      <c r="W89" s="165"/>
      <c r="X89" s="165"/>
      <c r="Y89" s="165"/>
      <c r="Z89" s="165"/>
      <c r="AA89" s="165"/>
      <c r="AB89" s="165"/>
      <c r="AC89" s="165"/>
    </row>
    <row r="90" spans="2:29" ht="16.5">
      <c r="B90" s="203">
        <f t="shared" si="1"/>
        <v>81</v>
      </c>
      <c r="C90" s="209"/>
      <c r="D90" s="214"/>
      <c r="E90" s="204"/>
      <c r="F90" s="209"/>
      <c r="G90" s="165"/>
      <c r="H90" s="211"/>
      <c r="I90" s="165"/>
      <c r="J90" s="211"/>
      <c r="K90" s="165"/>
      <c r="L90" s="165"/>
      <c r="M90" s="165"/>
      <c r="N90" s="165"/>
      <c r="O90" s="165"/>
      <c r="P90" s="165"/>
      <c r="Q90" s="165"/>
      <c r="R90" s="165"/>
      <c r="S90" s="165"/>
      <c r="T90" s="165"/>
      <c r="U90" s="165"/>
      <c r="V90" s="165"/>
      <c r="W90" s="165"/>
      <c r="X90" s="165"/>
      <c r="Y90" s="165"/>
      <c r="Z90" s="165"/>
      <c r="AA90" s="165"/>
      <c r="AB90" s="165"/>
      <c r="AC90" s="165"/>
    </row>
    <row r="91" spans="2:29" ht="16.5">
      <c r="B91" s="203">
        <f t="shared" si="1"/>
        <v>82</v>
      </c>
      <c r="C91" s="209"/>
      <c r="D91" s="214"/>
      <c r="E91" s="204"/>
      <c r="F91" s="209"/>
      <c r="G91" s="165"/>
      <c r="H91" s="211"/>
      <c r="I91" s="165"/>
      <c r="J91" s="211"/>
      <c r="K91" s="165"/>
      <c r="L91" s="165"/>
      <c r="M91" s="165"/>
      <c r="N91" s="165"/>
      <c r="O91" s="165"/>
      <c r="P91" s="165"/>
      <c r="Q91" s="165"/>
      <c r="R91" s="165"/>
      <c r="S91" s="165"/>
      <c r="T91" s="165"/>
      <c r="U91" s="165"/>
      <c r="V91" s="165"/>
      <c r="W91" s="165"/>
      <c r="X91" s="165"/>
      <c r="Y91" s="165"/>
      <c r="Z91" s="165"/>
      <c r="AA91" s="165"/>
      <c r="AB91" s="165"/>
      <c r="AC91" s="165"/>
    </row>
    <row r="92" spans="2:29" ht="16.5">
      <c r="B92" s="203">
        <f t="shared" si="1"/>
        <v>83</v>
      </c>
      <c r="C92" s="209"/>
      <c r="D92" s="214"/>
      <c r="E92" s="204"/>
      <c r="F92" s="209"/>
      <c r="G92" s="165"/>
      <c r="H92" s="211"/>
      <c r="I92" s="165"/>
      <c r="J92" s="211"/>
      <c r="K92" s="165"/>
      <c r="L92" s="165"/>
      <c r="M92" s="165"/>
      <c r="N92" s="165"/>
      <c r="O92" s="165"/>
      <c r="P92" s="165"/>
      <c r="Q92" s="165"/>
      <c r="R92" s="165"/>
      <c r="S92" s="165"/>
      <c r="T92" s="165"/>
      <c r="U92" s="165"/>
      <c r="V92" s="165"/>
      <c r="W92" s="165"/>
      <c r="X92" s="165"/>
      <c r="Y92" s="165"/>
      <c r="Z92" s="165"/>
      <c r="AA92" s="165"/>
      <c r="AB92" s="165"/>
      <c r="AC92" s="165"/>
    </row>
    <row r="93" spans="2:29" ht="16.5">
      <c r="B93" s="203">
        <f t="shared" si="1"/>
        <v>84</v>
      </c>
      <c r="C93" s="209"/>
      <c r="D93" s="214"/>
      <c r="E93" s="204"/>
      <c r="F93" s="209"/>
      <c r="G93" s="165"/>
      <c r="H93" s="211"/>
      <c r="I93" s="165"/>
      <c r="J93" s="211"/>
      <c r="K93" s="165"/>
      <c r="L93" s="165"/>
      <c r="M93" s="165"/>
      <c r="N93" s="165"/>
      <c r="O93" s="165"/>
      <c r="P93" s="165"/>
      <c r="Q93" s="165"/>
      <c r="R93" s="165"/>
      <c r="S93" s="165"/>
      <c r="T93" s="165"/>
      <c r="U93" s="165"/>
      <c r="V93" s="165"/>
      <c r="W93" s="165"/>
      <c r="X93" s="165"/>
      <c r="Y93" s="165"/>
      <c r="Z93" s="165"/>
      <c r="AA93" s="165"/>
      <c r="AB93" s="165"/>
      <c r="AC93" s="165"/>
    </row>
    <row r="94" spans="2:29" ht="16.5">
      <c r="B94" s="203">
        <f t="shared" si="1"/>
        <v>85</v>
      </c>
      <c r="C94" s="209"/>
      <c r="D94" s="214"/>
      <c r="E94" s="204"/>
      <c r="F94" s="209"/>
      <c r="G94" s="165"/>
      <c r="H94" s="211"/>
      <c r="I94" s="165"/>
      <c r="J94" s="211"/>
      <c r="K94" s="165"/>
      <c r="L94" s="165"/>
      <c r="M94" s="165"/>
      <c r="N94" s="165"/>
      <c r="O94" s="165"/>
      <c r="P94" s="165"/>
      <c r="Q94" s="165"/>
      <c r="R94" s="165"/>
      <c r="S94" s="165"/>
      <c r="T94" s="165"/>
      <c r="U94" s="165"/>
      <c r="V94" s="165"/>
      <c r="W94" s="165"/>
      <c r="X94" s="165"/>
      <c r="Y94" s="165"/>
      <c r="Z94" s="165"/>
      <c r="AA94" s="165"/>
      <c r="AB94" s="165"/>
      <c r="AC94" s="165"/>
    </row>
    <row r="95" spans="2:29" ht="16.5">
      <c r="B95" s="203">
        <f t="shared" si="1"/>
        <v>86</v>
      </c>
      <c r="C95" s="209"/>
      <c r="D95" s="214"/>
      <c r="E95" s="204"/>
      <c r="F95" s="209"/>
      <c r="G95" s="165"/>
      <c r="H95" s="211"/>
      <c r="I95" s="165"/>
      <c r="J95" s="211"/>
      <c r="K95" s="165"/>
      <c r="L95" s="165"/>
      <c r="M95" s="165"/>
      <c r="N95" s="165"/>
      <c r="O95" s="165"/>
      <c r="P95" s="165"/>
      <c r="Q95" s="165"/>
      <c r="R95" s="165"/>
      <c r="S95" s="165"/>
      <c r="T95" s="165"/>
      <c r="U95" s="165"/>
      <c r="V95" s="165"/>
      <c r="W95" s="165"/>
      <c r="X95" s="165"/>
      <c r="Y95" s="165"/>
      <c r="Z95" s="165"/>
      <c r="AA95" s="165"/>
      <c r="AB95" s="165"/>
      <c r="AC95" s="165"/>
    </row>
    <row r="96" spans="2:29" ht="16.5">
      <c r="B96" s="203">
        <f t="shared" si="1"/>
        <v>87</v>
      </c>
      <c r="C96" s="209"/>
      <c r="D96" s="214"/>
      <c r="E96" s="204"/>
      <c r="F96" s="209"/>
      <c r="G96" s="165"/>
      <c r="H96" s="211"/>
      <c r="I96" s="165"/>
      <c r="J96" s="211"/>
      <c r="K96" s="165"/>
      <c r="L96" s="165"/>
      <c r="M96" s="165"/>
      <c r="N96" s="165"/>
      <c r="O96" s="165"/>
      <c r="P96" s="165"/>
      <c r="Q96" s="165"/>
      <c r="R96" s="165"/>
      <c r="S96" s="165"/>
      <c r="T96" s="165"/>
      <c r="U96" s="165"/>
      <c r="V96" s="165"/>
      <c r="W96" s="165"/>
      <c r="X96" s="165"/>
      <c r="Y96" s="165"/>
      <c r="Z96" s="165"/>
      <c r="AA96" s="165"/>
      <c r="AB96" s="165"/>
      <c r="AC96" s="165"/>
    </row>
    <row r="97" spans="2:29" ht="16.5">
      <c r="B97" s="203">
        <f t="shared" si="1"/>
        <v>88</v>
      </c>
      <c r="C97" s="209"/>
      <c r="D97" s="214"/>
      <c r="E97" s="204"/>
      <c r="F97" s="209"/>
      <c r="G97" s="165"/>
      <c r="H97" s="211"/>
      <c r="I97" s="165"/>
      <c r="J97" s="211"/>
      <c r="K97" s="165"/>
      <c r="L97" s="165"/>
      <c r="M97" s="165"/>
      <c r="N97" s="165"/>
      <c r="O97" s="165"/>
      <c r="P97" s="165"/>
      <c r="Q97" s="165"/>
      <c r="R97" s="165"/>
      <c r="S97" s="165"/>
      <c r="T97" s="165"/>
      <c r="U97" s="165"/>
      <c r="V97" s="165"/>
      <c r="W97" s="165"/>
      <c r="X97" s="165"/>
      <c r="Y97" s="165"/>
      <c r="Z97" s="165"/>
      <c r="AA97" s="165"/>
      <c r="AB97" s="165"/>
      <c r="AC97" s="165"/>
    </row>
    <row r="98" spans="2:29" ht="16.5">
      <c r="B98" s="203">
        <f t="shared" si="1"/>
        <v>89</v>
      </c>
      <c r="C98" s="209"/>
      <c r="D98" s="214"/>
      <c r="E98" s="204"/>
      <c r="F98" s="209"/>
      <c r="G98" s="165"/>
      <c r="H98" s="211"/>
      <c r="I98" s="165"/>
      <c r="J98" s="211"/>
      <c r="K98" s="165"/>
      <c r="L98" s="165"/>
      <c r="M98" s="165"/>
      <c r="N98" s="165"/>
      <c r="O98" s="165"/>
      <c r="P98" s="165"/>
      <c r="Q98" s="165"/>
      <c r="R98" s="165"/>
      <c r="S98" s="165"/>
      <c r="T98" s="165"/>
      <c r="U98" s="165"/>
      <c r="V98" s="165"/>
      <c r="W98" s="165"/>
      <c r="X98" s="165"/>
      <c r="Y98" s="165"/>
      <c r="Z98" s="165"/>
      <c r="AA98" s="165"/>
      <c r="AB98" s="165"/>
      <c r="AC98" s="165"/>
    </row>
    <row r="99" spans="2:29" ht="16.5">
      <c r="B99" s="203">
        <f t="shared" si="1"/>
        <v>90</v>
      </c>
      <c r="C99" s="209"/>
      <c r="D99" s="214"/>
      <c r="E99" s="204"/>
      <c r="F99" s="209"/>
      <c r="G99" s="165"/>
      <c r="H99" s="211"/>
      <c r="I99" s="165"/>
      <c r="J99" s="211"/>
      <c r="K99" s="165"/>
      <c r="L99" s="165"/>
      <c r="M99" s="165"/>
      <c r="N99" s="165"/>
      <c r="O99" s="165"/>
      <c r="P99" s="165"/>
      <c r="Q99" s="165"/>
      <c r="R99" s="165"/>
      <c r="S99" s="165"/>
      <c r="T99" s="165"/>
      <c r="U99" s="165"/>
      <c r="V99" s="165"/>
      <c r="W99" s="165"/>
      <c r="X99" s="165"/>
      <c r="Y99" s="165"/>
      <c r="Z99" s="165"/>
      <c r="AA99" s="165"/>
      <c r="AB99" s="165"/>
      <c r="AC99" s="165"/>
    </row>
    <row r="100" spans="2:29" ht="16.5">
      <c r="B100" s="203">
        <f t="shared" si="1"/>
        <v>91</v>
      </c>
      <c r="C100" s="209"/>
      <c r="D100" s="214"/>
      <c r="E100" s="204"/>
      <c r="F100" s="209"/>
      <c r="G100" s="165"/>
      <c r="H100" s="211"/>
      <c r="I100" s="165"/>
      <c r="J100" s="211"/>
      <c r="K100" s="165"/>
      <c r="L100" s="165"/>
      <c r="M100" s="165"/>
      <c r="N100" s="165"/>
      <c r="O100" s="165"/>
      <c r="P100" s="165"/>
      <c r="Q100" s="165"/>
      <c r="R100" s="165"/>
      <c r="S100" s="165"/>
      <c r="T100" s="165"/>
      <c r="U100" s="165"/>
      <c r="V100" s="165"/>
      <c r="W100" s="165"/>
      <c r="X100" s="165"/>
      <c r="Y100" s="165"/>
      <c r="Z100" s="165"/>
      <c r="AA100" s="165"/>
      <c r="AB100" s="165"/>
      <c r="AC100" s="165"/>
    </row>
    <row r="101" spans="2:29" ht="16.5">
      <c r="B101" s="203">
        <f t="shared" si="1"/>
        <v>92</v>
      </c>
      <c r="C101" s="209"/>
      <c r="D101" s="214"/>
      <c r="E101" s="204"/>
      <c r="F101" s="209"/>
      <c r="G101" s="165"/>
      <c r="H101" s="211"/>
      <c r="I101" s="165"/>
      <c r="J101" s="211"/>
      <c r="K101" s="165"/>
      <c r="L101" s="165"/>
      <c r="M101" s="165"/>
      <c r="N101" s="165"/>
      <c r="O101" s="165"/>
      <c r="P101" s="165"/>
      <c r="Q101" s="165"/>
      <c r="R101" s="165"/>
      <c r="S101" s="165"/>
      <c r="T101" s="165"/>
      <c r="U101" s="165"/>
      <c r="V101" s="165"/>
      <c r="W101" s="165"/>
      <c r="X101" s="165"/>
      <c r="Y101" s="165"/>
      <c r="Z101" s="165"/>
      <c r="AA101" s="165"/>
      <c r="AB101" s="165"/>
      <c r="AC101" s="165"/>
    </row>
    <row r="102" spans="2:29" ht="16.5">
      <c r="B102" s="203">
        <f t="shared" si="1"/>
        <v>93</v>
      </c>
      <c r="C102" s="209"/>
      <c r="D102" s="214"/>
      <c r="E102" s="204"/>
      <c r="F102" s="209"/>
      <c r="G102" s="165"/>
      <c r="H102" s="211"/>
      <c r="I102" s="165"/>
      <c r="J102" s="211"/>
      <c r="K102" s="165"/>
      <c r="L102" s="165"/>
      <c r="M102" s="165"/>
      <c r="N102" s="165"/>
      <c r="O102" s="165"/>
      <c r="P102" s="165"/>
      <c r="Q102" s="165"/>
      <c r="R102" s="165"/>
      <c r="S102" s="165"/>
      <c r="T102" s="165"/>
      <c r="U102" s="165"/>
      <c r="V102" s="165"/>
      <c r="W102" s="165"/>
      <c r="X102" s="165"/>
      <c r="Y102" s="165"/>
      <c r="Z102" s="165"/>
      <c r="AA102" s="165"/>
      <c r="AB102" s="165"/>
      <c r="AC102" s="165"/>
    </row>
    <row r="103" spans="2:29" ht="16.5">
      <c r="B103" s="203">
        <f t="shared" si="1"/>
        <v>94</v>
      </c>
      <c r="C103" s="209"/>
      <c r="D103" s="214"/>
      <c r="E103" s="204"/>
      <c r="F103" s="209"/>
      <c r="G103" s="165"/>
      <c r="H103" s="211"/>
      <c r="I103" s="165"/>
      <c r="J103" s="211"/>
      <c r="K103" s="165"/>
      <c r="L103" s="165"/>
      <c r="M103" s="165"/>
      <c r="N103" s="165"/>
      <c r="O103" s="165"/>
      <c r="P103" s="165"/>
      <c r="Q103" s="165"/>
      <c r="R103" s="165"/>
      <c r="S103" s="165"/>
      <c r="T103" s="165"/>
      <c r="U103" s="165"/>
      <c r="V103" s="165"/>
      <c r="W103" s="165"/>
      <c r="X103" s="165"/>
      <c r="Y103" s="165"/>
      <c r="Z103" s="165"/>
      <c r="AA103" s="165"/>
      <c r="AB103" s="165"/>
      <c r="AC103" s="165"/>
    </row>
    <row r="104" spans="2:29" ht="16.5">
      <c r="B104" s="203">
        <f t="shared" si="1"/>
        <v>95</v>
      </c>
      <c r="C104" s="209"/>
      <c r="D104" s="214"/>
      <c r="E104" s="204"/>
      <c r="F104" s="209"/>
      <c r="G104" s="165"/>
      <c r="H104" s="211"/>
      <c r="I104" s="165"/>
      <c r="J104" s="211"/>
      <c r="K104" s="165"/>
      <c r="L104" s="165"/>
      <c r="M104" s="165"/>
      <c r="N104" s="165"/>
      <c r="O104" s="165"/>
      <c r="P104" s="165"/>
      <c r="Q104" s="165"/>
      <c r="R104" s="165"/>
      <c r="S104" s="165"/>
      <c r="T104" s="165"/>
      <c r="U104" s="165"/>
      <c r="V104" s="165"/>
      <c r="W104" s="165"/>
      <c r="X104" s="165"/>
      <c r="Y104" s="165"/>
      <c r="Z104" s="165"/>
      <c r="AA104" s="165"/>
      <c r="AB104" s="165"/>
      <c r="AC104" s="165"/>
    </row>
    <row r="105" spans="2:29" ht="16.5">
      <c r="B105" s="203">
        <f t="shared" si="1"/>
        <v>96</v>
      </c>
      <c r="C105" s="209"/>
      <c r="D105" s="214"/>
      <c r="E105" s="204"/>
      <c r="F105" s="209"/>
      <c r="G105" s="165"/>
      <c r="H105" s="211"/>
      <c r="I105" s="165"/>
      <c r="J105" s="211"/>
      <c r="K105" s="165"/>
      <c r="L105" s="165"/>
      <c r="M105" s="165"/>
      <c r="N105" s="165"/>
      <c r="O105" s="165"/>
      <c r="P105" s="165"/>
      <c r="Q105" s="165"/>
      <c r="R105" s="165"/>
      <c r="S105" s="165"/>
      <c r="T105" s="165"/>
      <c r="U105" s="165"/>
      <c r="V105" s="165"/>
      <c r="W105" s="165"/>
      <c r="X105" s="165"/>
      <c r="Y105" s="165"/>
      <c r="Z105" s="165"/>
      <c r="AA105" s="165"/>
      <c r="AB105" s="165"/>
      <c r="AC105" s="165"/>
    </row>
    <row r="106" spans="2:29" ht="16.5">
      <c r="B106" s="203">
        <f t="shared" si="1"/>
        <v>97</v>
      </c>
      <c r="C106" s="209"/>
      <c r="D106" s="214"/>
      <c r="E106" s="204"/>
      <c r="F106" s="209"/>
      <c r="G106" s="165"/>
      <c r="H106" s="211"/>
      <c r="I106" s="165"/>
      <c r="J106" s="211"/>
      <c r="K106" s="165"/>
      <c r="L106" s="165"/>
      <c r="M106" s="165"/>
      <c r="N106" s="165"/>
      <c r="O106" s="165"/>
      <c r="P106" s="165"/>
      <c r="Q106" s="165"/>
      <c r="R106" s="165"/>
      <c r="S106" s="165"/>
      <c r="T106" s="165"/>
      <c r="U106" s="165"/>
      <c r="V106" s="165"/>
      <c r="W106" s="165"/>
      <c r="X106" s="165"/>
      <c r="Y106" s="165"/>
      <c r="Z106" s="165"/>
      <c r="AA106" s="165"/>
      <c r="AB106" s="165"/>
      <c r="AC106" s="165"/>
    </row>
    <row r="107" spans="2:29" ht="16.5">
      <c r="B107" s="203">
        <f t="shared" si="1"/>
        <v>98</v>
      </c>
      <c r="C107" s="209"/>
      <c r="D107" s="214"/>
      <c r="E107" s="204"/>
      <c r="F107" s="209"/>
      <c r="G107" s="165"/>
      <c r="H107" s="211"/>
      <c r="I107" s="165"/>
      <c r="J107" s="211"/>
      <c r="K107" s="165"/>
      <c r="L107" s="165"/>
      <c r="M107" s="165"/>
      <c r="N107" s="165"/>
      <c r="O107" s="165"/>
      <c r="P107" s="165"/>
      <c r="Q107" s="165"/>
      <c r="R107" s="165"/>
      <c r="S107" s="165"/>
      <c r="T107" s="165"/>
      <c r="U107" s="165"/>
      <c r="V107" s="165"/>
      <c r="W107" s="165"/>
      <c r="X107" s="165"/>
      <c r="Y107" s="165"/>
      <c r="Z107" s="165"/>
      <c r="AA107" s="165"/>
      <c r="AB107" s="165"/>
      <c r="AC107" s="165"/>
    </row>
    <row r="108" spans="2:29" ht="16.5">
      <c r="B108" s="203">
        <f t="shared" si="1"/>
        <v>99</v>
      </c>
      <c r="C108" s="209"/>
      <c r="D108" s="214"/>
      <c r="E108" s="204"/>
      <c r="F108" s="209"/>
      <c r="G108" s="165"/>
      <c r="H108" s="211"/>
      <c r="I108" s="165"/>
      <c r="J108" s="211"/>
      <c r="K108" s="165"/>
      <c r="L108" s="165"/>
      <c r="M108" s="165"/>
      <c r="N108" s="165"/>
      <c r="O108" s="165"/>
      <c r="P108" s="165"/>
      <c r="Q108" s="165"/>
      <c r="R108" s="165"/>
      <c r="S108" s="165"/>
      <c r="T108" s="165"/>
      <c r="U108" s="165"/>
      <c r="V108" s="165"/>
      <c r="W108" s="165"/>
      <c r="X108" s="165"/>
      <c r="Y108" s="165"/>
      <c r="Z108" s="165"/>
      <c r="AA108" s="165"/>
      <c r="AB108" s="165"/>
      <c r="AC108" s="165"/>
    </row>
    <row r="109" spans="2:29" ht="16.5">
      <c r="B109" s="203">
        <f t="shared" si="1"/>
        <v>100</v>
      </c>
      <c r="C109" s="209"/>
      <c r="D109" s="214"/>
      <c r="E109" s="204"/>
      <c r="F109" s="209"/>
      <c r="G109" s="165"/>
      <c r="H109" s="211"/>
      <c r="I109" s="165"/>
      <c r="J109" s="211"/>
      <c r="K109" s="165"/>
      <c r="L109" s="165"/>
      <c r="M109" s="165"/>
      <c r="N109" s="165"/>
      <c r="O109" s="165"/>
      <c r="P109" s="165"/>
      <c r="Q109" s="165"/>
      <c r="R109" s="165"/>
      <c r="S109" s="165"/>
      <c r="T109" s="165"/>
      <c r="U109" s="165"/>
      <c r="V109" s="165"/>
      <c r="W109" s="165"/>
      <c r="X109" s="165"/>
      <c r="Y109" s="165"/>
      <c r="Z109" s="165"/>
      <c r="AA109" s="165"/>
      <c r="AB109" s="165"/>
      <c r="AC109" s="165"/>
    </row>
  </sheetData>
  <sheetProtection insertRows="0" deleteRows="0" sort="0" autoFilter="0"/>
  <mergeCells count="1">
    <mergeCell ref="B4:B8"/>
  </mergeCells>
  <phoneticPr fontId="14"/>
  <hyperlinks>
    <hyperlink ref="A3" location="パラメータ設定一覧!A1" display="パラメータ設定一覧へ" xr:uid="{BDED3AD0-D90F-41F7-992F-5E6908A4170F}"/>
  </hyperlinks>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F0F31-A6CC-4F24-A7A3-5A3374DF7C87}">
  <sheetPr codeName="Sheet130"/>
  <dimension ref="A1:L136"/>
  <sheetViews>
    <sheetView showGridLines="0" zoomScaleNormal="100" workbookViewId="0">
      <pane xSplit="6" ySplit="5" topLeftCell="I26" activePane="bottomRight" state="frozen"/>
      <selection pane="topRight"/>
      <selection pane="bottomLeft"/>
      <selection pane="bottomRight" activeCell="F43" sqref="F43"/>
    </sheetView>
  </sheetViews>
  <sheetFormatPr defaultColWidth="8.78515625" defaultRowHeight="13.5"/>
  <cols>
    <col min="1" max="1" width="2.78515625" style="46" customWidth="1"/>
    <col min="2" max="2" width="3.78515625" style="46" customWidth="1"/>
    <col min="3" max="3" width="16.78515625" style="46" customWidth="1"/>
    <col min="4" max="4" width="19.2109375" style="46" customWidth="1"/>
    <col min="5" max="5" width="16.5703125" style="46" customWidth="1"/>
    <col min="6" max="6" width="22.5703125" style="46" customWidth="1"/>
    <col min="7" max="7" width="44.640625" style="46" customWidth="1"/>
    <col min="8" max="8" width="27.5703125" style="46" customWidth="1"/>
    <col min="9" max="9" width="17.42578125" style="53" customWidth="1"/>
    <col min="10" max="10" width="22.42578125" style="46" customWidth="1"/>
    <col min="11" max="11" width="18.2109375" style="46" customWidth="1"/>
    <col min="12" max="12" width="13.2109375" style="46" customWidth="1"/>
    <col min="13" max="16384" width="8.78515625" style="46"/>
  </cols>
  <sheetData>
    <row r="1" spans="1:12" customFormat="1" ht="19.5">
      <c r="A1" s="93" t="s">
        <v>7</v>
      </c>
      <c r="C1" s="46"/>
      <c r="D1" s="46"/>
      <c r="E1" s="46"/>
      <c r="F1" s="46"/>
      <c r="G1" s="46"/>
      <c r="H1" s="46"/>
      <c r="I1" s="53"/>
    </row>
    <row r="2" spans="1:12" customFormat="1" ht="15">
      <c r="B2" t="s">
        <v>66</v>
      </c>
      <c r="C2" s="46"/>
      <c r="D2" s="46"/>
      <c r="E2" s="46"/>
      <c r="F2" s="46"/>
      <c r="G2" s="46"/>
      <c r="H2" s="46"/>
      <c r="I2" s="53"/>
    </row>
    <row r="3" spans="1:12" customFormat="1" ht="15">
      <c r="B3" t="s">
        <v>347</v>
      </c>
      <c r="C3" s="46"/>
      <c r="D3" s="46"/>
      <c r="E3" s="46"/>
      <c r="F3" s="46"/>
      <c r="G3" s="46"/>
      <c r="H3" s="46"/>
      <c r="I3" s="53"/>
    </row>
    <row r="4" spans="1:12" customFormat="1" ht="15">
      <c r="A4" s="10" t="s">
        <v>363</v>
      </c>
      <c r="C4" s="46"/>
      <c r="D4" s="46"/>
      <c r="E4" s="46"/>
      <c r="F4" s="46"/>
      <c r="G4" s="46"/>
      <c r="H4" s="46"/>
      <c r="I4" s="53"/>
    </row>
    <row r="5" spans="1:12">
      <c r="B5" s="11" t="s">
        <v>1</v>
      </c>
      <c r="C5" s="11" t="s">
        <v>9</v>
      </c>
      <c r="D5" s="11" t="s">
        <v>10</v>
      </c>
      <c r="E5" s="11" t="s">
        <v>11</v>
      </c>
      <c r="F5" s="20" t="s">
        <v>12</v>
      </c>
      <c r="G5" s="20" t="s">
        <v>13</v>
      </c>
      <c r="H5" s="11" t="s">
        <v>14</v>
      </c>
      <c r="I5" s="54" t="s">
        <v>15</v>
      </c>
      <c r="J5" s="11" t="s">
        <v>16</v>
      </c>
      <c r="K5" s="14" t="s">
        <v>2905</v>
      </c>
      <c r="L5" s="14" t="s">
        <v>2906</v>
      </c>
    </row>
    <row r="6" spans="1:12">
      <c r="B6" s="21">
        <f t="shared" ref="B6:B37" si="0">ROW() - 5</f>
        <v>1</v>
      </c>
      <c r="C6" s="16" t="s">
        <v>67</v>
      </c>
      <c r="D6" s="16" t="s">
        <v>68</v>
      </c>
      <c r="E6" s="52"/>
      <c r="F6" s="22" t="s">
        <v>38</v>
      </c>
      <c r="G6" s="22"/>
      <c r="H6" s="47" t="s">
        <v>27</v>
      </c>
      <c r="I6" s="44" t="s">
        <v>28</v>
      </c>
      <c r="J6" s="23"/>
      <c r="K6" s="2" t="s">
        <v>28</v>
      </c>
      <c r="L6" s="3"/>
    </row>
    <row r="7" spans="1:12">
      <c r="B7" s="21">
        <f t="shared" si="0"/>
        <v>2</v>
      </c>
      <c r="C7" s="68"/>
      <c r="D7" s="43"/>
      <c r="E7" s="67"/>
      <c r="F7" s="22" t="s">
        <v>321</v>
      </c>
      <c r="G7" s="22"/>
      <c r="H7" s="47" t="s">
        <v>27</v>
      </c>
      <c r="I7" s="44" t="s">
        <v>28</v>
      </c>
      <c r="J7" s="23"/>
      <c r="K7" s="2" t="s">
        <v>28</v>
      </c>
      <c r="L7" s="3"/>
    </row>
    <row r="8" spans="1:12">
      <c r="B8" s="21">
        <f t="shared" si="0"/>
        <v>3</v>
      </c>
      <c r="C8" s="68"/>
      <c r="D8" s="43"/>
      <c r="E8" s="68"/>
      <c r="F8" s="22" t="s">
        <v>70</v>
      </c>
      <c r="G8" s="22"/>
      <c r="H8" s="47" t="s">
        <v>27</v>
      </c>
      <c r="I8" s="44" t="s">
        <v>28</v>
      </c>
      <c r="J8" s="23"/>
      <c r="K8" s="2" t="s">
        <v>28</v>
      </c>
      <c r="L8" s="3"/>
    </row>
    <row r="9" spans="1:12">
      <c r="A9" s="46" t="s">
        <v>2910</v>
      </c>
      <c r="B9" s="21">
        <f t="shared" si="0"/>
        <v>4</v>
      </c>
      <c r="C9" s="68"/>
      <c r="D9" s="68"/>
      <c r="E9" s="68"/>
      <c r="F9" s="22" t="s">
        <v>322</v>
      </c>
      <c r="G9" s="22"/>
      <c r="H9" s="47" t="s">
        <v>27</v>
      </c>
      <c r="I9" s="47" t="s">
        <v>57</v>
      </c>
      <c r="J9" s="47"/>
      <c r="K9" s="2" t="s">
        <v>57</v>
      </c>
      <c r="L9" s="3"/>
    </row>
    <row r="10" spans="1:12" ht="27">
      <c r="B10" s="21">
        <f t="shared" si="0"/>
        <v>5</v>
      </c>
      <c r="C10" s="19"/>
      <c r="D10" s="19"/>
      <c r="E10" s="19"/>
      <c r="F10" s="22" t="s">
        <v>323</v>
      </c>
      <c r="G10" s="22"/>
      <c r="H10" s="47" t="s">
        <v>27</v>
      </c>
      <c r="I10" s="47" t="s">
        <v>28</v>
      </c>
      <c r="J10" s="47"/>
      <c r="K10" s="2" t="s">
        <v>28</v>
      </c>
      <c r="L10" s="3"/>
    </row>
    <row r="11" spans="1:12" ht="27">
      <c r="B11" s="51">
        <f t="shared" si="0"/>
        <v>6</v>
      </c>
      <c r="C11" s="68" t="s">
        <v>71</v>
      </c>
      <c r="D11" s="68" t="s">
        <v>72</v>
      </c>
      <c r="E11" s="68"/>
      <c r="F11" s="57" t="s">
        <v>73</v>
      </c>
      <c r="G11" s="22"/>
      <c r="H11" s="47" t="s">
        <v>20</v>
      </c>
      <c r="I11" s="44" t="s">
        <v>62</v>
      </c>
      <c r="J11" s="23" t="s">
        <v>2720</v>
      </c>
      <c r="K11" s="2" t="s">
        <v>335</v>
      </c>
      <c r="L11" s="3"/>
    </row>
    <row r="12" spans="1:12">
      <c r="B12" s="21">
        <f t="shared" si="0"/>
        <v>7</v>
      </c>
      <c r="C12" s="68"/>
      <c r="D12" s="68"/>
      <c r="E12" s="68"/>
      <c r="F12" s="22" t="s">
        <v>45</v>
      </c>
      <c r="G12" s="22"/>
      <c r="H12" s="47" t="s">
        <v>20</v>
      </c>
      <c r="I12" s="44" t="s">
        <v>62</v>
      </c>
      <c r="J12" s="23"/>
      <c r="K12" s="2" t="s">
        <v>335</v>
      </c>
      <c r="L12" s="3"/>
    </row>
    <row r="13" spans="1:12">
      <c r="B13" s="21">
        <f t="shared" si="0"/>
        <v>8</v>
      </c>
      <c r="C13" s="68"/>
      <c r="D13" s="68"/>
      <c r="E13" s="19"/>
      <c r="F13" s="22" t="s">
        <v>64</v>
      </c>
      <c r="G13" s="22"/>
      <c r="H13" s="47" t="s">
        <v>62</v>
      </c>
      <c r="I13" s="44" t="s">
        <v>62</v>
      </c>
      <c r="J13" s="23" t="s">
        <v>74</v>
      </c>
      <c r="K13" s="2" t="s">
        <v>335</v>
      </c>
      <c r="L13" s="3"/>
    </row>
    <row r="14" spans="1:12" ht="243">
      <c r="B14" s="21">
        <f t="shared" si="0"/>
        <v>9</v>
      </c>
      <c r="C14" s="68"/>
      <c r="D14" s="68"/>
      <c r="E14" s="34" t="s">
        <v>75</v>
      </c>
      <c r="F14" s="22" t="s">
        <v>76</v>
      </c>
      <c r="G14" s="22"/>
      <c r="H14" s="47" t="s">
        <v>77</v>
      </c>
      <c r="I14" s="44" t="s">
        <v>78</v>
      </c>
      <c r="J14" s="23"/>
      <c r="K14" s="2" t="s">
        <v>335</v>
      </c>
      <c r="L14" s="3"/>
    </row>
    <row r="15" spans="1:12">
      <c r="B15" s="21">
        <f t="shared" si="0"/>
        <v>10</v>
      </c>
      <c r="C15" s="68"/>
      <c r="D15" s="68"/>
      <c r="E15" s="68"/>
      <c r="F15" s="22" t="s">
        <v>63</v>
      </c>
      <c r="G15" s="22"/>
      <c r="H15" s="47" t="s">
        <v>20</v>
      </c>
      <c r="I15" s="44" t="s">
        <v>62</v>
      </c>
      <c r="J15" s="23"/>
      <c r="K15" s="2" t="s">
        <v>335</v>
      </c>
      <c r="L15" s="3"/>
    </row>
    <row r="16" spans="1:12">
      <c r="B16" s="21">
        <f t="shared" si="0"/>
        <v>11</v>
      </c>
      <c r="C16" s="68"/>
      <c r="D16" s="68"/>
      <c r="E16" s="68"/>
      <c r="F16" s="22" t="s">
        <v>79</v>
      </c>
      <c r="G16" s="22"/>
      <c r="H16" s="47" t="s">
        <v>65</v>
      </c>
      <c r="I16" s="44" t="s">
        <v>62</v>
      </c>
      <c r="J16" s="23"/>
      <c r="K16" s="2" t="s">
        <v>335</v>
      </c>
      <c r="L16" s="3"/>
    </row>
    <row r="17" spans="2:12" ht="40.5">
      <c r="B17" s="21">
        <f t="shared" si="0"/>
        <v>12</v>
      </c>
      <c r="C17" s="68"/>
      <c r="D17" s="68"/>
      <c r="E17" s="68"/>
      <c r="F17" s="22" t="s">
        <v>80</v>
      </c>
      <c r="G17" s="22" t="s">
        <v>81</v>
      </c>
      <c r="H17" s="47" t="s">
        <v>65</v>
      </c>
      <c r="I17" s="44" t="s">
        <v>62</v>
      </c>
      <c r="J17" s="23"/>
      <c r="K17" s="2" t="s">
        <v>335</v>
      </c>
      <c r="L17" s="3"/>
    </row>
    <row r="18" spans="2:12">
      <c r="B18" s="21">
        <f t="shared" si="0"/>
        <v>13</v>
      </c>
      <c r="C18" s="68"/>
      <c r="D18" s="68"/>
      <c r="E18" s="68"/>
      <c r="F18" s="22" t="s">
        <v>82</v>
      </c>
      <c r="G18" s="22"/>
      <c r="H18" s="47" t="s">
        <v>65</v>
      </c>
      <c r="I18" s="44" t="s">
        <v>62</v>
      </c>
      <c r="J18" s="23"/>
      <c r="K18" s="2" t="s">
        <v>335</v>
      </c>
      <c r="L18" s="3"/>
    </row>
    <row r="19" spans="2:12" ht="40.5">
      <c r="B19" s="21">
        <f t="shared" si="0"/>
        <v>14</v>
      </c>
      <c r="C19" s="68"/>
      <c r="D19" s="68"/>
      <c r="E19" s="68"/>
      <c r="F19" s="22" t="s">
        <v>83</v>
      </c>
      <c r="G19" s="22" t="s">
        <v>84</v>
      </c>
      <c r="H19" s="47" t="s">
        <v>65</v>
      </c>
      <c r="I19" s="44" t="s">
        <v>62</v>
      </c>
      <c r="J19" s="23"/>
      <c r="K19" s="2" t="s">
        <v>335</v>
      </c>
      <c r="L19" s="3"/>
    </row>
    <row r="20" spans="2:12" ht="27">
      <c r="B20" s="21">
        <f t="shared" si="0"/>
        <v>15</v>
      </c>
      <c r="C20" s="68"/>
      <c r="D20" s="68"/>
      <c r="E20" s="68"/>
      <c r="F20" s="22" t="s">
        <v>85</v>
      </c>
      <c r="G20" s="22" t="s">
        <v>86</v>
      </c>
      <c r="H20" s="47" t="s">
        <v>65</v>
      </c>
      <c r="I20" s="44" t="s">
        <v>62</v>
      </c>
      <c r="J20" s="23"/>
      <c r="K20" s="2" t="s">
        <v>335</v>
      </c>
      <c r="L20" s="3"/>
    </row>
    <row r="21" spans="2:12" ht="27">
      <c r="B21" s="21">
        <f t="shared" si="0"/>
        <v>16</v>
      </c>
      <c r="C21" s="16" t="s">
        <v>35</v>
      </c>
      <c r="D21" s="16" t="s">
        <v>87</v>
      </c>
      <c r="E21" s="16"/>
      <c r="F21" s="22" t="s">
        <v>88</v>
      </c>
      <c r="G21" s="22"/>
      <c r="H21" s="47" t="s">
        <v>89</v>
      </c>
      <c r="I21" s="44" t="s">
        <v>62</v>
      </c>
      <c r="J21" s="23"/>
      <c r="K21" s="2"/>
      <c r="L21" s="3"/>
    </row>
    <row r="22" spans="2:12">
      <c r="B22" s="21">
        <f t="shared" si="0"/>
        <v>17</v>
      </c>
      <c r="C22" s="68"/>
      <c r="D22" s="68"/>
      <c r="E22" s="68"/>
      <c r="F22" s="22" t="s">
        <v>91</v>
      </c>
      <c r="G22" s="22"/>
      <c r="H22" s="47" t="s">
        <v>89</v>
      </c>
      <c r="I22" s="44" t="s">
        <v>62</v>
      </c>
      <c r="J22" s="23"/>
      <c r="K22" s="2"/>
      <c r="L22" s="3"/>
    </row>
    <row r="23" spans="2:12">
      <c r="B23" s="21">
        <f t="shared" si="0"/>
        <v>18</v>
      </c>
      <c r="C23" s="68"/>
      <c r="D23" s="68"/>
      <c r="E23" s="68"/>
      <c r="F23" s="22" t="s">
        <v>35</v>
      </c>
      <c r="G23" s="22"/>
      <c r="H23" s="47" t="s">
        <v>20</v>
      </c>
      <c r="I23" s="44" t="s">
        <v>62</v>
      </c>
      <c r="J23" s="23"/>
      <c r="K23" s="2"/>
      <c r="L23" s="3"/>
    </row>
    <row r="24" spans="2:12">
      <c r="B24" s="21">
        <f t="shared" si="0"/>
        <v>19</v>
      </c>
      <c r="C24" s="68"/>
      <c r="D24" s="68"/>
      <c r="E24" s="68"/>
      <c r="F24" s="22" t="s">
        <v>92</v>
      </c>
      <c r="G24" s="22"/>
      <c r="H24" s="47" t="s">
        <v>20</v>
      </c>
      <c r="I24" s="44" t="s">
        <v>62</v>
      </c>
      <c r="J24" s="23"/>
      <c r="K24" s="2"/>
      <c r="L24" s="3"/>
    </row>
    <row r="25" spans="2:12">
      <c r="B25" s="21">
        <f t="shared" si="0"/>
        <v>20</v>
      </c>
      <c r="C25" s="68"/>
      <c r="D25" s="68"/>
      <c r="E25" s="68"/>
      <c r="F25" s="22" t="s">
        <v>93</v>
      </c>
      <c r="G25" s="22"/>
      <c r="H25" s="47" t="s">
        <v>94</v>
      </c>
      <c r="I25" s="44" t="s">
        <v>62</v>
      </c>
      <c r="J25" s="23"/>
      <c r="K25" s="2"/>
      <c r="L25" s="3"/>
    </row>
    <row r="26" spans="2:12" ht="27">
      <c r="B26" s="21">
        <f t="shared" si="0"/>
        <v>21</v>
      </c>
      <c r="C26" s="68"/>
      <c r="D26" s="68"/>
      <c r="E26" s="68"/>
      <c r="F26" s="22" t="s">
        <v>2911</v>
      </c>
      <c r="G26" s="22"/>
      <c r="H26" s="47" t="s">
        <v>27</v>
      </c>
      <c r="I26" s="44" t="s">
        <v>62</v>
      </c>
      <c r="J26" s="23"/>
      <c r="K26" s="2"/>
      <c r="L26" s="3"/>
    </row>
    <row r="27" spans="2:12">
      <c r="B27" s="21">
        <f t="shared" si="0"/>
        <v>22</v>
      </c>
      <c r="C27" s="68"/>
      <c r="D27" s="68"/>
      <c r="E27" s="68"/>
      <c r="F27" s="22" t="s">
        <v>95</v>
      </c>
      <c r="G27" s="22"/>
      <c r="H27" s="47" t="s">
        <v>73</v>
      </c>
      <c r="I27" s="44" t="s">
        <v>62</v>
      </c>
      <c r="J27" s="23"/>
      <c r="K27" s="2"/>
      <c r="L27" s="3"/>
    </row>
    <row r="28" spans="2:12">
      <c r="B28" s="21">
        <f t="shared" si="0"/>
        <v>23</v>
      </c>
      <c r="C28" s="68"/>
      <c r="D28" s="68"/>
      <c r="E28" s="68"/>
      <c r="F28" s="22" t="s">
        <v>96</v>
      </c>
      <c r="G28" s="22"/>
      <c r="H28" s="47" t="s">
        <v>20</v>
      </c>
      <c r="I28" s="44" t="s">
        <v>62</v>
      </c>
      <c r="J28" s="23"/>
      <c r="K28" s="2"/>
      <c r="L28" s="3"/>
    </row>
    <row r="29" spans="2:12">
      <c r="B29" s="21">
        <f t="shared" si="0"/>
        <v>24</v>
      </c>
      <c r="C29" s="68"/>
      <c r="D29" s="68"/>
      <c r="E29" s="68"/>
      <c r="F29" s="22" t="s">
        <v>97</v>
      </c>
      <c r="G29" s="22"/>
      <c r="H29" s="47" t="s">
        <v>20</v>
      </c>
      <c r="I29" s="44" t="s">
        <v>62</v>
      </c>
      <c r="J29" s="23"/>
      <c r="K29" s="2"/>
      <c r="L29" s="3"/>
    </row>
    <row r="30" spans="2:12">
      <c r="B30" s="21">
        <f t="shared" si="0"/>
        <v>25</v>
      </c>
      <c r="C30" s="68"/>
      <c r="D30" s="68"/>
      <c r="E30" s="68"/>
      <c r="F30" s="22" t="s">
        <v>73</v>
      </c>
      <c r="G30" s="22"/>
      <c r="H30" s="47" t="s">
        <v>73</v>
      </c>
      <c r="I30" s="44" t="s">
        <v>62</v>
      </c>
      <c r="J30" s="23"/>
      <c r="K30" s="2"/>
      <c r="L30" s="3"/>
    </row>
    <row r="31" spans="2:12">
      <c r="B31" s="21">
        <f t="shared" si="0"/>
        <v>26</v>
      </c>
      <c r="C31" s="68"/>
      <c r="D31" s="68"/>
      <c r="E31" s="68"/>
      <c r="F31" s="22" t="s">
        <v>98</v>
      </c>
      <c r="G31" s="22"/>
      <c r="H31" s="47" t="s">
        <v>20</v>
      </c>
      <c r="I31" s="44" t="s">
        <v>62</v>
      </c>
      <c r="J31" s="23"/>
      <c r="K31" s="2"/>
      <c r="L31" s="3"/>
    </row>
    <row r="32" spans="2:12">
      <c r="B32" s="21">
        <f t="shared" si="0"/>
        <v>27</v>
      </c>
      <c r="C32" s="68"/>
      <c r="D32" s="68"/>
      <c r="E32" s="68"/>
      <c r="F32" s="22" t="s">
        <v>99</v>
      </c>
      <c r="G32" s="22"/>
      <c r="H32" s="47" t="s">
        <v>62</v>
      </c>
      <c r="I32" s="44" t="s">
        <v>62</v>
      </c>
      <c r="J32" s="23"/>
      <c r="K32" s="2"/>
      <c r="L32" s="3"/>
    </row>
    <row r="33" spans="2:12">
      <c r="B33" s="21">
        <f t="shared" si="0"/>
        <v>28</v>
      </c>
      <c r="C33" s="19"/>
      <c r="D33" s="19"/>
      <c r="E33" s="19"/>
      <c r="F33" s="22" t="s">
        <v>100</v>
      </c>
      <c r="G33" s="22"/>
      <c r="H33" s="47" t="s">
        <v>27</v>
      </c>
      <c r="I33" s="44" t="s">
        <v>28</v>
      </c>
      <c r="J33" s="23"/>
      <c r="K33" s="2"/>
      <c r="L33" s="3"/>
    </row>
    <row r="34" spans="2:12" ht="94.5">
      <c r="B34" s="21">
        <f t="shared" si="0"/>
        <v>29</v>
      </c>
      <c r="C34" s="68" t="s">
        <v>42</v>
      </c>
      <c r="D34" s="68" t="s">
        <v>101</v>
      </c>
      <c r="E34" s="68"/>
      <c r="F34" s="57" t="s">
        <v>42</v>
      </c>
      <c r="G34" s="22"/>
      <c r="H34" s="47" t="s">
        <v>102</v>
      </c>
      <c r="I34" s="44" t="s">
        <v>62</v>
      </c>
      <c r="J34" s="23" t="s">
        <v>103</v>
      </c>
      <c r="K34" s="2" t="s">
        <v>336</v>
      </c>
      <c r="L34" s="3"/>
    </row>
    <row r="35" spans="2:12">
      <c r="B35" s="21">
        <f t="shared" si="0"/>
        <v>30</v>
      </c>
      <c r="C35" s="68"/>
      <c r="D35" s="68"/>
      <c r="E35" s="68"/>
      <c r="F35" s="22" t="s">
        <v>45</v>
      </c>
      <c r="G35" s="22"/>
      <c r="H35" s="47" t="s">
        <v>62</v>
      </c>
      <c r="I35" s="44" t="s">
        <v>62</v>
      </c>
      <c r="J35" s="23"/>
      <c r="K35" s="2" t="s">
        <v>336</v>
      </c>
      <c r="L35" s="3"/>
    </row>
    <row r="36" spans="2:12">
      <c r="B36" s="21">
        <f t="shared" si="0"/>
        <v>31</v>
      </c>
      <c r="C36" s="68"/>
      <c r="D36" s="68"/>
      <c r="E36" s="68"/>
      <c r="F36" s="22" t="s">
        <v>35</v>
      </c>
      <c r="G36" s="22"/>
      <c r="H36" s="47" t="s">
        <v>62</v>
      </c>
      <c r="I36" s="47" t="s">
        <v>90</v>
      </c>
      <c r="J36" s="23"/>
      <c r="K36" s="2" t="s">
        <v>336</v>
      </c>
      <c r="L36" s="3"/>
    </row>
    <row r="37" spans="2:12" ht="27">
      <c r="B37" s="21">
        <f t="shared" si="0"/>
        <v>32</v>
      </c>
      <c r="C37" s="68"/>
      <c r="D37" s="68"/>
      <c r="E37" s="68"/>
      <c r="F37" s="22" t="s">
        <v>42</v>
      </c>
      <c r="G37" s="22"/>
      <c r="H37" s="47" t="s">
        <v>62</v>
      </c>
      <c r="I37" s="44" t="s">
        <v>62</v>
      </c>
      <c r="J37" s="23" t="s">
        <v>104</v>
      </c>
      <c r="K37" s="2" t="s">
        <v>336</v>
      </c>
      <c r="L37" s="3"/>
    </row>
    <row r="38" spans="2:12">
      <c r="B38" s="21">
        <f t="shared" ref="B38:B69" si="1">ROW() - 5</f>
        <v>33</v>
      </c>
      <c r="C38" s="68"/>
      <c r="D38" s="68"/>
      <c r="E38" s="68"/>
      <c r="F38" s="22" t="s">
        <v>45</v>
      </c>
      <c r="G38" s="22"/>
      <c r="H38" s="47" t="s">
        <v>20</v>
      </c>
      <c r="I38" s="44" t="s">
        <v>62</v>
      </c>
      <c r="J38" s="23"/>
      <c r="K38" s="2" t="s">
        <v>336</v>
      </c>
      <c r="L38" s="3"/>
    </row>
    <row r="39" spans="2:12">
      <c r="B39" s="21">
        <f t="shared" si="1"/>
        <v>34</v>
      </c>
      <c r="C39" s="68"/>
      <c r="D39" s="68"/>
      <c r="E39" s="68"/>
      <c r="F39" s="22" t="s">
        <v>93</v>
      </c>
      <c r="G39" s="22"/>
      <c r="H39" s="47" t="s">
        <v>94</v>
      </c>
      <c r="I39" s="44" t="s">
        <v>62</v>
      </c>
      <c r="J39" s="23"/>
      <c r="K39" s="2" t="s">
        <v>336</v>
      </c>
      <c r="L39" s="3"/>
    </row>
    <row r="40" spans="2:12">
      <c r="B40" s="21">
        <f t="shared" si="1"/>
        <v>35</v>
      </c>
      <c r="C40" s="68"/>
      <c r="D40" s="68"/>
      <c r="E40" s="68"/>
      <c r="F40" s="22" t="s">
        <v>105</v>
      </c>
      <c r="G40" s="22"/>
      <c r="H40" s="47" t="s">
        <v>20</v>
      </c>
      <c r="I40" s="44" t="s">
        <v>62</v>
      </c>
      <c r="J40" s="23"/>
      <c r="K40" s="2" t="s">
        <v>336</v>
      </c>
      <c r="L40" s="3"/>
    </row>
    <row r="41" spans="2:12">
      <c r="B41" s="21">
        <f t="shared" si="1"/>
        <v>36</v>
      </c>
      <c r="C41" s="68"/>
      <c r="D41" s="68"/>
      <c r="E41" s="68"/>
      <c r="F41" s="22" t="s">
        <v>106</v>
      </c>
      <c r="G41" s="22"/>
      <c r="H41" s="47" t="s">
        <v>20</v>
      </c>
      <c r="I41" s="44" t="s">
        <v>62</v>
      </c>
      <c r="J41" s="23"/>
      <c r="K41" s="2" t="s">
        <v>336</v>
      </c>
      <c r="L41" s="3"/>
    </row>
    <row r="42" spans="2:12">
      <c r="B42" s="21">
        <f t="shared" si="1"/>
        <v>37</v>
      </c>
      <c r="C42" s="68"/>
      <c r="D42" s="68"/>
      <c r="E42" s="68"/>
      <c r="F42" s="22" t="s">
        <v>324</v>
      </c>
      <c r="G42" s="22"/>
      <c r="H42" s="47" t="s">
        <v>27</v>
      </c>
      <c r="I42" s="44" t="s">
        <v>28</v>
      </c>
      <c r="J42" s="23"/>
      <c r="K42" s="2" t="s">
        <v>336</v>
      </c>
      <c r="L42" s="3"/>
    </row>
    <row r="43" spans="2:12">
      <c r="B43" s="21">
        <f t="shared" si="1"/>
        <v>38</v>
      </c>
      <c r="C43" s="68"/>
      <c r="D43" s="68"/>
      <c r="E43" s="68"/>
      <c r="F43" s="22" t="s">
        <v>107</v>
      </c>
      <c r="G43" s="22" t="s">
        <v>108</v>
      </c>
      <c r="H43" s="47" t="s">
        <v>20</v>
      </c>
      <c r="I43" s="44" t="s">
        <v>62</v>
      </c>
      <c r="J43" s="23"/>
      <c r="K43" s="2" t="s">
        <v>336</v>
      </c>
      <c r="L43" s="3"/>
    </row>
    <row r="44" spans="2:12">
      <c r="B44" s="21">
        <f t="shared" si="1"/>
        <v>39</v>
      </c>
      <c r="C44" s="19"/>
      <c r="D44" s="19"/>
      <c r="E44" s="19"/>
      <c r="F44" s="22" t="s">
        <v>109</v>
      </c>
      <c r="G44" s="22" t="s">
        <v>110</v>
      </c>
      <c r="H44" s="47" t="s">
        <v>27</v>
      </c>
      <c r="I44" s="44" t="s">
        <v>28</v>
      </c>
      <c r="J44" s="23"/>
      <c r="K44" s="2" t="s">
        <v>336</v>
      </c>
      <c r="L44" s="3"/>
    </row>
    <row r="45" spans="2:12" ht="27">
      <c r="B45" s="51">
        <f t="shared" si="1"/>
        <v>40</v>
      </c>
      <c r="C45" s="68" t="s">
        <v>111</v>
      </c>
      <c r="D45" s="68" t="s">
        <v>112</v>
      </c>
      <c r="E45" s="68"/>
      <c r="F45" s="22" t="s">
        <v>111</v>
      </c>
      <c r="G45" s="22"/>
      <c r="H45" s="47" t="s">
        <v>113</v>
      </c>
      <c r="I45" s="44" t="s">
        <v>62</v>
      </c>
      <c r="J45" s="23" t="s">
        <v>361</v>
      </c>
      <c r="K45" s="2" t="s">
        <v>337</v>
      </c>
      <c r="L45" s="3"/>
    </row>
    <row r="46" spans="2:12">
      <c r="B46" s="21">
        <f t="shared" si="1"/>
        <v>41</v>
      </c>
      <c r="C46" s="68"/>
      <c r="D46" s="68"/>
      <c r="E46" s="68"/>
      <c r="F46" s="22" t="s">
        <v>45</v>
      </c>
      <c r="G46" s="22"/>
      <c r="H46" s="47" t="s">
        <v>113</v>
      </c>
      <c r="I46" s="44" t="s">
        <v>62</v>
      </c>
      <c r="J46" s="23" t="s">
        <v>361</v>
      </c>
      <c r="K46" s="2" t="s">
        <v>337</v>
      </c>
      <c r="L46" s="3"/>
    </row>
    <row r="47" spans="2:12">
      <c r="B47" s="21">
        <f t="shared" si="1"/>
        <v>42</v>
      </c>
      <c r="C47" s="68"/>
      <c r="D47" s="68"/>
      <c r="E47" s="68"/>
      <c r="F47" s="22" t="s">
        <v>35</v>
      </c>
      <c r="G47" s="22"/>
      <c r="H47" s="47" t="s">
        <v>114</v>
      </c>
      <c r="I47" s="44" t="s">
        <v>90</v>
      </c>
      <c r="J47" s="23" t="s">
        <v>361</v>
      </c>
      <c r="K47" s="2" t="s">
        <v>337</v>
      </c>
      <c r="L47" s="3"/>
    </row>
    <row r="48" spans="2:12" ht="94.5">
      <c r="B48" s="21">
        <f t="shared" si="1"/>
        <v>43</v>
      </c>
      <c r="C48" s="68"/>
      <c r="D48" s="68"/>
      <c r="E48" s="68"/>
      <c r="F48" s="22" t="s">
        <v>42</v>
      </c>
      <c r="G48" s="22"/>
      <c r="H48" s="47" t="s">
        <v>102</v>
      </c>
      <c r="I48" s="44" t="s">
        <v>62</v>
      </c>
      <c r="J48" s="23" t="s">
        <v>361</v>
      </c>
      <c r="K48" s="2" t="s">
        <v>337</v>
      </c>
      <c r="L48" s="3"/>
    </row>
    <row r="49" spans="2:12">
      <c r="B49" s="21">
        <f t="shared" si="1"/>
        <v>44</v>
      </c>
      <c r="C49" s="68"/>
      <c r="D49" s="68"/>
      <c r="E49" s="68"/>
      <c r="F49" s="22" t="s">
        <v>111</v>
      </c>
      <c r="G49" s="22"/>
      <c r="H49" s="47" t="s">
        <v>62</v>
      </c>
      <c r="I49" s="44" t="s">
        <v>62</v>
      </c>
      <c r="J49" s="23" t="s">
        <v>361</v>
      </c>
      <c r="K49" s="2" t="s">
        <v>337</v>
      </c>
      <c r="L49" s="3"/>
    </row>
    <row r="50" spans="2:12">
      <c r="B50" s="21">
        <f t="shared" si="1"/>
        <v>45</v>
      </c>
      <c r="C50" s="68"/>
      <c r="D50" s="68"/>
      <c r="E50" s="68"/>
      <c r="F50" s="22" t="s">
        <v>45</v>
      </c>
      <c r="G50" s="22"/>
      <c r="H50" s="47" t="s">
        <v>62</v>
      </c>
      <c r="I50" s="44" t="s">
        <v>62</v>
      </c>
      <c r="J50" s="23" t="s">
        <v>361</v>
      </c>
      <c r="K50" s="2" t="s">
        <v>337</v>
      </c>
      <c r="L50" s="3"/>
    </row>
    <row r="51" spans="2:12">
      <c r="B51" s="21">
        <f t="shared" si="1"/>
        <v>46</v>
      </c>
      <c r="C51" s="68"/>
      <c r="D51" s="68"/>
      <c r="E51" s="68"/>
      <c r="F51" s="22" t="s">
        <v>115</v>
      </c>
      <c r="G51" s="22"/>
      <c r="H51" s="47" t="s">
        <v>62</v>
      </c>
      <c r="I51" s="44" t="s">
        <v>62</v>
      </c>
      <c r="J51" s="23" t="s">
        <v>361</v>
      </c>
      <c r="K51" s="2" t="s">
        <v>337</v>
      </c>
      <c r="L51" s="3"/>
    </row>
    <row r="52" spans="2:12">
      <c r="B52" s="21">
        <f t="shared" si="1"/>
        <v>47</v>
      </c>
      <c r="C52" s="19"/>
      <c r="D52" s="19"/>
      <c r="E52" s="19"/>
      <c r="F52" s="22" t="s">
        <v>116</v>
      </c>
      <c r="G52" s="22"/>
      <c r="H52" s="47" t="s">
        <v>62</v>
      </c>
      <c r="I52" s="44" t="s">
        <v>62</v>
      </c>
      <c r="J52" s="23" t="s">
        <v>361</v>
      </c>
      <c r="K52" s="2" t="s">
        <v>337</v>
      </c>
      <c r="L52" s="3"/>
    </row>
    <row r="53" spans="2:12" ht="27">
      <c r="B53" s="21">
        <f t="shared" si="1"/>
        <v>48</v>
      </c>
      <c r="C53" s="68" t="s">
        <v>70</v>
      </c>
      <c r="D53" s="68" t="s">
        <v>117</v>
      </c>
      <c r="E53" s="68"/>
      <c r="F53" s="22" t="s">
        <v>35</v>
      </c>
      <c r="G53" s="22"/>
      <c r="H53" s="47" t="s">
        <v>114</v>
      </c>
      <c r="I53" s="44" t="s">
        <v>90</v>
      </c>
      <c r="J53" s="23" t="s">
        <v>361</v>
      </c>
      <c r="K53" s="2" t="s">
        <v>338</v>
      </c>
      <c r="L53" s="3"/>
    </row>
    <row r="54" spans="2:12">
      <c r="B54" s="21">
        <f t="shared" si="1"/>
        <v>49</v>
      </c>
      <c r="C54" s="68"/>
      <c r="D54" s="68"/>
      <c r="E54" s="68"/>
      <c r="F54" s="22" t="s">
        <v>70</v>
      </c>
      <c r="G54" s="22"/>
      <c r="H54" s="47" t="s">
        <v>118</v>
      </c>
      <c r="I54" s="44" t="s">
        <v>62</v>
      </c>
      <c r="J54" s="23" t="s">
        <v>361</v>
      </c>
      <c r="K54" s="2" t="s">
        <v>338</v>
      </c>
      <c r="L54" s="3"/>
    </row>
    <row r="55" spans="2:12">
      <c r="B55" s="21">
        <f t="shared" si="1"/>
        <v>50</v>
      </c>
      <c r="C55" s="68"/>
      <c r="D55" s="68"/>
      <c r="E55" s="68"/>
      <c r="F55" s="70" t="s">
        <v>119</v>
      </c>
      <c r="G55" s="70"/>
      <c r="H55" s="71" t="s">
        <v>20</v>
      </c>
      <c r="I55" s="72" t="s">
        <v>62</v>
      </c>
      <c r="J55" s="73" t="s">
        <v>361</v>
      </c>
      <c r="K55" s="74" t="s">
        <v>338</v>
      </c>
      <c r="L55" s="75"/>
    </row>
    <row r="56" spans="2:12">
      <c r="B56" s="21">
        <f t="shared" si="1"/>
        <v>51</v>
      </c>
      <c r="C56" s="68"/>
      <c r="D56" s="68"/>
      <c r="E56" s="68"/>
      <c r="F56" s="22" t="s">
        <v>45</v>
      </c>
      <c r="G56" s="22"/>
      <c r="H56" s="47" t="s">
        <v>62</v>
      </c>
      <c r="I56" s="44" t="s">
        <v>62</v>
      </c>
      <c r="J56" s="23" t="s">
        <v>361</v>
      </c>
      <c r="K56" s="2" t="s">
        <v>338</v>
      </c>
      <c r="L56" s="3"/>
    </row>
    <row r="57" spans="2:12" ht="94.5">
      <c r="B57" s="21">
        <f t="shared" si="1"/>
        <v>52</v>
      </c>
      <c r="C57" s="68"/>
      <c r="D57" s="68"/>
      <c r="E57" s="68"/>
      <c r="F57" s="22" t="s">
        <v>42</v>
      </c>
      <c r="G57" s="22"/>
      <c r="H57" s="47" t="s">
        <v>102</v>
      </c>
      <c r="I57" s="44" t="s">
        <v>62</v>
      </c>
      <c r="J57" s="23" t="s">
        <v>361</v>
      </c>
      <c r="K57" s="2" t="s">
        <v>338</v>
      </c>
      <c r="L57" s="3"/>
    </row>
    <row r="58" spans="2:12">
      <c r="B58" s="21">
        <f t="shared" si="1"/>
        <v>53</v>
      </c>
      <c r="C58" s="68"/>
      <c r="D58" s="68"/>
      <c r="E58" s="68"/>
      <c r="F58" s="22" t="s">
        <v>111</v>
      </c>
      <c r="G58" s="22"/>
      <c r="H58" s="47" t="s">
        <v>113</v>
      </c>
      <c r="I58" s="44" t="s">
        <v>62</v>
      </c>
      <c r="J58" s="23" t="s">
        <v>361</v>
      </c>
      <c r="K58" s="2" t="s">
        <v>338</v>
      </c>
      <c r="L58" s="3"/>
    </row>
    <row r="59" spans="2:12">
      <c r="B59" s="21">
        <f t="shared" si="1"/>
        <v>54</v>
      </c>
      <c r="C59" s="68"/>
      <c r="D59" s="68"/>
      <c r="E59" s="68"/>
      <c r="F59" s="22" t="s">
        <v>120</v>
      </c>
      <c r="G59" s="22"/>
      <c r="H59" s="47" t="s">
        <v>20</v>
      </c>
      <c r="I59" s="44" t="s">
        <v>62</v>
      </c>
      <c r="J59" s="23" t="s">
        <v>361</v>
      </c>
      <c r="K59" s="2" t="s">
        <v>338</v>
      </c>
      <c r="L59" s="3"/>
    </row>
    <row r="60" spans="2:12" ht="27">
      <c r="B60" s="21">
        <f t="shared" si="1"/>
        <v>55</v>
      </c>
      <c r="C60" s="19"/>
      <c r="D60" s="19"/>
      <c r="E60" s="19"/>
      <c r="F60" s="22" t="s">
        <v>121</v>
      </c>
      <c r="G60" s="22"/>
      <c r="H60" s="47" t="s">
        <v>2725</v>
      </c>
      <c r="I60" s="44" t="s">
        <v>62</v>
      </c>
      <c r="J60" s="23" t="s">
        <v>361</v>
      </c>
      <c r="K60" s="2" t="s">
        <v>338</v>
      </c>
      <c r="L60" s="3"/>
    </row>
    <row r="61" spans="2:12" ht="27">
      <c r="B61" s="21">
        <f t="shared" si="1"/>
        <v>56</v>
      </c>
      <c r="C61" s="68" t="s">
        <v>321</v>
      </c>
      <c r="D61" s="68" t="s">
        <v>325</v>
      </c>
      <c r="E61" s="68"/>
      <c r="F61" s="22" t="s">
        <v>35</v>
      </c>
      <c r="G61" s="22"/>
      <c r="H61" s="47" t="s">
        <v>114</v>
      </c>
      <c r="I61" s="44"/>
      <c r="J61" s="23" t="s">
        <v>361</v>
      </c>
      <c r="K61" s="2" t="s">
        <v>339</v>
      </c>
      <c r="L61" s="3"/>
    </row>
    <row r="62" spans="2:12" ht="32.25" customHeight="1">
      <c r="B62" s="21">
        <f t="shared" si="1"/>
        <v>57</v>
      </c>
      <c r="C62" s="68"/>
      <c r="D62" s="68"/>
      <c r="E62" s="68"/>
      <c r="F62" s="22" t="s">
        <v>42</v>
      </c>
      <c r="G62" s="22"/>
      <c r="H62" s="47" t="s">
        <v>122</v>
      </c>
      <c r="I62" s="44" t="s">
        <v>62</v>
      </c>
      <c r="J62" s="23" t="s">
        <v>361</v>
      </c>
      <c r="K62" s="2" t="s">
        <v>339</v>
      </c>
      <c r="L62" s="3"/>
    </row>
    <row r="63" spans="2:12" ht="27.75" customHeight="1">
      <c r="B63" s="21">
        <f t="shared" si="1"/>
        <v>58</v>
      </c>
      <c r="C63" s="68"/>
      <c r="D63" s="68"/>
      <c r="E63" s="68"/>
      <c r="F63" s="22" t="s">
        <v>111</v>
      </c>
      <c r="G63" s="22"/>
      <c r="H63" s="47" t="s">
        <v>113</v>
      </c>
      <c r="I63" s="44" t="s">
        <v>62</v>
      </c>
      <c r="J63" s="23" t="s">
        <v>361</v>
      </c>
      <c r="K63" s="2" t="s">
        <v>339</v>
      </c>
      <c r="L63" s="3"/>
    </row>
    <row r="64" spans="2:12" ht="30" customHeight="1">
      <c r="B64" s="21">
        <f t="shared" si="1"/>
        <v>59</v>
      </c>
      <c r="C64" s="68"/>
      <c r="D64" s="68"/>
      <c r="E64" s="68"/>
      <c r="F64" s="49" t="s">
        <v>70</v>
      </c>
      <c r="G64" s="49" t="s">
        <v>51</v>
      </c>
      <c r="H64" s="48" t="s">
        <v>123</v>
      </c>
      <c r="I64" s="58" t="s">
        <v>62</v>
      </c>
      <c r="J64" s="23" t="s">
        <v>361</v>
      </c>
      <c r="K64" s="2" t="s">
        <v>339</v>
      </c>
      <c r="L64" s="3"/>
    </row>
    <row r="65" spans="2:12" ht="27.75" customHeight="1">
      <c r="B65" s="21">
        <f t="shared" si="1"/>
        <v>60</v>
      </c>
      <c r="C65" s="68"/>
      <c r="D65" s="68"/>
      <c r="E65" s="68"/>
      <c r="F65" s="49" t="s">
        <v>321</v>
      </c>
      <c r="G65" s="49"/>
      <c r="H65" s="49" t="s">
        <v>20</v>
      </c>
      <c r="I65" s="58" t="s">
        <v>62</v>
      </c>
      <c r="J65" s="23" t="s">
        <v>361</v>
      </c>
      <c r="K65" s="2" t="s">
        <v>339</v>
      </c>
      <c r="L65" s="3"/>
    </row>
    <row r="66" spans="2:12" ht="29.25" customHeight="1">
      <c r="B66" s="21">
        <f t="shared" si="1"/>
        <v>61</v>
      </c>
      <c r="C66" s="19"/>
      <c r="D66" s="19"/>
      <c r="E66" s="19"/>
      <c r="F66" s="49" t="s">
        <v>45</v>
      </c>
      <c r="G66" s="49"/>
      <c r="H66" s="49" t="s">
        <v>20</v>
      </c>
      <c r="I66" s="58" t="s">
        <v>62</v>
      </c>
      <c r="J66" s="23" t="s">
        <v>361</v>
      </c>
      <c r="K66" s="2" t="s">
        <v>339</v>
      </c>
      <c r="L66" s="3"/>
    </row>
    <row r="67" spans="2:12" ht="30.75" customHeight="1">
      <c r="B67" s="21">
        <f t="shared" si="1"/>
        <v>62</v>
      </c>
      <c r="C67" s="68" t="s">
        <v>31</v>
      </c>
      <c r="D67" s="68" t="s">
        <v>124</v>
      </c>
      <c r="E67" s="68"/>
      <c r="F67" s="22" t="s">
        <v>35</v>
      </c>
      <c r="G67" s="22"/>
      <c r="H67" s="47" t="s">
        <v>114</v>
      </c>
      <c r="I67" s="44"/>
      <c r="J67" s="23" t="s">
        <v>360</v>
      </c>
      <c r="K67" s="2" t="s">
        <v>340</v>
      </c>
      <c r="L67" s="3"/>
    </row>
    <row r="68" spans="2:12" ht="30" customHeight="1">
      <c r="B68" s="21">
        <f t="shared" si="1"/>
        <v>63</v>
      </c>
      <c r="C68" s="68"/>
      <c r="D68" s="68"/>
      <c r="E68" s="68"/>
      <c r="F68" s="22" t="s">
        <v>42</v>
      </c>
      <c r="G68" s="22"/>
      <c r="H68" s="47" t="s">
        <v>122</v>
      </c>
      <c r="I68" s="44" t="s">
        <v>62</v>
      </c>
      <c r="J68" s="23" t="s">
        <v>360</v>
      </c>
      <c r="K68" s="2" t="s">
        <v>340</v>
      </c>
      <c r="L68" s="3"/>
    </row>
    <row r="69" spans="2:12" ht="30" customHeight="1">
      <c r="B69" s="21">
        <f t="shared" si="1"/>
        <v>64</v>
      </c>
      <c r="C69" s="68"/>
      <c r="D69" s="68"/>
      <c r="E69" s="68"/>
      <c r="F69" s="22" t="s">
        <v>111</v>
      </c>
      <c r="G69" s="22"/>
      <c r="H69" s="47" t="s">
        <v>113</v>
      </c>
      <c r="I69" s="44" t="s">
        <v>62</v>
      </c>
      <c r="J69" s="23" t="s">
        <v>360</v>
      </c>
      <c r="K69" s="2" t="s">
        <v>340</v>
      </c>
      <c r="L69" s="3"/>
    </row>
    <row r="70" spans="2:12" ht="30" customHeight="1">
      <c r="B70" s="21">
        <f t="shared" ref="B70:B101" si="2">ROW() - 5</f>
        <v>65</v>
      </c>
      <c r="C70" s="68"/>
      <c r="D70" s="68"/>
      <c r="E70" s="68"/>
      <c r="F70" s="49" t="s">
        <v>70</v>
      </c>
      <c r="G70" s="49" t="s">
        <v>51</v>
      </c>
      <c r="H70" s="48" t="s">
        <v>123</v>
      </c>
      <c r="I70" s="58" t="s">
        <v>62</v>
      </c>
      <c r="J70" s="23" t="s">
        <v>360</v>
      </c>
      <c r="K70" s="2" t="s">
        <v>340</v>
      </c>
      <c r="L70" s="3"/>
    </row>
    <row r="71" spans="2:12" ht="30" customHeight="1">
      <c r="B71" s="21">
        <f t="shared" si="2"/>
        <v>66</v>
      </c>
      <c r="C71" s="68"/>
      <c r="D71" s="68"/>
      <c r="E71" s="68"/>
      <c r="F71" s="49" t="s">
        <v>321</v>
      </c>
      <c r="G71" s="49" t="s">
        <v>51</v>
      </c>
      <c r="H71" s="49" t="s">
        <v>50</v>
      </c>
      <c r="I71" s="58" t="s">
        <v>62</v>
      </c>
      <c r="J71" s="23" t="s">
        <v>360</v>
      </c>
      <c r="K71" s="2" t="s">
        <v>340</v>
      </c>
      <c r="L71" s="3"/>
    </row>
    <row r="72" spans="2:12" ht="30" customHeight="1">
      <c r="B72" s="21">
        <f t="shared" si="2"/>
        <v>67</v>
      </c>
      <c r="C72" s="68"/>
      <c r="D72" s="68"/>
      <c r="E72" s="68"/>
      <c r="F72" s="49" t="s">
        <v>125</v>
      </c>
      <c r="G72" s="49"/>
      <c r="H72" s="49" t="s">
        <v>20</v>
      </c>
      <c r="I72" s="58" t="s">
        <v>62</v>
      </c>
      <c r="J72" s="23" t="s">
        <v>360</v>
      </c>
      <c r="K72" s="2" t="s">
        <v>340</v>
      </c>
      <c r="L72" s="3"/>
    </row>
    <row r="73" spans="2:12" ht="30" customHeight="1">
      <c r="B73" s="21">
        <f t="shared" si="2"/>
        <v>68</v>
      </c>
      <c r="C73" s="68"/>
      <c r="D73" s="68"/>
      <c r="E73" s="68"/>
      <c r="F73" s="49" t="s">
        <v>31</v>
      </c>
      <c r="G73" s="49"/>
      <c r="H73" s="49" t="s">
        <v>20</v>
      </c>
      <c r="I73" s="58" t="s">
        <v>62</v>
      </c>
      <c r="J73" s="23" t="s">
        <v>360</v>
      </c>
      <c r="K73" s="2" t="s">
        <v>340</v>
      </c>
      <c r="L73" s="3"/>
    </row>
    <row r="74" spans="2:12" ht="30" customHeight="1">
      <c r="B74" s="21">
        <f t="shared" si="2"/>
        <v>69</v>
      </c>
      <c r="C74" s="68"/>
      <c r="D74" s="68"/>
      <c r="E74" s="68"/>
      <c r="F74" s="76" t="s">
        <v>126</v>
      </c>
      <c r="G74" s="76"/>
      <c r="H74" s="76" t="s">
        <v>127</v>
      </c>
      <c r="I74" s="77" t="s">
        <v>62</v>
      </c>
      <c r="J74" s="73" t="s">
        <v>360</v>
      </c>
      <c r="K74" s="74" t="s">
        <v>340</v>
      </c>
      <c r="L74" s="75"/>
    </row>
    <row r="75" spans="2:12" ht="30" customHeight="1">
      <c r="B75" s="21">
        <f t="shared" si="2"/>
        <v>70</v>
      </c>
      <c r="C75" s="68"/>
      <c r="D75" s="68"/>
      <c r="E75" s="68"/>
      <c r="F75" s="49" t="s">
        <v>45</v>
      </c>
      <c r="G75" s="49"/>
      <c r="H75" s="49" t="s">
        <v>20</v>
      </c>
      <c r="I75" s="58" t="s">
        <v>62</v>
      </c>
      <c r="J75" s="23" t="s">
        <v>360</v>
      </c>
      <c r="K75" s="2" t="s">
        <v>340</v>
      </c>
      <c r="L75" s="3"/>
    </row>
    <row r="76" spans="2:12" ht="30" customHeight="1">
      <c r="B76" s="21">
        <f t="shared" si="2"/>
        <v>71</v>
      </c>
      <c r="C76" s="68"/>
      <c r="D76" s="68"/>
      <c r="E76" s="68"/>
      <c r="F76" s="49" t="s">
        <v>38</v>
      </c>
      <c r="G76" s="49"/>
      <c r="H76" s="49" t="s">
        <v>38</v>
      </c>
      <c r="I76" s="58" t="s">
        <v>62</v>
      </c>
      <c r="J76" s="23" t="s">
        <v>360</v>
      </c>
      <c r="K76" s="2" t="s">
        <v>340</v>
      </c>
      <c r="L76" s="3"/>
    </row>
    <row r="77" spans="2:12" ht="30" customHeight="1">
      <c r="B77" s="21">
        <f t="shared" si="2"/>
        <v>72</v>
      </c>
      <c r="C77" s="68"/>
      <c r="D77" s="68"/>
      <c r="E77" s="68"/>
      <c r="F77" s="49" t="s">
        <v>128</v>
      </c>
      <c r="G77" s="49"/>
      <c r="H77" s="49" t="s">
        <v>50</v>
      </c>
      <c r="I77" s="58" t="s">
        <v>62</v>
      </c>
      <c r="J77" s="23" t="s">
        <v>360</v>
      </c>
      <c r="K77" s="2" t="s">
        <v>340</v>
      </c>
      <c r="L77" s="3"/>
    </row>
    <row r="78" spans="2:12" ht="30" customHeight="1">
      <c r="B78" s="21">
        <f t="shared" si="2"/>
        <v>73</v>
      </c>
      <c r="C78" s="68"/>
      <c r="D78" s="68"/>
      <c r="E78" s="68"/>
      <c r="F78" s="49" t="s">
        <v>129</v>
      </c>
      <c r="G78" s="49"/>
      <c r="H78" s="49" t="s">
        <v>50</v>
      </c>
      <c r="I78" s="58" t="s">
        <v>62</v>
      </c>
      <c r="J78" s="23" t="s">
        <v>360</v>
      </c>
      <c r="K78" s="2" t="s">
        <v>340</v>
      </c>
      <c r="L78" s="3"/>
    </row>
    <row r="79" spans="2:12" ht="30" customHeight="1">
      <c r="B79" s="21">
        <f t="shared" si="2"/>
        <v>74</v>
      </c>
      <c r="C79" s="68"/>
      <c r="D79" s="68"/>
      <c r="E79" s="68"/>
      <c r="F79" s="49" t="s">
        <v>326</v>
      </c>
      <c r="G79" s="49"/>
      <c r="H79" s="49" t="s">
        <v>50</v>
      </c>
      <c r="I79" s="58" t="s">
        <v>62</v>
      </c>
      <c r="J79" s="23" t="s">
        <v>360</v>
      </c>
      <c r="K79" s="2" t="s">
        <v>340</v>
      </c>
      <c r="L79" s="3"/>
    </row>
    <row r="80" spans="2:12" ht="54">
      <c r="B80" s="21">
        <f t="shared" si="2"/>
        <v>75</v>
      </c>
      <c r="C80" s="19"/>
      <c r="D80" s="19"/>
      <c r="E80" s="19"/>
      <c r="F80" s="49" t="s">
        <v>131</v>
      </c>
      <c r="G80" s="49"/>
      <c r="H80" s="48" t="s">
        <v>132</v>
      </c>
      <c r="I80" s="44" t="s">
        <v>133</v>
      </c>
      <c r="J80" s="23" t="s">
        <v>360</v>
      </c>
      <c r="K80" s="2" t="s">
        <v>340</v>
      </c>
      <c r="L80" s="3"/>
    </row>
    <row r="81" spans="2:12" ht="27">
      <c r="B81" s="21">
        <f t="shared" si="2"/>
        <v>76</v>
      </c>
      <c r="C81" s="68" t="s">
        <v>134</v>
      </c>
      <c r="D81" s="68" t="s">
        <v>135</v>
      </c>
      <c r="E81" s="68"/>
      <c r="F81" s="22" t="s">
        <v>35</v>
      </c>
      <c r="G81" s="22"/>
      <c r="H81" s="47" t="s">
        <v>114</v>
      </c>
      <c r="I81" s="44"/>
      <c r="J81" s="23" t="s">
        <v>360</v>
      </c>
      <c r="K81" s="2" t="s">
        <v>341</v>
      </c>
      <c r="L81" s="3"/>
    </row>
    <row r="82" spans="2:12">
      <c r="B82" s="21">
        <f t="shared" si="2"/>
        <v>77</v>
      </c>
      <c r="C82" s="68"/>
      <c r="D82" s="68"/>
      <c r="E82" s="68"/>
      <c r="F82" s="22" t="s">
        <v>42</v>
      </c>
      <c r="G82" s="22"/>
      <c r="H82" s="47" t="s">
        <v>122</v>
      </c>
      <c r="I82" s="44" t="s">
        <v>62</v>
      </c>
      <c r="J82" s="23" t="s">
        <v>360</v>
      </c>
      <c r="K82" s="2" t="s">
        <v>341</v>
      </c>
      <c r="L82" s="3"/>
    </row>
    <row r="83" spans="2:12">
      <c r="B83" s="21">
        <f t="shared" si="2"/>
        <v>78</v>
      </c>
      <c r="C83" s="68"/>
      <c r="D83" s="68"/>
      <c r="E83" s="68"/>
      <c r="F83" s="22" t="s">
        <v>111</v>
      </c>
      <c r="G83" s="22"/>
      <c r="H83" s="47" t="s">
        <v>113</v>
      </c>
      <c r="I83" s="44" t="s">
        <v>62</v>
      </c>
      <c r="J83" s="23" t="s">
        <v>360</v>
      </c>
      <c r="K83" s="2" t="s">
        <v>341</v>
      </c>
      <c r="L83" s="3"/>
    </row>
    <row r="84" spans="2:12">
      <c r="B84" s="21">
        <f t="shared" si="2"/>
        <v>79</v>
      </c>
      <c r="C84" s="68"/>
      <c r="D84" s="68"/>
      <c r="E84" s="68"/>
      <c r="F84" s="49" t="s">
        <v>70</v>
      </c>
      <c r="G84" s="49" t="s">
        <v>51</v>
      </c>
      <c r="H84" s="48" t="s">
        <v>123</v>
      </c>
      <c r="I84" s="58" t="s">
        <v>62</v>
      </c>
      <c r="J84" s="23" t="s">
        <v>360</v>
      </c>
      <c r="K84" s="2" t="s">
        <v>341</v>
      </c>
      <c r="L84" s="3"/>
    </row>
    <row r="85" spans="2:12">
      <c r="B85" s="21">
        <f t="shared" si="2"/>
        <v>80</v>
      </c>
      <c r="C85" s="68"/>
      <c r="D85" s="68"/>
      <c r="E85" s="68"/>
      <c r="F85" s="49" t="s">
        <v>321</v>
      </c>
      <c r="G85" s="49" t="s">
        <v>51</v>
      </c>
      <c r="H85" s="49" t="s">
        <v>136</v>
      </c>
      <c r="I85" s="58" t="s">
        <v>62</v>
      </c>
      <c r="J85" s="23" t="s">
        <v>360</v>
      </c>
      <c r="K85" s="2" t="s">
        <v>341</v>
      </c>
      <c r="L85" s="3"/>
    </row>
    <row r="86" spans="2:12">
      <c r="B86" s="21">
        <f t="shared" si="2"/>
        <v>81</v>
      </c>
      <c r="C86" s="68"/>
      <c r="D86" s="68"/>
      <c r="E86" s="68"/>
      <c r="F86" s="49" t="s">
        <v>125</v>
      </c>
      <c r="G86" s="49" t="s">
        <v>51</v>
      </c>
      <c r="H86" s="49" t="s">
        <v>137</v>
      </c>
      <c r="I86" s="58" t="s">
        <v>62</v>
      </c>
      <c r="J86" s="23" t="s">
        <v>360</v>
      </c>
      <c r="K86" s="2" t="s">
        <v>341</v>
      </c>
      <c r="L86" s="3"/>
    </row>
    <row r="87" spans="2:12">
      <c r="B87" s="21">
        <f t="shared" si="2"/>
        <v>82</v>
      </c>
      <c r="C87" s="68"/>
      <c r="D87" s="68"/>
      <c r="E87" s="68"/>
      <c r="F87" s="49" t="s">
        <v>138</v>
      </c>
      <c r="G87" s="49"/>
      <c r="H87" s="49" t="s">
        <v>20</v>
      </c>
      <c r="I87" s="58" t="s">
        <v>62</v>
      </c>
      <c r="J87" s="23" t="s">
        <v>360</v>
      </c>
      <c r="K87" s="2" t="s">
        <v>341</v>
      </c>
      <c r="L87" s="3"/>
    </row>
    <row r="88" spans="2:12">
      <c r="B88" s="21">
        <f t="shared" si="2"/>
        <v>83</v>
      </c>
      <c r="C88" s="68"/>
      <c r="D88" s="68"/>
      <c r="E88" s="68"/>
      <c r="F88" s="49" t="s">
        <v>139</v>
      </c>
      <c r="G88" s="49"/>
      <c r="H88" s="49" t="s">
        <v>50</v>
      </c>
      <c r="I88" s="58" t="s">
        <v>62</v>
      </c>
      <c r="J88" s="23" t="s">
        <v>360</v>
      </c>
      <c r="K88" s="2" t="s">
        <v>341</v>
      </c>
      <c r="L88" s="3"/>
    </row>
    <row r="89" spans="2:12">
      <c r="B89" s="21">
        <f t="shared" si="2"/>
        <v>84</v>
      </c>
      <c r="C89" s="68"/>
      <c r="D89" s="68"/>
      <c r="E89" s="68"/>
      <c r="F89" s="49" t="s">
        <v>140</v>
      </c>
      <c r="G89" s="49"/>
      <c r="H89" s="49" t="s">
        <v>20</v>
      </c>
      <c r="I89" s="58" t="s">
        <v>62</v>
      </c>
      <c r="J89" s="23" t="s">
        <v>360</v>
      </c>
      <c r="K89" s="2" t="s">
        <v>341</v>
      </c>
      <c r="L89" s="3"/>
    </row>
    <row r="90" spans="2:12">
      <c r="B90" s="21">
        <f t="shared" si="2"/>
        <v>85</v>
      </c>
      <c r="C90" s="68"/>
      <c r="D90" s="68"/>
      <c r="E90" s="68"/>
      <c r="F90" s="49" t="s">
        <v>141</v>
      </c>
      <c r="G90" s="49"/>
      <c r="H90" s="49" t="s">
        <v>126</v>
      </c>
      <c r="I90" s="58" t="s">
        <v>62</v>
      </c>
      <c r="J90" s="23" t="s">
        <v>360</v>
      </c>
      <c r="K90" s="2" t="s">
        <v>341</v>
      </c>
      <c r="L90" s="3"/>
    </row>
    <row r="91" spans="2:12">
      <c r="B91" s="21">
        <f t="shared" si="2"/>
        <v>86</v>
      </c>
      <c r="C91" s="68"/>
      <c r="D91" s="68"/>
      <c r="E91" s="68"/>
      <c r="F91" s="49" t="s">
        <v>45</v>
      </c>
      <c r="G91" s="49"/>
      <c r="H91" s="49" t="s">
        <v>62</v>
      </c>
      <c r="I91" s="58" t="s">
        <v>62</v>
      </c>
      <c r="J91" s="23" t="s">
        <v>360</v>
      </c>
      <c r="K91" s="2" t="s">
        <v>341</v>
      </c>
      <c r="L91" s="3"/>
    </row>
    <row r="92" spans="2:12">
      <c r="B92" s="21">
        <f t="shared" si="2"/>
        <v>87</v>
      </c>
      <c r="C92" s="68"/>
      <c r="D92" s="68"/>
      <c r="E92" s="68"/>
      <c r="F92" s="49" t="s">
        <v>38</v>
      </c>
      <c r="G92" s="49"/>
      <c r="H92" s="49" t="s">
        <v>38</v>
      </c>
      <c r="I92" s="58" t="s">
        <v>62</v>
      </c>
      <c r="J92" s="23" t="s">
        <v>360</v>
      </c>
      <c r="K92" s="2" t="s">
        <v>341</v>
      </c>
      <c r="L92" s="3"/>
    </row>
    <row r="93" spans="2:12">
      <c r="B93" s="21">
        <f t="shared" si="2"/>
        <v>88</v>
      </c>
      <c r="C93" s="68"/>
      <c r="D93" s="68"/>
      <c r="E93" s="68"/>
      <c r="F93" s="49" t="s">
        <v>128</v>
      </c>
      <c r="G93" s="49"/>
      <c r="H93" s="49" t="s">
        <v>50</v>
      </c>
      <c r="I93" s="58" t="s">
        <v>62</v>
      </c>
      <c r="J93" s="23" t="s">
        <v>360</v>
      </c>
      <c r="K93" s="2" t="s">
        <v>341</v>
      </c>
      <c r="L93" s="3"/>
    </row>
    <row r="94" spans="2:12">
      <c r="B94" s="21">
        <f t="shared" si="2"/>
        <v>89</v>
      </c>
      <c r="C94" s="68"/>
      <c r="D94" s="68"/>
      <c r="E94" s="68"/>
      <c r="F94" s="49" t="s">
        <v>129</v>
      </c>
      <c r="G94" s="49"/>
      <c r="H94" s="49" t="s">
        <v>50</v>
      </c>
      <c r="I94" s="58" t="s">
        <v>62</v>
      </c>
      <c r="J94" s="23" t="s">
        <v>360</v>
      </c>
      <c r="K94" s="2" t="s">
        <v>341</v>
      </c>
      <c r="L94" s="3"/>
    </row>
    <row r="95" spans="2:12">
      <c r="B95" s="21">
        <f t="shared" si="2"/>
        <v>90</v>
      </c>
      <c r="C95" s="19"/>
      <c r="D95" s="19"/>
      <c r="E95" s="19"/>
      <c r="F95" s="49" t="s">
        <v>326</v>
      </c>
      <c r="G95" s="49"/>
      <c r="H95" s="49" t="s">
        <v>50</v>
      </c>
      <c r="I95" s="58" t="s">
        <v>62</v>
      </c>
      <c r="J95" s="23" t="s">
        <v>360</v>
      </c>
      <c r="K95" s="2" t="s">
        <v>341</v>
      </c>
      <c r="L95" s="3"/>
    </row>
    <row r="96" spans="2:12" ht="27">
      <c r="B96" s="21">
        <f t="shared" si="2"/>
        <v>91</v>
      </c>
      <c r="C96" s="68" t="s">
        <v>142</v>
      </c>
      <c r="D96" s="68" t="s">
        <v>143</v>
      </c>
      <c r="E96" s="68"/>
      <c r="F96" s="22" t="s">
        <v>35</v>
      </c>
      <c r="G96" s="22"/>
      <c r="H96" s="47" t="s">
        <v>114</v>
      </c>
      <c r="I96" s="44"/>
      <c r="J96" s="23" t="s">
        <v>360</v>
      </c>
      <c r="K96" s="2" t="s">
        <v>342</v>
      </c>
      <c r="L96" s="3"/>
    </row>
    <row r="97" spans="2:12">
      <c r="B97" s="21">
        <f t="shared" si="2"/>
        <v>92</v>
      </c>
      <c r="C97" s="68"/>
      <c r="D97" s="68"/>
      <c r="E97" s="68"/>
      <c r="F97" s="22" t="s">
        <v>42</v>
      </c>
      <c r="G97" s="22"/>
      <c r="H97" s="47" t="s">
        <v>122</v>
      </c>
      <c r="I97" s="44" t="s">
        <v>62</v>
      </c>
      <c r="J97" s="23" t="s">
        <v>360</v>
      </c>
      <c r="K97" s="2" t="s">
        <v>342</v>
      </c>
      <c r="L97" s="3"/>
    </row>
    <row r="98" spans="2:12">
      <c r="B98" s="21">
        <f t="shared" si="2"/>
        <v>93</v>
      </c>
      <c r="C98" s="68"/>
      <c r="D98" s="68"/>
      <c r="E98" s="68"/>
      <c r="F98" s="22" t="s">
        <v>111</v>
      </c>
      <c r="G98" s="22"/>
      <c r="H98" s="47" t="s">
        <v>113</v>
      </c>
      <c r="I98" s="44" t="s">
        <v>62</v>
      </c>
      <c r="J98" s="23" t="s">
        <v>360</v>
      </c>
      <c r="K98" s="2" t="s">
        <v>342</v>
      </c>
      <c r="L98" s="3"/>
    </row>
    <row r="99" spans="2:12">
      <c r="B99" s="21">
        <f t="shared" si="2"/>
        <v>94</v>
      </c>
      <c r="C99" s="68"/>
      <c r="D99" s="68"/>
      <c r="E99" s="68"/>
      <c r="F99" s="49" t="s">
        <v>70</v>
      </c>
      <c r="G99" s="49" t="s">
        <v>51</v>
      </c>
      <c r="H99" s="48" t="s">
        <v>123</v>
      </c>
      <c r="I99" s="58" t="s">
        <v>62</v>
      </c>
      <c r="J99" s="23" t="s">
        <v>360</v>
      </c>
      <c r="K99" s="2" t="s">
        <v>342</v>
      </c>
      <c r="L99" s="3"/>
    </row>
    <row r="100" spans="2:12">
      <c r="B100" s="21">
        <f t="shared" si="2"/>
        <v>95</v>
      </c>
      <c r="C100" s="68"/>
      <c r="D100" s="68"/>
      <c r="E100" s="68"/>
      <c r="F100" s="49" t="s">
        <v>321</v>
      </c>
      <c r="G100" s="49" t="s">
        <v>51</v>
      </c>
      <c r="H100" s="49" t="s">
        <v>136</v>
      </c>
      <c r="I100" s="58" t="s">
        <v>62</v>
      </c>
      <c r="J100" s="23" t="s">
        <v>360</v>
      </c>
      <c r="K100" s="2" t="s">
        <v>342</v>
      </c>
      <c r="L100" s="3"/>
    </row>
    <row r="101" spans="2:12">
      <c r="B101" s="21">
        <f t="shared" si="2"/>
        <v>96</v>
      </c>
      <c r="C101" s="68"/>
      <c r="D101" s="68"/>
      <c r="E101" s="68"/>
      <c r="F101" s="49" t="s">
        <v>125</v>
      </c>
      <c r="G101" s="49" t="s">
        <v>51</v>
      </c>
      <c r="H101" s="49" t="s">
        <v>137</v>
      </c>
      <c r="I101" s="58" t="s">
        <v>62</v>
      </c>
      <c r="J101" s="23" t="s">
        <v>360</v>
      </c>
      <c r="K101" s="2" t="s">
        <v>342</v>
      </c>
      <c r="L101" s="3"/>
    </row>
    <row r="102" spans="2:12">
      <c r="B102" s="21">
        <f t="shared" ref="B102:B136" si="3">ROW() - 5</f>
        <v>97</v>
      </c>
      <c r="C102" s="68"/>
      <c r="D102" s="68"/>
      <c r="E102" s="68"/>
      <c r="F102" s="49" t="s">
        <v>144</v>
      </c>
      <c r="G102" s="49"/>
      <c r="H102" s="49" t="s">
        <v>20</v>
      </c>
      <c r="I102" s="58" t="s">
        <v>62</v>
      </c>
      <c r="J102" s="23" t="s">
        <v>360</v>
      </c>
      <c r="K102" s="2" t="s">
        <v>342</v>
      </c>
      <c r="L102" s="3"/>
    </row>
    <row r="103" spans="2:12">
      <c r="B103" s="21">
        <f t="shared" si="3"/>
        <v>98</v>
      </c>
      <c r="C103" s="68"/>
      <c r="D103" s="68"/>
      <c r="E103" s="68"/>
      <c r="F103" s="49" t="s">
        <v>327</v>
      </c>
      <c r="G103" s="49" t="s">
        <v>327</v>
      </c>
      <c r="H103" s="49" t="s">
        <v>20</v>
      </c>
      <c r="I103" s="58" t="s">
        <v>62</v>
      </c>
      <c r="J103" s="23" t="s">
        <v>360</v>
      </c>
      <c r="K103" s="2" t="s">
        <v>342</v>
      </c>
      <c r="L103" s="3"/>
    </row>
    <row r="104" spans="2:12">
      <c r="B104" s="21">
        <f t="shared" si="3"/>
        <v>99</v>
      </c>
      <c r="C104" s="68"/>
      <c r="D104" s="68"/>
      <c r="E104" s="68"/>
      <c r="F104" s="49" t="s">
        <v>140</v>
      </c>
      <c r="G104" s="49"/>
      <c r="H104" s="49" t="s">
        <v>20</v>
      </c>
      <c r="I104" s="58" t="s">
        <v>62</v>
      </c>
      <c r="J104" s="23" t="s">
        <v>360</v>
      </c>
      <c r="K104" s="2" t="s">
        <v>342</v>
      </c>
      <c r="L104" s="3"/>
    </row>
    <row r="105" spans="2:12">
      <c r="B105" s="21">
        <f t="shared" si="3"/>
        <v>100</v>
      </c>
      <c r="C105" s="68"/>
      <c r="D105" s="68"/>
      <c r="E105" s="68"/>
      <c r="F105" s="49" t="s">
        <v>126</v>
      </c>
      <c r="G105" s="49"/>
      <c r="H105" s="49" t="s">
        <v>126</v>
      </c>
      <c r="I105" s="58" t="s">
        <v>62</v>
      </c>
      <c r="J105" s="23" t="s">
        <v>360</v>
      </c>
      <c r="K105" s="2" t="s">
        <v>342</v>
      </c>
      <c r="L105" s="3"/>
    </row>
    <row r="106" spans="2:12">
      <c r="B106" s="21">
        <f t="shared" si="3"/>
        <v>101</v>
      </c>
      <c r="C106" s="68"/>
      <c r="D106" s="68"/>
      <c r="E106" s="68"/>
      <c r="F106" s="49" t="s">
        <v>45</v>
      </c>
      <c r="G106" s="49"/>
      <c r="H106" s="49" t="s">
        <v>20</v>
      </c>
      <c r="I106" s="58" t="s">
        <v>62</v>
      </c>
      <c r="J106" s="23" t="s">
        <v>360</v>
      </c>
      <c r="K106" s="2" t="s">
        <v>342</v>
      </c>
      <c r="L106" s="3"/>
    </row>
    <row r="107" spans="2:12">
      <c r="B107" s="21">
        <f t="shared" si="3"/>
        <v>102</v>
      </c>
      <c r="C107" s="68"/>
      <c r="D107" s="68"/>
      <c r="E107" s="68"/>
      <c r="F107" s="49" t="s">
        <v>38</v>
      </c>
      <c r="G107" s="49"/>
      <c r="H107" s="49" t="s">
        <v>38</v>
      </c>
      <c r="I107" s="58" t="s">
        <v>62</v>
      </c>
      <c r="J107" s="23" t="s">
        <v>360</v>
      </c>
      <c r="K107" s="2" t="s">
        <v>342</v>
      </c>
      <c r="L107" s="3"/>
    </row>
    <row r="108" spans="2:12">
      <c r="B108" s="21">
        <f t="shared" si="3"/>
        <v>103</v>
      </c>
      <c r="C108" s="68"/>
      <c r="D108" s="68"/>
      <c r="E108" s="68"/>
      <c r="F108" s="49" t="s">
        <v>128</v>
      </c>
      <c r="G108" s="49"/>
      <c r="H108" s="49" t="s">
        <v>50</v>
      </c>
      <c r="I108" s="58" t="s">
        <v>62</v>
      </c>
      <c r="J108" s="23" t="s">
        <v>360</v>
      </c>
      <c r="K108" s="2" t="s">
        <v>342</v>
      </c>
      <c r="L108" s="3"/>
    </row>
    <row r="109" spans="2:12">
      <c r="B109" s="21">
        <f t="shared" si="3"/>
        <v>104</v>
      </c>
      <c r="C109" s="68"/>
      <c r="D109" s="68"/>
      <c r="E109" s="68"/>
      <c r="F109" s="49" t="s">
        <v>129</v>
      </c>
      <c r="G109" s="49"/>
      <c r="H109" s="49" t="s">
        <v>50</v>
      </c>
      <c r="I109" s="58" t="s">
        <v>62</v>
      </c>
      <c r="J109" s="23" t="s">
        <v>360</v>
      </c>
      <c r="K109" s="2" t="s">
        <v>342</v>
      </c>
      <c r="L109" s="3"/>
    </row>
    <row r="110" spans="2:12">
      <c r="B110" s="21">
        <f t="shared" si="3"/>
        <v>105</v>
      </c>
      <c r="C110" s="19"/>
      <c r="D110" s="19"/>
      <c r="E110" s="19"/>
      <c r="F110" s="49" t="s">
        <v>326</v>
      </c>
      <c r="G110" s="49"/>
      <c r="H110" s="49" t="s">
        <v>50</v>
      </c>
      <c r="I110" s="58" t="s">
        <v>62</v>
      </c>
      <c r="J110" s="23" t="s">
        <v>360</v>
      </c>
      <c r="K110" s="2" t="s">
        <v>342</v>
      </c>
      <c r="L110" s="3"/>
    </row>
    <row r="111" spans="2:12" ht="27">
      <c r="B111" s="51">
        <f t="shared" si="3"/>
        <v>106</v>
      </c>
      <c r="C111" s="68" t="s">
        <v>145</v>
      </c>
      <c r="D111" s="68" t="s">
        <v>146</v>
      </c>
      <c r="E111" s="68"/>
      <c r="F111" s="22" t="s">
        <v>35</v>
      </c>
      <c r="G111" s="22"/>
      <c r="H111" s="47" t="s">
        <v>114</v>
      </c>
      <c r="I111" s="44"/>
      <c r="J111" s="23" t="s">
        <v>360</v>
      </c>
      <c r="K111" s="2" t="s">
        <v>343</v>
      </c>
      <c r="L111" s="3"/>
    </row>
    <row r="112" spans="2:12" ht="27">
      <c r="B112" s="21">
        <f t="shared" si="3"/>
        <v>107</v>
      </c>
      <c r="C112" s="68"/>
      <c r="D112" s="68"/>
      <c r="E112" s="68"/>
      <c r="F112" s="22" t="s">
        <v>42</v>
      </c>
      <c r="G112" s="22"/>
      <c r="H112" s="47" t="s">
        <v>122</v>
      </c>
      <c r="I112" s="44" t="s">
        <v>62</v>
      </c>
      <c r="J112" s="23" t="s">
        <v>360</v>
      </c>
      <c r="K112" s="2" t="s">
        <v>343</v>
      </c>
      <c r="L112" s="3"/>
    </row>
    <row r="113" spans="2:12" ht="27">
      <c r="B113" s="21">
        <f t="shared" si="3"/>
        <v>108</v>
      </c>
      <c r="C113" s="68"/>
      <c r="D113" s="68"/>
      <c r="E113" s="68"/>
      <c r="F113" s="22" t="s">
        <v>111</v>
      </c>
      <c r="G113" s="22"/>
      <c r="H113" s="47" t="s">
        <v>113</v>
      </c>
      <c r="I113" s="44" t="s">
        <v>62</v>
      </c>
      <c r="J113" s="23" t="s">
        <v>360</v>
      </c>
      <c r="K113" s="2" t="s">
        <v>343</v>
      </c>
      <c r="L113" s="3"/>
    </row>
    <row r="114" spans="2:12" ht="27">
      <c r="B114" s="21">
        <f t="shared" si="3"/>
        <v>109</v>
      </c>
      <c r="C114" s="68"/>
      <c r="D114" s="68"/>
      <c r="E114" s="68"/>
      <c r="F114" s="49" t="s">
        <v>70</v>
      </c>
      <c r="G114" s="49" t="s">
        <v>51</v>
      </c>
      <c r="H114" s="48" t="s">
        <v>123</v>
      </c>
      <c r="I114" s="58" t="s">
        <v>62</v>
      </c>
      <c r="J114" s="23" t="s">
        <v>360</v>
      </c>
      <c r="K114" s="2" t="s">
        <v>343</v>
      </c>
      <c r="L114" s="3"/>
    </row>
    <row r="115" spans="2:12" ht="27">
      <c r="B115" s="21">
        <f t="shared" si="3"/>
        <v>110</v>
      </c>
      <c r="C115" s="68"/>
      <c r="D115" s="68"/>
      <c r="E115" s="68"/>
      <c r="F115" s="49" t="s">
        <v>321</v>
      </c>
      <c r="G115" s="49" t="s">
        <v>51</v>
      </c>
      <c r="H115" s="49" t="s">
        <v>136</v>
      </c>
      <c r="I115" s="58" t="s">
        <v>62</v>
      </c>
      <c r="J115" s="23" t="s">
        <v>360</v>
      </c>
      <c r="K115" s="2" t="s">
        <v>343</v>
      </c>
      <c r="L115" s="3"/>
    </row>
    <row r="116" spans="2:12" ht="27">
      <c r="B116" s="21">
        <f t="shared" si="3"/>
        <v>111</v>
      </c>
      <c r="C116" s="68"/>
      <c r="D116" s="68"/>
      <c r="E116" s="68"/>
      <c r="F116" s="49" t="s">
        <v>125</v>
      </c>
      <c r="G116" s="49" t="s">
        <v>51</v>
      </c>
      <c r="H116" s="49" t="s">
        <v>137</v>
      </c>
      <c r="I116" s="58" t="s">
        <v>62</v>
      </c>
      <c r="J116" s="23" t="s">
        <v>360</v>
      </c>
      <c r="K116" s="2" t="s">
        <v>343</v>
      </c>
      <c r="L116" s="3"/>
    </row>
    <row r="117" spans="2:12" ht="27">
      <c r="B117" s="21">
        <f t="shared" si="3"/>
        <v>112</v>
      </c>
      <c r="C117" s="68"/>
      <c r="D117" s="68"/>
      <c r="E117" s="68"/>
      <c r="F117" s="49" t="s">
        <v>134</v>
      </c>
      <c r="G117" s="49" t="s">
        <v>51</v>
      </c>
      <c r="H117" s="49" t="s">
        <v>147</v>
      </c>
      <c r="I117" s="58" t="s">
        <v>62</v>
      </c>
      <c r="J117" s="23" t="s">
        <v>360</v>
      </c>
      <c r="K117" s="2" t="s">
        <v>343</v>
      </c>
      <c r="L117" s="3"/>
    </row>
    <row r="118" spans="2:12" ht="27">
      <c r="B118" s="21">
        <f t="shared" si="3"/>
        <v>113</v>
      </c>
      <c r="C118" s="68"/>
      <c r="D118" s="68"/>
      <c r="E118" s="68"/>
      <c r="F118" s="49" t="s">
        <v>329</v>
      </c>
      <c r="G118" s="49"/>
      <c r="H118" s="49" t="s">
        <v>20</v>
      </c>
      <c r="I118" s="58" t="s">
        <v>62</v>
      </c>
      <c r="J118" s="23" t="s">
        <v>360</v>
      </c>
      <c r="K118" s="2" t="s">
        <v>343</v>
      </c>
      <c r="L118" s="3"/>
    </row>
    <row r="119" spans="2:12" ht="27">
      <c r="B119" s="21">
        <f t="shared" si="3"/>
        <v>114</v>
      </c>
      <c r="C119" s="68"/>
      <c r="D119" s="68"/>
      <c r="E119" s="68"/>
      <c r="F119" s="49" t="s">
        <v>328</v>
      </c>
      <c r="G119" s="49"/>
      <c r="H119" s="49" t="s">
        <v>20</v>
      </c>
      <c r="I119" s="58" t="s">
        <v>62</v>
      </c>
      <c r="J119" s="23" t="s">
        <v>360</v>
      </c>
      <c r="K119" s="2" t="s">
        <v>343</v>
      </c>
      <c r="L119" s="3"/>
    </row>
    <row r="120" spans="2:12" ht="27">
      <c r="B120" s="21">
        <f t="shared" si="3"/>
        <v>115</v>
      </c>
      <c r="C120" s="68"/>
      <c r="D120" s="68"/>
      <c r="E120" s="68"/>
      <c r="F120" s="49" t="s">
        <v>148</v>
      </c>
      <c r="G120" s="49"/>
      <c r="H120" s="49" t="s">
        <v>50</v>
      </c>
      <c r="I120" s="58" t="s">
        <v>62</v>
      </c>
      <c r="J120" s="23" t="s">
        <v>360</v>
      </c>
      <c r="K120" s="2" t="s">
        <v>343</v>
      </c>
      <c r="L120" s="3"/>
    </row>
    <row r="121" spans="2:12" ht="27">
      <c r="B121" s="21">
        <f t="shared" si="3"/>
        <v>116</v>
      </c>
      <c r="C121" s="68"/>
      <c r="D121" s="68"/>
      <c r="E121" s="68"/>
      <c r="F121" s="49" t="s">
        <v>126</v>
      </c>
      <c r="G121" s="49"/>
      <c r="H121" s="49" t="s">
        <v>126</v>
      </c>
      <c r="I121" s="58" t="s">
        <v>62</v>
      </c>
      <c r="J121" s="23" t="s">
        <v>360</v>
      </c>
      <c r="K121" s="2" t="s">
        <v>343</v>
      </c>
      <c r="L121" s="3"/>
    </row>
    <row r="122" spans="2:12" ht="27">
      <c r="B122" s="21">
        <f t="shared" si="3"/>
        <v>117</v>
      </c>
      <c r="C122" s="68"/>
      <c r="D122" s="68"/>
      <c r="E122" s="68"/>
      <c r="F122" s="49" t="s">
        <v>45</v>
      </c>
      <c r="G122" s="49"/>
      <c r="H122" s="49" t="s">
        <v>20</v>
      </c>
      <c r="I122" s="58" t="s">
        <v>62</v>
      </c>
      <c r="J122" s="23" t="s">
        <v>360</v>
      </c>
      <c r="K122" s="2" t="s">
        <v>343</v>
      </c>
      <c r="L122" s="3"/>
    </row>
    <row r="123" spans="2:12" ht="27">
      <c r="B123" s="21">
        <f t="shared" si="3"/>
        <v>118</v>
      </c>
      <c r="C123" s="68"/>
      <c r="D123" s="68"/>
      <c r="E123" s="68"/>
      <c r="F123" s="49" t="s">
        <v>38</v>
      </c>
      <c r="G123" s="49"/>
      <c r="H123" s="49" t="s">
        <v>38</v>
      </c>
      <c r="I123" s="58" t="s">
        <v>62</v>
      </c>
      <c r="J123" s="23" t="s">
        <v>360</v>
      </c>
      <c r="K123" s="2" t="s">
        <v>343</v>
      </c>
      <c r="L123" s="3"/>
    </row>
    <row r="124" spans="2:12" ht="27">
      <c r="B124" s="21">
        <f t="shared" si="3"/>
        <v>119</v>
      </c>
      <c r="C124" s="68"/>
      <c r="D124" s="68"/>
      <c r="E124" s="68"/>
      <c r="F124" s="49" t="s">
        <v>128</v>
      </c>
      <c r="G124" s="49"/>
      <c r="H124" s="49" t="s">
        <v>50</v>
      </c>
      <c r="I124" s="58" t="s">
        <v>62</v>
      </c>
      <c r="J124" s="23" t="s">
        <v>360</v>
      </c>
      <c r="K124" s="2" t="s">
        <v>343</v>
      </c>
      <c r="L124" s="3"/>
    </row>
    <row r="125" spans="2:12" ht="27">
      <c r="B125" s="21">
        <f t="shared" si="3"/>
        <v>120</v>
      </c>
      <c r="C125" s="19"/>
      <c r="D125" s="19"/>
      <c r="E125" s="19"/>
      <c r="F125" s="49" t="s">
        <v>129</v>
      </c>
      <c r="G125" s="49"/>
      <c r="H125" s="49" t="s">
        <v>50</v>
      </c>
      <c r="I125" s="58" t="s">
        <v>62</v>
      </c>
      <c r="J125" s="23" t="s">
        <v>360</v>
      </c>
      <c r="K125" s="2" t="s">
        <v>343</v>
      </c>
      <c r="L125" s="3"/>
    </row>
    <row r="126" spans="2:12" ht="27">
      <c r="B126" s="21">
        <f t="shared" si="3"/>
        <v>121</v>
      </c>
      <c r="C126" s="68" t="s">
        <v>38</v>
      </c>
      <c r="D126" s="68" t="s">
        <v>149</v>
      </c>
      <c r="E126" s="68"/>
      <c r="F126" s="50" t="s">
        <v>35</v>
      </c>
      <c r="G126" s="49"/>
      <c r="H126" s="49" t="s">
        <v>114</v>
      </c>
      <c r="I126" s="58" t="s">
        <v>62</v>
      </c>
      <c r="J126" s="23" t="s">
        <v>361</v>
      </c>
      <c r="K126" s="2" t="s">
        <v>344</v>
      </c>
      <c r="L126" s="3"/>
    </row>
    <row r="127" spans="2:12">
      <c r="B127" s="21">
        <f t="shared" si="3"/>
        <v>122</v>
      </c>
      <c r="C127" s="68"/>
      <c r="D127" s="68"/>
      <c r="E127" s="68"/>
      <c r="F127" s="49" t="s">
        <v>38</v>
      </c>
      <c r="G127" s="49"/>
      <c r="H127" s="49" t="s">
        <v>38</v>
      </c>
      <c r="I127" s="58"/>
      <c r="J127" s="23" t="s">
        <v>361</v>
      </c>
      <c r="K127" s="2" t="s">
        <v>344</v>
      </c>
      <c r="L127" s="3"/>
    </row>
    <row r="128" spans="2:12">
      <c r="B128" s="21">
        <f t="shared" si="3"/>
        <v>123</v>
      </c>
      <c r="C128" s="68"/>
      <c r="D128" s="68"/>
      <c r="E128" s="68"/>
      <c r="F128" s="49" t="s">
        <v>42</v>
      </c>
      <c r="G128" s="49"/>
      <c r="H128" s="49" t="s">
        <v>122</v>
      </c>
      <c r="I128" s="58" t="s">
        <v>62</v>
      </c>
      <c r="J128" s="23" t="s">
        <v>361</v>
      </c>
      <c r="K128" s="2" t="s">
        <v>344</v>
      </c>
      <c r="L128" s="3"/>
    </row>
    <row r="129" spans="2:12">
      <c r="B129" s="21">
        <f t="shared" si="3"/>
        <v>124</v>
      </c>
      <c r="C129" s="68"/>
      <c r="D129" s="68"/>
      <c r="E129" s="68"/>
      <c r="F129" s="49" t="s">
        <v>111</v>
      </c>
      <c r="G129" s="49"/>
      <c r="H129" s="49" t="s">
        <v>113</v>
      </c>
      <c r="I129" s="58" t="s">
        <v>62</v>
      </c>
      <c r="J129" s="23" t="s">
        <v>361</v>
      </c>
      <c r="K129" s="2" t="s">
        <v>344</v>
      </c>
      <c r="L129" s="3"/>
    </row>
    <row r="130" spans="2:12">
      <c r="B130" s="21">
        <f t="shared" si="3"/>
        <v>125</v>
      </c>
      <c r="C130" s="68"/>
      <c r="D130" s="68"/>
      <c r="E130" s="68"/>
      <c r="F130" s="49" t="s">
        <v>70</v>
      </c>
      <c r="G130" s="49"/>
      <c r="H130" s="49" t="s">
        <v>123</v>
      </c>
      <c r="I130" s="58" t="s">
        <v>62</v>
      </c>
      <c r="J130" s="23" t="s">
        <v>361</v>
      </c>
      <c r="K130" s="2" t="s">
        <v>344</v>
      </c>
      <c r="L130" s="3"/>
    </row>
    <row r="131" spans="2:12">
      <c r="B131" s="21">
        <f t="shared" si="3"/>
        <v>126</v>
      </c>
      <c r="C131" s="68"/>
      <c r="D131" s="68"/>
      <c r="E131" s="68"/>
      <c r="F131" s="49" t="s">
        <v>321</v>
      </c>
      <c r="G131" s="49"/>
      <c r="H131" s="49" t="s">
        <v>136</v>
      </c>
      <c r="I131" s="58" t="s">
        <v>62</v>
      </c>
      <c r="J131" s="23" t="s">
        <v>361</v>
      </c>
      <c r="K131" s="2" t="s">
        <v>344</v>
      </c>
      <c r="L131" s="3"/>
    </row>
    <row r="132" spans="2:12">
      <c r="B132" s="21">
        <f t="shared" si="3"/>
        <v>127</v>
      </c>
      <c r="C132" s="68"/>
      <c r="D132" s="68"/>
      <c r="E132" s="68"/>
      <c r="F132" s="49" t="s">
        <v>31</v>
      </c>
      <c r="G132" s="49"/>
      <c r="H132" s="49" t="s">
        <v>20</v>
      </c>
      <c r="I132" s="58" t="s">
        <v>62</v>
      </c>
      <c r="J132" s="23" t="s">
        <v>361</v>
      </c>
      <c r="K132" s="2" t="s">
        <v>344</v>
      </c>
      <c r="L132" s="3"/>
    </row>
    <row r="133" spans="2:12">
      <c r="B133" s="21">
        <f t="shared" si="3"/>
        <v>128</v>
      </c>
      <c r="C133" s="68"/>
      <c r="D133" s="68"/>
      <c r="E133" s="68"/>
      <c r="F133" s="49" t="s">
        <v>330</v>
      </c>
      <c r="G133" s="49" t="s">
        <v>150</v>
      </c>
      <c r="H133" s="49" t="s">
        <v>50</v>
      </c>
      <c r="I133" s="58">
        <v>0</v>
      </c>
      <c r="J133" s="23" t="s">
        <v>361</v>
      </c>
      <c r="K133" s="2" t="s">
        <v>344</v>
      </c>
      <c r="L133" s="3"/>
    </row>
    <row r="134" spans="2:12">
      <c r="B134" s="21">
        <f t="shared" si="3"/>
        <v>129</v>
      </c>
      <c r="C134" s="68"/>
      <c r="D134" s="68"/>
      <c r="E134" s="68"/>
      <c r="F134" s="49" t="s">
        <v>151</v>
      </c>
      <c r="G134" s="49" t="s">
        <v>152</v>
      </c>
      <c r="H134" s="49" t="s">
        <v>50</v>
      </c>
      <c r="I134" s="58">
        <v>0</v>
      </c>
      <c r="J134" s="23" t="s">
        <v>361</v>
      </c>
      <c r="K134" s="2" t="s">
        <v>344</v>
      </c>
      <c r="L134" s="3"/>
    </row>
    <row r="135" spans="2:12" ht="40.5">
      <c r="B135" s="21">
        <f t="shared" si="3"/>
        <v>130</v>
      </c>
      <c r="C135" s="68"/>
      <c r="D135" s="68"/>
      <c r="E135" s="68"/>
      <c r="F135" s="49" t="s">
        <v>153</v>
      </c>
      <c r="G135" s="48" t="s">
        <v>154</v>
      </c>
      <c r="H135" s="48" t="s">
        <v>155</v>
      </c>
      <c r="I135" s="58" t="s">
        <v>156</v>
      </c>
      <c r="J135" s="23" t="s">
        <v>361</v>
      </c>
      <c r="K135" s="2" t="s">
        <v>344</v>
      </c>
      <c r="L135" s="3"/>
    </row>
    <row r="136" spans="2:12">
      <c r="B136" s="21">
        <f t="shared" si="3"/>
        <v>131</v>
      </c>
      <c r="C136" s="19"/>
      <c r="D136" s="19"/>
      <c r="E136" s="19"/>
      <c r="F136" s="49" t="s">
        <v>93</v>
      </c>
      <c r="G136" s="49"/>
      <c r="H136" s="49" t="s">
        <v>94</v>
      </c>
      <c r="I136" s="58" t="s">
        <v>62</v>
      </c>
      <c r="J136" s="23" t="s">
        <v>361</v>
      </c>
      <c r="K136" s="2" t="s">
        <v>344</v>
      </c>
      <c r="L136" s="3"/>
    </row>
  </sheetData>
  <phoneticPr fontId="14"/>
  <hyperlinks>
    <hyperlink ref="A4" location="パラメータ設定一覧!A1" display="パラメータ設定一覧へ" xr:uid="{FE30E60C-3F14-4F77-BC1F-F3176989498D}"/>
  </hyperlinks>
  <pageMargins left="0.7" right="0.7" top="0.75" bottom="0.75" header="0.3" footer="0.3"/>
  <pageSetup paperSize="9"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A3031-93B7-4CB6-9F09-C69ED31324E4}">
  <sheetPr codeName="Sheet131"/>
  <dimension ref="A1:K17"/>
  <sheetViews>
    <sheetView showGridLines="0" zoomScaleNormal="100" workbookViewId="0">
      <pane ySplit="6" topLeftCell="A7" activePane="bottomLeft" state="frozen"/>
      <selection pane="bottomLeft" activeCell="E26" sqref="E26"/>
    </sheetView>
  </sheetViews>
  <sheetFormatPr defaultColWidth="8.78515625" defaultRowHeight="13.5"/>
  <cols>
    <col min="1" max="1" width="2.78515625" style="202" customWidth="1"/>
    <col min="2" max="2" width="4.640625" style="202" customWidth="1"/>
    <col min="3" max="3" width="22.5703125" style="202" customWidth="1"/>
    <col min="4" max="4" width="38.140625" style="202" customWidth="1"/>
    <col min="5" max="6" width="17.78515625" style="202" customWidth="1"/>
    <col min="7" max="10" width="17.640625" style="202" customWidth="1"/>
    <col min="11" max="11" width="16.35546875" style="202" customWidth="1"/>
    <col min="12" max="16384" width="8.78515625" style="202"/>
  </cols>
  <sheetData>
    <row r="1" spans="1:11" customFormat="1" ht="19.5">
      <c r="A1" s="93" t="s">
        <v>2723</v>
      </c>
    </row>
    <row r="2" spans="1:11" customFormat="1" ht="15">
      <c r="A2" s="196" t="s">
        <v>2668</v>
      </c>
    </row>
    <row r="3" spans="1:11" customFormat="1" ht="15">
      <c r="A3" s="10" t="s">
        <v>363</v>
      </c>
    </row>
    <row r="4" spans="1:11" s="46" customFormat="1">
      <c r="B4" s="441" t="s">
        <v>1</v>
      </c>
      <c r="C4" s="201" t="s">
        <v>73</v>
      </c>
      <c r="D4" s="201" t="s">
        <v>45</v>
      </c>
      <c r="E4" s="69" t="s">
        <v>157</v>
      </c>
      <c r="F4" s="69" t="s">
        <v>63</v>
      </c>
      <c r="G4" s="69" t="s">
        <v>79</v>
      </c>
      <c r="H4" s="69" t="s">
        <v>80</v>
      </c>
      <c r="I4" s="69" t="s">
        <v>82</v>
      </c>
      <c r="J4" s="69" t="s">
        <v>83</v>
      </c>
      <c r="K4" s="69" t="s">
        <v>85</v>
      </c>
    </row>
    <row r="5" spans="1:11" s="46" customFormat="1">
      <c r="B5" s="442"/>
      <c r="C5" s="8" t="s">
        <v>20</v>
      </c>
      <c r="D5" s="8" t="s">
        <v>20</v>
      </c>
      <c r="E5" s="8" t="s">
        <v>2719</v>
      </c>
      <c r="F5" s="8" t="s">
        <v>20</v>
      </c>
      <c r="G5" s="8" t="s">
        <v>53</v>
      </c>
      <c r="H5" s="8" t="s">
        <v>53</v>
      </c>
      <c r="I5" s="8" t="s">
        <v>53</v>
      </c>
      <c r="J5" s="8" t="s">
        <v>53</v>
      </c>
      <c r="K5" s="8" t="s">
        <v>53</v>
      </c>
    </row>
    <row r="6" spans="1:11" s="46" customFormat="1">
      <c r="B6" s="442"/>
      <c r="C6" s="8" t="s">
        <v>2667</v>
      </c>
      <c r="D6" s="8"/>
      <c r="E6" s="8" t="s">
        <v>2721</v>
      </c>
      <c r="F6" s="8"/>
      <c r="G6" s="8"/>
      <c r="H6" s="8"/>
      <c r="I6" s="8"/>
      <c r="J6" s="8"/>
      <c r="K6" s="8"/>
    </row>
    <row r="7" spans="1:11">
      <c r="B7" s="323" t="s">
        <v>1226</v>
      </c>
      <c r="C7" s="324" t="s">
        <v>2829</v>
      </c>
      <c r="D7" s="325" t="s">
        <v>2830</v>
      </c>
      <c r="E7" s="326" t="s">
        <v>35</v>
      </c>
      <c r="F7" s="327"/>
      <c r="G7" s="327" t="s">
        <v>2831</v>
      </c>
      <c r="H7" s="327"/>
      <c r="I7" s="327"/>
      <c r="J7" s="327"/>
      <c r="K7" s="327"/>
    </row>
    <row r="8" spans="1:11">
      <c r="B8" s="328"/>
      <c r="C8" s="329"/>
      <c r="D8" s="330"/>
      <c r="E8" s="326" t="s">
        <v>38</v>
      </c>
      <c r="F8" s="327"/>
      <c r="G8" s="327" t="s">
        <v>2831</v>
      </c>
      <c r="H8" s="327"/>
      <c r="I8" s="327"/>
      <c r="J8" s="327"/>
      <c r="K8" s="327"/>
    </row>
    <row r="9" spans="1:11">
      <c r="B9" s="328"/>
      <c r="C9" s="329"/>
      <c r="D9" s="330"/>
      <c r="E9" s="326" t="s">
        <v>42</v>
      </c>
      <c r="F9" s="327"/>
      <c r="G9" s="327" t="s">
        <v>2831</v>
      </c>
      <c r="H9" s="327"/>
      <c r="I9" s="327"/>
      <c r="J9" s="327"/>
      <c r="K9" s="327"/>
    </row>
    <row r="10" spans="1:11">
      <c r="B10" s="328"/>
      <c r="C10" s="329"/>
      <c r="D10" s="330"/>
      <c r="E10" s="326" t="s">
        <v>70</v>
      </c>
      <c r="F10" s="327"/>
      <c r="G10" s="327" t="s">
        <v>2831</v>
      </c>
      <c r="H10" s="327"/>
      <c r="I10" s="327"/>
      <c r="J10" s="327"/>
      <c r="K10" s="327"/>
    </row>
    <row r="11" spans="1:11">
      <c r="B11" s="331"/>
      <c r="C11" s="332"/>
      <c r="D11" s="333"/>
      <c r="E11" s="326" t="s">
        <v>31</v>
      </c>
      <c r="F11" s="327"/>
      <c r="G11" s="327" t="s">
        <v>2831</v>
      </c>
      <c r="H11" s="327"/>
      <c r="I11" s="327"/>
      <c r="J11" s="327"/>
      <c r="K11" s="327"/>
    </row>
    <row r="12" spans="1:11">
      <c r="B12" s="215">
        <v>1</v>
      </c>
      <c r="C12" s="392" t="s">
        <v>2907</v>
      </c>
      <c r="D12" s="393" t="s">
        <v>2908</v>
      </c>
      <c r="E12" s="394" t="s">
        <v>2909</v>
      </c>
      <c r="F12" s="222" t="s">
        <v>331</v>
      </c>
      <c r="G12" s="222" t="s">
        <v>2831</v>
      </c>
      <c r="H12" s="222"/>
      <c r="I12" s="222"/>
      <c r="J12" s="222"/>
      <c r="K12" s="222"/>
    </row>
    <row r="13" spans="1:11">
      <c r="B13" s="223"/>
      <c r="C13" s="224"/>
      <c r="D13" s="225"/>
      <c r="E13" s="216" t="s">
        <v>38</v>
      </c>
      <c r="F13" s="222" t="s">
        <v>331</v>
      </c>
      <c r="G13" s="222" t="s">
        <v>2831</v>
      </c>
      <c r="H13" s="222"/>
      <c r="I13" s="222"/>
      <c r="J13" s="222"/>
      <c r="K13" s="222"/>
    </row>
    <row r="14" spans="1:11">
      <c r="B14" s="223"/>
      <c r="C14" s="224"/>
      <c r="D14" s="225"/>
      <c r="E14" s="216" t="s">
        <v>42</v>
      </c>
      <c r="F14" s="222" t="s">
        <v>331</v>
      </c>
      <c r="G14" s="222" t="s">
        <v>2831</v>
      </c>
      <c r="H14" s="222"/>
      <c r="I14" s="222"/>
      <c r="J14" s="222"/>
      <c r="K14" s="222"/>
    </row>
    <row r="15" spans="1:11">
      <c r="B15" s="223"/>
      <c r="C15" s="224"/>
      <c r="D15" s="225"/>
      <c r="E15" s="216" t="s">
        <v>70</v>
      </c>
      <c r="F15" s="222" t="s">
        <v>331</v>
      </c>
      <c r="G15" s="222" t="s">
        <v>2831</v>
      </c>
      <c r="H15" s="222"/>
      <c r="I15" s="222"/>
      <c r="J15" s="222"/>
      <c r="K15" s="222"/>
    </row>
    <row r="16" spans="1:11">
      <c r="B16" s="223"/>
      <c r="C16" s="224"/>
      <c r="D16" s="225"/>
      <c r="E16" s="216" t="s">
        <v>31</v>
      </c>
      <c r="F16" s="222" t="s">
        <v>331</v>
      </c>
      <c r="G16" s="222" t="s">
        <v>2831</v>
      </c>
      <c r="H16" s="222"/>
      <c r="I16" s="222"/>
      <c r="J16" s="222"/>
      <c r="K16" s="222"/>
    </row>
    <row r="17" spans="2:11">
      <c r="B17" s="226"/>
      <c r="C17" s="227"/>
      <c r="D17" s="50"/>
      <c r="E17" s="395" t="s">
        <v>2912</v>
      </c>
      <c r="F17" s="222" t="s">
        <v>331</v>
      </c>
      <c r="G17" s="222" t="s">
        <v>2831</v>
      </c>
      <c r="H17" s="222"/>
      <c r="I17" s="222"/>
      <c r="J17" s="222"/>
      <c r="K17" s="222"/>
    </row>
  </sheetData>
  <sheetProtection insertRows="0" deleteRows="0" sort="0" autoFilter="0"/>
  <mergeCells count="1">
    <mergeCell ref="B4:B6"/>
  </mergeCells>
  <phoneticPr fontId="14"/>
  <hyperlinks>
    <hyperlink ref="A3" location="パラメータ設定一覧!A1" display="パラメータ設定一覧へ" xr:uid="{4AE8A64C-C0A3-447C-9FA2-828EB70268FC}"/>
  </hyperlinks>
  <pageMargins left="0.7" right="0.7" top="0.75" bottom="0.75" header="0.3" footer="0.3"/>
  <pageSetup paperSize="9" orientation="portrait" horizontalDpi="1200" verticalDpi="1200" r:id="rId1"/>
  <drawing r:id="rId2"/>
  <legacyDrawing r:id="rId3"/>
  <controls>
    <mc:AlternateContent xmlns:mc="http://schemas.openxmlformats.org/markup-compatibility/2006">
      <mc:Choice Requires="x14">
        <control shapeId="2883585" r:id="rId4" name="Control 1">
          <controlPr defaultSize="0" r:id="rId5">
            <anchor moveWithCells="1">
              <from>
                <xdr:col>4</xdr:col>
                <xdr:colOff>0</xdr:colOff>
                <xdr:row>4</xdr:row>
                <xdr:rowOff>0</xdr:rowOff>
              </from>
              <to>
                <xdr:col>4</xdr:col>
                <xdr:colOff>222250</xdr:colOff>
                <xdr:row>5</xdr:row>
                <xdr:rowOff>57150</xdr:rowOff>
              </to>
            </anchor>
          </controlPr>
        </control>
      </mc:Choice>
      <mc:Fallback>
        <control shapeId="2883585" r:id="rId4" name="Control 1"/>
      </mc:Fallback>
    </mc:AlternateContent>
    <mc:AlternateContent xmlns:mc="http://schemas.openxmlformats.org/markup-compatibility/2006">
      <mc:Choice Requires="x14">
        <control shapeId="2883586" r:id="rId6" name="Control 2">
          <controlPr defaultSize="0" r:id="rId5">
            <anchor moveWithCells="1">
              <from>
                <xdr:col>4</xdr:col>
                <xdr:colOff>0</xdr:colOff>
                <xdr:row>5</xdr:row>
                <xdr:rowOff>95250</xdr:rowOff>
              </from>
              <to>
                <xdr:col>4</xdr:col>
                <xdr:colOff>222250</xdr:colOff>
                <xdr:row>6</xdr:row>
                <xdr:rowOff>152400</xdr:rowOff>
              </to>
            </anchor>
          </controlPr>
        </control>
      </mc:Choice>
      <mc:Fallback>
        <control shapeId="2883586" r:id="rId6" name="Control 2"/>
      </mc:Fallback>
    </mc:AlternateContent>
    <mc:AlternateContent xmlns:mc="http://schemas.openxmlformats.org/markup-compatibility/2006">
      <mc:Choice Requires="x14">
        <control shapeId="2883587" r:id="rId7" name="Control 3">
          <controlPr defaultSize="0" r:id="rId5">
            <anchor moveWithCells="1">
              <from>
                <xdr:col>4</xdr:col>
                <xdr:colOff>0</xdr:colOff>
                <xdr:row>16</xdr:row>
                <xdr:rowOff>0</xdr:rowOff>
              </from>
              <to>
                <xdr:col>4</xdr:col>
                <xdr:colOff>222250</xdr:colOff>
                <xdr:row>17</xdr:row>
                <xdr:rowOff>57150</xdr:rowOff>
              </to>
            </anchor>
          </controlPr>
        </control>
      </mc:Choice>
      <mc:Fallback>
        <control shapeId="2883587" r:id="rId7" name="Control 3"/>
      </mc:Fallback>
    </mc:AlternateContent>
    <mc:AlternateContent xmlns:mc="http://schemas.openxmlformats.org/markup-compatibility/2006">
      <mc:Choice Requires="x14">
        <control shapeId="2883588" r:id="rId8" name="Control 4">
          <controlPr defaultSize="0" r:id="rId5">
            <anchor moveWithCells="1">
              <from>
                <xdr:col>4</xdr:col>
                <xdr:colOff>0</xdr:colOff>
                <xdr:row>16</xdr:row>
                <xdr:rowOff>0</xdr:rowOff>
              </from>
              <to>
                <xdr:col>4</xdr:col>
                <xdr:colOff>222250</xdr:colOff>
                <xdr:row>17</xdr:row>
                <xdr:rowOff>57150</xdr:rowOff>
              </to>
            </anchor>
          </controlPr>
        </control>
      </mc:Choice>
      <mc:Fallback>
        <control shapeId="2883588" r:id="rId8" name="Control 4"/>
      </mc:Fallback>
    </mc:AlternateContent>
    <mc:AlternateContent xmlns:mc="http://schemas.openxmlformats.org/markup-compatibility/2006">
      <mc:Choice Requires="x14">
        <control shapeId="2883589" r:id="rId9" name="Control 5">
          <controlPr defaultSize="0" r:id="rId5">
            <anchor moveWithCells="1">
              <from>
                <xdr:col>4</xdr:col>
                <xdr:colOff>0</xdr:colOff>
                <xdr:row>16</xdr:row>
                <xdr:rowOff>0</xdr:rowOff>
              </from>
              <to>
                <xdr:col>4</xdr:col>
                <xdr:colOff>222250</xdr:colOff>
                <xdr:row>17</xdr:row>
                <xdr:rowOff>57150</xdr:rowOff>
              </to>
            </anchor>
          </controlPr>
        </control>
      </mc:Choice>
      <mc:Fallback>
        <control shapeId="2883589" r:id="rId9" name="Control 5"/>
      </mc:Fallback>
    </mc:AlternateContent>
    <mc:AlternateContent xmlns:mc="http://schemas.openxmlformats.org/markup-compatibility/2006">
      <mc:Choice Requires="x14">
        <control shapeId="2883590" r:id="rId10" name="Control 6">
          <controlPr defaultSize="0" r:id="rId5">
            <anchor moveWithCells="1">
              <from>
                <xdr:col>4</xdr:col>
                <xdr:colOff>0</xdr:colOff>
                <xdr:row>16</xdr:row>
                <xdr:rowOff>0</xdr:rowOff>
              </from>
              <to>
                <xdr:col>4</xdr:col>
                <xdr:colOff>222250</xdr:colOff>
                <xdr:row>17</xdr:row>
                <xdr:rowOff>57150</xdr:rowOff>
              </to>
            </anchor>
          </controlPr>
        </control>
      </mc:Choice>
      <mc:Fallback>
        <control shapeId="2883590" r:id="rId10" name="Control 6"/>
      </mc:Fallback>
    </mc:AlternateContent>
    <mc:AlternateContent xmlns:mc="http://schemas.openxmlformats.org/markup-compatibility/2006">
      <mc:Choice Requires="x14">
        <control shapeId="2883591" r:id="rId11" name="Control 7">
          <controlPr defaultSize="0" r:id="rId5">
            <anchor moveWithCells="1">
              <from>
                <xdr:col>4</xdr:col>
                <xdr:colOff>0</xdr:colOff>
                <xdr:row>16</xdr:row>
                <xdr:rowOff>0</xdr:rowOff>
              </from>
              <to>
                <xdr:col>4</xdr:col>
                <xdr:colOff>222250</xdr:colOff>
                <xdr:row>17</xdr:row>
                <xdr:rowOff>57150</xdr:rowOff>
              </to>
            </anchor>
          </controlPr>
        </control>
      </mc:Choice>
      <mc:Fallback>
        <control shapeId="2883591" r:id="rId11" name="Control 7"/>
      </mc:Fallback>
    </mc:AlternateContent>
    <mc:AlternateContent xmlns:mc="http://schemas.openxmlformats.org/markup-compatibility/2006">
      <mc:Choice Requires="x14">
        <control shapeId="2883592" r:id="rId12" name="Control 8">
          <controlPr defaultSize="0" r:id="rId5">
            <anchor moveWithCells="1">
              <from>
                <xdr:col>4</xdr:col>
                <xdr:colOff>0</xdr:colOff>
                <xdr:row>16</xdr:row>
                <xdr:rowOff>0</xdr:rowOff>
              </from>
              <to>
                <xdr:col>4</xdr:col>
                <xdr:colOff>222250</xdr:colOff>
                <xdr:row>17</xdr:row>
                <xdr:rowOff>57150</xdr:rowOff>
              </to>
            </anchor>
          </controlPr>
        </control>
      </mc:Choice>
      <mc:Fallback>
        <control shapeId="2883592" r:id="rId12" name="Control 8"/>
      </mc:Fallback>
    </mc:AlternateContent>
    <mc:AlternateContent xmlns:mc="http://schemas.openxmlformats.org/markup-compatibility/2006">
      <mc:Choice Requires="x14">
        <control shapeId="2883593" r:id="rId13" name="Control 9">
          <controlPr defaultSize="0" r:id="rId5">
            <anchor moveWithCells="1">
              <from>
                <xdr:col>4</xdr:col>
                <xdr:colOff>0</xdr:colOff>
                <xdr:row>16</xdr:row>
                <xdr:rowOff>0</xdr:rowOff>
              </from>
              <to>
                <xdr:col>4</xdr:col>
                <xdr:colOff>222250</xdr:colOff>
                <xdr:row>17</xdr:row>
                <xdr:rowOff>57150</xdr:rowOff>
              </to>
            </anchor>
          </controlPr>
        </control>
      </mc:Choice>
      <mc:Fallback>
        <control shapeId="2883593" r:id="rId13" name="Control 9"/>
      </mc:Fallback>
    </mc:AlternateContent>
  </control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09364-FEE0-4E71-B4CA-E3AEFE15C88A}">
  <sheetPr codeName="Sheet10"/>
  <dimension ref="A1:K54"/>
  <sheetViews>
    <sheetView showGridLines="0" zoomScaleNormal="100" workbookViewId="0">
      <pane ySplit="7" topLeftCell="A8" activePane="bottomLeft" state="frozen"/>
      <selection pane="bottomLeft" activeCell="D8" sqref="D8"/>
    </sheetView>
  </sheetViews>
  <sheetFormatPr defaultRowHeight="13.5"/>
  <cols>
    <col min="1" max="1" width="2.78515625" style="46" customWidth="1"/>
    <col min="2" max="2" width="3.5703125" style="46" bestFit="1" customWidth="1"/>
    <col min="3" max="3" width="17.2109375" style="46" customWidth="1"/>
    <col min="4" max="5" width="19.78515625" style="46" customWidth="1"/>
    <col min="6" max="6" width="34.2109375" style="46" bestFit="1" customWidth="1"/>
    <col min="7" max="11" width="18.42578125" style="46" customWidth="1"/>
    <col min="12" max="16384" width="9.140625" style="46"/>
  </cols>
  <sheetData>
    <row r="1" spans="1:11" customFormat="1" ht="19.5">
      <c r="A1" s="94" t="s">
        <v>2722</v>
      </c>
    </row>
    <row r="2" spans="1:11" customFormat="1" ht="15">
      <c r="A2" s="196" t="s">
        <v>2668</v>
      </c>
    </row>
    <row r="3" spans="1:11" customFormat="1" ht="15">
      <c r="A3" s="10" t="s">
        <v>363</v>
      </c>
    </row>
    <row r="4" spans="1:11">
      <c r="B4" s="440" t="s">
        <v>1</v>
      </c>
      <c r="C4" s="107" t="s">
        <v>42</v>
      </c>
      <c r="D4" s="110"/>
      <c r="E4" s="182"/>
      <c r="F4" s="182"/>
      <c r="G4" s="182"/>
      <c r="H4" s="182"/>
      <c r="I4" s="182"/>
      <c r="J4" s="182"/>
      <c r="K4" s="190"/>
    </row>
    <row r="5" spans="1:11">
      <c r="B5" s="440"/>
      <c r="C5" s="69" t="s">
        <v>35</v>
      </c>
      <c r="D5" s="69" t="s">
        <v>42</v>
      </c>
      <c r="E5" s="69" t="s">
        <v>45</v>
      </c>
      <c r="F5" s="69" t="s">
        <v>158</v>
      </c>
      <c r="G5" s="69" t="s">
        <v>159</v>
      </c>
      <c r="H5" s="69" t="s">
        <v>106</v>
      </c>
      <c r="I5" s="69" t="s">
        <v>324</v>
      </c>
      <c r="J5" s="69" t="s">
        <v>107</v>
      </c>
      <c r="K5" s="69" t="s">
        <v>160</v>
      </c>
    </row>
    <row r="6" spans="1:11">
      <c r="B6" s="440"/>
      <c r="C6" s="8" t="s">
        <v>357</v>
      </c>
      <c r="D6" s="8"/>
      <c r="E6" s="8" t="s">
        <v>20</v>
      </c>
      <c r="F6" s="8"/>
      <c r="G6" s="8" t="s">
        <v>20</v>
      </c>
      <c r="H6" s="8" t="s">
        <v>20</v>
      </c>
      <c r="I6" s="8" t="s">
        <v>27</v>
      </c>
      <c r="J6" s="8" t="s">
        <v>20</v>
      </c>
      <c r="K6" s="8" t="s">
        <v>27</v>
      </c>
    </row>
    <row r="7" spans="1:11">
      <c r="B7" s="440"/>
      <c r="C7" s="8" t="s">
        <v>2667</v>
      </c>
      <c r="D7" s="8" t="s">
        <v>2667</v>
      </c>
      <c r="E7" s="8"/>
      <c r="F7" s="8"/>
      <c r="G7" s="8"/>
      <c r="H7" s="8"/>
      <c r="I7" s="8"/>
      <c r="J7" s="8"/>
      <c r="K7" s="8"/>
    </row>
    <row r="8" spans="1:11">
      <c r="B8" s="217">
        <f>ROW() - 7</f>
        <v>1</v>
      </c>
      <c r="C8" s="217" t="s">
        <v>90</v>
      </c>
      <c r="D8" s="217" t="s">
        <v>253</v>
      </c>
      <c r="E8" s="217" t="s">
        <v>331</v>
      </c>
      <c r="F8" s="217" t="s">
        <v>331</v>
      </c>
      <c r="G8" s="217" t="s">
        <v>331</v>
      </c>
      <c r="H8" s="217" t="s">
        <v>331</v>
      </c>
      <c r="I8" s="217" t="s">
        <v>331</v>
      </c>
      <c r="J8" s="217" t="s">
        <v>331</v>
      </c>
      <c r="K8" s="217" t="s">
        <v>28</v>
      </c>
    </row>
    <row r="9" spans="1:11">
      <c r="B9" s="217">
        <f t="shared" ref="B9:B54" si="0">ROW() - 7</f>
        <v>2</v>
      </c>
      <c r="C9" s="217" t="s">
        <v>90</v>
      </c>
      <c r="D9" s="217" t="s">
        <v>257</v>
      </c>
      <c r="E9" s="217" t="s">
        <v>331</v>
      </c>
      <c r="F9" s="217" t="s">
        <v>331</v>
      </c>
      <c r="G9" s="217" t="s">
        <v>331</v>
      </c>
      <c r="H9" s="217" t="s">
        <v>331</v>
      </c>
      <c r="I9" s="217" t="s">
        <v>331</v>
      </c>
      <c r="J9" s="217" t="s">
        <v>331</v>
      </c>
      <c r="K9" s="217" t="s">
        <v>28</v>
      </c>
    </row>
    <row r="10" spans="1:11">
      <c r="B10" s="217">
        <f t="shared" si="0"/>
        <v>3</v>
      </c>
      <c r="C10" s="217" t="s">
        <v>90</v>
      </c>
      <c r="D10" s="217" t="s">
        <v>260</v>
      </c>
      <c r="E10" s="217" t="s">
        <v>331</v>
      </c>
      <c r="F10" s="217" t="s">
        <v>331</v>
      </c>
      <c r="G10" s="217" t="s">
        <v>331</v>
      </c>
      <c r="H10" s="217" t="s">
        <v>331</v>
      </c>
      <c r="I10" s="217" t="s">
        <v>331</v>
      </c>
      <c r="J10" s="217" t="s">
        <v>331</v>
      </c>
      <c r="K10" s="217" t="s">
        <v>28</v>
      </c>
    </row>
    <row r="11" spans="1:11">
      <c r="B11" s="217">
        <f t="shared" si="0"/>
        <v>4</v>
      </c>
      <c r="C11" s="217" t="s">
        <v>90</v>
      </c>
      <c r="D11" s="217" t="s">
        <v>262</v>
      </c>
      <c r="E11" s="217" t="s">
        <v>331</v>
      </c>
      <c r="F11" s="217" t="s">
        <v>331</v>
      </c>
      <c r="G11" s="217" t="s">
        <v>331</v>
      </c>
      <c r="H11" s="217" t="s">
        <v>331</v>
      </c>
      <c r="I11" s="217" t="s">
        <v>331</v>
      </c>
      <c r="J11" s="217" t="s">
        <v>331</v>
      </c>
      <c r="K11" s="217" t="s">
        <v>28</v>
      </c>
    </row>
    <row r="12" spans="1:11">
      <c r="B12" s="217">
        <f t="shared" si="0"/>
        <v>5</v>
      </c>
      <c r="C12" s="217" t="s">
        <v>90</v>
      </c>
      <c r="D12" s="217" t="s">
        <v>263</v>
      </c>
      <c r="E12" s="217" t="s">
        <v>331</v>
      </c>
      <c r="F12" s="217" t="s">
        <v>331</v>
      </c>
      <c r="G12" s="217" t="s">
        <v>331</v>
      </c>
      <c r="H12" s="217" t="s">
        <v>331</v>
      </c>
      <c r="I12" s="217" t="s">
        <v>331</v>
      </c>
      <c r="J12" s="217" t="s">
        <v>331</v>
      </c>
      <c r="K12" s="217" t="s">
        <v>28</v>
      </c>
    </row>
    <row r="13" spans="1:11">
      <c r="B13" s="217">
        <f t="shared" si="0"/>
        <v>6</v>
      </c>
      <c r="C13" s="217" t="s">
        <v>90</v>
      </c>
      <c r="D13" s="217" t="s">
        <v>264</v>
      </c>
      <c r="E13" s="217" t="s">
        <v>331</v>
      </c>
      <c r="F13" s="217" t="s">
        <v>331</v>
      </c>
      <c r="G13" s="217" t="s">
        <v>331</v>
      </c>
      <c r="H13" s="217" t="s">
        <v>331</v>
      </c>
      <c r="I13" s="217" t="s">
        <v>331</v>
      </c>
      <c r="J13" s="217" t="s">
        <v>331</v>
      </c>
      <c r="K13" s="217" t="s">
        <v>28</v>
      </c>
    </row>
    <row r="14" spans="1:11">
      <c r="B14" s="217">
        <f t="shared" si="0"/>
        <v>7</v>
      </c>
      <c r="C14" s="217" t="s">
        <v>90</v>
      </c>
      <c r="D14" s="217" t="s">
        <v>265</v>
      </c>
      <c r="E14" s="217" t="s">
        <v>331</v>
      </c>
      <c r="F14" s="217" t="s">
        <v>331</v>
      </c>
      <c r="G14" s="217" t="s">
        <v>331</v>
      </c>
      <c r="H14" s="217" t="s">
        <v>331</v>
      </c>
      <c r="I14" s="217" t="s">
        <v>331</v>
      </c>
      <c r="J14" s="217" t="s">
        <v>331</v>
      </c>
      <c r="K14" s="217" t="s">
        <v>28</v>
      </c>
    </row>
    <row r="15" spans="1:11">
      <c r="B15" s="217">
        <f t="shared" si="0"/>
        <v>8</v>
      </c>
      <c r="C15" s="217" t="s">
        <v>90</v>
      </c>
      <c r="D15" s="217" t="s">
        <v>267</v>
      </c>
      <c r="E15" s="217" t="s">
        <v>331</v>
      </c>
      <c r="F15" s="217" t="s">
        <v>331</v>
      </c>
      <c r="G15" s="217" t="s">
        <v>331</v>
      </c>
      <c r="H15" s="217" t="s">
        <v>331</v>
      </c>
      <c r="I15" s="217" t="s">
        <v>331</v>
      </c>
      <c r="J15" s="217" t="s">
        <v>331</v>
      </c>
      <c r="K15" s="217" t="s">
        <v>28</v>
      </c>
    </row>
    <row r="16" spans="1:11">
      <c r="B16" s="217">
        <f t="shared" si="0"/>
        <v>9</v>
      </c>
      <c r="C16" s="217" t="s">
        <v>90</v>
      </c>
      <c r="D16" s="217" t="s">
        <v>268</v>
      </c>
      <c r="E16" s="217" t="s">
        <v>331</v>
      </c>
      <c r="F16" s="217" t="s">
        <v>331</v>
      </c>
      <c r="G16" s="217" t="s">
        <v>331</v>
      </c>
      <c r="H16" s="217" t="s">
        <v>331</v>
      </c>
      <c r="I16" s="217" t="s">
        <v>331</v>
      </c>
      <c r="J16" s="217" t="s">
        <v>331</v>
      </c>
      <c r="K16" s="217" t="s">
        <v>28</v>
      </c>
    </row>
    <row r="17" spans="2:11">
      <c r="B17" s="217">
        <f t="shared" si="0"/>
        <v>10</v>
      </c>
      <c r="C17" s="217" t="s">
        <v>90</v>
      </c>
      <c r="D17" s="217" t="s">
        <v>269</v>
      </c>
      <c r="E17" s="217" t="s">
        <v>331</v>
      </c>
      <c r="F17" s="217" t="s">
        <v>331</v>
      </c>
      <c r="G17" s="217" t="s">
        <v>331</v>
      </c>
      <c r="H17" s="217" t="s">
        <v>331</v>
      </c>
      <c r="I17" s="217" t="s">
        <v>331</v>
      </c>
      <c r="J17" s="217" t="s">
        <v>331</v>
      </c>
      <c r="K17" s="217" t="s">
        <v>28</v>
      </c>
    </row>
    <row r="18" spans="2:11">
      <c r="B18" s="217">
        <f t="shared" si="0"/>
        <v>11</v>
      </c>
      <c r="C18" s="217" t="s">
        <v>90</v>
      </c>
      <c r="D18" s="217" t="s">
        <v>270</v>
      </c>
      <c r="E18" s="217" t="s">
        <v>331</v>
      </c>
      <c r="F18" s="217" t="s">
        <v>331</v>
      </c>
      <c r="G18" s="217" t="s">
        <v>331</v>
      </c>
      <c r="H18" s="217" t="s">
        <v>331</v>
      </c>
      <c r="I18" s="217" t="s">
        <v>331</v>
      </c>
      <c r="J18" s="217" t="s">
        <v>331</v>
      </c>
      <c r="K18" s="217" t="s">
        <v>28</v>
      </c>
    </row>
    <row r="19" spans="2:11">
      <c r="B19" s="217">
        <f t="shared" si="0"/>
        <v>12</v>
      </c>
      <c r="C19" s="217" t="s">
        <v>90</v>
      </c>
      <c r="D19" s="217" t="s">
        <v>271</v>
      </c>
      <c r="E19" s="217" t="s">
        <v>331</v>
      </c>
      <c r="F19" s="217" t="s">
        <v>331</v>
      </c>
      <c r="G19" s="217" t="s">
        <v>331</v>
      </c>
      <c r="H19" s="217" t="s">
        <v>331</v>
      </c>
      <c r="I19" s="217" t="s">
        <v>331</v>
      </c>
      <c r="J19" s="217" t="s">
        <v>331</v>
      </c>
      <c r="K19" s="217" t="s">
        <v>28</v>
      </c>
    </row>
    <row r="20" spans="2:11">
      <c r="B20" s="217">
        <f t="shared" si="0"/>
        <v>13</v>
      </c>
      <c r="C20" s="217" t="s">
        <v>90</v>
      </c>
      <c r="D20" s="217" t="s">
        <v>272</v>
      </c>
      <c r="E20" s="217" t="s">
        <v>331</v>
      </c>
      <c r="F20" s="217" t="s">
        <v>331</v>
      </c>
      <c r="G20" s="217" t="s">
        <v>331</v>
      </c>
      <c r="H20" s="217" t="s">
        <v>331</v>
      </c>
      <c r="I20" s="217" t="s">
        <v>331</v>
      </c>
      <c r="J20" s="217" t="s">
        <v>331</v>
      </c>
      <c r="K20" s="217" t="s">
        <v>28</v>
      </c>
    </row>
    <row r="21" spans="2:11">
      <c r="B21" s="217">
        <f t="shared" si="0"/>
        <v>14</v>
      </c>
      <c r="C21" s="217" t="s">
        <v>90</v>
      </c>
      <c r="D21" s="217" t="s">
        <v>274</v>
      </c>
      <c r="E21" s="217" t="s">
        <v>331</v>
      </c>
      <c r="F21" s="217" t="s">
        <v>331</v>
      </c>
      <c r="G21" s="217" t="s">
        <v>331</v>
      </c>
      <c r="H21" s="217" t="s">
        <v>331</v>
      </c>
      <c r="I21" s="217" t="s">
        <v>331</v>
      </c>
      <c r="J21" s="217" t="s">
        <v>331</v>
      </c>
      <c r="K21" s="217" t="s">
        <v>28</v>
      </c>
    </row>
    <row r="22" spans="2:11">
      <c r="B22" s="217">
        <f t="shared" si="0"/>
        <v>15</v>
      </c>
      <c r="C22" s="217" t="s">
        <v>90</v>
      </c>
      <c r="D22" s="217" t="s">
        <v>276</v>
      </c>
      <c r="E22" s="217" t="s">
        <v>331</v>
      </c>
      <c r="F22" s="217" t="s">
        <v>331</v>
      </c>
      <c r="G22" s="217" t="s">
        <v>331</v>
      </c>
      <c r="H22" s="217" t="s">
        <v>331</v>
      </c>
      <c r="I22" s="217" t="s">
        <v>331</v>
      </c>
      <c r="J22" s="217" t="s">
        <v>331</v>
      </c>
      <c r="K22" s="217" t="s">
        <v>28</v>
      </c>
    </row>
    <row r="23" spans="2:11">
      <c r="B23" s="217">
        <f t="shared" si="0"/>
        <v>16</v>
      </c>
      <c r="C23" s="217" t="s">
        <v>90</v>
      </c>
      <c r="D23" s="217" t="s">
        <v>278</v>
      </c>
      <c r="E23" s="217" t="s">
        <v>331</v>
      </c>
      <c r="F23" s="217" t="s">
        <v>331</v>
      </c>
      <c r="G23" s="217" t="s">
        <v>331</v>
      </c>
      <c r="H23" s="217" t="s">
        <v>331</v>
      </c>
      <c r="I23" s="217" t="s">
        <v>331</v>
      </c>
      <c r="J23" s="217" t="s">
        <v>331</v>
      </c>
      <c r="K23" s="217" t="s">
        <v>28</v>
      </c>
    </row>
    <row r="24" spans="2:11">
      <c r="B24" s="217">
        <f t="shared" si="0"/>
        <v>17</v>
      </c>
      <c r="C24" s="217" t="s">
        <v>90</v>
      </c>
      <c r="D24" s="217" t="s">
        <v>279</v>
      </c>
      <c r="E24" s="217" t="s">
        <v>331</v>
      </c>
      <c r="F24" s="217" t="s">
        <v>331</v>
      </c>
      <c r="G24" s="217" t="s">
        <v>331</v>
      </c>
      <c r="H24" s="217" t="s">
        <v>331</v>
      </c>
      <c r="I24" s="217" t="s">
        <v>331</v>
      </c>
      <c r="J24" s="217" t="s">
        <v>331</v>
      </c>
      <c r="K24" s="217" t="s">
        <v>28</v>
      </c>
    </row>
    <row r="25" spans="2:11">
      <c r="B25" s="217">
        <f t="shared" si="0"/>
        <v>18</v>
      </c>
      <c r="C25" s="217" t="s">
        <v>90</v>
      </c>
      <c r="D25" s="217" t="s">
        <v>281</v>
      </c>
      <c r="E25" s="217" t="s">
        <v>331</v>
      </c>
      <c r="F25" s="217" t="s">
        <v>331</v>
      </c>
      <c r="G25" s="217" t="s">
        <v>331</v>
      </c>
      <c r="H25" s="217" t="s">
        <v>331</v>
      </c>
      <c r="I25" s="217" t="s">
        <v>331</v>
      </c>
      <c r="J25" s="217" t="s">
        <v>331</v>
      </c>
      <c r="K25" s="217" t="s">
        <v>28</v>
      </c>
    </row>
    <row r="26" spans="2:11">
      <c r="B26" s="217">
        <f t="shared" si="0"/>
        <v>19</v>
      </c>
      <c r="C26" s="217" t="s">
        <v>90</v>
      </c>
      <c r="D26" s="217" t="s">
        <v>282</v>
      </c>
      <c r="E26" s="217" t="s">
        <v>331</v>
      </c>
      <c r="F26" s="217" t="s">
        <v>331</v>
      </c>
      <c r="G26" s="217" t="s">
        <v>331</v>
      </c>
      <c r="H26" s="217" t="s">
        <v>331</v>
      </c>
      <c r="I26" s="217" t="s">
        <v>331</v>
      </c>
      <c r="J26" s="217" t="s">
        <v>331</v>
      </c>
      <c r="K26" s="217" t="s">
        <v>28</v>
      </c>
    </row>
    <row r="27" spans="2:11">
      <c r="B27" s="217">
        <f t="shared" si="0"/>
        <v>20</v>
      </c>
      <c r="C27" s="217" t="s">
        <v>90</v>
      </c>
      <c r="D27" s="217" t="s">
        <v>283</v>
      </c>
      <c r="E27" s="217" t="s">
        <v>331</v>
      </c>
      <c r="F27" s="217" t="s">
        <v>331</v>
      </c>
      <c r="G27" s="217" t="s">
        <v>331</v>
      </c>
      <c r="H27" s="217" t="s">
        <v>331</v>
      </c>
      <c r="I27" s="217" t="s">
        <v>331</v>
      </c>
      <c r="J27" s="217" t="s">
        <v>331</v>
      </c>
      <c r="K27" s="217" t="s">
        <v>28</v>
      </c>
    </row>
    <row r="28" spans="2:11">
      <c r="B28" s="217">
        <f t="shared" si="0"/>
        <v>21</v>
      </c>
      <c r="C28" s="217" t="s">
        <v>90</v>
      </c>
      <c r="D28" s="217" t="s">
        <v>284</v>
      </c>
      <c r="E28" s="217" t="s">
        <v>331</v>
      </c>
      <c r="F28" s="217" t="s">
        <v>331</v>
      </c>
      <c r="G28" s="217" t="s">
        <v>331</v>
      </c>
      <c r="H28" s="217" t="s">
        <v>331</v>
      </c>
      <c r="I28" s="217" t="s">
        <v>331</v>
      </c>
      <c r="J28" s="217" t="s">
        <v>331</v>
      </c>
      <c r="K28" s="217" t="s">
        <v>28</v>
      </c>
    </row>
    <row r="29" spans="2:11">
      <c r="B29" s="217">
        <f t="shared" si="0"/>
        <v>22</v>
      </c>
      <c r="C29" s="217" t="s">
        <v>90</v>
      </c>
      <c r="D29" s="217" t="s">
        <v>285</v>
      </c>
      <c r="E29" s="217" t="s">
        <v>331</v>
      </c>
      <c r="F29" s="217" t="s">
        <v>331</v>
      </c>
      <c r="G29" s="217" t="s">
        <v>331</v>
      </c>
      <c r="H29" s="217" t="s">
        <v>331</v>
      </c>
      <c r="I29" s="217" t="s">
        <v>331</v>
      </c>
      <c r="J29" s="217" t="s">
        <v>331</v>
      </c>
      <c r="K29" s="217" t="s">
        <v>28</v>
      </c>
    </row>
    <row r="30" spans="2:11">
      <c r="B30" s="217">
        <f t="shared" si="0"/>
        <v>23</v>
      </c>
      <c r="C30" s="217" t="s">
        <v>90</v>
      </c>
      <c r="D30" s="217" t="s">
        <v>286</v>
      </c>
      <c r="E30" s="217" t="s">
        <v>331</v>
      </c>
      <c r="F30" s="217" t="s">
        <v>331</v>
      </c>
      <c r="G30" s="217" t="s">
        <v>331</v>
      </c>
      <c r="H30" s="217" t="s">
        <v>331</v>
      </c>
      <c r="I30" s="217" t="s">
        <v>331</v>
      </c>
      <c r="J30" s="217" t="s">
        <v>331</v>
      </c>
      <c r="K30" s="217" t="s">
        <v>28</v>
      </c>
    </row>
    <row r="31" spans="2:11">
      <c r="B31" s="217">
        <f t="shared" si="0"/>
        <v>24</v>
      </c>
      <c r="C31" s="217" t="s">
        <v>90</v>
      </c>
      <c r="D31" s="217" t="s">
        <v>287</v>
      </c>
      <c r="E31" s="217" t="s">
        <v>331</v>
      </c>
      <c r="F31" s="217" t="s">
        <v>331</v>
      </c>
      <c r="G31" s="217" t="s">
        <v>331</v>
      </c>
      <c r="H31" s="217" t="s">
        <v>331</v>
      </c>
      <c r="I31" s="217" t="s">
        <v>331</v>
      </c>
      <c r="J31" s="217" t="s">
        <v>331</v>
      </c>
      <c r="K31" s="217" t="s">
        <v>28</v>
      </c>
    </row>
    <row r="32" spans="2:11">
      <c r="B32" s="217">
        <f t="shared" si="0"/>
        <v>25</v>
      </c>
      <c r="C32" s="217" t="s">
        <v>90</v>
      </c>
      <c r="D32" s="217" t="s">
        <v>288</v>
      </c>
      <c r="E32" s="217" t="s">
        <v>331</v>
      </c>
      <c r="F32" s="217" t="s">
        <v>331</v>
      </c>
      <c r="G32" s="217" t="s">
        <v>331</v>
      </c>
      <c r="H32" s="217" t="s">
        <v>331</v>
      </c>
      <c r="I32" s="217" t="s">
        <v>331</v>
      </c>
      <c r="J32" s="217" t="s">
        <v>331</v>
      </c>
      <c r="K32" s="217" t="s">
        <v>28</v>
      </c>
    </row>
    <row r="33" spans="2:11">
      <c r="B33" s="217">
        <f t="shared" si="0"/>
        <v>26</v>
      </c>
      <c r="C33" s="217" t="s">
        <v>90</v>
      </c>
      <c r="D33" s="217" t="s">
        <v>289</v>
      </c>
      <c r="E33" s="217" t="s">
        <v>331</v>
      </c>
      <c r="F33" s="217" t="s">
        <v>331</v>
      </c>
      <c r="G33" s="217" t="s">
        <v>331</v>
      </c>
      <c r="H33" s="217" t="s">
        <v>331</v>
      </c>
      <c r="I33" s="217" t="s">
        <v>331</v>
      </c>
      <c r="J33" s="217" t="s">
        <v>331</v>
      </c>
      <c r="K33" s="217" t="s">
        <v>28</v>
      </c>
    </row>
    <row r="34" spans="2:11">
      <c r="B34" s="217">
        <f t="shared" si="0"/>
        <v>27</v>
      </c>
      <c r="C34" s="217" t="s">
        <v>90</v>
      </c>
      <c r="D34" s="217" t="s">
        <v>290</v>
      </c>
      <c r="E34" s="217" t="s">
        <v>331</v>
      </c>
      <c r="F34" s="217" t="s">
        <v>331</v>
      </c>
      <c r="G34" s="217" t="s">
        <v>331</v>
      </c>
      <c r="H34" s="217" t="s">
        <v>331</v>
      </c>
      <c r="I34" s="217" t="s">
        <v>331</v>
      </c>
      <c r="J34" s="217" t="s">
        <v>331</v>
      </c>
      <c r="K34" s="217" t="s">
        <v>28</v>
      </c>
    </row>
    <row r="35" spans="2:11">
      <c r="B35" s="217">
        <f t="shared" si="0"/>
        <v>28</v>
      </c>
      <c r="C35" s="217" t="s">
        <v>90</v>
      </c>
      <c r="D35" s="217" t="s">
        <v>291</v>
      </c>
      <c r="E35" s="217" t="s">
        <v>331</v>
      </c>
      <c r="F35" s="217" t="s">
        <v>331</v>
      </c>
      <c r="G35" s="217" t="s">
        <v>331</v>
      </c>
      <c r="H35" s="217" t="s">
        <v>331</v>
      </c>
      <c r="I35" s="217" t="s">
        <v>331</v>
      </c>
      <c r="J35" s="217" t="s">
        <v>331</v>
      </c>
      <c r="K35" s="217" t="s">
        <v>28</v>
      </c>
    </row>
    <row r="36" spans="2:11">
      <c r="B36" s="217">
        <f t="shared" si="0"/>
        <v>29</v>
      </c>
      <c r="C36" s="217" t="s">
        <v>90</v>
      </c>
      <c r="D36" s="217" t="s">
        <v>292</v>
      </c>
      <c r="E36" s="217" t="s">
        <v>331</v>
      </c>
      <c r="F36" s="217" t="s">
        <v>331</v>
      </c>
      <c r="G36" s="217" t="s">
        <v>331</v>
      </c>
      <c r="H36" s="217" t="s">
        <v>331</v>
      </c>
      <c r="I36" s="217" t="s">
        <v>331</v>
      </c>
      <c r="J36" s="217" t="s">
        <v>331</v>
      </c>
      <c r="K36" s="217" t="s">
        <v>28</v>
      </c>
    </row>
    <row r="37" spans="2:11">
      <c r="B37" s="217">
        <f t="shared" si="0"/>
        <v>30</v>
      </c>
      <c r="C37" s="217" t="s">
        <v>90</v>
      </c>
      <c r="D37" s="217" t="s">
        <v>293</v>
      </c>
      <c r="E37" s="217" t="s">
        <v>331</v>
      </c>
      <c r="F37" s="217" t="s">
        <v>331</v>
      </c>
      <c r="G37" s="217" t="s">
        <v>331</v>
      </c>
      <c r="H37" s="217" t="s">
        <v>331</v>
      </c>
      <c r="I37" s="217" t="s">
        <v>331</v>
      </c>
      <c r="J37" s="217" t="s">
        <v>331</v>
      </c>
      <c r="K37" s="217" t="s">
        <v>28</v>
      </c>
    </row>
    <row r="38" spans="2:11">
      <c r="B38" s="217">
        <f t="shared" si="0"/>
        <v>31</v>
      </c>
      <c r="C38" s="217" t="s">
        <v>90</v>
      </c>
      <c r="D38" s="217" t="s">
        <v>294</v>
      </c>
      <c r="E38" s="217" t="s">
        <v>331</v>
      </c>
      <c r="F38" s="217" t="s">
        <v>331</v>
      </c>
      <c r="G38" s="217" t="s">
        <v>331</v>
      </c>
      <c r="H38" s="217" t="s">
        <v>331</v>
      </c>
      <c r="I38" s="217" t="s">
        <v>331</v>
      </c>
      <c r="J38" s="217" t="s">
        <v>331</v>
      </c>
      <c r="K38" s="217" t="s">
        <v>28</v>
      </c>
    </row>
    <row r="39" spans="2:11">
      <c r="B39" s="217">
        <f t="shared" si="0"/>
        <v>32</v>
      </c>
      <c r="C39" s="217" t="s">
        <v>90</v>
      </c>
      <c r="D39" s="217" t="s">
        <v>295</v>
      </c>
      <c r="E39" s="217" t="s">
        <v>331</v>
      </c>
      <c r="F39" s="217" t="s">
        <v>331</v>
      </c>
      <c r="G39" s="217" t="s">
        <v>331</v>
      </c>
      <c r="H39" s="217" t="s">
        <v>331</v>
      </c>
      <c r="I39" s="217" t="s">
        <v>331</v>
      </c>
      <c r="J39" s="217" t="s">
        <v>331</v>
      </c>
      <c r="K39" s="217" t="s">
        <v>28</v>
      </c>
    </row>
    <row r="40" spans="2:11">
      <c r="B40" s="217">
        <f t="shared" si="0"/>
        <v>33</v>
      </c>
      <c r="C40" s="217" t="s">
        <v>90</v>
      </c>
      <c r="D40" s="217" t="s">
        <v>296</v>
      </c>
      <c r="E40" s="217" t="s">
        <v>331</v>
      </c>
      <c r="F40" s="217" t="s">
        <v>331</v>
      </c>
      <c r="G40" s="217" t="s">
        <v>331</v>
      </c>
      <c r="H40" s="217" t="s">
        <v>331</v>
      </c>
      <c r="I40" s="217" t="s">
        <v>331</v>
      </c>
      <c r="J40" s="217" t="s">
        <v>331</v>
      </c>
      <c r="K40" s="217" t="s">
        <v>28</v>
      </c>
    </row>
    <row r="41" spans="2:11">
      <c r="B41" s="217">
        <f t="shared" si="0"/>
        <v>34</v>
      </c>
      <c r="C41" s="217" t="s">
        <v>90</v>
      </c>
      <c r="D41" s="217" t="s">
        <v>297</v>
      </c>
      <c r="E41" s="217" t="s">
        <v>331</v>
      </c>
      <c r="F41" s="217" t="s">
        <v>331</v>
      </c>
      <c r="G41" s="217" t="s">
        <v>331</v>
      </c>
      <c r="H41" s="217" t="s">
        <v>331</v>
      </c>
      <c r="I41" s="217" t="s">
        <v>331</v>
      </c>
      <c r="J41" s="217" t="s">
        <v>331</v>
      </c>
      <c r="K41" s="217" t="s">
        <v>28</v>
      </c>
    </row>
    <row r="42" spans="2:11">
      <c r="B42" s="217">
        <f t="shared" si="0"/>
        <v>35</v>
      </c>
      <c r="C42" s="217" t="s">
        <v>90</v>
      </c>
      <c r="D42" s="217" t="s">
        <v>298</v>
      </c>
      <c r="E42" s="217" t="s">
        <v>331</v>
      </c>
      <c r="F42" s="217" t="s">
        <v>331</v>
      </c>
      <c r="G42" s="217" t="s">
        <v>331</v>
      </c>
      <c r="H42" s="217" t="s">
        <v>331</v>
      </c>
      <c r="I42" s="217" t="s">
        <v>331</v>
      </c>
      <c r="J42" s="217" t="s">
        <v>331</v>
      </c>
      <c r="K42" s="217" t="s">
        <v>28</v>
      </c>
    </row>
    <row r="43" spans="2:11">
      <c r="B43" s="217">
        <f t="shared" si="0"/>
        <v>36</v>
      </c>
      <c r="C43" s="217" t="s">
        <v>90</v>
      </c>
      <c r="D43" s="217" t="s">
        <v>299</v>
      </c>
      <c r="E43" s="217" t="s">
        <v>331</v>
      </c>
      <c r="F43" s="217" t="s">
        <v>331</v>
      </c>
      <c r="G43" s="217" t="s">
        <v>331</v>
      </c>
      <c r="H43" s="217" t="s">
        <v>331</v>
      </c>
      <c r="I43" s="217" t="s">
        <v>331</v>
      </c>
      <c r="J43" s="217" t="s">
        <v>331</v>
      </c>
      <c r="K43" s="217" t="s">
        <v>28</v>
      </c>
    </row>
    <row r="44" spans="2:11">
      <c r="B44" s="217">
        <f t="shared" si="0"/>
        <v>37</v>
      </c>
      <c r="C44" s="217" t="s">
        <v>90</v>
      </c>
      <c r="D44" s="217" t="s">
        <v>301</v>
      </c>
      <c r="E44" s="217" t="s">
        <v>331</v>
      </c>
      <c r="F44" s="217" t="s">
        <v>331</v>
      </c>
      <c r="G44" s="217" t="s">
        <v>331</v>
      </c>
      <c r="H44" s="217" t="s">
        <v>331</v>
      </c>
      <c r="I44" s="217" t="s">
        <v>331</v>
      </c>
      <c r="J44" s="217" t="s">
        <v>331</v>
      </c>
      <c r="K44" s="217" t="s">
        <v>28</v>
      </c>
    </row>
    <row r="45" spans="2:11">
      <c r="B45" s="217">
        <f t="shared" si="0"/>
        <v>38</v>
      </c>
      <c r="C45" s="217" t="s">
        <v>90</v>
      </c>
      <c r="D45" s="217" t="s">
        <v>303</v>
      </c>
      <c r="E45" s="217" t="s">
        <v>331</v>
      </c>
      <c r="F45" s="217" t="s">
        <v>331</v>
      </c>
      <c r="G45" s="217" t="s">
        <v>331</v>
      </c>
      <c r="H45" s="217" t="s">
        <v>331</v>
      </c>
      <c r="I45" s="217" t="s">
        <v>331</v>
      </c>
      <c r="J45" s="217" t="s">
        <v>331</v>
      </c>
      <c r="K45" s="217" t="s">
        <v>28</v>
      </c>
    </row>
    <row r="46" spans="2:11">
      <c r="B46" s="217">
        <f t="shared" si="0"/>
        <v>39</v>
      </c>
      <c r="C46" s="217" t="s">
        <v>90</v>
      </c>
      <c r="D46" s="217" t="s">
        <v>304</v>
      </c>
      <c r="E46" s="217" t="s">
        <v>331</v>
      </c>
      <c r="F46" s="217" t="s">
        <v>331</v>
      </c>
      <c r="G46" s="217" t="s">
        <v>331</v>
      </c>
      <c r="H46" s="217" t="s">
        <v>331</v>
      </c>
      <c r="I46" s="217" t="s">
        <v>331</v>
      </c>
      <c r="J46" s="217" t="s">
        <v>331</v>
      </c>
      <c r="K46" s="217" t="s">
        <v>28</v>
      </c>
    </row>
    <row r="47" spans="2:11">
      <c r="B47" s="217">
        <f t="shared" si="0"/>
        <v>40</v>
      </c>
      <c r="C47" s="217" t="s">
        <v>90</v>
      </c>
      <c r="D47" s="217" t="s">
        <v>305</v>
      </c>
      <c r="E47" s="217" t="s">
        <v>331</v>
      </c>
      <c r="F47" s="217" t="s">
        <v>331</v>
      </c>
      <c r="G47" s="217" t="s">
        <v>331</v>
      </c>
      <c r="H47" s="217" t="s">
        <v>331</v>
      </c>
      <c r="I47" s="217" t="s">
        <v>331</v>
      </c>
      <c r="J47" s="217" t="s">
        <v>331</v>
      </c>
      <c r="K47" s="217" t="s">
        <v>28</v>
      </c>
    </row>
    <row r="48" spans="2:11">
      <c r="B48" s="217">
        <f t="shared" si="0"/>
        <v>41</v>
      </c>
      <c r="C48" s="217" t="s">
        <v>90</v>
      </c>
      <c r="D48" s="217" t="s">
        <v>306</v>
      </c>
      <c r="E48" s="217" t="s">
        <v>331</v>
      </c>
      <c r="F48" s="217" t="s">
        <v>331</v>
      </c>
      <c r="G48" s="217" t="s">
        <v>331</v>
      </c>
      <c r="H48" s="217" t="s">
        <v>331</v>
      </c>
      <c r="I48" s="217" t="s">
        <v>331</v>
      </c>
      <c r="J48" s="217" t="s">
        <v>331</v>
      </c>
      <c r="K48" s="217" t="s">
        <v>28</v>
      </c>
    </row>
    <row r="49" spans="2:11">
      <c r="B49" s="217">
        <f t="shared" si="0"/>
        <v>42</v>
      </c>
      <c r="C49" s="217" t="s">
        <v>90</v>
      </c>
      <c r="D49" s="217" t="s">
        <v>307</v>
      </c>
      <c r="E49" s="217" t="s">
        <v>331</v>
      </c>
      <c r="F49" s="217" t="s">
        <v>331</v>
      </c>
      <c r="G49" s="217" t="s">
        <v>331</v>
      </c>
      <c r="H49" s="217" t="s">
        <v>331</v>
      </c>
      <c r="I49" s="217" t="s">
        <v>331</v>
      </c>
      <c r="J49" s="217" t="s">
        <v>331</v>
      </c>
      <c r="K49" s="217" t="s">
        <v>28</v>
      </c>
    </row>
    <row r="50" spans="2:11">
      <c r="B50" s="217">
        <f t="shared" si="0"/>
        <v>43</v>
      </c>
      <c r="C50" s="217" t="s">
        <v>90</v>
      </c>
      <c r="D50" s="217" t="s">
        <v>308</v>
      </c>
      <c r="E50" s="217" t="s">
        <v>331</v>
      </c>
      <c r="F50" s="217" t="s">
        <v>331</v>
      </c>
      <c r="G50" s="217" t="s">
        <v>331</v>
      </c>
      <c r="H50" s="217" t="s">
        <v>331</v>
      </c>
      <c r="I50" s="217" t="s">
        <v>331</v>
      </c>
      <c r="J50" s="217" t="s">
        <v>331</v>
      </c>
      <c r="K50" s="217" t="s">
        <v>28</v>
      </c>
    </row>
    <row r="51" spans="2:11">
      <c r="B51" s="217">
        <f t="shared" si="0"/>
        <v>44</v>
      </c>
      <c r="C51" s="217" t="s">
        <v>90</v>
      </c>
      <c r="D51" s="217" t="s">
        <v>309</v>
      </c>
      <c r="E51" s="217" t="s">
        <v>331</v>
      </c>
      <c r="F51" s="217" t="s">
        <v>331</v>
      </c>
      <c r="G51" s="217" t="s">
        <v>331</v>
      </c>
      <c r="H51" s="217" t="s">
        <v>331</v>
      </c>
      <c r="I51" s="217" t="s">
        <v>331</v>
      </c>
      <c r="J51" s="217" t="s">
        <v>331</v>
      </c>
      <c r="K51" s="217" t="s">
        <v>28</v>
      </c>
    </row>
    <row r="52" spans="2:11">
      <c r="B52" s="217">
        <f t="shared" si="0"/>
        <v>45</v>
      </c>
      <c r="C52" s="217" t="s">
        <v>90</v>
      </c>
      <c r="D52" s="217" t="s">
        <v>310</v>
      </c>
      <c r="E52" s="217" t="s">
        <v>331</v>
      </c>
      <c r="F52" s="217" t="s">
        <v>331</v>
      </c>
      <c r="G52" s="217" t="s">
        <v>331</v>
      </c>
      <c r="H52" s="217" t="s">
        <v>331</v>
      </c>
      <c r="I52" s="217" t="s">
        <v>331</v>
      </c>
      <c r="J52" s="217" t="s">
        <v>331</v>
      </c>
      <c r="K52" s="217" t="s">
        <v>28</v>
      </c>
    </row>
    <row r="53" spans="2:11">
      <c r="B53" s="217">
        <f t="shared" si="0"/>
        <v>46</v>
      </c>
      <c r="C53" s="217" t="s">
        <v>90</v>
      </c>
      <c r="D53" s="217" t="s">
        <v>311</v>
      </c>
      <c r="E53" s="217" t="s">
        <v>331</v>
      </c>
      <c r="F53" s="217" t="s">
        <v>331</v>
      </c>
      <c r="G53" s="217" t="s">
        <v>331</v>
      </c>
      <c r="H53" s="217" t="s">
        <v>331</v>
      </c>
      <c r="I53" s="217" t="s">
        <v>331</v>
      </c>
      <c r="J53" s="217" t="s">
        <v>331</v>
      </c>
      <c r="K53" s="217" t="s">
        <v>28</v>
      </c>
    </row>
    <row r="54" spans="2:11">
      <c r="B54" s="217">
        <f t="shared" si="0"/>
        <v>47</v>
      </c>
      <c r="C54" s="217" t="s">
        <v>90</v>
      </c>
      <c r="D54" s="217" t="s">
        <v>312</v>
      </c>
      <c r="E54" s="217" t="s">
        <v>331</v>
      </c>
      <c r="F54" s="217" t="s">
        <v>331</v>
      </c>
      <c r="G54" s="217" t="s">
        <v>331</v>
      </c>
      <c r="H54" s="217" t="s">
        <v>331</v>
      </c>
      <c r="I54" s="217" t="s">
        <v>331</v>
      </c>
      <c r="J54" s="217" t="s">
        <v>331</v>
      </c>
      <c r="K54" s="217" t="s">
        <v>28</v>
      </c>
    </row>
  </sheetData>
  <sheetProtection insertRows="0" deleteRows="0" sort="0" autoFilter="0"/>
  <dataConsolidate/>
  <mergeCells count="1">
    <mergeCell ref="B4:B7"/>
  </mergeCells>
  <phoneticPr fontId="14"/>
  <hyperlinks>
    <hyperlink ref="A3" location="パラメータ設定一覧!A1" display="パラメータ設定一覧へ" xr:uid="{5A3C275B-3371-488C-8185-22C22550666A}"/>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7F638-90EC-40EB-8465-E62989F57264}">
  <sheetPr codeName="Sheet132"/>
  <dimension ref="A1:H10"/>
  <sheetViews>
    <sheetView showGridLines="0" zoomScaleNormal="100" workbookViewId="0">
      <pane ySplit="7" topLeftCell="A8" activePane="bottomLeft" state="frozen"/>
      <selection activeCell="A3" sqref="A3"/>
      <selection pane="bottomLeft" activeCell="A8" sqref="A8"/>
    </sheetView>
  </sheetViews>
  <sheetFormatPr defaultColWidth="8.78515625" defaultRowHeight="13.5"/>
  <cols>
    <col min="1" max="1" width="2.78515625" style="202" customWidth="1"/>
    <col min="2" max="2" width="3.5703125" style="202" bestFit="1" customWidth="1"/>
    <col min="3" max="3" width="17.2109375" style="202" customWidth="1"/>
    <col min="4" max="5" width="19.78515625" style="202" customWidth="1"/>
    <col min="6" max="8" width="18.42578125" style="202" customWidth="1"/>
    <col min="9" max="16384" width="8.78515625" style="202"/>
  </cols>
  <sheetData>
    <row r="1" spans="1:8" customFormat="1" ht="19.5">
      <c r="A1" s="94" t="s">
        <v>2671</v>
      </c>
    </row>
    <row r="2" spans="1:8" customFormat="1" ht="15">
      <c r="A2" s="196" t="s">
        <v>2668</v>
      </c>
    </row>
    <row r="3" spans="1:8" customFormat="1" ht="15">
      <c r="A3" s="10" t="s">
        <v>363</v>
      </c>
    </row>
    <row r="4" spans="1:8" customFormat="1" ht="15">
      <c r="B4" s="443" t="s">
        <v>1</v>
      </c>
      <c r="C4" s="107" t="s">
        <v>111</v>
      </c>
      <c r="D4" s="110"/>
      <c r="E4" s="110"/>
      <c r="F4" s="110"/>
      <c r="G4" s="110"/>
      <c r="H4" s="218"/>
    </row>
    <row r="5" spans="1:8" customFormat="1" ht="15">
      <c r="B5" s="443"/>
      <c r="C5" s="69" t="s">
        <v>35</v>
      </c>
      <c r="D5" s="69" t="s">
        <v>42</v>
      </c>
      <c r="E5" s="69" t="s">
        <v>111</v>
      </c>
      <c r="F5" s="69" t="s">
        <v>45</v>
      </c>
      <c r="G5" s="69" t="s">
        <v>115</v>
      </c>
      <c r="H5" s="69" t="s">
        <v>116</v>
      </c>
    </row>
    <row r="6" spans="1:8" customFormat="1" ht="15">
      <c r="B6" s="443"/>
      <c r="C6" s="8" t="s">
        <v>357</v>
      </c>
      <c r="D6" s="8" t="s">
        <v>357</v>
      </c>
      <c r="E6" s="8" t="s">
        <v>20</v>
      </c>
      <c r="F6" s="8" t="s">
        <v>20</v>
      </c>
      <c r="G6" s="8" t="s">
        <v>20</v>
      </c>
      <c r="H6" s="8" t="s">
        <v>20</v>
      </c>
    </row>
    <row r="7" spans="1:8" customFormat="1" ht="15">
      <c r="B7" s="443"/>
      <c r="C7" s="8" t="s">
        <v>2667</v>
      </c>
      <c r="D7" s="8" t="s">
        <v>2667</v>
      </c>
      <c r="E7" s="8" t="s">
        <v>2667</v>
      </c>
      <c r="F7" s="8"/>
      <c r="G7" s="8"/>
      <c r="H7" s="8"/>
    </row>
    <row r="8" spans="1:8">
      <c r="B8" s="165">
        <f>ROW() - 7</f>
        <v>1</v>
      </c>
      <c r="C8" s="165"/>
      <c r="D8" s="165"/>
      <c r="E8" s="165"/>
      <c r="F8" s="165"/>
      <c r="G8" s="165"/>
      <c r="H8" s="165"/>
    </row>
    <row r="9" spans="1:8">
      <c r="B9" s="165">
        <f>ROW() - 7</f>
        <v>2</v>
      </c>
      <c r="C9" s="165"/>
      <c r="D9" s="165"/>
      <c r="E9" s="165"/>
      <c r="F9" s="165"/>
      <c r="G9" s="165"/>
      <c r="H9" s="165"/>
    </row>
    <row r="10" spans="1:8">
      <c r="B10" s="165">
        <f>ROW() - 7</f>
        <v>3</v>
      </c>
      <c r="C10" s="165"/>
      <c r="D10" s="165"/>
      <c r="E10" s="165"/>
      <c r="F10" s="165"/>
      <c r="G10" s="165"/>
      <c r="H10" s="165"/>
    </row>
  </sheetData>
  <sheetProtection insertRows="0" deleteRows="0" sort="0" autoFilter="0"/>
  <dataConsolidate/>
  <mergeCells count="1">
    <mergeCell ref="B4:B7"/>
  </mergeCells>
  <phoneticPr fontId="14"/>
  <hyperlinks>
    <hyperlink ref="A3" location="パラメータ設定一覧!A1" display="パラメータ設定一覧へ" xr:uid="{AD006760-E36E-40CC-9FD0-2A5D62C1BE50}"/>
  </hyperlink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99941-3A91-4260-8859-F3E447BBBADA}">
  <sheetPr codeName="Sheet133"/>
  <dimension ref="A1:J13"/>
  <sheetViews>
    <sheetView showGridLines="0" zoomScaleNormal="100" workbookViewId="0">
      <pane ySplit="7" topLeftCell="A8" activePane="bottomLeft" state="frozen"/>
      <selection activeCell="A8" sqref="A8"/>
      <selection pane="bottomLeft" activeCell="H21" sqref="H21"/>
    </sheetView>
  </sheetViews>
  <sheetFormatPr defaultColWidth="8.78515625" defaultRowHeight="13.5"/>
  <cols>
    <col min="1" max="1" width="2.78515625" style="202" customWidth="1"/>
    <col min="2" max="2" width="3.5703125" style="202" bestFit="1" customWidth="1"/>
    <col min="3" max="3" width="17.2109375" style="202" customWidth="1"/>
    <col min="4" max="5" width="19.78515625" style="202" customWidth="1"/>
    <col min="6" max="9" width="18.42578125" style="202" customWidth="1"/>
    <col min="10" max="10" width="21.5703125" style="202" customWidth="1"/>
    <col min="11" max="16384" width="8.78515625" style="202"/>
  </cols>
  <sheetData>
    <row r="1" spans="1:10" customFormat="1" ht="19.5">
      <c r="A1" s="94" t="s">
        <v>2672</v>
      </c>
    </row>
    <row r="2" spans="1:10" customFormat="1" ht="15">
      <c r="A2" s="196" t="s">
        <v>2668</v>
      </c>
    </row>
    <row r="3" spans="1:10" customFormat="1" ht="15">
      <c r="A3" s="10" t="s">
        <v>363</v>
      </c>
    </row>
    <row r="4" spans="1:10" customFormat="1" ht="15">
      <c r="B4" s="443" t="s">
        <v>1</v>
      </c>
      <c r="C4" s="107" t="s">
        <v>70</v>
      </c>
      <c r="D4" s="110"/>
      <c r="E4" s="182"/>
      <c r="F4" s="182"/>
      <c r="G4" s="182"/>
      <c r="H4" s="182"/>
      <c r="I4" s="182"/>
      <c r="J4" s="190"/>
    </row>
    <row r="5" spans="1:10" customFormat="1" ht="15">
      <c r="B5" s="443"/>
      <c r="C5" s="69" t="s">
        <v>35</v>
      </c>
      <c r="D5" s="69" t="s">
        <v>70</v>
      </c>
      <c r="E5" s="69" t="s">
        <v>45</v>
      </c>
      <c r="F5" s="69" t="s">
        <v>349</v>
      </c>
      <c r="G5" s="69" t="s">
        <v>42</v>
      </c>
      <c r="H5" s="69" t="s">
        <v>111</v>
      </c>
      <c r="I5" s="69" t="s">
        <v>120</v>
      </c>
      <c r="J5" s="69" t="s">
        <v>121</v>
      </c>
    </row>
    <row r="6" spans="1:10" customFormat="1" ht="27">
      <c r="B6" s="443"/>
      <c r="C6" s="8" t="s">
        <v>357</v>
      </c>
      <c r="D6" s="8" t="s">
        <v>357</v>
      </c>
      <c r="E6" s="8" t="s">
        <v>20</v>
      </c>
      <c r="F6" s="8" t="s">
        <v>20</v>
      </c>
      <c r="G6" s="8" t="s">
        <v>357</v>
      </c>
      <c r="H6" s="8" t="s">
        <v>20</v>
      </c>
      <c r="I6" s="8" t="s">
        <v>20</v>
      </c>
      <c r="J6" s="8" t="s">
        <v>2724</v>
      </c>
    </row>
    <row r="7" spans="1:10" customFormat="1" ht="15">
      <c r="B7" s="443"/>
      <c r="C7" s="8" t="s">
        <v>2667</v>
      </c>
      <c r="D7" s="8" t="s">
        <v>2667</v>
      </c>
      <c r="E7" s="8"/>
      <c r="F7" s="8"/>
      <c r="G7" s="8"/>
      <c r="H7" s="8"/>
      <c r="I7" s="8"/>
      <c r="J7" s="8" t="s">
        <v>2667</v>
      </c>
    </row>
    <row r="8" spans="1:10">
      <c r="B8" s="165">
        <f t="shared" ref="B8:B13" si="0">ROW() - 7</f>
        <v>1</v>
      </c>
      <c r="C8" s="165"/>
      <c r="D8" s="165"/>
      <c r="E8" s="165"/>
      <c r="F8" s="165"/>
      <c r="G8" s="165"/>
      <c r="H8" s="165"/>
      <c r="I8" s="165"/>
      <c r="J8" s="165"/>
    </row>
    <row r="9" spans="1:10">
      <c r="B9" s="165">
        <f t="shared" si="0"/>
        <v>2</v>
      </c>
      <c r="C9" s="165"/>
      <c r="D9" s="165"/>
      <c r="E9" s="165"/>
      <c r="F9" s="165"/>
      <c r="G9" s="165"/>
      <c r="I9" s="165"/>
      <c r="J9" s="165"/>
    </row>
    <row r="10" spans="1:10">
      <c r="B10" s="165">
        <f t="shared" si="0"/>
        <v>3</v>
      </c>
      <c r="C10" s="165"/>
      <c r="D10" s="165"/>
      <c r="E10" s="165"/>
      <c r="F10" s="165"/>
      <c r="G10" s="165"/>
      <c r="H10" s="165"/>
      <c r="I10" s="165"/>
      <c r="J10" s="165"/>
    </row>
    <row r="11" spans="1:10">
      <c r="B11" s="165">
        <f t="shared" si="0"/>
        <v>4</v>
      </c>
      <c r="C11" s="165"/>
      <c r="D11" s="165"/>
      <c r="E11" s="165"/>
      <c r="F11" s="165"/>
      <c r="G11" s="165"/>
      <c r="H11" s="165"/>
      <c r="I11" s="165"/>
      <c r="J11" s="165"/>
    </row>
    <row r="12" spans="1:10">
      <c r="B12" s="165">
        <f t="shared" si="0"/>
        <v>5</v>
      </c>
      <c r="C12" s="165"/>
      <c r="D12" s="165"/>
      <c r="E12" s="165"/>
      <c r="F12" s="165"/>
      <c r="G12" s="165"/>
      <c r="H12" s="165"/>
      <c r="I12" s="165"/>
      <c r="J12" s="165"/>
    </row>
    <row r="13" spans="1:10">
      <c r="B13" s="165">
        <f t="shared" si="0"/>
        <v>6</v>
      </c>
      <c r="C13" s="165"/>
      <c r="D13" s="165"/>
      <c r="E13" s="165"/>
      <c r="F13" s="165"/>
      <c r="G13" s="165"/>
      <c r="H13" s="165"/>
      <c r="I13" s="165"/>
      <c r="J13" s="165"/>
    </row>
  </sheetData>
  <dataConsolidate/>
  <mergeCells count="1">
    <mergeCell ref="B4:B7"/>
  </mergeCells>
  <phoneticPr fontId="14"/>
  <hyperlinks>
    <hyperlink ref="A3" location="パラメータ設定一覧!A1" display="パラメータ設定一覧へ" xr:uid="{2CA1815F-12CC-4AA9-B492-C0E334DB71C7}"/>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69760-3175-4992-92FD-508CD6D916DB}">
  <sheetPr codeName="Sheet134"/>
  <dimension ref="A1:H12"/>
  <sheetViews>
    <sheetView showGridLines="0" zoomScaleNormal="100" workbookViewId="0">
      <pane ySplit="7" topLeftCell="A8" activePane="bottomLeft" state="frozen"/>
      <selection activeCell="A8" sqref="A8"/>
      <selection pane="bottomLeft" activeCell="A8" sqref="A8"/>
    </sheetView>
  </sheetViews>
  <sheetFormatPr defaultColWidth="8.78515625" defaultRowHeight="13.5"/>
  <cols>
    <col min="1" max="1" width="2.78515625" style="202" customWidth="1"/>
    <col min="2" max="2" width="3.5703125" style="202" bestFit="1" customWidth="1"/>
    <col min="3" max="3" width="17.2109375" style="202" customWidth="1"/>
    <col min="4" max="5" width="19.78515625" style="202" customWidth="1"/>
    <col min="6" max="8" width="18.42578125" style="202" customWidth="1"/>
    <col min="9" max="16384" width="8.78515625" style="202"/>
  </cols>
  <sheetData>
    <row r="1" spans="1:8" customFormat="1" ht="19.5">
      <c r="A1" s="94" t="s">
        <v>2673</v>
      </c>
    </row>
    <row r="2" spans="1:8" customFormat="1" ht="15">
      <c r="A2" s="196" t="s">
        <v>2668</v>
      </c>
    </row>
    <row r="3" spans="1:8" customFormat="1" ht="15">
      <c r="A3" s="10" t="s">
        <v>363</v>
      </c>
    </row>
    <row r="4" spans="1:8" customFormat="1" ht="15">
      <c r="B4" s="443" t="s">
        <v>1</v>
      </c>
      <c r="C4" s="107" t="s">
        <v>69</v>
      </c>
      <c r="D4" s="110"/>
      <c r="E4" s="182"/>
      <c r="F4" s="182"/>
      <c r="G4" s="182"/>
      <c r="H4" s="190"/>
    </row>
    <row r="5" spans="1:8" customFormat="1" ht="15">
      <c r="B5" s="443"/>
      <c r="C5" s="69" t="s">
        <v>35</v>
      </c>
      <c r="D5" s="69" t="s">
        <v>42</v>
      </c>
      <c r="E5" s="69" t="s">
        <v>111</v>
      </c>
      <c r="F5" s="69" t="s">
        <v>70</v>
      </c>
      <c r="G5" s="69" t="s">
        <v>321</v>
      </c>
      <c r="H5" s="69" t="s">
        <v>45</v>
      </c>
    </row>
    <row r="6" spans="1:8" customFormat="1" ht="15">
      <c r="B6" s="443"/>
      <c r="C6" s="8" t="s">
        <v>357</v>
      </c>
      <c r="D6" s="8" t="s">
        <v>357</v>
      </c>
      <c r="E6" s="8" t="s">
        <v>357</v>
      </c>
      <c r="F6" s="8" t="s">
        <v>357</v>
      </c>
      <c r="G6" s="8" t="s">
        <v>20</v>
      </c>
      <c r="H6" s="8" t="s">
        <v>20</v>
      </c>
    </row>
    <row r="7" spans="1:8" customFormat="1" ht="15">
      <c r="B7" s="443"/>
      <c r="C7" s="8"/>
      <c r="D7" s="8"/>
      <c r="E7" s="8"/>
      <c r="F7" s="8" t="s">
        <v>2667</v>
      </c>
      <c r="G7" s="8" t="s">
        <v>2667</v>
      </c>
      <c r="H7" s="8"/>
    </row>
    <row r="8" spans="1:8">
      <c r="B8" s="165">
        <f>ROW() - 7</f>
        <v>1</v>
      </c>
      <c r="C8" s="165"/>
      <c r="D8" s="165"/>
      <c r="E8" s="228"/>
      <c r="F8" s="165"/>
      <c r="G8" s="165"/>
      <c r="H8" s="165"/>
    </row>
    <row r="9" spans="1:8">
      <c r="B9" s="165">
        <f>ROW() - 7</f>
        <v>2</v>
      </c>
      <c r="C9" s="165"/>
      <c r="D9" s="165"/>
      <c r="E9" s="165"/>
      <c r="F9" s="165"/>
      <c r="G9" s="165"/>
      <c r="H9" s="165"/>
    </row>
    <row r="10" spans="1:8">
      <c r="B10" s="165">
        <f>ROW() - 7</f>
        <v>3</v>
      </c>
      <c r="C10" s="165"/>
      <c r="D10" s="165"/>
      <c r="E10" s="165"/>
      <c r="F10" s="165"/>
      <c r="G10" s="165"/>
      <c r="H10" s="165"/>
    </row>
    <row r="11" spans="1:8">
      <c r="B11" s="165">
        <f>ROW() - 7</f>
        <v>4</v>
      </c>
      <c r="C11" s="165"/>
      <c r="D11" s="165"/>
      <c r="E11" s="165"/>
      <c r="F11" s="165"/>
      <c r="G11" s="165"/>
      <c r="H11" s="165"/>
    </row>
    <row r="12" spans="1:8">
      <c r="B12" s="165">
        <f>ROW() - 7</f>
        <v>5</v>
      </c>
      <c r="C12" s="165"/>
      <c r="D12" s="165"/>
      <c r="E12" s="165"/>
      <c r="F12" s="165"/>
      <c r="G12" s="165"/>
      <c r="H12" s="165"/>
    </row>
  </sheetData>
  <sheetProtection insertRows="0" deleteRows="0" sort="0" autoFilter="0"/>
  <dataConsolidate/>
  <mergeCells count="1">
    <mergeCell ref="B4:B7"/>
  </mergeCells>
  <phoneticPr fontId="14"/>
  <hyperlinks>
    <hyperlink ref="A3" location="パラメータ設定一覧!A1" display="パラメータ設定一覧へ" xr:uid="{9FF71313-5C67-4FCC-9B71-80C6003265AA}"/>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3133E-97EF-41A9-B6A1-CFF7EBAF8C70}">
  <sheetPr codeName="Sheet135"/>
  <dimension ref="A1:P12"/>
  <sheetViews>
    <sheetView showGridLines="0" zoomScaleNormal="100" workbookViewId="0">
      <pane xSplit="4" ySplit="7" topLeftCell="E8" activePane="bottomRight" state="frozen"/>
      <selection activeCell="A8" sqref="A8"/>
      <selection pane="topRight" activeCell="A8" sqref="A8"/>
      <selection pane="bottomLeft" activeCell="A8" sqref="A8"/>
      <selection pane="bottomRight" activeCell="E8" sqref="E8"/>
    </sheetView>
  </sheetViews>
  <sheetFormatPr defaultColWidth="8.78515625" defaultRowHeight="13.5"/>
  <cols>
    <col min="1" max="1" width="2.78515625" style="202" customWidth="1"/>
    <col min="2" max="2" width="3.5703125" style="202" bestFit="1" customWidth="1"/>
    <col min="3" max="3" width="17.2109375" style="202" customWidth="1"/>
    <col min="4" max="5" width="19.78515625" style="202" customWidth="1"/>
    <col min="6" max="16" width="18.42578125" style="202" customWidth="1"/>
    <col min="17" max="16384" width="8.78515625" style="202"/>
  </cols>
  <sheetData>
    <row r="1" spans="1:16" customFormat="1" ht="19.5">
      <c r="A1" s="94" t="s">
        <v>2674</v>
      </c>
    </row>
    <row r="2" spans="1:16" customFormat="1" ht="15">
      <c r="A2" s="196" t="s">
        <v>2668</v>
      </c>
    </row>
    <row r="3" spans="1:16" customFormat="1" ht="15">
      <c r="A3" s="10" t="s">
        <v>363</v>
      </c>
    </row>
    <row r="4" spans="1:16" customFormat="1" ht="15">
      <c r="B4" s="443" t="s">
        <v>1</v>
      </c>
      <c r="C4" s="107" t="s">
        <v>31</v>
      </c>
      <c r="D4" s="110"/>
      <c r="E4" s="182"/>
      <c r="F4" s="182"/>
      <c r="G4" s="182"/>
      <c r="H4" s="182"/>
      <c r="I4" s="182"/>
      <c r="J4" s="182"/>
      <c r="K4" s="182"/>
      <c r="L4" s="182"/>
      <c r="M4" s="182"/>
      <c r="N4" s="182"/>
      <c r="O4" s="182"/>
      <c r="P4" s="190"/>
    </row>
    <row r="5" spans="1:16" customFormat="1" ht="15">
      <c r="B5" s="443"/>
      <c r="C5" s="69" t="s">
        <v>35</v>
      </c>
      <c r="D5" s="69" t="s">
        <v>42</v>
      </c>
      <c r="E5" s="69" t="s">
        <v>111</v>
      </c>
      <c r="F5" s="69" t="s">
        <v>70</v>
      </c>
      <c r="G5" s="69" t="s">
        <v>321</v>
      </c>
      <c r="H5" s="69" t="s">
        <v>125</v>
      </c>
      <c r="I5" s="69" t="s">
        <v>31</v>
      </c>
      <c r="J5" s="78" t="s">
        <v>126</v>
      </c>
      <c r="K5" s="69" t="s">
        <v>45</v>
      </c>
      <c r="L5" s="69" t="s">
        <v>38</v>
      </c>
      <c r="M5" s="69" t="s">
        <v>128</v>
      </c>
      <c r="N5" s="69" t="s">
        <v>161</v>
      </c>
      <c r="O5" s="69" t="s">
        <v>326</v>
      </c>
      <c r="P5" s="69" t="s">
        <v>162</v>
      </c>
    </row>
    <row r="6" spans="1:16" customFormat="1" ht="15">
      <c r="B6" s="443"/>
      <c r="C6" s="8" t="s">
        <v>357</v>
      </c>
      <c r="D6" s="8" t="s">
        <v>357</v>
      </c>
      <c r="E6" s="8" t="s">
        <v>357</v>
      </c>
      <c r="F6" s="8" t="s">
        <v>357</v>
      </c>
      <c r="G6" s="8" t="s">
        <v>50</v>
      </c>
      <c r="H6" s="8" t="s">
        <v>50</v>
      </c>
      <c r="I6" s="8" t="s">
        <v>20</v>
      </c>
      <c r="J6" s="78" t="s">
        <v>357</v>
      </c>
      <c r="K6" s="8" t="s">
        <v>20</v>
      </c>
      <c r="L6" s="8" t="s">
        <v>357</v>
      </c>
      <c r="M6" s="8" t="s">
        <v>50</v>
      </c>
      <c r="N6" s="8" t="s">
        <v>50</v>
      </c>
      <c r="O6" s="8" t="s">
        <v>50</v>
      </c>
      <c r="P6" s="8"/>
    </row>
    <row r="7" spans="1:16" customFormat="1" ht="15">
      <c r="B7" s="443"/>
      <c r="C7" s="8" t="s">
        <v>2727</v>
      </c>
      <c r="D7" s="8"/>
      <c r="E7" s="8"/>
      <c r="F7" s="8"/>
      <c r="G7" s="8"/>
      <c r="H7" s="8" t="s">
        <v>2667</v>
      </c>
      <c r="I7" s="8"/>
      <c r="J7" s="78"/>
      <c r="K7" s="8"/>
      <c r="L7" s="8"/>
      <c r="M7" s="8"/>
      <c r="N7" s="8"/>
      <c r="O7" s="8"/>
      <c r="P7" s="8"/>
    </row>
    <row r="8" spans="1:16">
      <c r="B8" s="165">
        <f>ROW() - 7</f>
        <v>1</v>
      </c>
      <c r="C8" s="165" t="s">
        <v>163</v>
      </c>
      <c r="D8" s="165"/>
      <c r="E8" s="165"/>
      <c r="F8" s="165"/>
      <c r="G8" s="165"/>
      <c r="H8" s="165"/>
      <c r="I8" s="165"/>
      <c r="J8" s="229"/>
      <c r="K8" s="165"/>
      <c r="L8" s="165"/>
      <c r="M8" s="165"/>
      <c r="N8" s="165"/>
      <c r="O8" s="165"/>
      <c r="P8" s="165"/>
    </row>
    <row r="9" spans="1:16">
      <c r="B9" s="165">
        <f>ROW() - 7</f>
        <v>2</v>
      </c>
      <c r="C9" s="165" t="s">
        <v>163</v>
      </c>
      <c r="D9" s="165"/>
      <c r="E9" s="165"/>
      <c r="F9" s="165"/>
      <c r="G9" s="165"/>
      <c r="H9" s="165"/>
      <c r="I9" s="165"/>
      <c r="J9" s="229"/>
      <c r="K9" s="165"/>
      <c r="L9" s="165"/>
      <c r="M9" s="165"/>
      <c r="N9" s="165"/>
      <c r="O9" s="165"/>
      <c r="P9" s="165"/>
    </row>
    <row r="10" spans="1:16">
      <c r="B10" s="165">
        <f>ROW() - 7</f>
        <v>3</v>
      </c>
      <c r="C10" s="165" t="s">
        <v>163</v>
      </c>
      <c r="D10" s="165"/>
      <c r="E10" s="165"/>
      <c r="F10" s="165"/>
      <c r="G10" s="165"/>
      <c r="H10" s="165"/>
      <c r="I10" s="165"/>
      <c r="J10" s="229"/>
      <c r="K10" s="165"/>
      <c r="L10" s="165"/>
      <c r="M10" s="165"/>
      <c r="N10" s="165"/>
      <c r="O10" s="165"/>
      <c r="P10" s="165"/>
    </row>
    <row r="11" spans="1:16">
      <c r="B11" s="165">
        <f>ROW() - 7</f>
        <v>4</v>
      </c>
      <c r="C11" s="165" t="s">
        <v>163</v>
      </c>
      <c r="D11" s="165"/>
      <c r="E11" s="165"/>
      <c r="F11" s="165"/>
      <c r="G11" s="165"/>
      <c r="H11" s="165"/>
      <c r="I11" s="165"/>
      <c r="J11" s="229"/>
      <c r="K11" s="165"/>
      <c r="L11" s="165"/>
      <c r="M11" s="165"/>
      <c r="N11" s="165"/>
      <c r="O11" s="165"/>
      <c r="P11" s="165"/>
    </row>
    <row r="12" spans="1:16">
      <c r="B12" s="165">
        <f>ROW() - 7</f>
        <v>5</v>
      </c>
      <c r="C12" s="165" t="s">
        <v>163</v>
      </c>
      <c r="D12" s="165"/>
      <c r="E12" s="165"/>
      <c r="F12" s="165"/>
      <c r="G12" s="165"/>
      <c r="H12" s="165"/>
      <c r="I12" s="165"/>
      <c r="J12" s="229"/>
      <c r="K12" s="165"/>
      <c r="L12" s="165"/>
      <c r="M12" s="165"/>
      <c r="N12" s="165"/>
      <c r="O12" s="165"/>
      <c r="P12" s="165"/>
    </row>
  </sheetData>
  <sheetProtection insertRows="0" deleteRows="0" sort="0" autoFilter="0"/>
  <dataConsolidate/>
  <mergeCells count="1">
    <mergeCell ref="B4:B7"/>
  </mergeCells>
  <phoneticPr fontId="14"/>
  <hyperlinks>
    <hyperlink ref="A3" location="パラメータ設定一覧!A1" display="パラメータ設定一覧へ" xr:uid="{1E63FE67-C56C-49F1-B2E9-791343D53CF0}"/>
  </hyperlink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0D22E-B6B7-45EF-8E11-41149581F1AC}">
  <sheetPr codeName="Sheet136"/>
  <dimension ref="A1:Q12"/>
  <sheetViews>
    <sheetView showGridLines="0" zoomScaleNormal="100" workbookViewId="0">
      <pane xSplit="4" ySplit="7" topLeftCell="E8" activePane="bottomRight" state="frozen"/>
      <selection activeCell="A8" sqref="A8"/>
      <selection pane="topRight" activeCell="A8" sqref="A8"/>
      <selection pane="bottomLeft" activeCell="A8" sqref="A8"/>
      <selection pane="bottomRight" activeCell="E8" sqref="E8"/>
    </sheetView>
  </sheetViews>
  <sheetFormatPr defaultColWidth="8.78515625" defaultRowHeight="13.5"/>
  <cols>
    <col min="1" max="1" width="2.78515625" style="202" customWidth="1"/>
    <col min="2" max="2" width="3.5703125" style="202" bestFit="1" customWidth="1"/>
    <col min="3" max="3" width="17.2109375" style="202" customWidth="1"/>
    <col min="4" max="5" width="19.78515625" style="202" customWidth="1"/>
    <col min="6" max="17" width="18.42578125" style="202" customWidth="1"/>
    <col min="18" max="16384" width="8.78515625" style="202"/>
  </cols>
  <sheetData>
    <row r="1" spans="1:17" customFormat="1" ht="19.5">
      <c r="A1" s="94" t="s">
        <v>2675</v>
      </c>
    </row>
    <row r="2" spans="1:17" customFormat="1" ht="15">
      <c r="A2" s="196" t="s">
        <v>2668</v>
      </c>
    </row>
    <row r="3" spans="1:17" customFormat="1" ht="15">
      <c r="A3" s="10" t="s">
        <v>363</v>
      </c>
    </row>
    <row r="4" spans="1:17" customFormat="1" ht="15">
      <c r="B4" s="443" t="s">
        <v>1</v>
      </c>
      <c r="C4" s="107" t="s">
        <v>134</v>
      </c>
      <c r="D4" s="110"/>
      <c r="E4" s="182"/>
      <c r="F4" s="182"/>
      <c r="G4" s="182"/>
      <c r="H4" s="182"/>
      <c r="I4" s="182"/>
      <c r="J4" s="182"/>
      <c r="K4" s="182"/>
      <c r="L4" s="182"/>
      <c r="M4" s="182"/>
      <c r="N4" s="182"/>
      <c r="O4" s="182"/>
      <c r="P4" s="182"/>
      <c r="Q4" s="190"/>
    </row>
    <row r="5" spans="1:17" customFormat="1" ht="15">
      <c r="B5" s="443"/>
      <c r="C5" s="69" t="s">
        <v>35</v>
      </c>
      <c r="D5" s="69" t="s">
        <v>42</v>
      </c>
      <c r="E5" s="69" t="s">
        <v>111</v>
      </c>
      <c r="F5" s="69" t="s">
        <v>70</v>
      </c>
      <c r="G5" s="69" t="s">
        <v>321</v>
      </c>
      <c r="H5" s="69" t="s">
        <v>125</v>
      </c>
      <c r="I5" s="69" t="s">
        <v>138</v>
      </c>
      <c r="J5" s="69" t="s">
        <v>139</v>
      </c>
      <c r="K5" s="69" t="s">
        <v>140</v>
      </c>
      <c r="L5" s="69" t="s">
        <v>126</v>
      </c>
      <c r="M5" s="69" t="s">
        <v>45</v>
      </c>
      <c r="N5" s="69" t="s">
        <v>38</v>
      </c>
      <c r="O5" s="69" t="s">
        <v>128</v>
      </c>
      <c r="P5" s="69" t="s">
        <v>164</v>
      </c>
      <c r="Q5" s="69" t="s">
        <v>130</v>
      </c>
    </row>
    <row r="6" spans="1:17" customFormat="1" ht="15">
      <c r="B6" s="443"/>
      <c r="C6" s="8" t="s">
        <v>357</v>
      </c>
      <c r="D6" s="8" t="s">
        <v>357</v>
      </c>
      <c r="E6" s="8" t="s">
        <v>357</v>
      </c>
      <c r="F6" s="8" t="s">
        <v>357</v>
      </c>
      <c r="G6" s="8" t="s">
        <v>357</v>
      </c>
      <c r="H6" s="8" t="s">
        <v>357</v>
      </c>
      <c r="I6" s="8" t="s">
        <v>50</v>
      </c>
      <c r="J6" s="8" t="s">
        <v>50</v>
      </c>
      <c r="K6" s="8" t="s">
        <v>20</v>
      </c>
      <c r="L6" s="8" t="s">
        <v>357</v>
      </c>
      <c r="M6" s="8" t="s">
        <v>20</v>
      </c>
      <c r="N6" s="8" t="s">
        <v>38</v>
      </c>
      <c r="O6" s="8" t="s">
        <v>50</v>
      </c>
      <c r="P6" s="8" t="s">
        <v>50</v>
      </c>
      <c r="Q6" s="8" t="s">
        <v>50</v>
      </c>
    </row>
    <row r="7" spans="1:17" customFormat="1" ht="15">
      <c r="B7" s="443"/>
      <c r="C7" s="8" t="s">
        <v>2727</v>
      </c>
      <c r="D7" s="8"/>
      <c r="E7" s="8"/>
      <c r="F7" s="8"/>
      <c r="G7" s="8"/>
      <c r="H7" s="8"/>
      <c r="I7" s="8" t="s">
        <v>2667</v>
      </c>
      <c r="J7" s="8"/>
      <c r="K7" s="8"/>
      <c r="L7" s="8"/>
      <c r="M7" s="8"/>
      <c r="N7" s="8"/>
      <c r="O7" s="8"/>
      <c r="P7" s="8"/>
      <c r="Q7" s="8"/>
    </row>
    <row r="8" spans="1:17">
      <c r="B8" s="165">
        <f>ROW() - 7</f>
        <v>1</v>
      </c>
      <c r="C8" s="165" t="s">
        <v>163</v>
      </c>
      <c r="D8" s="165"/>
      <c r="E8" s="165"/>
      <c r="F8" s="165"/>
      <c r="G8" s="165"/>
      <c r="H8" s="165"/>
      <c r="I8" s="165"/>
      <c r="J8" s="165"/>
      <c r="K8" s="165"/>
      <c r="L8" s="165"/>
      <c r="M8" s="165"/>
      <c r="N8" s="165"/>
      <c r="O8" s="165"/>
      <c r="P8" s="165"/>
      <c r="Q8" s="165"/>
    </row>
    <row r="9" spans="1:17">
      <c r="B9" s="165">
        <f>ROW() - 7</f>
        <v>2</v>
      </c>
      <c r="C9" s="165" t="s">
        <v>163</v>
      </c>
      <c r="D9" s="165"/>
      <c r="E9" s="165"/>
      <c r="F9" s="165"/>
      <c r="G9" s="165"/>
      <c r="H9" s="165"/>
      <c r="I9" s="165"/>
      <c r="J9" s="165"/>
      <c r="K9" s="165"/>
      <c r="L9" s="165"/>
      <c r="M9" s="165"/>
      <c r="N9" s="165"/>
      <c r="O9" s="165"/>
      <c r="P9" s="165"/>
      <c r="Q9" s="165"/>
    </row>
    <row r="10" spans="1:17">
      <c r="B10" s="165">
        <f>ROW() - 7</f>
        <v>3</v>
      </c>
      <c r="C10" s="165" t="s">
        <v>163</v>
      </c>
      <c r="D10" s="165"/>
      <c r="E10" s="165"/>
      <c r="F10" s="165"/>
      <c r="G10" s="165"/>
      <c r="H10" s="165"/>
      <c r="I10" s="165"/>
      <c r="J10" s="165"/>
      <c r="K10" s="165"/>
      <c r="L10" s="165"/>
      <c r="M10" s="165"/>
      <c r="N10" s="165"/>
      <c r="O10" s="165"/>
      <c r="P10" s="165"/>
      <c r="Q10" s="165"/>
    </row>
    <row r="11" spans="1:17">
      <c r="B11" s="165">
        <f>ROW() - 7</f>
        <v>4</v>
      </c>
      <c r="C11" s="165" t="s">
        <v>163</v>
      </c>
      <c r="D11" s="165"/>
      <c r="E11" s="165"/>
      <c r="F11" s="165"/>
      <c r="G11" s="165"/>
      <c r="H11" s="165"/>
      <c r="I11" s="165"/>
      <c r="J11" s="165"/>
      <c r="K11" s="165"/>
      <c r="L11" s="165"/>
      <c r="M11" s="165"/>
      <c r="N11" s="165"/>
      <c r="O11" s="165"/>
      <c r="P11" s="165"/>
      <c r="Q11" s="165"/>
    </row>
    <row r="12" spans="1:17">
      <c r="B12" s="165">
        <f>ROW() - 7</f>
        <v>5</v>
      </c>
      <c r="C12" s="165" t="s">
        <v>163</v>
      </c>
      <c r="D12" s="165"/>
      <c r="E12" s="165"/>
      <c r="F12" s="165"/>
      <c r="G12" s="165"/>
      <c r="H12" s="165"/>
      <c r="I12" s="165"/>
      <c r="J12" s="165"/>
      <c r="K12" s="165"/>
      <c r="L12" s="165"/>
      <c r="M12" s="165"/>
      <c r="N12" s="165"/>
      <c r="O12" s="165"/>
      <c r="P12" s="165"/>
      <c r="Q12" s="165"/>
    </row>
  </sheetData>
  <sheetProtection insertRows="0" deleteRows="0" sort="0" autoFilter="0"/>
  <dataConsolidate/>
  <mergeCells count="1">
    <mergeCell ref="B4:B7"/>
  </mergeCells>
  <phoneticPr fontId="14"/>
  <hyperlinks>
    <hyperlink ref="A3" location="パラメータ設定一覧!A1" display="パラメータ設定一覧へ" xr:uid="{F71E1765-0091-4077-BEC9-62AEA0305E1E}"/>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E12AE-0718-4B5F-9663-64B6D82BA54E}">
  <sheetPr codeName="Sheet137"/>
  <dimension ref="A1:Q12"/>
  <sheetViews>
    <sheetView showGridLines="0" zoomScaleNormal="100" workbookViewId="0">
      <pane xSplit="4" ySplit="7" topLeftCell="E8" activePane="bottomRight" state="frozen"/>
      <selection activeCell="A8" sqref="A8"/>
      <selection pane="topRight" activeCell="A8" sqref="A8"/>
      <selection pane="bottomLeft" activeCell="A8" sqref="A8"/>
      <selection pane="bottomRight" activeCell="E8" sqref="E8"/>
    </sheetView>
  </sheetViews>
  <sheetFormatPr defaultColWidth="8.78515625" defaultRowHeight="13.5"/>
  <cols>
    <col min="1" max="1" width="2.78515625" style="202" customWidth="1"/>
    <col min="2" max="2" width="3.5703125" style="202" bestFit="1" customWidth="1"/>
    <col min="3" max="3" width="17.2109375" style="202" customWidth="1"/>
    <col min="4" max="5" width="19.78515625" style="202" customWidth="1"/>
    <col min="6" max="17" width="18.42578125" style="202" customWidth="1"/>
    <col min="18" max="16384" width="8.78515625" style="202"/>
  </cols>
  <sheetData>
    <row r="1" spans="1:17" customFormat="1" ht="19.5">
      <c r="A1" s="94" t="s">
        <v>2676</v>
      </c>
    </row>
    <row r="2" spans="1:17" customFormat="1" ht="15">
      <c r="A2" s="196" t="s">
        <v>2668</v>
      </c>
    </row>
    <row r="3" spans="1:17" customFormat="1" ht="15">
      <c r="A3" s="10" t="s">
        <v>363</v>
      </c>
    </row>
    <row r="4" spans="1:17" customFormat="1" ht="15">
      <c r="B4" s="443" t="s">
        <v>1</v>
      </c>
      <c r="C4" s="107" t="s">
        <v>165</v>
      </c>
      <c r="D4" s="110"/>
      <c r="E4" s="182"/>
      <c r="F4" s="182"/>
      <c r="G4" s="182"/>
      <c r="H4" s="182"/>
      <c r="I4" s="182"/>
      <c r="J4" s="182"/>
      <c r="K4" s="182"/>
      <c r="L4" s="182"/>
      <c r="M4" s="182"/>
      <c r="N4" s="182"/>
      <c r="O4" s="182"/>
      <c r="P4" s="182"/>
      <c r="Q4" s="190"/>
    </row>
    <row r="5" spans="1:17" customFormat="1" ht="15">
      <c r="B5" s="443"/>
      <c r="C5" s="69" t="s">
        <v>35</v>
      </c>
      <c r="D5" s="69" t="s">
        <v>42</v>
      </c>
      <c r="E5" s="69" t="s">
        <v>111</v>
      </c>
      <c r="F5" s="69" t="s">
        <v>70</v>
      </c>
      <c r="G5" s="69" t="s">
        <v>321</v>
      </c>
      <c r="H5" s="69" t="s">
        <v>125</v>
      </c>
      <c r="I5" s="69" t="s">
        <v>144</v>
      </c>
      <c r="J5" s="69" t="s">
        <v>327</v>
      </c>
      <c r="K5" s="69" t="s">
        <v>140</v>
      </c>
      <c r="L5" s="69" t="s">
        <v>126</v>
      </c>
      <c r="M5" s="69" t="s">
        <v>45</v>
      </c>
      <c r="N5" s="69" t="s">
        <v>38</v>
      </c>
      <c r="O5" s="69" t="s">
        <v>128</v>
      </c>
      <c r="P5" s="69" t="s">
        <v>164</v>
      </c>
      <c r="Q5" s="69" t="s">
        <v>326</v>
      </c>
    </row>
    <row r="6" spans="1:17" customFormat="1" ht="15">
      <c r="B6" s="443"/>
      <c r="C6" s="8" t="s">
        <v>357</v>
      </c>
      <c r="D6" s="8" t="s">
        <v>357</v>
      </c>
      <c r="E6" s="8" t="s">
        <v>357</v>
      </c>
      <c r="F6" s="8" t="s">
        <v>357</v>
      </c>
      <c r="G6" s="8" t="s">
        <v>357</v>
      </c>
      <c r="H6" s="8" t="s">
        <v>357</v>
      </c>
      <c r="I6" s="8" t="s">
        <v>20</v>
      </c>
      <c r="J6" s="8" t="s">
        <v>50</v>
      </c>
      <c r="K6" s="8" t="s">
        <v>20</v>
      </c>
      <c r="L6" s="8"/>
      <c r="M6" s="8" t="s">
        <v>20</v>
      </c>
      <c r="N6" s="8" t="s">
        <v>38</v>
      </c>
      <c r="O6" s="8" t="s">
        <v>50</v>
      </c>
      <c r="P6" s="8" t="s">
        <v>50</v>
      </c>
      <c r="Q6" s="8" t="s">
        <v>50</v>
      </c>
    </row>
    <row r="7" spans="1:17" customFormat="1" ht="15">
      <c r="B7" s="443"/>
      <c r="C7" s="8" t="s">
        <v>2728</v>
      </c>
      <c r="D7" s="8"/>
      <c r="E7" s="8"/>
      <c r="F7" s="8"/>
      <c r="G7" s="8"/>
      <c r="H7" s="8"/>
      <c r="I7" s="8" t="s">
        <v>2667</v>
      </c>
      <c r="J7" s="8"/>
      <c r="K7" s="8"/>
      <c r="L7" s="8"/>
      <c r="M7" s="8"/>
      <c r="N7" s="8"/>
      <c r="O7" s="8"/>
      <c r="P7" s="8"/>
      <c r="Q7" s="8"/>
    </row>
    <row r="8" spans="1:17">
      <c r="B8" s="165">
        <f>ROW() - 7</f>
        <v>1</v>
      </c>
      <c r="C8" s="165" t="s">
        <v>163</v>
      </c>
      <c r="D8" s="165"/>
      <c r="E8" s="165"/>
      <c r="F8" s="165"/>
      <c r="G8" s="165"/>
      <c r="H8" s="165"/>
      <c r="I8" s="165"/>
      <c r="J8" s="165"/>
      <c r="K8" s="165"/>
      <c r="L8" s="165"/>
      <c r="M8" s="165"/>
      <c r="N8" s="165"/>
      <c r="O8" s="165"/>
      <c r="P8" s="165"/>
      <c r="Q8" s="165"/>
    </row>
    <row r="9" spans="1:17">
      <c r="B9" s="165">
        <f>ROW() - 7</f>
        <v>2</v>
      </c>
      <c r="C9" s="165" t="s">
        <v>163</v>
      </c>
      <c r="D9" s="165"/>
      <c r="E9" s="165"/>
      <c r="F9" s="165"/>
      <c r="G9" s="165"/>
      <c r="H9" s="165"/>
      <c r="I9" s="165"/>
      <c r="J9" s="165"/>
      <c r="K9" s="165"/>
      <c r="L9" s="165"/>
      <c r="M9" s="165"/>
      <c r="N9" s="165"/>
      <c r="O9" s="165"/>
      <c r="P9" s="165"/>
      <c r="Q9" s="165"/>
    </row>
    <row r="10" spans="1:17">
      <c r="B10" s="165">
        <f>ROW() - 7</f>
        <v>3</v>
      </c>
      <c r="C10" s="165" t="s">
        <v>163</v>
      </c>
      <c r="D10" s="165"/>
      <c r="E10" s="165"/>
      <c r="F10" s="165"/>
      <c r="G10" s="165"/>
      <c r="H10" s="165"/>
      <c r="I10" s="165"/>
      <c r="J10" s="165"/>
      <c r="K10" s="165"/>
      <c r="L10" s="165"/>
      <c r="M10" s="165"/>
      <c r="N10" s="165"/>
      <c r="O10" s="165"/>
      <c r="P10" s="165"/>
      <c r="Q10" s="165"/>
    </row>
    <row r="11" spans="1:17">
      <c r="B11" s="165">
        <f>ROW() - 7</f>
        <v>4</v>
      </c>
      <c r="C11" s="165" t="s">
        <v>163</v>
      </c>
      <c r="D11" s="165"/>
      <c r="E11" s="165"/>
      <c r="F11" s="165"/>
      <c r="G11" s="165"/>
      <c r="H11" s="165"/>
      <c r="I11" s="165"/>
      <c r="J11" s="165"/>
      <c r="K11" s="165"/>
      <c r="L11" s="165"/>
      <c r="M11" s="165"/>
      <c r="N11" s="165"/>
      <c r="O11" s="165"/>
      <c r="P11" s="165"/>
      <c r="Q11" s="165"/>
    </row>
    <row r="12" spans="1:17">
      <c r="B12" s="165">
        <f>ROW() - 7</f>
        <v>5</v>
      </c>
      <c r="C12" s="165" t="s">
        <v>163</v>
      </c>
      <c r="D12" s="165"/>
      <c r="E12" s="165"/>
      <c r="F12" s="165"/>
      <c r="G12" s="165"/>
      <c r="H12" s="165"/>
      <c r="I12" s="165"/>
      <c r="J12" s="165"/>
      <c r="K12" s="165"/>
      <c r="L12" s="165"/>
      <c r="M12" s="165"/>
      <c r="N12" s="165"/>
      <c r="O12" s="165"/>
      <c r="P12" s="165"/>
      <c r="Q12" s="165"/>
    </row>
  </sheetData>
  <sheetProtection insertRows="0" deleteRows="0" sort="0" autoFilter="0"/>
  <dataConsolidate/>
  <mergeCells count="1">
    <mergeCell ref="B4:B7"/>
  </mergeCells>
  <phoneticPr fontId="14"/>
  <hyperlinks>
    <hyperlink ref="A3" location="パラメータ設定一覧!A1" display="パラメータ設定一覧へ" xr:uid="{29519283-A5CE-4EDD-B011-AB8E96226CBB}"/>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879FA-B8D7-4A65-8B88-141B56B762FB}">
  <sheetPr codeName="Sheet138"/>
  <dimension ref="A1:Q12"/>
  <sheetViews>
    <sheetView showGridLines="0" zoomScaleNormal="100" workbookViewId="0">
      <pane xSplit="4" ySplit="7" topLeftCell="E8" activePane="bottomRight" state="frozen"/>
      <selection activeCell="A8" sqref="A8"/>
      <selection pane="topRight" activeCell="A8" sqref="A8"/>
      <selection pane="bottomLeft" activeCell="A8" sqref="A8"/>
      <selection pane="bottomRight" activeCell="E8" sqref="E8"/>
    </sheetView>
  </sheetViews>
  <sheetFormatPr defaultColWidth="8.78515625" defaultRowHeight="13.5"/>
  <cols>
    <col min="1" max="1" width="2.78515625" style="228" customWidth="1"/>
    <col min="2" max="2" width="3.5703125" style="228" bestFit="1" customWidth="1"/>
    <col min="3" max="3" width="17.2109375" style="228" customWidth="1"/>
    <col min="4" max="5" width="19.78515625" style="228" customWidth="1"/>
    <col min="6" max="17" width="18.42578125" style="228" customWidth="1"/>
    <col min="18" max="16384" width="8.78515625" style="228"/>
  </cols>
  <sheetData>
    <row r="1" spans="1:17" s="1" customFormat="1" ht="19.5">
      <c r="A1" s="94" t="s">
        <v>2677</v>
      </c>
    </row>
    <row r="2" spans="1:17" s="1" customFormat="1" ht="15">
      <c r="A2" s="196" t="s">
        <v>2668</v>
      </c>
    </row>
    <row r="3" spans="1:17" s="1" customFormat="1" ht="15">
      <c r="A3" s="10" t="s">
        <v>363</v>
      </c>
    </row>
    <row r="4" spans="1:17" s="1" customFormat="1" ht="15">
      <c r="B4" s="444" t="s">
        <v>1</v>
      </c>
      <c r="C4" s="219" t="s">
        <v>145</v>
      </c>
      <c r="D4" s="220"/>
      <c r="E4" s="191"/>
      <c r="F4" s="191"/>
      <c r="G4" s="191"/>
      <c r="H4" s="191"/>
      <c r="I4" s="191"/>
      <c r="J4" s="191"/>
      <c r="K4" s="191"/>
      <c r="L4" s="191"/>
      <c r="M4" s="191"/>
      <c r="N4" s="191"/>
      <c r="O4" s="191"/>
      <c r="P4" s="191"/>
      <c r="Q4" s="192"/>
    </row>
    <row r="5" spans="1:17" s="1" customFormat="1" ht="15">
      <c r="B5" s="444"/>
      <c r="C5" s="9" t="s">
        <v>35</v>
      </c>
      <c r="D5" s="9" t="s">
        <v>42</v>
      </c>
      <c r="E5" s="9" t="s">
        <v>111</v>
      </c>
      <c r="F5" s="9" t="s">
        <v>70</v>
      </c>
      <c r="G5" s="9" t="s">
        <v>321</v>
      </c>
      <c r="H5" s="9" t="s">
        <v>125</v>
      </c>
      <c r="I5" s="9" t="s">
        <v>134</v>
      </c>
      <c r="J5" s="9" t="s">
        <v>329</v>
      </c>
      <c r="K5" s="9" t="s">
        <v>145</v>
      </c>
      <c r="L5" s="9" t="s">
        <v>148</v>
      </c>
      <c r="M5" s="9" t="s">
        <v>126</v>
      </c>
      <c r="N5" s="9" t="s">
        <v>45</v>
      </c>
      <c r="O5" s="9" t="s">
        <v>38</v>
      </c>
      <c r="P5" s="9" t="s">
        <v>128</v>
      </c>
      <c r="Q5" s="9" t="s">
        <v>164</v>
      </c>
    </row>
    <row r="6" spans="1:17" s="1" customFormat="1" ht="15">
      <c r="B6" s="444"/>
      <c r="C6" s="4" t="s">
        <v>357</v>
      </c>
      <c r="D6" s="4" t="s">
        <v>357</v>
      </c>
      <c r="E6" s="4" t="s">
        <v>357</v>
      </c>
      <c r="F6" s="4" t="s">
        <v>357</v>
      </c>
      <c r="G6" s="4" t="s">
        <v>357</v>
      </c>
      <c r="H6" s="4" t="s">
        <v>357</v>
      </c>
      <c r="I6" s="4" t="s">
        <v>357</v>
      </c>
      <c r="J6" s="4" t="s">
        <v>20</v>
      </c>
      <c r="K6" s="4" t="s">
        <v>20</v>
      </c>
      <c r="L6" s="4" t="s">
        <v>50</v>
      </c>
      <c r="M6" s="4"/>
      <c r="N6" s="4" t="s">
        <v>20</v>
      </c>
      <c r="O6" s="4" t="s">
        <v>38</v>
      </c>
      <c r="P6" s="4" t="s">
        <v>50</v>
      </c>
      <c r="Q6" s="4" t="s">
        <v>50</v>
      </c>
    </row>
    <row r="7" spans="1:17" s="1" customFormat="1" ht="15">
      <c r="B7" s="444"/>
      <c r="C7" s="4" t="s">
        <v>2726</v>
      </c>
      <c r="D7" s="4"/>
      <c r="E7" s="4"/>
      <c r="F7" s="4"/>
      <c r="G7" s="4"/>
      <c r="H7" s="4"/>
      <c r="I7" s="4" t="s">
        <v>2667</v>
      </c>
      <c r="J7" s="4" t="s">
        <v>2667</v>
      </c>
      <c r="K7" s="4"/>
      <c r="L7" s="4"/>
      <c r="M7" s="4"/>
      <c r="N7" s="4"/>
      <c r="O7" s="4"/>
      <c r="P7" s="4"/>
      <c r="Q7" s="4"/>
    </row>
    <row r="8" spans="1:17">
      <c r="B8" s="165">
        <f>ROW() - 7</f>
        <v>1</v>
      </c>
      <c r="C8" s="165" t="s">
        <v>163</v>
      </c>
      <c r="D8" s="165"/>
      <c r="E8" s="165"/>
      <c r="F8" s="165"/>
      <c r="G8" s="165"/>
      <c r="H8" s="165"/>
      <c r="I8" s="165"/>
      <c r="J8" s="165"/>
      <c r="K8" s="165"/>
      <c r="L8" s="165"/>
      <c r="M8" s="165"/>
      <c r="N8" s="165"/>
      <c r="O8" s="165"/>
      <c r="P8" s="165"/>
      <c r="Q8" s="165"/>
    </row>
    <row r="9" spans="1:17">
      <c r="B9" s="165">
        <f>ROW() - 7</f>
        <v>2</v>
      </c>
      <c r="C9" s="165" t="s">
        <v>163</v>
      </c>
      <c r="D9" s="165"/>
      <c r="E9" s="165"/>
      <c r="F9" s="165"/>
      <c r="G9" s="165"/>
      <c r="H9" s="165"/>
      <c r="I9" s="165"/>
      <c r="J9" s="165"/>
      <c r="K9" s="165"/>
      <c r="L9" s="165"/>
      <c r="M9" s="165"/>
      <c r="N9" s="165"/>
      <c r="O9" s="165"/>
      <c r="P9" s="165"/>
      <c r="Q9" s="165"/>
    </row>
    <row r="10" spans="1:17">
      <c r="B10" s="165">
        <f>ROW() - 7</f>
        <v>3</v>
      </c>
      <c r="C10" s="165" t="s">
        <v>163</v>
      </c>
      <c r="D10" s="165"/>
      <c r="E10" s="165"/>
      <c r="F10" s="165"/>
      <c r="G10" s="165"/>
      <c r="H10" s="165"/>
      <c r="I10" s="165"/>
      <c r="J10" s="165"/>
      <c r="K10" s="165"/>
      <c r="L10" s="165"/>
      <c r="M10" s="165"/>
      <c r="N10" s="165"/>
      <c r="O10" s="165"/>
      <c r="P10" s="165"/>
      <c r="Q10" s="165"/>
    </row>
    <row r="11" spans="1:17">
      <c r="B11" s="165">
        <f>ROW() - 7</f>
        <v>4</v>
      </c>
      <c r="C11" s="165" t="s">
        <v>163</v>
      </c>
      <c r="D11" s="165"/>
      <c r="E11" s="165"/>
      <c r="F11" s="165"/>
      <c r="G11" s="165"/>
      <c r="H11" s="165"/>
      <c r="I11" s="165"/>
      <c r="J11" s="165"/>
      <c r="K11" s="165"/>
      <c r="L11" s="165"/>
      <c r="M11" s="165"/>
      <c r="N11" s="165"/>
      <c r="O11" s="165"/>
      <c r="P11" s="165"/>
      <c r="Q11" s="165"/>
    </row>
    <row r="12" spans="1:17">
      <c r="B12" s="165">
        <f>ROW() - 7</f>
        <v>5</v>
      </c>
      <c r="C12" s="165" t="s">
        <v>163</v>
      </c>
      <c r="D12" s="165"/>
      <c r="E12" s="165"/>
      <c r="F12" s="165"/>
      <c r="G12" s="165"/>
      <c r="H12" s="165"/>
      <c r="I12" s="165"/>
      <c r="J12" s="165"/>
      <c r="K12" s="165"/>
      <c r="L12" s="165"/>
      <c r="M12" s="165"/>
      <c r="N12" s="165"/>
      <c r="O12" s="165"/>
      <c r="P12" s="165"/>
      <c r="Q12" s="165"/>
    </row>
  </sheetData>
  <sheetProtection insertRows="0" deleteRows="0" sort="0" autoFilter="0"/>
  <dataConsolidate/>
  <mergeCells count="1">
    <mergeCell ref="B4:B7"/>
  </mergeCells>
  <phoneticPr fontId="14"/>
  <hyperlinks>
    <hyperlink ref="A3" location="パラメータ設定一覧!A1" display="パラメータ設定一覧へ" xr:uid="{83FA9C69-EFFE-4F07-8FBC-C0A97B2B952E}"/>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5D91-1B98-445E-9A2D-351F3002C11B}">
  <sheetPr codeName="Sheet139"/>
  <dimension ref="A1:M10"/>
  <sheetViews>
    <sheetView showGridLines="0" zoomScaleNormal="100" workbookViewId="0">
      <pane xSplit="4" ySplit="7" topLeftCell="E8" activePane="bottomRight" state="frozen"/>
      <selection activeCell="A8" sqref="A8"/>
      <selection pane="topRight" activeCell="A8" sqref="A8"/>
      <selection pane="bottomLeft" activeCell="A8" sqref="A8"/>
      <selection pane="bottomRight" activeCell="E8" sqref="E8"/>
    </sheetView>
  </sheetViews>
  <sheetFormatPr defaultColWidth="8.78515625" defaultRowHeight="13.5"/>
  <cols>
    <col min="1" max="1" width="2.78515625" style="202" customWidth="1"/>
    <col min="2" max="2" width="3.5703125" style="202" bestFit="1" customWidth="1"/>
    <col min="3" max="3" width="17.2109375" style="202" customWidth="1"/>
    <col min="4" max="6" width="19.78515625" style="202" customWidth="1"/>
    <col min="7" max="7" width="18.42578125" style="202" customWidth="1"/>
    <col min="8" max="8" width="11.78515625" style="202" bestFit="1" customWidth="1"/>
    <col min="9" max="9" width="34.35546875" style="202" bestFit="1" customWidth="1"/>
    <col min="10" max="10" width="7.78515625" style="202" customWidth="1"/>
    <col min="11" max="11" width="8.2109375" style="202" customWidth="1"/>
    <col min="12" max="12" width="18.42578125" style="202" customWidth="1"/>
    <col min="13" max="13" width="34.2109375" style="202" bestFit="1" customWidth="1"/>
    <col min="14" max="16384" width="8.78515625" style="202"/>
  </cols>
  <sheetData>
    <row r="1" spans="1:13" customFormat="1" ht="19.5">
      <c r="A1" s="94" t="s">
        <v>2678</v>
      </c>
    </row>
    <row r="2" spans="1:13" customFormat="1" ht="15">
      <c r="A2" s="196" t="s">
        <v>2668</v>
      </c>
    </row>
    <row r="3" spans="1:13" customFormat="1" ht="15">
      <c r="A3" s="10" t="s">
        <v>363</v>
      </c>
    </row>
    <row r="4" spans="1:13" customFormat="1" ht="15">
      <c r="B4" s="443" t="s">
        <v>1</v>
      </c>
      <c r="C4" s="107" t="s">
        <v>38</v>
      </c>
      <c r="D4" s="110"/>
      <c r="E4" s="221" t="s">
        <v>2729</v>
      </c>
      <c r="F4" s="182"/>
      <c r="G4" s="182"/>
      <c r="H4" s="182"/>
      <c r="I4" s="182"/>
      <c r="J4" s="182"/>
      <c r="K4" s="182"/>
      <c r="L4" s="182"/>
      <c r="M4" s="190"/>
    </row>
    <row r="5" spans="1:13" customFormat="1" ht="15">
      <c r="B5" s="443"/>
      <c r="C5" s="69" t="s">
        <v>35</v>
      </c>
      <c r="D5" s="69" t="s">
        <v>38</v>
      </c>
      <c r="E5" s="69" t="s">
        <v>42</v>
      </c>
      <c r="F5" s="69" t="s">
        <v>111</v>
      </c>
      <c r="G5" s="69" t="s">
        <v>70</v>
      </c>
      <c r="H5" s="69" t="s">
        <v>321</v>
      </c>
      <c r="I5" s="69" t="s">
        <v>31</v>
      </c>
      <c r="J5" s="69" t="s">
        <v>330</v>
      </c>
      <c r="K5" s="69" t="s">
        <v>151</v>
      </c>
      <c r="L5" s="69" t="s">
        <v>153</v>
      </c>
      <c r="M5" s="69" t="s">
        <v>93</v>
      </c>
    </row>
    <row r="6" spans="1:13" customFormat="1" ht="15">
      <c r="B6" s="443"/>
      <c r="C6" s="8" t="s">
        <v>357</v>
      </c>
      <c r="D6" s="8" t="s">
        <v>357</v>
      </c>
      <c r="E6" s="8" t="s">
        <v>357</v>
      </c>
      <c r="F6" s="8" t="s">
        <v>357</v>
      </c>
      <c r="G6" s="8" t="s">
        <v>357</v>
      </c>
      <c r="H6" s="8" t="s">
        <v>357</v>
      </c>
      <c r="I6" s="8" t="s">
        <v>20</v>
      </c>
      <c r="J6" s="8" t="s">
        <v>50</v>
      </c>
      <c r="K6" s="8" t="s">
        <v>50</v>
      </c>
      <c r="L6" s="8"/>
      <c r="M6" s="8"/>
    </row>
    <row r="7" spans="1:13" customFormat="1" ht="15">
      <c r="B7" s="443"/>
      <c r="C7" s="8" t="s">
        <v>2667</v>
      </c>
      <c r="D7" s="8" t="s">
        <v>2667</v>
      </c>
      <c r="E7" s="8"/>
      <c r="F7" s="8"/>
      <c r="G7" s="8"/>
      <c r="H7" s="8"/>
      <c r="I7" s="8"/>
      <c r="J7" s="8"/>
      <c r="K7" s="8"/>
      <c r="L7" s="8"/>
      <c r="M7" s="8"/>
    </row>
    <row r="8" spans="1:13">
      <c r="B8" s="165">
        <f>ROW() - 7</f>
        <v>1</v>
      </c>
      <c r="C8" s="230"/>
      <c r="D8" s="230"/>
      <c r="E8" s="165"/>
      <c r="F8" s="228"/>
      <c r="G8" s="165"/>
      <c r="H8" s="165"/>
      <c r="I8" s="165"/>
      <c r="J8" s="230"/>
      <c r="K8" s="230"/>
      <c r="L8" s="165"/>
      <c r="M8" s="165"/>
    </row>
    <row r="9" spans="1:13">
      <c r="B9" s="165">
        <f>ROW() - 7</f>
        <v>2</v>
      </c>
      <c r="C9" s="230"/>
      <c r="D9" s="230"/>
      <c r="E9" s="165"/>
      <c r="F9" s="165"/>
      <c r="G9" s="165"/>
      <c r="H9" s="165"/>
      <c r="I9" s="165"/>
      <c r="J9" s="230"/>
      <c r="K9" s="230"/>
      <c r="L9" s="165"/>
      <c r="M9" s="165"/>
    </row>
    <row r="10" spans="1:13">
      <c r="B10" s="165">
        <f>ROW() - 7</f>
        <v>3</v>
      </c>
      <c r="C10" s="230"/>
      <c r="D10" s="230"/>
      <c r="E10" s="165"/>
      <c r="F10" s="165"/>
      <c r="G10" s="165"/>
      <c r="H10" s="165"/>
      <c r="I10" s="165"/>
      <c r="J10" s="230"/>
      <c r="K10" s="230"/>
      <c r="L10" s="165"/>
      <c r="M10" s="165"/>
    </row>
  </sheetData>
  <sheetProtection insertRows="0" deleteRows="0" sort="0" autoFilter="0"/>
  <dataConsolidate/>
  <mergeCells count="1">
    <mergeCell ref="B4:B7"/>
  </mergeCells>
  <phoneticPr fontId="14"/>
  <hyperlinks>
    <hyperlink ref="A3" location="パラメータ設定一覧!A1" display="パラメータ設定一覧へ" xr:uid="{397224D6-8D99-403E-9003-91F4B50FB846}"/>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38B77-3F93-41DF-A753-3C1F1BED1683}">
  <sheetPr codeName="Sheet140"/>
  <dimension ref="A1:L21"/>
  <sheetViews>
    <sheetView showGridLines="0" zoomScaleNormal="100" workbookViewId="0">
      <pane xSplit="6" ySplit="5" topLeftCell="G6" activePane="bottomRight" state="frozen"/>
      <selection pane="topRight"/>
      <selection pane="bottomLeft"/>
      <selection pane="bottomRight" activeCell="G6" sqref="G6"/>
    </sheetView>
  </sheetViews>
  <sheetFormatPr defaultColWidth="8.78515625" defaultRowHeight="13.5"/>
  <cols>
    <col min="1" max="1" width="2.78515625" style="46" customWidth="1"/>
    <col min="2" max="2" width="3.35546875" style="46" bestFit="1" customWidth="1"/>
    <col min="3" max="3" width="11.78515625" style="46" customWidth="1"/>
    <col min="4" max="4" width="8" style="46" customWidth="1"/>
    <col min="5" max="5" width="19.42578125" style="46" customWidth="1"/>
    <col min="6" max="6" width="24.640625" style="46" customWidth="1"/>
    <col min="7" max="7" width="22.2109375" style="46" customWidth="1"/>
    <col min="8" max="8" width="17.78515625" style="46" bestFit="1" customWidth="1"/>
    <col min="9" max="9" width="17.42578125" style="53" customWidth="1"/>
    <col min="10" max="10" width="22.42578125" style="46" customWidth="1"/>
    <col min="11" max="11" width="18.2109375" style="46" customWidth="1"/>
    <col min="12" max="12" width="13.2109375" style="46" customWidth="1"/>
    <col min="13" max="16384" width="8.78515625" style="46"/>
  </cols>
  <sheetData>
    <row r="1" spans="1:12" customFormat="1" ht="19.5">
      <c r="A1" s="94" t="s">
        <v>421</v>
      </c>
      <c r="I1" s="55"/>
    </row>
    <row r="2" spans="1:12" customFormat="1" ht="15">
      <c r="B2" t="s">
        <v>420</v>
      </c>
      <c r="I2" s="55"/>
    </row>
    <row r="3" spans="1:12" customFormat="1" ht="15">
      <c r="B3" t="s">
        <v>419</v>
      </c>
      <c r="I3" s="55"/>
    </row>
    <row r="4" spans="1:12" customFormat="1" ht="15">
      <c r="A4" s="10" t="s">
        <v>363</v>
      </c>
      <c r="I4" s="55"/>
    </row>
    <row r="5" spans="1:12">
      <c r="B5" s="11" t="s">
        <v>1</v>
      </c>
      <c r="C5" s="12" t="s">
        <v>9</v>
      </c>
      <c r="D5" s="12" t="s">
        <v>10</v>
      </c>
      <c r="E5" s="12" t="s">
        <v>11</v>
      </c>
      <c r="F5" s="13" t="s">
        <v>12</v>
      </c>
      <c r="G5" s="13" t="s">
        <v>13</v>
      </c>
      <c r="H5" s="12" t="s">
        <v>14</v>
      </c>
      <c r="I5" s="96" t="s">
        <v>15</v>
      </c>
      <c r="J5" s="11" t="s">
        <v>16</v>
      </c>
      <c r="K5" s="14" t="s">
        <v>17</v>
      </c>
      <c r="L5" s="14" t="s">
        <v>18</v>
      </c>
    </row>
    <row r="6" spans="1:12">
      <c r="B6" s="15">
        <f t="shared" ref="B6:B13" si="0">ROW() - 5</f>
        <v>1</v>
      </c>
      <c r="C6" s="16" t="s">
        <v>166</v>
      </c>
      <c r="D6" s="16"/>
      <c r="E6" s="16" t="s">
        <v>167</v>
      </c>
      <c r="F6" s="17" t="s">
        <v>167</v>
      </c>
      <c r="G6" s="17"/>
      <c r="H6" s="17" t="s">
        <v>20</v>
      </c>
      <c r="I6" s="44" t="s">
        <v>21</v>
      </c>
      <c r="J6" s="17"/>
      <c r="K6" s="2" t="s">
        <v>398</v>
      </c>
      <c r="L6" s="3"/>
    </row>
    <row r="7" spans="1:12">
      <c r="B7" s="15">
        <f t="shared" si="0"/>
        <v>2</v>
      </c>
      <c r="C7" s="19"/>
      <c r="D7" s="19"/>
      <c r="E7" s="19"/>
      <c r="F7" s="17" t="s">
        <v>45</v>
      </c>
      <c r="G7" s="17"/>
      <c r="H7" s="17" t="s">
        <v>20</v>
      </c>
      <c r="I7" s="44" t="s">
        <v>21</v>
      </c>
      <c r="J7" s="17"/>
      <c r="K7" s="2" t="s">
        <v>398</v>
      </c>
      <c r="L7" s="3"/>
    </row>
    <row r="8" spans="1:12">
      <c r="B8" s="15">
        <f t="shared" si="0"/>
        <v>3</v>
      </c>
      <c r="C8" s="16" t="s">
        <v>23</v>
      </c>
      <c r="D8" s="16"/>
      <c r="E8" s="16" t="s">
        <v>418</v>
      </c>
      <c r="F8" s="17" t="s">
        <v>417</v>
      </c>
      <c r="G8" s="17"/>
      <c r="H8" s="17" t="s">
        <v>27</v>
      </c>
      <c r="I8" s="44" t="s">
        <v>28</v>
      </c>
      <c r="J8" s="17"/>
      <c r="K8" s="2" t="s">
        <v>398</v>
      </c>
      <c r="L8" s="3"/>
    </row>
    <row r="9" spans="1:12" ht="321" customHeight="1">
      <c r="B9" s="15">
        <f t="shared" si="0"/>
        <v>4</v>
      </c>
      <c r="C9" s="68"/>
      <c r="D9" s="68"/>
      <c r="E9" s="19"/>
      <c r="F9" s="17" t="s">
        <v>416</v>
      </c>
      <c r="G9" s="17"/>
      <c r="H9" s="17" t="s">
        <v>415</v>
      </c>
      <c r="I9" s="44" t="s">
        <v>414</v>
      </c>
      <c r="J9" s="48" t="s">
        <v>413</v>
      </c>
      <c r="K9" s="2" t="s">
        <v>398</v>
      </c>
      <c r="L9" s="3"/>
    </row>
    <row r="10" spans="1:12" ht="409.5">
      <c r="B10" s="15">
        <f t="shared" si="0"/>
        <v>5</v>
      </c>
      <c r="C10" s="68"/>
      <c r="D10" s="68"/>
      <c r="E10" s="16" t="s">
        <v>412</v>
      </c>
      <c r="F10" s="17" t="s">
        <v>168</v>
      </c>
      <c r="G10" s="17"/>
      <c r="H10" s="17" t="s">
        <v>411</v>
      </c>
      <c r="I10" s="44" t="s">
        <v>410</v>
      </c>
      <c r="J10" s="17"/>
      <c r="K10" s="2" t="s">
        <v>398</v>
      </c>
      <c r="L10" s="3"/>
    </row>
    <row r="11" spans="1:12" ht="40.5">
      <c r="B11" s="15">
        <f t="shared" si="0"/>
        <v>6</v>
      </c>
      <c r="C11" s="68"/>
      <c r="D11" s="68"/>
      <c r="E11" s="19"/>
      <c r="F11" s="17" t="s">
        <v>169</v>
      </c>
      <c r="G11" s="17"/>
      <c r="H11" s="17" t="s">
        <v>409</v>
      </c>
      <c r="I11" s="44" t="s">
        <v>170</v>
      </c>
      <c r="J11" s="17"/>
      <c r="K11" s="2" t="s">
        <v>398</v>
      </c>
      <c r="L11" s="3"/>
    </row>
    <row r="12" spans="1:12">
      <c r="B12" s="15">
        <f t="shared" si="0"/>
        <v>7</v>
      </c>
      <c r="C12" s="68"/>
      <c r="D12" s="68"/>
      <c r="E12" s="16" t="s">
        <v>408</v>
      </c>
      <c r="F12" s="17" t="s">
        <v>407</v>
      </c>
      <c r="G12" s="17"/>
      <c r="H12" s="17" t="s">
        <v>27</v>
      </c>
      <c r="I12" s="44" t="s">
        <v>28</v>
      </c>
      <c r="J12" s="17"/>
      <c r="K12" s="2" t="s">
        <v>398</v>
      </c>
      <c r="L12" s="3"/>
    </row>
    <row r="13" spans="1:12">
      <c r="B13" s="15">
        <f t="shared" si="0"/>
        <v>8</v>
      </c>
      <c r="C13" s="68"/>
      <c r="D13" s="68"/>
      <c r="E13" s="19"/>
      <c r="F13" s="17" t="s">
        <v>406</v>
      </c>
      <c r="G13" s="17"/>
      <c r="H13" s="17" t="s">
        <v>27</v>
      </c>
      <c r="I13" s="44" t="s">
        <v>28</v>
      </c>
      <c r="J13" s="17"/>
      <c r="K13" s="2" t="s">
        <v>398</v>
      </c>
      <c r="L13" s="3"/>
    </row>
    <row r="14" spans="1:12">
      <c r="B14" s="21">
        <f>ROW() - 4</f>
        <v>10</v>
      </c>
      <c r="C14" s="68"/>
      <c r="D14" s="68"/>
      <c r="E14" s="17" t="s">
        <v>171</v>
      </c>
      <c r="F14" s="17" t="s">
        <v>405</v>
      </c>
      <c r="G14" s="17"/>
      <c r="H14" s="17" t="s">
        <v>50</v>
      </c>
      <c r="I14" s="44">
        <v>0</v>
      </c>
      <c r="J14" s="17"/>
      <c r="K14" s="2" t="s">
        <v>398</v>
      </c>
      <c r="L14" s="3"/>
    </row>
    <row r="15" spans="1:12">
      <c r="B15" s="21">
        <f>ROW() - 4</f>
        <v>11</v>
      </c>
      <c r="C15" s="19"/>
      <c r="D15" s="19"/>
      <c r="E15" s="17" t="s">
        <v>404</v>
      </c>
      <c r="F15" s="17" t="s">
        <v>403</v>
      </c>
      <c r="G15" s="17"/>
      <c r="H15" s="17" t="s">
        <v>20</v>
      </c>
      <c r="I15" s="44" t="s">
        <v>21</v>
      </c>
      <c r="J15" s="17"/>
      <c r="K15" s="2" t="s">
        <v>398</v>
      </c>
      <c r="L15" s="3"/>
    </row>
    <row r="16" spans="1:12">
      <c r="B16" s="21">
        <f>ROW() - 4</f>
        <v>12</v>
      </c>
      <c r="C16" s="16" t="s">
        <v>402</v>
      </c>
      <c r="D16" s="16"/>
      <c r="E16" s="16"/>
      <c r="F16" s="17" t="s">
        <v>401</v>
      </c>
      <c r="G16" s="17" t="s">
        <v>399</v>
      </c>
      <c r="H16" s="17" t="s">
        <v>351</v>
      </c>
      <c r="I16" s="44" t="s">
        <v>21</v>
      </c>
      <c r="J16" s="17"/>
      <c r="K16" s="2" t="s">
        <v>398</v>
      </c>
      <c r="L16" s="3"/>
    </row>
    <row r="17" spans="2:12" ht="28.5" customHeight="1">
      <c r="B17" s="21">
        <f>ROW() - 4</f>
        <v>13</v>
      </c>
      <c r="C17" s="19"/>
      <c r="D17" s="19"/>
      <c r="E17" s="19"/>
      <c r="F17" s="17" t="s">
        <v>400</v>
      </c>
      <c r="G17" s="17" t="s">
        <v>399</v>
      </c>
      <c r="H17" s="17" t="s">
        <v>351</v>
      </c>
      <c r="I17" s="44" t="s">
        <v>21</v>
      </c>
      <c r="J17" s="17"/>
      <c r="K17" s="2" t="s">
        <v>398</v>
      </c>
      <c r="L17" s="3"/>
    </row>
    <row r="21" spans="2:12">
      <c r="G21" s="53"/>
    </row>
  </sheetData>
  <phoneticPr fontId="14"/>
  <hyperlinks>
    <hyperlink ref="A4" location="パラメータ設定一覧!A1" display="パラメータ設定一覧へ" xr:uid="{B0908065-E281-446E-B3EE-1D0A8637DC60}"/>
  </hyperlinks>
  <pageMargins left="0.7" right="0.7" top="0.75" bottom="0.75" header="0.3" footer="0.3"/>
  <pageSetup paperSize="9"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D0D16-4848-47AE-859F-5355B732E143}">
  <sheetPr codeName="Sheet141"/>
  <dimension ref="A1:N59"/>
  <sheetViews>
    <sheetView showGridLines="0" zoomScaleNormal="100" workbookViewId="0">
      <pane ySplit="8" topLeftCell="A9" activePane="bottomLeft" state="frozen"/>
      <selection pane="bottomLeft" activeCell="A9" sqref="A9"/>
    </sheetView>
  </sheetViews>
  <sheetFormatPr defaultColWidth="8.78515625" defaultRowHeight="13.5"/>
  <cols>
    <col min="1" max="1" width="2.78515625" style="46" customWidth="1"/>
    <col min="2" max="2" width="3.5703125" style="46" bestFit="1" customWidth="1"/>
    <col min="3" max="3" width="10.640625" style="46" customWidth="1"/>
    <col min="4" max="4" width="12.2109375" style="46" bestFit="1" customWidth="1"/>
    <col min="5" max="5" width="14.2109375" style="46" customWidth="1"/>
    <col min="6" max="6" width="11.78515625" style="46" bestFit="1" customWidth="1"/>
    <col min="7" max="7" width="11.78515625" style="46" customWidth="1"/>
    <col min="8" max="8" width="15" style="46" bestFit="1" customWidth="1"/>
    <col min="9" max="9" width="10.42578125" style="46" customWidth="1"/>
    <col min="10" max="10" width="10.2109375" style="46" customWidth="1"/>
    <col min="11" max="11" width="12.42578125" style="46" customWidth="1"/>
    <col min="12" max="12" width="17.5703125" style="46" bestFit="1" customWidth="1"/>
    <col min="13" max="13" width="15.2109375" style="46" customWidth="1"/>
    <col min="14" max="14" width="22.5703125" style="46" customWidth="1"/>
    <col min="15" max="16384" width="8.78515625" style="46"/>
  </cols>
  <sheetData>
    <row r="1" spans="1:14" customFormat="1" ht="19.5">
      <c r="A1" s="94" t="s">
        <v>2679</v>
      </c>
    </row>
    <row r="2" spans="1:14" customFormat="1" ht="15">
      <c r="A2" s="196" t="s">
        <v>2668</v>
      </c>
    </row>
    <row r="3" spans="1:14" customFormat="1" ht="15">
      <c r="A3" s="10" t="s">
        <v>363</v>
      </c>
      <c r="F3" s="97"/>
      <c r="G3" t="s">
        <v>442</v>
      </c>
    </row>
    <row r="4" spans="1:14" ht="15.75" customHeight="1">
      <c r="B4" s="440" t="s">
        <v>1</v>
      </c>
      <c r="C4" s="445" t="s">
        <v>166</v>
      </c>
      <c r="D4" s="445"/>
      <c r="E4" s="37" t="s">
        <v>23</v>
      </c>
      <c r="F4" s="38"/>
      <c r="G4" s="38"/>
      <c r="H4" s="38"/>
      <c r="I4" s="38"/>
      <c r="J4" s="38"/>
      <c r="K4" s="38"/>
      <c r="L4" s="39"/>
      <c r="M4" s="45" t="s">
        <v>402</v>
      </c>
      <c r="N4" s="36"/>
    </row>
    <row r="5" spans="1:14">
      <c r="B5" s="439"/>
      <c r="C5" s="37" t="s">
        <v>167</v>
      </c>
      <c r="D5" s="39"/>
      <c r="E5" s="41" t="s">
        <v>418</v>
      </c>
      <c r="F5" s="41"/>
      <c r="G5" s="37" t="s">
        <v>412</v>
      </c>
      <c r="H5" s="39"/>
      <c r="I5" s="40" t="s">
        <v>408</v>
      </c>
      <c r="J5" s="56" t="s">
        <v>172</v>
      </c>
      <c r="K5" s="40" t="s">
        <v>171</v>
      </c>
      <c r="L5" s="40" t="s">
        <v>404</v>
      </c>
      <c r="M5" s="56"/>
      <c r="N5" s="42"/>
    </row>
    <row r="6" spans="1:14">
      <c r="B6" s="440"/>
      <c r="C6" s="185" t="s">
        <v>167</v>
      </c>
      <c r="D6" s="185" t="s">
        <v>45</v>
      </c>
      <c r="E6" s="69" t="s">
        <v>417</v>
      </c>
      <c r="F6" s="69" t="s">
        <v>416</v>
      </c>
      <c r="G6" s="69" t="s">
        <v>168</v>
      </c>
      <c r="H6" s="40" t="s">
        <v>169</v>
      </c>
      <c r="I6" s="40" t="s">
        <v>441</v>
      </c>
      <c r="J6" s="181" t="s">
        <v>406</v>
      </c>
      <c r="K6" s="181" t="s">
        <v>440</v>
      </c>
      <c r="L6" s="181" t="s">
        <v>403</v>
      </c>
      <c r="M6" s="181" t="s">
        <v>401</v>
      </c>
      <c r="N6" s="181" t="s">
        <v>400</v>
      </c>
    </row>
    <row r="7" spans="1:14">
      <c r="B7" s="440"/>
      <c r="C7" s="24" t="s">
        <v>20</v>
      </c>
      <c r="D7" s="24" t="s">
        <v>20</v>
      </c>
      <c r="E7" s="24" t="s">
        <v>27</v>
      </c>
      <c r="F7" s="24"/>
      <c r="G7" s="24"/>
      <c r="H7" s="24"/>
      <c r="I7" s="24" t="s">
        <v>27</v>
      </c>
      <c r="J7" s="27" t="s">
        <v>27</v>
      </c>
      <c r="K7" s="27" t="s">
        <v>50</v>
      </c>
      <c r="L7" s="18" t="s">
        <v>20</v>
      </c>
      <c r="M7" s="18" t="s">
        <v>351</v>
      </c>
      <c r="N7" s="18" t="s">
        <v>351</v>
      </c>
    </row>
    <row r="8" spans="1:14">
      <c r="B8" s="440"/>
      <c r="C8" s="24" t="s">
        <v>2667</v>
      </c>
      <c r="D8" s="24"/>
      <c r="E8" s="24"/>
      <c r="F8" s="24"/>
      <c r="G8" s="24"/>
      <c r="H8" s="24"/>
      <c r="I8" s="24"/>
      <c r="J8" s="27"/>
      <c r="K8" s="27"/>
      <c r="L8" s="18"/>
      <c r="M8" s="18"/>
      <c r="N8" s="18"/>
    </row>
    <row r="9" spans="1:14">
      <c r="B9" s="217">
        <f>ROW() - 8</f>
        <v>1</v>
      </c>
      <c r="C9" s="231"/>
      <c r="D9" s="231"/>
      <c r="E9" s="232"/>
      <c r="F9" s="233"/>
      <c r="G9" s="234"/>
      <c r="H9" s="234"/>
      <c r="I9" s="234"/>
      <c r="J9" s="234"/>
      <c r="K9" s="234"/>
      <c r="L9" s="234"/>
      <c r="M9" s="235"/>
      <c r="N9" s="235"/>
    </row>
    <row r="10" spans="1:14">
      <c r="B10" s="217">
        <f t="shared" ref="B10:B26" si="0">ROW() - 8</f>
        <v>2</v>
      </c>
      <c r="C10" s="231"/>
      <c r="D10" s="231"/>
      <c r="E10" s="232"/>
      <c r="F10" s="233"/>
      <c r="G10" s="234"/>
      <c r="H10" s="234"/>
      <c r="I10" s="234"/>
      <c r="J10" s="234"/>
      <c r="K10" s="234"/>
      <c r="L10" s="234"/>
      <c r="M10" s="235"/>
      <c r="N10" s="235"/>
    </row>
    <row r="11" spans="1:14">
      <c r="B11" s="217">
        <f t="shared" si="0"/>
        <v>3</v>
      </c>
      <c r="C11" s="231" t="s">
        <v>439</v>
      </c>
      <c r="D11" s="236"/>
      <c r="E11" s="236"/>
      <c r="F11" s="236"/>
      <c r="G11" s="236"/>
      <c r="H11" s="236"/>
      <c r="I11" s="236"/>
      <c r="J11" s="236"/>
      <c r="K11" s="236"/>
      <c r="L11" s="236"/>
      <c r="M11" s="236"/>
      <c r="N11" s="234"/>
    </row>
    <row r="12" spans="1:14">
      <c r="B12" s="217">
        <f t="shared" si="0"/>
        <v>4</v>
      </c>
      <c r="C12" s="231" t="s">
        <v>438</v>
      </c>
      <c r="D12" s="231"/>
      <c r="E12" s="232" t="s">
        <v>28</v>
      </c>
      <c r="F12" s="233" t="s">
        <v>422</v>
      </c>
      <c r="G12" s="234" t="s">
        <v>437</v>
      </c>
      <c r="H12" s="234" t="s">
        <v>170</v>
      </c>
      <c r="I12" s="234" t="s">
        <v>28</v>
      </c>
      <c r="J12" s="234" t="s">
        <v>28</v>
      </c>
      <c r="K12" s="234">
        <v>0</v>
      </c>
      <c r="L12" s="234" t="s">
        <v>21</v>
      </c>
      <c r="M12" s="235" t="s">
        <v>21</v>
      </c>
      <c r="N12" s="235" t="s">
        <v>21</v>
      </c>
    </row>
    <row r="13" spans="1:14">
      <c r="B13" s="217">
        <f t="shared" si="0"/>
        <v>5</v>
      </c>
      <c r="C13" s="231" t="s">
        <v>436</v>
      </c>
      <c r="D13" s="231"/>
      <c r="E13" s="232" t="s">
        <v>28</v>
      </c>
      <c r="F13" s="233" t="s">
        <v>422</v>
      </c>
      <c r="G13" s="234" t="s">
        <v>173</v>
      </c>
      <c r="H13" s="234" t="s">
        <v>170</v>
      </c>
      <c r="I13" s="234" t="s">
        <v>28</v>
      </c>
      <c r="J13" s="234" t="s">
        <v>28</v>
      </c>
      <c r="K13" s="234">
        <v>0</v>
      </c>
      <c r="L13" s="234" t="s">
        <v>21</v>
      </c>
      <c r="M13" s="235" t="s">
        <v>21</v>
      </c>
      <c r="N13" s="235" t="s">
        <v>21</v>
      </c>
    </row>
    <row r="14" spans="1:14">
      <c r="B14" s="217">
        <f t="shared" si="0"/>
        <v>6</v>
      </c>
      <c r="C14" s="231" t="s">
        <v>435</v>
      </c>
      <c r="D14" s="231"/>
      <c r="E14" s="232" t="s">
        <v>28</v>
      </c>
      <c r="F14" s="233" t="s">
        <v>422</v>
      </c>
      <c r="G14" s="234" t="s">
        <v>434</v>
      </c>
      <c r="H14" s="234" t="s">
        <v>170</v>
      </c>
      <c r="I14" s="234" t="s">
        <v>28</v>
      </c>
      <c r="J14" s="234" t="s">
        <v>28</v>
      </c>
      <c r="K14" s="234">
        <v>0</v>
      </c>
      <c r="L14" s="234" t="s">
        <v>21</v>
      </c>
      <c r="M14" s="235" t="s">
        <v>21</v>
      </c>
      <c r="N14" s="235" t="s">
        <v>21</v>
      </c>
    </row>
    <row r="15" spans="1:14">
      <c r="B15" s="217">
        <f t="shared" si="0"/>
        <v>7</v>
      </c>
      <c r="C15" s="231" t="s">
        <v>433</v>
      </c>
      <c r="D15" s="231"/>
      <c r="E15" s="232" t="s">
        <v>28</v>
      </c>
      <c r="F15" s="233" t="s">
        <v>422</v>
      </c>
      <c r="G15" s="234" t="s">
        <v>410</v>
      </c>
      <c r="H15" s="234" t="s">
        <v>170</v>
      </c>
      <c r="I15" s="234" t="s">
        <v>28</v>
      </c>
      <c r="J15" s="234" t="s">
        <v>28</v>
      </c>
      <c r="K15" s="234">
        <v>0</v>
      </c>
      <c r="L15" s="234" t="s">
        <v>21</v>
      </c>
      <c r="M15" s="235" t="s">
        <v>21</v>
      </c>
      <c r="N15" s="235" t="s">
        <v>21</v>
      </c>
    </row>
    <row r="16" spans="1:14">
      <c r="B16" s="217">
        <f t="shared" si="0"/>
        <v>8</v>
      </c>
      <c r="C16" s="231" t="s">
        <v>174</v>
      </c>
      <c r="D16" s="231"/>
      <c r="E16" s="232" t="s">
        <v>28</v>
      </c>
      <c r="F16" s="233" t="s">
        <v>422</v>
      </c>
      <c r="G16" s="234" t="s">
        <v>410</v>
      </c>
      <c r="H16" s="234" t="s">
        <v>170</v>
      </c>
      <c r="I16" s="234" t="s">
        <v>28</v>
      </c>
      <c r="J16" s="234" t="s">
        <v>28</v>
      </c>
      <c r="K16" s="234">
        <v>0</v>
      </c>
      <c r="L16" s="234" t="s">
        <v>21</v>
      </c>
      <c r="M16" s="235" t="s">
        <v>21</v>
      </c>
      <c r="N16" s="235" t="s">
        <v>21</v>
      </c>
    </row>
    <row r="17" spans="2:14">
      <c r="B17" s="217">
        <f t="shared" si="0"/>
        <v>9</v>
      </c>
      <c r="C17" s="231" t="s">
        <v>432</v>
      </c>
      <c r="D17" s="231"/>
      <c r="E17" s="232" t="s">
        <v>28</v>
      </c>
      <c r="F17" s="233" t="s">
        <v>422</v>
      </c>
      <c r="G17" s="234" t="s">
        <v>410</v>
      </c>
      <c r="H17" s="234" t="s">
        <v>170</v>
      </c>
      <c r="I17" s="234" t="s">
        <v>28</v>
      </c>
      <c r="J17" s="234" t="s">
        <v>28</v>
      </c>
      <c r="K17" s="234">
        <v>0</v>
      </c>
      <c r="L17" s="234" t="s">
        <v>21</v>
      </c>
      <c r="M17" s="235" t="s">
        <v>21</v>
      </c>
      <c r="N17" s="235" t="s">
        <v>21</v>
      </c>
    </row>
    <row r="18" spans="2:14">
      <c r="B18" s="217">
        <f t="shared" si="0"/>
        <v>10</v>
      </c>
      <c r="C18" s="231" t="s">
        <v>431</v>
      </c>
      <c r="D18" s="231"/>
      <c r="E18" s="232" t="s">
        <v>28</v>
      </c>
      <c r="F18" s="233" t="s">
        <v>422</v>
      </c>
      <c r="G18" s="234" t="s">
        <v>410</v>
      </c>
      <c r="H18" s="234" t="s">
        <v>170</v>
      </c>
      <c r="I18" s="234" t="s">
        <v>28</v>
      </c>
      <c r="J18" s="234" t="s">
        <v>28</v>
      </c>
      <c r="K18" s="234">
        <v>0</v>
      </c>
      <c r="L18" s="234" t="s">
        <v>21</v>
      </c>
      <c r="M18" s="235" t="s">
        <v>21</v>
      </c>
      <c r="N18" s="235" t="s">
        <v>21</v>
      </c>
    </row>
    <row r="19" spans="2:14">
      <c r="B19" s="217">
        <f t="shared" si="0"/>
        <v>11</v>
      </c>
      <c r="C19" s="231" t="s">
        <v>430</v>
      </c>
      <c r="D19" s="231"/>
      <c r="E19" s="232" t="s">
        <v>28</v>
      </c>
      <c r="F19" s="233" t="s">
        <v>422</v>
      </c>
      <c r="G19" s="234" t="s">
        <v>410</v>
      </c>
      <c r="H19" s="234" t="s">
        <v>170</v>
      </c>
      <c r="I19" s="234" t="s">
        <v>28</v>
      </c>
      <c r="J19" s="234" t="s">
        <v>28</v>
      </c>
      <c r="K19" s="234">
        <v>0</v>
      </c>
      <c r="L19" s="234" t="s">
        <v>21</v>
      </c>
      <c r="M19" s="235" t="s">
        <v>21</v>
      </c>
      <c r="N19" s="235" t="s">
        <v>21</v>
      </c>
    </row>
    <row r="20" spans="2:14">
      <c r="B20" s="217">
        <f t="shared" si="0"/>
        <v>12</v>
      </c>
      <c r="C20" s="231" t="s">
        <v>429</v>
      </c>
      <c r="D20" s="231"/>
      <c r="E20" s="232" t="s">
        <v>28</v>
      </c>
      <c r="F20" s="233" t="s">
        <v>422</v>
      </c>
      <c r="G20" s="234" t="s">
        <v>410</v>
      </c>
      <c r="H20" s="234" t="s">
        <v>170</v>
      </c>
      <c r="I20" s="234" t="s">
        <v>28</v>
      </c>
      <c r="J20" s="234" t="s">
        <v>28</v>
      </c>
      <c r="K20" s="234">
        <v>0</v>
      </c>
      <c r="L20" s="234" t="s">
        <v>21</v>
      </c>
      <c r="M20" s="235" t="s">
        <v>21</v>
      </c>
      <c r="N20" s="235" t="s">
        <v>21</v>
      </c>
    </row>
    <row r="21" spans="2:14">
      <c r="B21" s="217">
        <f t="shared" si="0"/>
        <v>13</v>
      </c>
      <c r="C21" s="231" t="s">
        <v>428</v>
      </c>
      <c r="D21" s="231"/>
      <c r="E21" s="232" t="s">
        <v>28</v>
      </c>
      <c r="F21" s="233" t="s">
        <v>422</v>
      </c>
      <c r="G21" s="234" t="s">
        <v>410</v>
      </c>
      <c r="H21" s="234" t="s">
        <v>170</v>
      </c>
      <c r="I21" s="234" t="s">
        <v>28</v>
      </c>
      <c r="J21" s="234" t="s">
        <v>28</v>
      </c>
      <c r="K21" s="234">
        <v>0</v>
      </c>
      <c r="L21" s="234" t="s">
        <v>21</v>
      </c>
      <c r="M21" s="235" t="s">
        <v>21</v>
      </c>
      <c r="N21" s="235" t="s">
        <v>21</v>
      </c>
    </row>
    <row r="22" spans="2:14">
      <c r="B22" s="217">
        <f t="shared" si="0"/>
        <v>14</v>
      </c>
      <c r="C22" s="231" t="s">
        <v>427</v>
      </c>
      <c r="D22" s="231"/>
      <c r="E22" s="232" t="s">
        <v>28</v>
      </c>
      <c r="F22" s="233" t="s">
        <v>422</v>
      </c>
      <c r="G22" s="234" t="s">
        <v>410</v>
      </c>
      <c r="H22" s="234" t="s">
        <v>170</v>
      </c>
      <c r="I22" s="234" t="s">
        <v>28</v>
      </c>
      <c r="J22" s="234" t="s">
        <v>28</v>
      </c>
      <c r="K22" s="234">
        <v>0</v>
      </c>
      <c r="L22" s="234" t="s">
        <v>21</v>
      </c>
      <c r="M22" s="235" t="s">
        <v>21</v>
      </c>
      <c r="N22" s="235" t="s">
        <v>21</v>
      </c>
    </row>
    <row r="23" spans="2:14">
      <c r="B23" s="217">
        <f t="shared" si="0"/>
        <v>15</v>
      </c>
      <c r="C23" s="231" t="s">
        <v>426</v>
      </c>
      <c r="D23" s="231"/>
      <c r="E23" s="232" t="s">
        <v>28</v>
      </c>
      <c r="F23" s="233" t="s">
        <v>422</v>
      </c>
      <c r="G23" s="234" t="s">
        <v>410</v>
      </c>
      <c r="H23" s="234" t="s">
        <v>170</v>
      </c>
      <c r="I23" s="234" t="s">
        <v>28</v>
      </c>
      <c r="J23" s="234" t="s">
        <v>28</v>
      </c>
      <c r="K23" s="234">
        <v>0</v>
      </c>
      <c r="L23" s="234" t="s">
        <v>21</v>
      </c>
      <c r="M23" s="235" t="s">
        <v>21</v>
      </c>
      <c r="N23" s="235" t="s">
        <v>21</v>
      </c>
    </row>
    <row r="24" spans="2:14">
      <c r="B24" s="217">
        <f t="shared" si="0"/>
        <v>16</v>
      </c>
      <c r="C24" s="231" t="s">
        <v>425</v>
      </c>
      <c r="D24" s="231"/>
      <c r="E24" s="232" t="s">
        <v>28</v>
      </c>
      <c r="F24" s="233" t="s">
        <v>422</v>
      </c>
      <c r="G24" s="234" t="s">
        <v>410</v>
      </c>
      <c r="H24" s="234" t="s">
        <v>170</v>
      </c>
      <c r="I24" s="234" t="s">
        <v>28</v>
      </c>
      <c r="J24" s="234" t="s">
        <v>28</v>
      </c>
      <c r="K24" s="234">
        <v>1</v>
      </c>
      <c r="L24" s="234" t="s">
        <v>21</v>
      </c>
      <c r="M24" s="235" t="s">
        <v>21</v>
      </c>
      <c r="N24" s="235" t="s">
        <v>21</v>
      </c>
    </row>
    <row r="25" spans="2:14">
      <c r="B25" s="217">
        <f t="shared" si="0"/>
        <v>17</v>
      </c>
      <c r="C25" s="231" t="s">
        <v>424</v>
      </c>
      <c r="D25" s="231"/>
      <c r="E25" s="232" t="s">
        <v>28</v>
      </c>
      <c r="F25" s="233" t="s">
        <v>422</v>
      </c>
      <c r="G25" s="234" t="s">
        <v>410</v>
      </c>
      <c r="H25" s="234" t="s">
        <v>170</v>
      </c>
      <c r="I25" s="234" t="s">
        <v>28</v>
      </c>
      <c r="J25" s="234" t="s">
        <v>28</v>
      </c>
      <c r="K25" s="234">
        <v>1</v>
      </c>
      <c r="L25" s="234" t="s">
        <v>21</v>
      </c>
      <c r="M25" s="235" t="s">
        <v>21</v>
      </c>
      <c r="N25" s="235" t="s">
        <v>21</v>
      </c>
    </row>
    <row r="26" spans="2:14">
      <c r="B26" s="217">
        <f t="shared" si="0"/>
        <v>18</v>
      </c>
      <c r="C26" s="231" t="s">
        <v>423</v>
      </c>
      <c r="D26" s="231"/>
      <c r="E26" s="232" t="s">
        <v>28</v>
      </c>
      <c r="F26" s="233" t="s">
        <v>422</v>
      </c>
      <c r="G26" s="234" t="s">
        <v>410</v>
      </c>
      <c r="H26" s="234" t="s">
        <v>170</v>
      </c>
      <c r="I26" s="234" t="s">
        <v>28</v>
      </c>
      <c r="J26" s="234" t="s">
        <v>28</v>
      </c>
      <c r="K26" s="234">
        <v>1</v>
      </c>
      <c r="L26" s="234" t="s">
        <v>21</v>
      </c>
      <c r="M26" s="235" t="s">
        <v>21</v>
      </c>
      <c r="N26" s="235" t="s">
        <v>21</v>
      </c>
    </row>
    <row r="27" spans="2:14">
      <c r="B27" s="237"/>
      <c r="C27" s="237"/>
      <c r="D27" s="237"/>
      <c r="E27" s="237"/>
      <c r="F27" s="237"/>
      <c r="G27" s="237"/>
      <c r="H27" s="237"/>
      <c r="I27" s="237"/>
      <c r="J27" s="237"/>
      <c r="K27" s="237"/>
      <c r="L27" s="237"/>
      <c r="M27" s="238"/>
      <c r="N27" s="238"/>
    </row>
    <row r="28" spans="2:14">
      <c r="B28" s="237"/>
      <c r="C28" s="237"/>
      <c r="D28" s="237"/>
      <c r="E28" s="237"/>
      <c r="F28" s="237"/>
      <c r="G28" s="237"/>
      <c r="H28" s="237"/>
      <c r="I28" s="237"/>
      <c r="J28" s="237"/>
      <c r="K28" s="237"/>
      <c r="L28" s="237"/>
      <c r="M28" s="238"/>
      <c r="N28" s="238"/>
    </row>
    <row r="29" spans="2:14">
      <c r="B29" s="237"/>
      <c r="C29" s="237"/>
      <c r="D29" s="237"/>
      <c r="E29" s="237"/>
      <c r="F29" s="237"/>
      <c r="G29" s="237"/>
      <c r="H29" s="237"/>
      <c r="I29" s="237"/>
      <c r="J29" s="237"/>
      <c r="K29" s="237"/>
      <c r="L29" s="237"/>
      <c r="M29" s="238"/>
      <c r="N29" s="238"/>
    </row>
    <row r="30" spans="2:14">
      <c r="B30" s="237"/>
      <c r="C30" s="237"/>
      <c r="D30" s="237"/>
      <c r="E30" s="237"/>
      <c r="F30" s="237"/>
      <c r="G30" s="237"/>
      <c r="H30" s="237"/>
      <c r="I30" s="237"/>
      <c r="J30" s="237"/>
      <c r="K30" s="237"/>
      <c r="L30" s="237"/>
      <c r="M30" s="238"/>
      <c r="N30" s="238"/>
    </row>
    <row r="31" spans="2:14">
      <c r="B31" s="237"/>
      <c r="C31" s="237"/>
      <c r="D31" s="237"/>
      <c r="E31" s="237"/>
      <c r="F31" s="237"/>
      <c r="G31" s="237"/>
      <c r="H31" s="237"/>
      <c r="I31" s="237"/>
      <c r="J31" s="237"/>
      <c r="K31" s="237"/>
      <c r="L31" s="237"/>
      <c r="M31" s="238"/>
      <c r="N31" s="238"/>
    </row>
    <row r="32" spans="2:14">
      <c r="B32" s="237"/>
      <c r="C32" s="237"/>
      <c r="D32" s="237"/>
      <c r="E32" s="237"/>
      <c r="F32" s="237"/>
      <c r="G32" s="237"/>
      <c r="H32" s="237"/>
      <c r="I32" s="237"/>
      <c r="J32" s="237"/>
      <c r="K32" s="237"/>
      <c r="L32" s="237"/>
      <c r="M32" s="238"/>
      <c r="N32" s="238"/>
    </row>
    <row r="33" spans="2:14">
      <c r="B33" s="237"/>
      <c r="C33" s="237"/>
      <c r="D33" s="237"/>
      <c r="E33" s="237"/>
      <c r="F33" s="237"/>
      <c r="G33" s="237"/>
      <c r="H33" s="237"/>
      <c r="I33" s="237"/>
      <c r="J33" s="237"/>
      <c r="K33" s="237"/>
      <c r="L33" s="237"/>
      <c r="M33" s="238"/>
      <c r="N33" s="238"/>
    </row>
    <row r="34" spans="2:14">
      <c r="B34" s="237"/>
      <c r="C34" s="237"/>
      <c r="D34" s="237"/>
      <c r="E34" s="237"/>
      <c r="F34" s="237"/>
      <c r="G34" s="237"/>
      <c r="H34" s="237"/>
      <c r="I34" s="237"/>
      <c r="J34" s="237"/>
      <c r="K34" s="237"/>
      <c r="L34" s="237"/>
      <c r="M34" s="238"/>
      <c r="N34" s="238"/>
    </row>
    <row r="35" spans="2:14">
      <c r="B35" s="237"/>
      <c r="C35" s="237"/>
      <c r="D35" s="237"/>
      <c r="E35" s="237"/>
      <c r="F35" s="237"/>
      <c r="G35" s="237"/>
      <c r="H35" s="237"/>
      <c r="I35" s="237"/>
      <c r="J35" s="237"/>
      <c r="K35" s="237"/>
      <c r="L35" s="237"/>
      <c r="M35" s="238"/>
      <c r="N35" s="238"/>
    </row>
    <row r="36" spans="2:14">
      <c r="B36" s="237"/>
      <c r="C36" s="237"/>
      <c r="D36" s="237"/>
      <c r="E36" s="237"/>
      <c r="F36" s="237"/>
      <c r="G36" s="237"/>
      <c r="H36" s="237"/>
      <c r="I36" s="237"/>
      <c r="J36" s="237"/>
      <c r="K36" s="237"/>
      <c r="L36" s="237"/>
      <c r="M36" s="238"/>
      <c r="N36" s="238"/>
    </row>
    <row r="37" spans="2:14">
      <c r="B37" s="237"/>
      <c r="C37" s="237"/>
      <c r="D37" s="237"/>
      <c r="E37" s="237"/>
      <c r="F37" s="237"/>
      <c r="G37" s="237"/>
      <c r="H37" s="237"/>
      <c r="I37" s="237"/>
      <c r="J37" s="237"/>
      <c r="K37" s="237"/>
      <c r="L37" s="237"/>
      <c r="M37" s="238"/>
      <c r="N37" s="238"/>
    </row>
    <row r="38" spans="2:14">
      <c r="B38" s="237"/>
      <c r="C38" s="237"/>
      <c r="D38" s="237"/>
      <c r="E38" s="237"/>
      <c r="F38" s="237"/>
      <c r="G38" s="237"/>
      <c r="H38" s="237"/>
      <c r="I38" s="237"/>
      <c r="J38" s="237"/>
      <c r="K38" s="237"/>
      <c r="L38" s="237"/>
      <c r="M38" s="238"/>
      <c r="N38" s="238"/>
    </row>
    <row r="39" spans="2:14">
      <c r="B39" s="237"/>
      <c r="C39" s="237"/>
      <c r="D39" s="237"/>
      <c r="E39" s="237"/>
      <c r="F39" s="237"/>
      <c r="G39" s="237"/>
      <c r="H39" s="237"/>
      <c r="I39" s="237"/>
      <c r="J39" s="237"/>
      <c r="K39" s="237"/>
      <c r="L39" s="237"/>
      <c r="M39" s="238"/>
      <c r="N39" s="238"/>
    </row>
    <row r="40" spans="2:14">
      <c r="B40" s="237"/>
      <c r="C40" s="237"/>
      <c r="D40" s="237"/>
      <c r="E40" s="237"/>
      <c r="F40" s="237"/>
      <c r="G40" s="237"/>
      <c r="H40" s="237"/>
      <c r="I40" s="237"/>
      <c r="J40" s="237"/>
      <c r="K40" s="237"/>
      <c r="L40" s="237"/>
      <c r="M40" s="238"/>
      <c r="N40" s="238"/>
    </row>
    <row r="41" spans="2:14">
      <c r="B41" s="237"/>
      <c r="C41" s="237"/>
      <c r="D41" s="237"/>
      <c r="E41" s="237"/>
      <c r="F41" s="237"/>
      <c r="G41" s="237"/>
      <c r="H41" s="237"/>
      <c r="I41" s="237"/>
      <c r="J41" s="237"/>
      <c r="K41" s="237"/>
      <c r="L41" s="237"/>
      <c r="M41" s="238"/>
      <c r="N41" s="238"/>
    </row>
    <row r="42" spans="2:14">
      <c r="B42" s="237"/>
      <c r="C42" s="237"/>
      <c r="D42" s="237"/>
      <c r="E42" s="237"/>
      <c r="F42" s="237"/>
      <c r="G42" s="237"/>
      <c r="H42" s="237"/>
      <c r="I42" s="237"/>
      <c r="J42" s="237"/>
      <c r="K42" s="237"/>
      <c r="L42" s="237"/>
      <c r="M42" s="238"/>
      <c r="N42" s="238"/>
    </row>
    <row r="43" spans="2:14">
      <c r="B43" s="237"/>
      <c r="C43" s="237"/>
      <c r="D43" s="237"/>
      <c r="E43" s="237"/>
      <c r="F43" s="237"/>
      <c r="G43" s="237"/>
      <c r="H43" s="237"/>
      <c r="I43" s="237"/>
      <c r="J43" s="237"/>
      <c r="K43" s="237"/>
      <c r="L43" s="237"/>
      <c r="M43" s="238"/>
      <c r="N43" s="238"/>
    </row>
    <row r="44" spans="2:14">
      <c r="B44" s="237"/>
      <c r="C44" s="237"/>
      <c r="D44" s="237"/>
      <c r="E44" s="237"/>
      <c r="F44" s="237"/>
      <c r="G44" s="237"/>
      <c r="H44" s="237"/>
      <c r="I44" s="237"/>
      <c r="J44" s="237"/>
      <c r="K44" s="237"/>
      <c r="L44" s="237"/>
      <c r="M44" s="238"/>
      <c r="N44" s="238"/>
    </row>
    <row r="45" spans="2:14">
      <c r="B45" s="237"/>
      <c r="C45" s="237"/>
      <c r="D45" s="237"/>
      <c r="E45" s="237"/>
      <c r="F45" s="237"/>
      <c r="G45" s="237"/>
      <c r="H45" s="237"/>
      <c r="I45" s="237"/>
      <c r="J45" s="237"/>
      <c r="K45" s="237"/>
      <c r="L45" s="237"/>
      <c r="M45" s="238"/>
      <c r="N45" s="238"/>
    </row>
    <row r="46" spans="2:14">
      <c r="B46" s="237"/>
      <c r="C46" s="237"/>
      <c r="D46" s="237"/>
      <c r="E46" s="237"/>
      <c r="F46" s="237"/>
      <c r="G46" s="237"/>
      <c r="H46" s="237"/>
      <c r="I46" s="237"/>
      <c r="J46" s="237"/>
      <c r="K46" s="237"/>
      <c r="L46" s="237"/>
      <c r="M46" s="238"/>
      <c r="N46" s="238"/>
    </row>
    <row r="47" spans="2:14">
      <c r="B47" s="237"/>
      <c r="C47" s="237"/>
      <c r="D47" s="237"/>
      <c r="E47" s="237"/>
      <c r="F47" s="237"/>
      <c r="G47" s="237"/>
      <c r="H47" s="237"/>
      <c r="I47" s="237"/>
      <c r="J47" s="237"/>
      <c r="K47" s="237"/>
      <c r="L47" s="237"/>
      <c r="M47" s="238"/>
      <c r="N47" s="238"/>
    </row>
    <row r="48" spans="2:14">
      <c r="B48" s="237"/>
      <c r="C48" s="237"/>
      <c r="D48" s="237"/>
      <c r="E48" s="237"/>
      <c r="F48" s="237"/>
      <c r="G48" s="237"/>
      <c r="H48" s="237"/>
      <c r="I48" s="237"/>
      <c r="J48" s="237"/>
      <c r="K48" s="237"/>
      <c r="L48" s="237"/>
      <c r="M48" s="238"/>
      <c r="N48" s="238"/>
    </row>
    <row r="49" spans="2:14">
      <c r="B49" s="237"/>
      <c r="C49" s="237"/>
      <c r="D49" s="237"/>
      <c r="E49" s="237"/>
      <c r="F49" s="237"/>
      <c r="G49" s="237"/>
      <c r="H49" s="237"/>
      <c r="I49" s="237"/>
      <c r="J49" s="237"/>
      <c r="K49" s="237"/>
      <c r="L49" s="237"/>
      <c r="M49" s="238"/>
      <c r="N49" s="238"/>
    </row>
    <row r="50" spans="2:14">
      <c r="B50" s="237"/>
      <c r="C50" s="237"/>
      <c r="D50" s="237"/>
      <c r="E50" s="237"/>
      <c r="F50" s="237"/>
      <c r="G50" s="237"/>
      <c r="H50" s="237"/>
      <c r="I50" s="237"/>
      <c r="J50" s="237"/>
      <c r="K50" s="237"/>
      <c r="L50" s="237"/>
      <c r="M50" s="238"/>
      <c r="N50" s="238"/>
    </row>
    <row r="51" spans="2:14">
      <c r="B51" s="237"/>
      <c r="C51" s="237"/>
      <c r="D51" s="237"/>
      <c r="E51" s="237"/>
      <c r="F51" s="237"/>
      <c r="G51" s="237"/>
      <c r="H51" s="237"/>
      <c r="I51" s="237"/>
      <c r="J51" s="237"/>
      <c r="K51" s="237"/>
      <c r="L51" s="237"/>
      <c r="M51" s="238"/>
      <c r="N51" s="238"/>
    </row>
    <row r="52" spans="2:14">
      <c r="B52" s="237"/>
      <c r="C52" s="237"/>
      <c r="D52" s="237"/>
      <c r="E52" s="237"/>
      <c r="F52" s="237"/>
      <c r="G52" s="237"/>
      <c r="H52" s="237"/>
      <c r="I52" s="237"/>
      <c r="J52" s="237"/>
      <c r="K52" s="237"/>
      <c r="L52" s="237"/>
      <c r="M52" s="238"/>
      <c r="N52" s="238"/>
    </row>
    <row r="53" spans="2:14">
      <c r="B53" s="237"/>
      <c r="C53" s="237"/>
      <c r="D53" s="237"/>
      <c r="E53" s="237"/>
      <c r="F53" s="237"/>
      <c r="G53" s="237"/>
      <c r="H53" s="237"/>
      <c r="I53" s="237"/>
      <c r="J53" s="237"/>
      <c r="K53" s="237"/>
      <c r="L53" s="237"/>
      <c r="M53" s="238"/>
      <c r="N53" s="238"/>
    </row>
    <row r="54" spans="2:14">
      <c r="B54" s="237"/>
      <c r="C54" s="237"/>
      <c r="D54" s="237"/>
      <c r="E54" s="237"/>
      <c r="F54" s="237"/>
      <c r="G54" s="237"/>
      <c r="H54" s="237"/>
      <c r="I54" s="237"/>
      <c r="J54" s="237"/>
      <c r="K54" s="237"/>
      <c r="L54" s="237"/>
      <c r="M54" s="238"/>
      <c r="N54" s="238"/>
    </row>
    <row r="55" spans="2:14">
      <c r="B55" s="237"/>
      <c r="C55" s="237"/>
      <c r="D55" s="237"/>
      <c r="E55" s="237"/>
      <c r="F55" s="237"/>
      <c r="G55" s="237"/>
      <c r="H55" s="237"/>
      <c r="I55" s="237"/>
      <c r="J55" s="237"/>
      <c r="K55" s="237"/>
      <c r="L55" s="237"/>
      <c r="M55" s="238"/>
      <c r="N55" s="238"/>
    </row>
    <row r="56" spans="2:14">
      <c r="B56" s="237"/>
      <c r="C56" s="237"/>
      <c r="D56" s="237"/>
      <c r="E56" s="237"/>
      <c r="F56" s="237"/>
      <c r="G56" s="237"/>
      <c r="H56" s="237"/>
      <c r="I56" s="237"/>
      <c r="J56" s="237"/>
      <c r="K56" s="237"/>
      <c r="L56" s="237"/>
      <c r="M56" s="238"/>
      <c r="N56" s="238"/>
    </row>
    <row r="57" spans="2:14">
      <c r="B57" s="237"/>
      <c r="C57" s="237"/>
      <c r="D57" s="237"/>
      <c r="E57" s="237"/>
      <c r="F57" s="237"/>
      <c r="G57" s="237"/>
      <c r="H57" s="237"/>
      <c r="I57" s="237"/>
      <c r="J57" s="237"/>
      <c r="K57" s="237"/>
      <c r="L57" s="237"/>
      <c r="M57" s="238"/>
      <c r="N57" s="238"/>
    </row>
    <row r="58" spans="2:14">
      <c r="B58" s="237"/>
      <c r="C58" s="237"/>
      <c r="D58" s="237"/>
      <c r="E58" s="237"/>
      <c r="F58" s="237"/>
      <c r="G58" s="237"/>
      <c r="H58" s="237"/>
      <c r="I58" s="237"/>
      <c r="J58" s="237"/>
      <c r="K58" s="237"/>
      <c r="L58" s="237"/>
      <c r="M58" s="238"/>
      <c r="N58" s="238"/>
    </row>
    <row r="59" spans="2:14">
      <c r="B59" s="237"/>
      <c r="C59" s="237"/>
      <c r="D59" s="237"/>
      <c r="E59" s="237"/>
      <c r="F59" s="237"/>
      <c r="G59" s="237"/>
      <c r="H59" s="237"/>
      <c r="I59" s="237"/>
      <c r="J59" s="237"/>
      <c r="K59" s="237"/>
      <c r="L59" s="237"/>
      <c r="M59" s="238"/>
      <c r="N59" s="238"/>
    </row>
  </sheetData>
  <sheetProtection insertRows="0" deleteRows="0" sort="0" autoFilter="0"/>
  <mergeCells count="2">
    <mergeCell ref="B4:B8"/>
    <mergeCell ref="C4:D4"/>
  </mergeCells>
  <phoneticPr fontId="14"/>
  <dataValidations count="1">
    <dataValidation type="list" allowBlank="1" showInputMessage="1" showErrorMessage="1" sqref="G60:G91 H60:H176" xr:uid="{2457110B-3200-4BAE-86BD-15C6CA29488F}">
      <formula1>#REF!</formula1>
    </dataValidation>
  </dataValidations>
  <hyperlinks>
    <hyperlink ref="A3" location="パラメータ設定一覧!A1" display="パラメータ設定一覧へ" xr:uid="{48A38DFB-B302-433A-B918-7C22BDED1506}"/>
  </hyperlinks>
  <pageMargins left="0.7" right="0.7" top="0.75" bottom="0.75" header="0.3" footer="0.3"/>
  <pageSetup paperSize="9" orientation="portrait" horizontalDpi="1200" verticalDpi="120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83DA0-8708-4572-83EB-7ABF4A9A876B}">
  <sheetPr codeName="Sheet11"/>
  <dimension ref="A1:L28"/>
  <sheetViews>
    <sheetView showGridLines="0" zoomScaleNormal="100" workbookViewId="0">
      <pane xSplit="6" ySplit="5" topLeftCell="G6" activePane="bottomRight" state="frozen"/>
      <selection pane="topRight"/>
      <selection pane="bottomLeft"/>
      <selection pane="bottomRight" activeCell="G6" sqref="G6"/>
    </sheetView>
  </sheetViews>
  <sheetFormatPr defaultColWidth="8.78515625" defaultRowHeight="13.5"/>
  <cols>
    <col min="1" max="1" width="2.78515625" style="46" customWidth="1"/>
    <col min="2" max="2" width="3.78515625" style="46" customWidth="1"/>
    <col min="3" max="3" width="16.78515625" style="46" customWidth="1"/>
    <col min="4" max="4" width="19.2109375" style="46" customWidth="1"/>
    <col min="5" max="5" width="16.5703125" style="46" customWidth="1"/>
    <col min="6" max="6" width="22.5703125" style="46" customWidth="1"/>
    <col min="7" max="7" width="44.640625" style="46" customWidth="1"/>
    <col min="8" max="8" width="27.5703125" style="46" customWidth="1"/>
    <col min="9" max="9" width="17.42578125" style="53" customWidth="1"/>
    <col min="10" max="10" width="22.42578125" style="46" customWidth="1"/>
    <col min="11" max="11" width="18.2109375" style="46" customWidth="1"/>
    <col min="12" max="12" width="13.2109375" style="46" customWidth="1"/>
    <col min="13" max="16384" width="8.78515625" style="46"/>
  </cols>
  <sheetData>
    <row r="1" spans="1:12" customFormat="1" ht="19.5">
      <c r="A1" s="99" t="s">
        <v>461</v>
      </c>
      <c r="C1" s="46"/>
      <c r="D1" s="46"/>
      <c r="E1" s="46"/>
      <c r="F1" s="46"/>
      <c r="G1" s="46"/>
      <c r="H1" s="46"/>
      <c r="I1" s="53"/>
    </row>
    <row r="2" spans="1:12" customFormat="1" ht="15">
      <c r="B2" t="s">
        <v>460</v>
      </c>
      <c r="C2" s="46"/>
      <c r="D2" s="46"/>
      <c r="E2" s="46"/>
      <c r="F2" s="46"/>
      <c r="G2" s="46"/>
      <c r="H2" s="46"/>
      <c r="I2" s="53"/>
    </row>
    <row r="3" spans="1:12" customFormat="1" ht="15">
      <c r="B3" t="s">
        <v>459</v>
      </c>
      <c r="C3" s="46"/>
      <c r="D3" s="46"/>
      <c r="E3" s="46"/>
      <c r="F3" s="46"/>
      <c r="G3" s="46"/>
      <c r="H3" s="46"/>
      <c r="I3" s="53"/>
    </row>
    <row r="4" spans="1:12" customFormat="1" ht="15">
      <c r="A4" s="10" t="s">
        <v>363</v>
      </c>
      <c r="C4" s="46"/>
      <c r="D4" s="46"/>
      <c r="E4" s="46"/>
      <c r="F4" s="46"/>
      <c r="G4" s="46"/>
      <c r="H4" s="46"/>
      <c r="I4" s="53"/>
    </row>
    <row r="5" spans="1:12">
      <c r="B5" s="11" t="s">
        <v>1</v>
      </c>
      <c r="C5" s="12" t="s">
        <v>9</v>
      </c>
      <c r="D5" s="11" t="s">
        <v>10</v>
      </c>
      <c r="E5" s="11" t="s">
        <v>11</v>
      </c>
      <c r="F5" s="20" t="s">
        <v>12</v>
      </c>
      <c r="G5" s="20" t="s">
        <v>13</v>
      </c>
      <c r="H5" s="11" t="s">
        <v>14</v>
      </c>
      <c r="I5" s="54" t="s">
        <v>15</v>
      </c>
      <c r="J5" s="11" t="s">
        <v>16</v>
      </c>
      <c r="K5" s="14" t="s">
        <v>17</v>
      </c>
      <c r="L5" s="14" t="s">
        <v>18</v>
      </c>
    </row>
    <row r="6" spans="1:12" ht="27">
      <c r="B6" s="15">
        <f t="shared" ref="B6:B28" si="0">ROW() - 5</f>
        <v>1</v>
      </c>
      <c r="C6" s="16" t="s">
        <v>458</v>
      </c>
      <c r="D6" s="16" t="s">
        <v>457</v>
      </c>
      <c r="E6" s="52"/>
      <c r="F6" s="22" t="s">
        <v>449</v>
      </c>
      <c r="G6" s="22"/>
      <c r="H6" s="47" t="s">
        <v>448</v>
      </c>
      <c r="I6" s="44" t="s">
        <v>331</v>
      </c>
      <c r="J6" s="23"/>
      <c r="K6" s="2" t="s">
        <v>456</v>
      </c>
      <c r="L6" s="3"/>
    </row>
    <row r="7" spans="1:12">
      <c r="B7" s="15">
        <f t="shared" si="0"/>
        <v>2</v>
      </c>
      <c r="C7" s="68"/>
      <c r="D7" s="68"/>
      <c r="E7" s="67"/>
      <c r="F7" s="22" t="s">
        <v>2734</v>
      </c>
      <c r="G7" s="22"/>
      <c r="H7" s="47" t="s">
        <v>2736</v>
      </c>
      <c r="I7" s="150" t="s">
        <v>2735</v>
      </c>
      <c r="J7" s="23"/>
      <c r="K7" s="2" t="s">
        <v>456</v>
      </c>
      <c r="L7" s="3"/>
    </row>
    <row r="8" spans="1:12">
      <c r="B8" s="15">
        <f t="shared" si="0"/>
        <v>3</v>
      </c>
      <c r="C8" s="68"/>
      <c r="D8" s="68"/>
      <c r="E8" s="67"/>
      <c r="F8" s="22" t="s">
        <v>447</v>
      </c>
      <c r="G8" s="22"/>
      <c r="H8" s="47" t="s">
        <v>445</v>
      </c>
      <c r="I8" s="44" t="s">
        <v>331</v>
      </c>
      <c r="J8" s="23"/>
      <c r="K8" s="2" t="s">
        <v>456</v>
      </c>
      <c r="L8" s="3"/>
    </row>
    <row r="9" spans="1:12" ht="27">
      <c r="B9" s="15"/>
      <c r="C9" s="68"/>
      <c r="D9" s="68"/>
      <c r="E9" s="67"/>
      <c r="F9" s="22" t="s">
        <v>2730</v>
      </c>
      <c r="G9" s="22"/>
      <c r="H9" s="47" t="s">
        <v>50</v>
      </c>
      <c r="I9" s="150" t="s">
        <v>2731</v>
      </c>
      <c r="J9" s="23" t="s">
        <v>2733</v>
      </c>
      <c r="K9" s="2" t="s">
        <v>456</v>
      </c>
      <c r="L9" s="3"/>
    </row>
    <row r="10" spans="1:12">
      <c r="B10" s="15">
        <f t="shared" si="0"/>
        <v>5</v>
      </c>
      <c r="C10" s="68"/>
      <c r="D10" s="68"/>
      <c r="E10" s="67"/>
      <c r="F10" s="22" t="s">
        <v>446</v>
      </c>
      <c r="G10" s="22"/>
      <c r="H10" s="47" t="s">
        <v>445</v>
      </c>
      <c r="I10" s="44" t="s">
        <v>331</v>
      </c>
      <c r="J10" s="23"/>
      <c r="K10" s="2" t="s">
        <v>456</v>
      </c>
      <c r="L10" s="3"/>
    </row>
    <row r="11" spans="1:12" ht="40.5">
      <c r="B11" s="15">
        <f t="shared" si="0"/>
        <v>6</v>
      </c>
      <c r="C11" s="68"/>
      <c r="D11" s="68"/>
      <c r="E11" s="68"/>
      <c r="F11" s="22" t="s">
        <v>171</v>
      </c>
      <c r="G11" s="22"/>
      <c r="H11" s="48" t="s">
        <v>444</v>
      </c>
      <c r="I11" s="44" t="s">
        <v>228</v>
      </c>
      <c r="J11" s="23"/>
      <c r="K11" s="2" t="s">
        <v>456</v>
      </c>
      <c r="L11" s="3"/>
    </row>
    <row r="12" spans="1:12" ht="27">
      <c r="B12" s="15">
        <f t="shared" si="0"/>
        <v>7</v>
      </c>
      <c r="C12" s="68"/>
      <c r="D12" s="19"/>
      <c r="E12" s="19"/>
      <c r="F12" s="22" t="s">
        <v>2739</v>
      </c>
      <c r="G12" s="22"/>
      <c r="H12" s="48" t="s">
        <v>2740</v>
      </c>
      <c r="I12" s="44" t="s">
        <v>2741</v>
      </c>
      <c r="J12" s="23"/>
      <c r="K12" s="2" t="s">
        <v>456</v>
      </c>
      <c r="L12" s="3"/>
    </row>
    <row r="13" spans="1:12" ht="40.5">
      <c r="B13" s="15">
        <f t="shared" si="0"/>
        <v>8</v>
      </c>
      <c r="C13" s="16" t="s">
        <v>455</v>
      </c>
      <c r="D13" s="16" t="s">
        <v>454</v>
      </c>
      <c r="E13" s="16"/>
      <c r="F13" s="22" t="s">
        <v>239</v>
      </c>
      <c r="G13" s="22"/>
      <c r="H13" s="47" t="s">
        <v>450</v>
      </c>
      <c r="I13" s="44" t="s">
        <v>331</v>
      </c>
      <c r="J13" s="23"/>
      <c r="K13" s="2" t="s">
        <v>453</v>
      </c>
      <c r="L13" s="3"/>
    </row>
    <row r="14" spans="1:12">
      <c r="B14" s="15">
        <f t="shared" si="0"/>
        <v>9</v>
      </c>
      <c r="C14" s="68"/>
      <c r="D14" s="68"/>
      <c r="E14" s="68"/>
      <c r="F14" s="22" t="s">
        <v>449</v>
      </c>
      <c r="G14" s="22"/>
      <c r="H14" s="47" t="s">
        <v>448</v>
      </c>
      <c r="I14" s="44" t="s">
        <v>331</v>
      </c>
      <c r="J14" s="23"/>
      <c r="K14" s="2" t="s">
        <v>453</v>
      </c>
      <c r="L14" s="3"/>
    </row>
    <row r="15" spans="1:12">
      <c r="B15" s="15">
        <f t="shared" si="0"/>
        <v>10</v>
      </c>
      <c r="C15" s="68"/>
      <c r="D15" s="68"/>
      <c r="E15" s="68"/>
      <c r="F15" s="22" t="s">
        <v>2734</v>
      </c>
      <c r="G15" s="22"/>
      <c r="H15" s="47" t="s">
        <v>2736</v>
      </c>
      <c r="I15" s="150" t="s">
        <v>2735</v>
      </c>
      <c r="J15" s="23"/>
      <c r="K15" s="2" t="s">
        <v>453</v>
      </c>
      <c r="L15" s="3"/>
    </row>
    <row r="16" spans="1:12">
      <c r="B16" s="15">
        <f t="shared" si="0"/>
        <v>11</v>
      </c>
      <c r="C16" s="68"/>
      <c r="D16" s="68"/>
      <c r="E16" s="68"/>
      <c r="F16" s="22" t="s">
        <v>447</v>
      </c>
      <c r="G16" s="22"/>
      <c r="H16" s="47" t="s">
        <v>445</v>
      </c>
      <c r="I16" s="44" t="s">
        <v>331</v>
      </c>
      <c r="J16" s="23"/>
      <c r="K16" s="2" t="s">
        <v>453</v>
      </c>
      <c r="L16" s="3"/>
    </row>
    <row r="17" spans="2:12" ht="27">
      <c r="B17" s="15">
        <f t="shared" si="0"/>
        <v>12</v>
      </c>
      <c r="C17" s="68"/>
      <c r="D17" s="68"/>
      <c r="E17" s="68"/>
      <c r="F17" s="22" t="s">
        <v>2730</v>
      </c>
      <c r="G17" s="22"/>
      <c r="H17" s="47" t="s">
        <v>50</v>
      </c>
      <c r="I17" s="150" t="s">
        <v>2731</v>
      </c>
      <c r="J17" s="23" t="s">
        <v>2733</v>
      </c>
      <c r="K17" s="2" t="s">
        <v>453</v>
      </c>
      <c r="L17" s="3"/>
    </row>
    <row r="18" spans="2:12">
      <c r="B18" s="15">
        <f t="shared" si="0"/>
        <v>13</v>
      </c>
      <c r="C18" s="68"/>
      <c r="D18" s="68"/>
      <c r="E18" s="68"/>
      <c r="F18" s="22" t="s">
        <v>446</v>
      </c>
      <c r="G18" s="22"/>
      <c r="H18" s="47" t="s">
        <v>445</v>
      </c>
      <c r="I18" s="44" t="s">
        <v>331</v>
      </c>
      <c r="J18" s="23"/>
      <c r="K18" s="2" t="s">
        <v>453</v>
      </c>
      <c r="L18" s="3"/>
    </row>
    <row r="19" spans="2:12" ht="40.5">
      <c r="B19" s="15">
        <f t="shared" si="0"/>
        <v>14</v>
      </c>
      <c r="C19" s="68"/>
      <c r="D19" s="68"/>
      <c r="E19" s="68"/>
      <c r="F19" s="22" t="s">
        <v>171</v>
      </c>
      <c r="G19" s="22"/>
      <c r="H19" s="48" t="s">
        <v>444</v>
      </c>
      <c r="I19" s="44" t="s">
        <v>228</v>
      </c>
      <c r="J19" s="23"/>
      <c r="K19" s="2" t="s">
        <v>453</v>
      </c>
      <c r="L19" s="3"/>
    </row>
    <row r="20" spans="2:12" ht="27">
      <c r="B20" s="15">
        <f t="shared" si="0"/>
        <v>15</v>
      </c>
      <c r="C20" s="19"/>
      <c r="D20" s="19"/>
      <c r="E20" s="19"/>
      <c r="F20" s="22" t="s">
        <v>2739</v>
      </c>
      <c r="G20" s="22"/>
      <c r="H20" s="48" t="s">
        <v>2740</v>
      </c>
      <c r="I20" s="44" t="s">
        <v>2741</v>
      </c>
      <c r="J20" s="23"/>
      <c r="K20" s="2" t="s">
        <v>453</v>
      </c>
      <c r="L20" s="3"/>
    </row>
    <row r="21" spans="2:12" ht="40.5">
      <c r="B21" s="21">
        <f t="shared" si="0"/>
        <v>16</v>
      </c>
      <c r="C21" s="68" t="s">
        <v>452</v>
      </c>
      <c r="D21" s="98" t="s">
        <v>451</v>
      </c>
      <c r="E21" s="16"/>
      <c r="F21" s="22" t="s">
        <v>239</v>
      </c>
      <c r="G21" s="22"/>
      <c r="H21" s="47" t="s">
        <v>450</v>
      </c>
      <c r="I21" s="44" t="s">
        <v>331</v>
      </c>
      <c r="J21" s="23"/>
      <c r="K21" s="2" t="s">
        <v>443</v>
      </c>
      <c r="L21" s="3"/>
    </row>
    <row r="22" spans="2:12">
      <c r="B22" s="21">
        <f t="shared" si="0"/>
        <v>17</v>
      </c>
      <c r="C22" s="68"/>
      <c r="D22" s="68"/>
      <c r="E22" s="68"/>
      <c r="F22" s="22" t="s">
        <v>449</v>
      </c>
      <c r="G22" s="22"/>
      <c r="H22" s="47" t="s">
        <v>448</v>
      </c>
      <c r="I22" s="44" t="s">
        <v>331</v>
      </c>
      <c r="J22" s="23"/>
      <c r="K22" s="2" t="s">
        <v>443</v>
      </c>
      <c r="L22" s="3"/>
    </row>
    <row r="23" spans="2:12">
      <c r="B23" s="21">
        <f t="shared" si="0"/>
        <v>18</v>
      </c>
      <c r="C23" s="68"/>
      <c r="D23" s="68"/>
      <c r="E23" s="68"/>
      <c r="F23" s="22" t="s">
        <v>2734</v>
      </c>
      <c r="G23" s="22"/>
      <c r="H23" s="47" t="s">
        <v>2736</v>
      </c>
      <c r="I23" s="150" t="s">
        <v>2735</v>
      </c>
      <c r="J23" s="23"/>
      <c r="K23" s="2" t="s">
        <v>443</v>
      </c>
      <c r="L23" s="3"/>
    </row>
    <row r="24" spans="2:12">
      <c r="B24" s="21">
        <f t="shared" si="0"/>
        <v>19</v>
      </c>
      <c r="C24" s="68"/>
      <c r="D24" s="68"/>
      <c r="E24" s="68"/>
      <c r="F24" s="22" t="s">
        <v>447</v>
      </c>
      <c r="G24" s="22"/>
      <c r="H24" s="47" t="s">
        <v>445</v>
      </c>
      <c r="I24" s="44" t="s">
        <v>331</v>
      </c>
      <c r="J24" s="23"/>
      <c r="K24" s="2" t="s">
        <v>443</v>
      </c>
      <c r="L24" s="3"/>
    </row>
    <row r="25" spans="2:12" ht="27">
      <c r="B25" s="21">
        <f t="shared" si="0"/>
        <v>20</v>
      </c>
      <c r="C25" s="68"/>
      <c r="D25" s="68"/>
      <c r="E25" s="68"/>
      <c r="F25" s="22" t="s">
        <v>2730</v>
      </c>
      <c r="G25" s="22"/>
      <c r="H25" s="47" t="s">
        <v>50</v>
      </c>
      <c r="I25" s="150" t="s">
        <v>2731</v>
      </c>
      <c r="J25" s="23" t="s">
        <v>2733</v>
      </c>
      <c r="K25" s="2" t="s">
        <v>443</v>
      </c>
      <c r="L25" s="3"/>
    </row>
    <row r="26" spans="2:12">
      <c r="B26" s="21">
        <f t="shared" si="0"/>
        <v>21</v>
      </c>
      <c r="C26" s="68"/>
      <c r="D26" s="68"/>
      <c r="E26" s="68"/>
      <c r="F26" s="22" t="s">
        <v>446</v>
      </c>
      <c r="G26" s="22"/>
      <c r="H26" s="47" t="s">
        <v>445</v>
      </c>
      <c r="I26" s="44" t="s">
        <v>331</v>
      </c>
      <c r="J26" s="23"/>
      <c r="K26" s="2" t="s">
        <v>443</v>
      </c>
      <c r="L26" s="3"/>
    </row>
    <row r="27" spans="2:12">
      <c r="B27" s="21">
        <f t="shared" si="0"/>
        <v>22</v>
      </c>
      <c r="C27" s="68"/>
      <c r="D27" s="68"/>
      <c r="E27" s="68"/>
      <c r="F27" s="22" t="s">
        <v>446</v>
      </c>
      <c r="G27" s="22"/>
      <c r="H27" s="47" t="s">
        <v>445</v>
      </c>
      <c r="I27" s="44" t="s">
        <v>331</v>
      </c>
      <c r="J27" s="23"/>
      <c r="K27" s="2" t="s">
        <v>443</v>
      </c>
      <c r="L27" s="3"/>
    </row>
    <row r="28" spans="2:12" ht="27">
      <c r="B28" s="21">
        <f t="shared" si="0"/>
        <v>23</v>
      </c>
      <c r="C28" s="19"/>
      <c r="D28" s="19"/>
      <c r="E28" s="19"/>
      <c r="F28" s="22" t="s">
        <v>2739</v>
      </c>
      <c r="G28" s="22"/>
      <c r="H28" s="48" t="s">
        <v>2740</v>
      </c>
      <c r="I28" s="44" t="s">
        <v>2741</v>
      </c>
      <c r="J28" s="23"/>
      <c r="K28" s="2" t="s">
        <v>443</v>
      </c>
      <c r="L28" s="3"/>
    </row>
  </sheetData>
  <phoneticPr fontId="14"/>
  <hyperlinks>
    <hyperlink ref="A4" location="パラメータ設定一覧!A1" display="パラメータ設定一覧へ" xr:uid="{A8B43DED-674D-4A24-9E56-4A1E02E3DC7A}"/>
  </hyperlinks>
  <pageMargins left="0.7" right="0.7" top="0.75" bottom="0.75" header="0.3" footer="0.3"/>
  <pageSetup paperSize="9" orientation="portrait" horizontalDpi="1200"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A2210-CEAD-4CDC-A861-9AB7CCF8B1F2}">
  <sheetPr codeName="Sheet12"/>
  <dimension ref="A1:I27"/>
  <sheetViews>
    <sheetView showGridLines="0" zoomScaleNormal="100" workbookViewId="0">
      <pane xSplit="3" ySplit="6" topLeftCell="D7" activePane="bottomRight" state="frozen"/>
      <selection pane="topRight" activeCell="D1" sqref="D1"/>
      <selection pane="bottomLeft" activeCell="A7" sqref="A7"/>
      <selection pane="bottomRight" activeCell="E7" sqref="E7:G7"/>
    </sheetView>
  </sheetViews>
  <sheetFormatPr defaultColWidth="8.78515625" defaultRowHeight="13.5"/>
  <cols>
    <col min="1" max="1" width="2.78515625" style="46" customWidth="1"/>
    <col min="2" max="2" width="3.5703125" style="46" bestFit="1" customWidth="1"/>
    <col min="3" max="3" width="17.35546875" style="46" customWidth="1"/>
    <col min="4" max="4" width="14" style="242" bestFit="1" customWidth="1"/>
    <col min="5" max="5" width="14.78515625" style="46" bestFit="1" customWidth="1"/>
    <col min="6" max="6" width="14" style="242" bestFit="1" customWidth="1"/>
    <col min="7" max="7" width="14.78515625" style="46" bestFit="1" customWidth="1"/>
    <col min="8" max="8" width="6.85546875" style="46" bestFit="1" customWidth="1"/>
    <col min="9" max="9" width="9" style="46" bestFit="1" customWidth="1"/>
    <col min="10" max="16384" width="8.78515625" style="46"/>
  </cols>
  <sheetData>
    <row r="1" spans="1:9" customFormat="1" ht="19.5">
      <c r="A1" s="99" t="s">
        <v>2680</v>
      </c>
    </row>
    <row r="2" spans="1:9" customFormat="1" ht="15">
      <c r="A2" s="196" t="s">
        <v>2668</v>
      </c>
    </row>
    <row r="3" spans="1:9" customFormat="1" ht="15">
      <c r="A3" s="10" t="s">
        <v>363</v>
      </c>
    </row>
    <row r="4" spans="1:9">
      <c r="B4" s="442" t="s">
        <v>463</v>
      </c>
      <c r="C4" s="69" t="s">
        <v>449</v>
      </c>
      <c r="D4" s="69" t="s">
        <v>2732</v>
      </c>
      <c r="E4" s="69" t="s">
        <v>447</v>
      </c>
      <c r="F4" s="69" t="s">
        <v>2732</v>
      </c>
      <c r="G4" s="69" t="s">
        <v>446</v>
      </c>
      <c r="H4" s="69" t="s">
        <v>171</v>
      </c>
      <c r="I4" s="69" t="s">
        <v>2739</v>
      </c>
    </row>
    <row r="5" spans="1:9" ht="40.5">
      <c r="B5" s="442"/>
      <c r="C5" s="8" t="s">
        <v>462</v>
      </c>
      <c r="D5" s="8" t="s">
        <v>2736</v>
      </c>
      <c r="E5" s="8" t="s">
        <v>445</v>
      </c>
      <c r="F5" s="8" t="s">
        <v>50</v>
      </c>
      <c r="G5" s="8" t="s">
        <v>445</v>
      </c>
      <c r="H5" s="8" t="s">
        <v>2738</v>
      </c>
      <c r="I5" s="8" t="s">
        <v>2742</v>
      </c>
    </row>
    <row r="6" spans="1:9">
      <c r="B6" s="446"/>
      <c r="C6" s="8" t="s">
        <v>2737</v>
      </c>
      <c r="D6" s="8" t="s">
        <v>2667</v>
      </c>
      <c r="E6" s="8" t="s">
        <v>2667</v>
      </c>
      <c r="F6" s="8" t="s">
        <v>2667</v>
      </c>
      <c r="G6" s="8" t="s">
        <v>2667</v>
      </c>
      <c r="H6" s="8" t="s">
        <v>2667</v>
      </c>
      <c r="I6" s="8" t="s">
        <v>2667</v>
      </c>
    </row>
    <row r="7" spans="1:9">
      <c r="B7" s="229" t="s">
        <v>1226</v>
      </c>
      <c r="C7" s="75" t="str">
        <f>D7&amp;E7&amp;"="&amp;F7&amp;G7</f>
        <v>1箱=12個</v>
      </c>
      <c r="D7" s="334" t="s">
        <v>2735</v>
      </c>
      <c r="E7" s="75" t="s">
        <v>2832</v>
      </c>
      <c r="F7" s="335" t="s">
        <v>2833</v>
      </c>
      <c r="G7" s="75" t="s">
        <v>422</v>
      </c>
      <c r="H7" s="75" t="s">
        <v>2834</v>
      </c>
      <c r="I7" s="75" t="s">
        <v>2835</v>
      </c>
    </row>
    <row r="8" spans="1:9">
      <c r="B8" s="217">
        <f>ROW() - 7</f>
        <v>1</v>
      </c>
      <c r="C8" s="239" t="str">
        <f>D8&amp;E8&amp;"="&amp;F8&amp;G8</f>
        <v>1=</v>
      </c>
      <c r="D8" s="243" t="s">
        <v>2735</v>
      </c>
      <c r="E8" s="239"/>
      <c r="F8" s="240"/>
      <c r="G8" s="239"/>
      <c r="H8" s="239"/>
      <c r="I8" s="239"/>
    </row>
    <row r="9" spans="1:9">
      <c r="B9" s="217">
        <f t="shared" ref="B9:B27" si="0">ROW() - 7</f>
        <v>2</v>
      </c>
      <c r="C9" s="239" t="str">
        <f t="shared" ref="C9" si="1">D9&amp;E9&amp;"="&amp;F9&amp;G9</f>
        <v>1=</v>
      </c>
      <c r="D9" s="243" t="s">
        <v>2735</v>
      </c>
      <c r="E9" s="239"/>
      <c r="F9" s="240"/>
      <c r="G9" s="239"/>
      <c r="H9" s="239"/>
      <c r="I9" s="239"/>
    </row>
    <row r="10" spans="1:9">
      <c r="B10" s="217">
        <f>ROW() - 7</f>
        <v>3</v>
      </c>
      <c r="C10" s="239" t="str">
        <f>D10&amp;E10&amp;"="&amp;F10&amp;G10</f>
        <v>1=</v>
      </c>
      <c r="D10" s="243" t="s">
        <v>2735</v>
      </c>
      <c r="E10" s="239"/>
      <c r="F10" s="240"/>
      <c r="G10" s="239"/>
      <c r="H10" s="239"/>
      <c r="I10" s="239"/>
    </row>
    <row r="11" spans="1:9">
      <c r="B11" s="217">
        <f t="shared" si="0"/>
        <v>4</v>
      </c>
      <c r="C11" s="239" t="str">
        <f t="shared" ref="C11:C27" si="2">D11&amp;E11&amp;"="&amp;F11&amp;G11</f>
        <v>1=</v>
      </c>
      <c r="D11" s="243" t="s">
        <v>2735</v>
      </c>
      <c r="E11" s="239"/>
      <c r="F11" s="240"/>
      <c r="G11" s="239"/>
      <c r="H11" s="239"/>
      <c r="I11" s="239"/>
    </row>
    <row r="12" spans="1:9">
      <c r="B12" s="217">
        <f t="shared" si="0"/>
        <v>5</v>
      </c>
      <c r="C12" s="239" t="str">
        <f t="shared" si="2"/>
        <v>1=</v>
      </c>
      <c r="D12" s="243" t="s">
        <v>2735</v>
      </c>
      <c r="E12" s="239"/>
      <c r="F12" s="240"/>
      <c r="G12" s="239"/>
      <c r="H12" s="239"/>
      <c r="I12" s="239"/>
    </row>
    <row r="13" spans="1:9">
      <c r="B13" s="217">
        <f t="shared" si="0"/>
        <v>6</v>
      </c>
      <c r="C13" s="239" t="str">
        <f t="shared" si="2"/>
        <v>1=</v>
      </c>
      <c r="D13" s="243" t="s">
        <v>2735</v>
      </c>
      <c r="E13" s="239"/>
      <c r="F13" s="240"/>
      <c r="G13" s="239"/>
      <c r="H13" s="239"/>
      <c r="I13" s="239"/>
    </row>
    <row r="14" spans="1:9">
      <c r="B14" s="217">
        <f t="shared" si="0"/>
        <v>7</v>
      </c>
      <c r="C14" s="239" t="str">
        <f t="shared" si="2"/>
        <v>1=</v>
      </c>
      <c r="D14" s="243" t="s">
        <v>2735</v>
      </c>
      <c r="E14" s="239"/>
      <c r="F14" s="240"/>
      <c r="G14" s="239"/>
      <c r="H14" s="239"/>
      <c r="I14" s="239"/>
    </row>
    <row r="15" spans="1:9">
      <c r="B15" s="217">
        <f t="shared" si="0"/>
        <v>8</v>
      </c>
      <c r="C15" s="239" t="str">
        <f t="shared" si="2"/>
        <v>1=</v>
      </c>
      <c r="D15" s="243" t="s">
        <v>2735</v>
      </c>
      <c r="E15" s="239"/>
      <c r="F15" s="240"/>
      <c r="G15" s="239"/>
      <c r="H15" s="239"/>
      <c r="I15" s="239"/>
    </row>
    <row r="16" spans="1:9">
      <c r="B16" s="217">
        <f t="shared" si="0"/>
        <v>9</v>
      </c>
      <c r="C16" s="239" t="str">
        <f t="shared" si="2"/>
        <v>1=</v>
      </c>
      <c r="D16" s="243" t="s">
        <v>2735</v>
      </c>
      <c r="E16" s="239"/>
      <c r="F16" s="240"/>
      <c r="G16" s="239"/>
      <c r="H16" s="239"/>
      <c r="I16" s="239"/>
    </row>
    <row r="17" spans="2:9">
      <c r="B17" s="217">
        <f t="shared" si="0"/>
        <v>10</v>
      </c>
      <c r="C17" s="239" t="str">
        <f t="shared" si="2"/>
        <v>1=</v>
      </c>
      <c r="D17" s="243" t="s">
        <v>2735</v>
      </c>
      <c r="E17" s="239"/>
      <c r="F17" s="240"/>
      <c r="G17" s="239"/>
      <c r="H17" s="239"/>
      <c r="I17" s="239"/>
    </row>
    <row r="18" spans="2:9">
      <c r="B18" s="217">
        <f t="shared" si="0"/>
        <v>11</v>
      </c>
      <c r="C18" s="239" t="str">
        <f t="shared" si="2"/>
        <v>1=</v>
      </c>
      <c r="D18" s="243" t="s">
        <v>2735</v>
      </c>
      <c r="E18" s="239"/>
      <c r="F18" s="240"/>
      <c r="G18" s="239"/>
      <c r="H18" s="239"/>
      <c r="I18" s="239"/>
    </row>
    <row r="19" spans="2:9">
      <c r="B19" s="217">
        <f t="shared" si="0"/>
        <v>12</v>
      </c>
      <c r="C19" s="239" t="str">
        <f t="shared" si="2"/>
        <v>1=</v>
      </c>
      <c r="D19" s="243" t="s">
        <v>2735</v>
      </c>
      <c r="E19" s="239"/>
      <c r="F19" s="240"/>
      <c r="G19" s="239"/>
      <c r="H19" s="239"/>
      <c r="I19" s="239"/>
    </row>
    <row r="20" spans="2:9">
      <c r="B20" s="217">
        <f t="shared" si="0"/>
        <v>13</v>
      </c>
      <c r="C20" s="239" t="str">
        <f t="shared" si="2"/>
        <v>1=</v>
      </c>
      <c r="D20" s="243" t="s">
        <v>2735</v>
      </c>
      <c r="E20" s="239"/>
      <c r="F20" s="240"/>
      <c r="G20" s="239"/>
      <c r="H20" s="239"/>
      <c r="I20" s="239"/>
    </row>
    <row r="21" spans="2:9">
      <c r="B21" s="217">
        <f t="shared" si="0"/>
        <v>14</v>
      </c>
      <c r="C21" s="239" t="str">
        <f t="shared" si="2"/>
        <v>1=</v>
      </c>
      <c r="D21" s="243" t="s">
        <v>2735</v>
      </c>
      <c r="E21" s="217"/>
      <c r="F21" s="241"/>
      <c r="G21" s="217"/>
      <c r="H21" s="217"/>
      <c r="I21" s="217"/>
    </row>
    <row r="22" spans="2:9">
      <c r="B22" s="217">
        <f t="shared" si="0"/>
        <v>15</v>
      </c>
      <c r="C22" s="239" t="str">
        <f t="shared" si="2"/>
        <v>1=</v>
      </c>
      <c r="D22" s="243" t="s">
        <v>2735</v>
      </c>
      <c r="E22" s="239"/>
      <c r="F22" s="240"/>
      <c r="G22" s="239"/>
      <c r="H22" s="239"/>
      <c r="I22" s="239"/>
    </row>
    <row r="23" spans="2:9">
      <c r="B23" s="217">
        <f t="shared" si="0"/>
        <v>16</v>
      </c>
      <c r="C23" s="239" t="str">
        <f t="shared" si="2"/>
        <v>1=</v>
      </c>
      <c r="D23" s="243" t="s">
        <v>2735</v>
      </c>
      <c r="E23" s="239"/>
      <c r="F23" s="240"/>
      <c r="G23" s="239"/>
      <c r="H23" s="239"/>
      <c r="I23" s="239"/>
    </row>
    <row r="24" spans="2:9">
      <c r="B24" s="217">
        <f t="shared" si="0"/>
        <v>17</v>
      </c>
      <c r="C24" s="239" t="str">
        <f t="shared" si="2"/>
        <v>1=</v>
      </c>
      <c r="D24" s="243" t="s">
        <v>2735</v>
      </c>
      <c r="E24" s="239"/>
      <c r="F24" s="240"/>
      <c r="G24" s="239"/>
      <c r="H24" s="239"/>
      <c r="I24" s="239"/>
    </row>
    <row r="25" spans="2:9">
      <c r="B25" s="217">
        <f t="shared" si="0"/>
        <v>18</v>
      </c>
      <c r="C25" s="239" t="str">
        <f t="shared" si="2"/>
        <v>1=</v>
      </c>
      <c r="D25" s="243" t="s">
        <v>2735</v>
      </c>
      <c r="E25" s="239"/>
      <c r="F25" s="240"/>
      <c r="G25" s="239"/>
      <c r="H25" s="239"/>
      <c r="I25" s="239"/>
    </row>
    <row r="26" spans="2:9">
      <c r="B26" s="217">
        <f t="shared" si="0"/>
        <v>19</v>
      </c>
      <c r="C26" s="239" t="str">
        <f t="shared" si="2"/>
        <v>1=</v>
      </c>
      <c r="D26" s="243" t="s">
        <v>2735</v>
      </c>
      <c r="E26" s="239"/>
      <c r="F26" s="240"/>
      <c r="G26" s="239"/>
      <c r="H26" s="239"/>
      <c r="I26" s="239"/>
    </row>
    <row r="27" spans="2:9">
      <c r="B27" s="217">
        <f t="shared" si="0"/>
        <v>20</v>
      </c>
      <c r="C27" s="239" t="str">
        <f t="shared" si="2"/>
        <v>1=</v>
      </c>
      <c r="D27" s="243" t="s">
        <v>2735</v>
      </c>
      <c r="E27" s="239"/>
      <c r="F27" s="240"/>
      <c r="G27" s="239"/>
      <c r="H27" s="239"/>
      <c r="I27" s="239"/>
    </row>
  </sheetData>
  <sheetProtection insertRows="0" deleteRows="0" sort="0" autoFilter="0"/>
  <dataConsolidate/>
  <mergeCells count="1">
    <mergeCell ref="B4:B6"/>
  </mergeCells>
  <phoneticPr fontId="14"/>
  <hyperlinks>
    <hyperlink ref="A3" location="パラメータ設定一覧!A1" display="パラメータ設定一覧へ" xr:uid="{B1BCBA2D-A044-4249-8AA8-A33D3935554D}"/>
  </hyperlink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D7605-1F80-4C51-A47F-3C8A91A26F9B}">
  <sheetPr codeName="Sheet13"/>
  <dimension ref="A1:J27"/>
  <sheetViews>
    <sheetView showGridLines="0" zoomScaleNormal="100" workbookViewId="0">
      <pane xSplit="4" ySplit="6" topLeftCell="E7" activePane="bottomRight" state="frozen"/>
      <selection pane="topRight" activeCell="E1" sqref="E1"/>
      <selection pane="bottomLeft" activeCell="A7" sqref="A7"/>
      <selection pane="bottomRight" activeCell="C7" sqref="C7"/>
    </sheetView>
  </sheetViews>
  <sheetFormatPr defaultColWidth="8.78515625" defaultRowHeight="13.5"/>
  <cols>
    <col min="1" max="1" width="2.78515625" style="46" customWidth="1"/>
    <col min="2" max="2" width="3.5703125" style="46" bestFit="1" customWidth="1"/>
    <col min="3" max="3" width="17.2109375" style="46" customWidth="1"/>
    <col min="4" max="4" width="18.42578125" style="46" bestFit="1" customWidth="1"/>
    <col min="5" max="5" width="14" style="242" bestFit="1" customWidth="1"/>
    <col min="6" max="6" width="14.78515625" style="46" bestFit="1" customWidth="1"/>
    <col min="7" max="7" width="14" style="242" bestFit="1" customWidth="1"/>
    <col min="8" max="8" width="14.78515625" style="46" bestFit="1" customWidth="1"/>
    <col min="9" max="9" width="9" style="46" bestFit="1" customWidth="1"/>
    <col min="10" max="10" width="6.85546875" style="46" bestFit="1" customWidth="1"/>
    <col min="11" max="16384" width="8.78515625" style="46"/>
  </cols>
  <sheetData>
    <row r="1" spans="1:10" customFormat="1" ht="19.5">
      <c r="A1" s="99" t="s">
        <v>2681</v>
      </c>
    </row>
    <row r="2" spans="1:10" customFormat="1" ht="15">
      <c r="A2" s="196" t="s">
        <v>2668</v>
      </c>
    </row>
    <row r="3" spans="1:10" customFormat="1" ht="15">
      <c r="A3" s="10" t="s">
        <v>363</v>
      </c>
    </row>
    <row r="4" spans="1:10">
      <c r="B4" s="442" t="s">
        <v>463</v>
      </c>
      <c r="C4" s="69" t="s">
        <v>239</v>
      </c>
      <c r="D4" s="69" t="s">
        <v>449</v>
      </c>
      <c r="E4" s="69" t="s">
        <v>2743</v>
      </c>
      <c r="F4" s="69" t="s">
        <v>447</v>
      </c>
      <c r="G4" s="69" t="s">
        <v>2732</v>
      </c>
      <c r="H4" s="69" t="s">
        <v>446</v>
      </c>
      <c r="I4" s="69" t="s">
        <v>2739</v>
      </c>
      <c r="J4" s="69" t="s">
        <v>171</v>
      </c>
    </row>
    <row r="5" spans="1:10" ht="40.5">
      <c r="B5" s="442"/>
      <c r="C5" s="8" t="s">
        <v>2836</v>
      </c>
      <c r="D5" s="8" t="s">
        <v>462</v>
      </c>
      <c r="E5" s="8" t="s">
        <v>2744</v>
      </c>
      <c r="F5" s="8" t="s">
        <v>445</v>
      </c>
      <c r="G5" s="8" t="s">
        <v>50</v>
      </c>
      <c r="H5" s="8" t="s">
        <v>445</v>
      </c>
      <c r="I5" s="8" t="s">
        <v>2742</v>
      </c>
      <c r="J5" s="8" t="s">
        <v>2738</v>
      </c>
    </row>
    <row r="6" spans="1:10">
      <c r="B6" s="446"/>
      <c r="C6" s="8" t="s">
        <v>2667</v>
      </c>
      <c r="D6" s="8" t="s">
        <v>2737</v>
      </c>
      <c r="E6" s="8" t="s">
        <v>2667</v>
      </c>
      <c r="F6" s="8" t="s">
        <v>2667</v>
      </c>
      <c r="G6" s="8" t="s">
        <v>2667</v>
      </c>
      <c r="H6" s="8" t="s">
        <v>2667</v>
      </c>
      <c r="I6" s="8" t="s">
        <v>2667</v>
      </c>
      <c r="J6" s="8" t="s">
        <v>2667</v>
      </c>
    </row>
    <row r="7" spans="1:10">
      <c r="B7" s="229" t="s">
        <v>1226</v>
      </c>
      <c r="C7" s="75" t="s">
        <v>2837</v>
      </c>
      <c r="D7" s="75" t="str">
        <f>E7&amp;F7&amp;"="&amp;G7&amp;H7</f>
        <v>1箱=12個</v>
      </c>
      <c r="E7" s="334" t="s">
        <v>2735</v>
      </c>
      <c r="F7" s="75" t="s">
        <v>2832</v>
      </c>
      <c r="G7" s="335" t="s">
        <v>2833</v>
      </c>
      <c r="H7" s="75" t="s">
        <v>422</v>
      </c>
      <c r="I7" s="75" t="s">
        <v>2835</v>
      </c>
      <c r="J7" s="75" t="s">
        <v>2834</v>
      </c>
    </row>
    <row r="8" spans="1:10">
      <c r="B8" s="217">
        <f>ROW() - 7</f>
        <v>1</v>
      </c>
      <c r="C8" s="239"/>
      <c r="D8" s="239" t="str">
        <f>E8&amp;F8&amp;"="&amp;G8&amp;H8</f>
        <v>1=</v>
      </c>
      <c r="E8" s="243" t="s">
        <v>2735</v>
      </c>
      <c r="F8" s="239"/>
      <c r="G8" s="240"/>
      <c r="H8" s="239"/>
      <c r="I8" s="239"/>
      <c r="J8" s="239"/>
    </row>
    <row r="9" spans="1:10">
      <c r="B9" s="217">
        <f t="shared" ref="B9:B27" si="0">ROW() - 7</f>
        <v>2</v>
      </c>
      <c r="C9" s="239"/>
      <c r="D9" s="239" t="str">
        <f t="shared" ref="D9:D10" si="1">E9&amp;F9&amp;"="&amp;G9&amp;H9</f>
        <v>1=</v>
      </c>
      <c r="E9" s="243" t="s">
        <v>2735</v>
      </c>
      <c r="F9" s="239"/>
      <c r="G9" s="240"/>
      <c r="H9" s="239"/>
      <c r="I9" s="239"/>
      <c r="J9" s="239"/>
    </row>
    <row r="10" spans="1:10">
      <c r="B10" s="217">
        <f t="shared" si="0"/>
        <v>3</v>
      </c>
      <c r="C10" s="239"/>
      <c r="D10" s="239" t="str">
        <f t="shared" si="1"/>
        <v>1=</v>
      </c>
      <c r="E10" s="243" t="s">
        <v>2735</v>
      </c>
      <c r="F10" s="239"/>
      <c r="G10" s="240"/>
      <c r="H10" s="239"/>
      <c r="I10" s="239"/>
      <c r="J10" s="239"/>
    </row>
    <row r="11" spans="1:10">
      <c r="B11" s="217">
        <f t="shared" si="0"/>
        <v>4</v>
      </c>
      <c r="C11" s="239"/>
      <c r="D11" s="239" t="str">
        <f t="shared" ref="D11:D27" si="2">E11&amp;F11&amp;"="&amp;G11&amp;H11</f>
        <v>1=</v>
      </c>
      <c r="E11" s="243" t="s">
        <v>2735</v>
      </c>
      <c r="F11" s="239"/>
      <c r="G11" s="240"/>
      <c r="H11" s="239"/>
      <c r="I11" s="239"/>
      <c r="J11" s="239"/>
    </row>
    <row r="12" spans="1:10">
      <c r="B12" s="217">
        <f t="shared" si="0"/>
        <v>5</v>
      </c>
      <c r="C12" s="239"/>
      <c r="D12" s="239" t="str">
        <f t="shared" si="2"/>
        <v>1=</v>
      </c>
      <c r="E12" s="243" t="s">
        <v>2735</v>
      </c>
      <c r="F12" s="239"/>
      <c r="G12" s="240"/>
      <c r="H12" s="239"/>
      <c r="I12" s="239"/>
      <c r="J12" s="239"/>
    </row>
    <row r="13" spans="1:10">
      <c r="B13" s="217">
        <f t="shared" si="0"/>
        <v>6</v>
      </c>
      <c r="C13" s="239"/>
      <c r="D13" s="239" t="str">
        <f t="shared" si="2"/>
        <v>1=</v>
      </c>
      <c r="E13" s="243" t="s">
        <v>2735</v>
      </c>
      <c r="F13" s="239"/>
      <c r="G13" s="240"/>
      <c r="H13" s="239"/>
      <c r="I13" s="239"/>
      <c r="J13" s="239"/>
    </row>
    <row r="14" spans="1:10">
      <c r="B14" s="217">
        <f t="shared" si="0"/>
        <v>7</v>
      </c>
      <c r="C14" s="239"/>
      <c r="D14" s="239" t="str">
        <f t="shared" si="2"/>
        <v>1=</v>
      </c>
      <c r="E14" s="243" t="s">
        <v>2735</v>
      </c>
      <c r="F14" s="239"/>
      <c r="G14" s="240"/>
      <c r="H14" s="239"/>
      <c r="I14" s="239"/>
      <c r="J14" s="239"/>
    </row>
    <row r="15" spans="1:10">
      <c r="B15" s="217">
        <f t="shared" si="0"/>
        <v>8</v>
      </c>
      <c r="C15" s="239"/>
      <c r="D15" s="239" t="str">
        <f t="shared" si="2"/>
        <v>1=</v>
      </c>
      <c r="E15" s="243" t="s">
        <v>2735</v>
      </c>
      <c r="F15" s="239"/>
      <c r="G15" s="240"/>
      <c r="H15" s="239"/>
      <c r="I15" s="239"/>
      <c r="J15" s="239"/>
    </row>
    <row r="16" spans="1:10">
      <c r="B16" s="217">
        <f t="shared" si="0"/>
        <v>9</v>
      </c>
      <c r="C16" s="239"/>
      <c r="D16" s="239" t="str">
        <f t="shared" si="2"/>
        <v>1=</v>
      </c>
      <c r="E16" s="243" t="s">
        <v>2735</v>
      </c>
      <c r="F16" s="239"/>
      <c r="G16" s="240"/>
      <c r="H16" s="239"/>
      <c r="I16" s="239"/>
      <c r="J16" s="239"/>
    </row>
    <row r="17" spans="2:10">
      <c r="B17" s="217">
        <f t="shared" si="0"/>
        <v>10</v>
      </c>
      <c r="C17" s="239"/>
      <c r="D17" s="239" t="str">
        <f t="shared" si="2"/>
        <v>1=</v>
      </c>
      <c r="E17" s="243" t="s">
        <v>2735</v>
      </c>
      <c r="F17" s="239"/>
      <c r="G17" s="240"/>
      <c r="H17" s="239"/>
      <c r="I17" s="239"/>
      <c r="J17" s="239"/>
    </row>
    <row r="18" spans="2:10">
      <c r="B18" s="217">
        <f t="shared" si="0"/>
        <v>11</v>
      </c>
      <c r="C18" s="239"/>
      <c r="D18" s="239" t="str">
        <f t="shared" si="2"/>
        <v>1=</v>
      </c>
      <c r="E18" s="243" t="s">
        <v>2735</v>
      </c>
      <c r="F18" s="239"/>
      <c r="G18" s="240"/>
      <c r="H18" s="239"/>
      <c r="I18" s="239"/>
      <c r="J18" s="239"/>
    </row>
    <row r="19" spans="2:10">
      <c r="B19" s="217">
        <f t="shared" si="0"/>
        <v>12</v>
      </c>
      <c r="C19" s="239"/>
      <c r="D19" s="239" t="str">
        <f t="shared" si="2"/>
        <v>1=</v>
      </c>
      <c r="E19" s="243" t="s">
        <v>2735</v>
      </c>
      <c r="F19" s="239"/>
      <c r="G19" s="240"/>
      <c r="H19" s="239"/>
      <c r="I19" s="239"/>
      <c r="J19" s="239"/>
    </row>
    <row r="20" spans="2:10">
      <c r="B20" s="217">
        <f t="shared" si="0"/>
        <v>13</v>
      </c>
      <c r="C20" s="239"/>
      <c r="D20" s="239" t="str">
        <f t="shared" si="2"/>
        <v>1=</v>
      </c>
      <c r="E20" s="243" t="s">
        <v>2735</v>
      </c>
      <c r="F20" s="239"/>
      <c r="G20" s="240"/>
      <c r="H20" s="239"/>
      <c r="I20" s="239"/>
      <c r="J20" s="239"/>
    </row>
    <row r="21" spans="2:10">
      <c r="B21" s="217">
        <f t="shared" si="0"/>
        <v>14</v>
      </c>
      <c r="C21" s="217"/>
      <c r="D21" s="239" t="str">
        <f t="shared" si="2"/>
        <v>1=</v>
      </c>
      <c r="E21" s="243" t="s">
        <v>2735</v>
      </c>
      <c r="F21" s="217"/>
      <c r="G21" s="241"/>
      <c r="H21" s="217"/>
      <c r="I21" s="217"/>
      <c r="J21" s="217"/>
    </row>
    <row r="22" spans="2:10">
      <c r="B22" s="217">
        <f t="shared" si="0"/>
        <v>15</v>
      </c>
      <c r="C22" s="239"/>
      <c r="D22" s="239" t="str">
        <f t="shared" si="2"/>
        <v>1=</v>
      </c>
      <c r="E22" s="243" t="s">
        <v>2735</v>
      </c>
      <c r="F22" s="239"/>
      <c r="G22" s="240"/>
      <c r="H22" s="239"/>
      <c r="I22" s="239"/>
      <c r="J22" s="239"/>
    </row>
    <row r="23" spans="2:10">
      <c r="B23" s="217">
        <f t="shared" si="0"/>
        <v>16</v>
      </c>
      <c r="C23" s="239"/>
      <c r="D23" s="239" t="str">
        <f t="shared" si="2"/>
        <v>1=</v>
      </c>
      <c r="E23" s="243" t="s">
        <v>2735</v>
      </c>
      <c r="F23" s="239"/>
      <c r="G23" s="240"/>
      <c r="H23" s="239"/>
      <c r="I23" s="239"/>
      <c r="J23" s="239"/>
    </row>
    <row r="24" spans="2:10">
      <c r="B24" s="217">
        <f t="shared" si="0"/>
        <v>17</v>
      </c>
      <c r="C24" s="239"/>
      <c r="D24" s="239" t="str">
        <f t="shared" si="2"/>
        <v>1=</v>
      </c>
      <c r="E24" s="243" t="s">
        <v>2735</v>
      </c>
      <c r="F24" s="239"/>
      <c r="G24" s="240"/>
      <c r="H24" s="239"/>
      <c r="I24" s="239"/>
      <c r="J24" s="239"/>
    </row>
    <row r="25" spans="2:10">
      <c r="B25" s="217">
        <f t="shared" si="0"/>
        <v>18</v>
      </c>
      <c r="C25" s="239"/>
      <c r="D25" s="239" t="str">
        <f t="shared" si="2"/>
        <v>1=</v>
      </c>
      <c r="E25" s="243" t="s">
        <v>2735</v>
      </c>
      <c r="F25" s="239"/>
      <c r="G25" s="240"/>
      <c r="H25" s="239"/>
      <c r="I25" s="239"/>
      <c r="J25" s="239"/>
    </row>
    <row r="26" spans="2:10">
      <c r="B26" s="217">
        <f t="shared" si="0"/>
        <v>19</v>
      </c>
      <c r="C26" s="239"/>
      <c r="D26" s="239" t="str">
        <f t="shared" si="2"/>
        <v>1=</v>
      </c>
      <c r="E26" s="243" t="s">
        <v>2735</v>
      </c>
      <c r="F26" s="239"/>
      <c r="G26" s="240"/>
      <c r="H26" s="239"/>
      <c r="I26" s="239"/>
      <c r="J26" s="239"/>
    </row>
    <row r="27" spans="2:10">
      <c r="B27" s="217">
        <f t="shared" si="0"/>
        <v>20</v>
      </c>
      <c r="C27" s="239"/>
      <c r="D27" s="239" t="str">
        <f t="shared" si="2"/>
        <v>1=</v>
      </c>
      <c r="E27" s="243" t="s">
        <v>2735</v>
      </c>
      <c r="F27" s="239"/>
      <c r="G27" s="240"/>
      <c r="H27" s="239"/>
      <c r="I27" s="239"/>
      <c r="J27" s="239"/>
    </row>
  </sheetData>
  <sheetProtection insertRows="0" deleteRows="0" sort="0" autoFilter="0"/>
  <dataConsolidate/>
  <mergeCells count="1">
    <mergeCell ref="B4:B6"/>
  </mergeCells>
  <phoneticPr fontId="14"/>
  <hyperlinks>
    <hyperlink ref="A3" location="パラメータ設定一覧!A1" display="パラメータ設定一覧へ" xr:uid="{49EB8550-9AB4-43D3-A09E-315EC318F1C1}"/>
  </hyperlink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FD2F5-C032-48A0-B89E-54C1720C0BE6}">
  <sheetPr codeName="Sheet14"/>
  <dimension ref="A1:J27"/>
  <sheetViews>
    <sheetView showGridLines="0" zoomScaleNormal="100" workbookViewId="0">
      <pane xSplit="4" ySplit="6" topLeftCell="E7" activePane="bottomRight" state="frozen"/>
      <selection pane="topRight" activeCell="E1" sqref="E1"/>
      <selection pane="bottomLeft" activeCell="A7" sqref="A7"/>
      <selection pane="bottomRight" activeCell="E7" sqref="E7"/>
    </sheetView>
  </sheetViews>
  <sheetFormatPr defaultColWidth="8.78515625" defaultRowHeight="13.5"/>
  <cols>
    <col min="1" max="1" width="2.78515625" style="46" customWidth="1"/>
    <col min="2" max="2" width="3.5703125" style="46" bestFit="1" customWidth="1"/>
    <col min="3" max="3" width="17.2109375" style="46" customWidth="1"/>
    <col min="4" max="4" width="18.42578125" style="46" bestFit="1" customWidth="1"/>
    <col min="5" max="5" width="14" style="46" bestFit="1" customWidth="1"/>
    <col min="6" max="6" width="14.78515625" style="46" bestFit="1" customWidth="1"/>
    <col min="7" max="7" width="14" style="46" bestFit="1" customWidth="1"/>
    <col min="8" max="8" width="14.78515625" style="46" bestFit="1" customWidth="1"/>
    <col min="9" max="16384" width="8.78515625" style="46"/>
  </cols>
  <sheetData>
    <row r="1" spans="1:10" customFormat="1" ht="19.5">
      <c r="A1" s="99" t="s">
        <v>2682</v>
      </c>
    </row>
    <row r="2" spans="1:10" customFormat="1" ht="15">
      <c r="A2" s="196" t="s">
        <v>2668</v>
      </c>
    </row>
    <row r="3" spans="1:10" customFormat="1" ht="15">
      <c r="A3" s="10" t="s">
        <v>363</v>
      </c>
    </row>
    <row r="4" spans="1:10">
      <c r="B4" s="442" t="s">
        <v>463</v>
      </c>
      <c r="C4" s="69" t="s">
        <v>239</v>
      </c>
      <c r="D4" s="69" t="s">
        <v>449</v>
      </c>
      <c r="E4" s="69" t="s">
        <v>2743</v>
      </c>
      <c r="F4" s="69" t="s">
        <v>447</v>
      </c>
      <c r="G4" s="69" t="s">
        <v>2732</v>
      </c>
      <c r="H4" s="69" t="s">
        <v>446</v>
      </c>
      <c r="I4" s="69" t="s">
        <v>2739</v>
      </c>
      <c r="J4" s="69" t="s">
        <v>171</v>
      </c>
    </row>
    <row r="5" spans="1:10" ht="40.5">
      <c r="B5" s="442"/>
      <c r="C5" s="8" t="s">
        <v>2838</v>
      </c>
      <c r="D5" s="8" t="s">
        <v>462</v>
      </c>
      <c r="E5" s="8" t="s">
        <v>2744</v>
      </c>
      <c r="F5" s="8" t="s">
        <v>445</v>
      </c>
      <c r="G5" s="8" t="s">
        <v>50</v>
      </c>
      <c r="H5" s="8" t="s">
        <v>445</v>
      </c>
      <c r="I5" s="8" t="s">
        <v>2742</v>
      </c>
      <c r="J5" s="8" t="s">
        <v>2738</v>
      </c>
    </row>
    <row r="6" spans="1:10">
      <c r="B6" s="446"/>
      <c r="C6" s="8" t="s">
        <v>2667</v>
      </c>
      <c r="D6" s="8" t="s">
        <v>2737</v>
      </c>
      <c r="E6" s="8" t="s">
        <v>2667</v>
      </c>
      <c r="F6" s="8" t="s">
        <v>2667</v>
      </c>
      <c r="G6" s="8" t="s">
        <v>2667</v>
      </c>
      <c r="H6" s="8" t="s">
        <v>2667</v>
      </c>
      <c r="I6" s="8" t="s">
        <v>2667</v>
      </c>
      <c r="J6" s="8" t="s">
        <v>2667</v>
      </c>
    </row>
    <row r="7" spans="1:10">
      <c r="B7" s="229" t="s">
        <v>1226</v>
      </c>
      <c r="C7" s="75" t="s">
        <v>2837</v>
      </c>
      <c r="D7" s="75" t="str">
        <f>E7&amp;F7&amp;"="&amp;G7&amp;H7</f>
        <v>1箱=12個</v>
      </c>
      <c r="E7" s="334" t="s">
        <v>2735</v>
      </c>
      <c r="F7" s="75" t="s">
        <v>2832</v>
      </c>
      <c r="G7" s="335" t="s">
        <v>2833</v>
      </c>
      <c r="H7" s="75" t="s">
        <v>422</v>
      </c>
      <c r="I7" s="75" t="s">
        <v>2835</v>
      </c>
      <c r="J7" s="75" t="s">
        <v>2834</v>
      </c>
    </row>
    <row r="8" spans="1:10">
      <c r="B8" s="217">
        <f>ROW() - 7</f>
        <v>1</v>
      </c>
      <c r="C8" s="239"/>
      <c r="D8" s="239" t="str">
        <f t="shared" ref="D8:D9" si="0">E8&amp;F8&amp;"="&amp;G8&amp;H8</f>
        <v>1=</v>
      </c>
      <c r="E8" s="243" t="s">
        <v>2735</v>
      </c>
      <c r="F8" s="239"/>
      <c r="G8" s="240"/>
      <c r="H8" s="239"/>
      <c r="I8" s="239"/>
      <c r="J8" s="239"/>
    </row>
    <row r="9" spans="1:10">
      <c r="B9" s="217">
        <f t="shared" ref="B9:B27" si="1">ROW() - 7</f>
        <v>2</v>
      </c>
      <c r="C9" s="239"/>
      <c r="D9" s="239" t="str">
        <f t="shared" si="0"/>
        <v>1=</v>
      </c>
      <c r="E9" s="243" t="s">
        <v>2735</v>
      </c>
      <c r="F9" s="239"/>
      <c r="G9" s="240"/>
      <c r="H9" s="239"/>
      <c r="I9" s="239"/>
      <c r="J9" s="239"/>
    </row>
    <row r="10" spans="1:10">
      <c r="B10" s="217">
        <f t="shared" si="1"/>
        <v>3</v>
      </c>
      <c r="C10" s="239"/>
      <c r="D10" s="239" t="str">
        <f>E10&amp;F10&amp;"="&amp;G10&amp;H10</f>
        <v>1=</v>
      </c>
      <c r="E10" s="243" t="s">
        <v>2735</v>
      </c>
      <c r="F10" s="239"/>
      <c r="G10" s="240"/>
      <c r="H10" s="239"/>
      <c r="I10" s="239"/>
      <c r="J10" s="239"/>
    </row>
    <row r="11" spans="1:10">
      <c r="B11" s="217">
        <f t="shared" si="1"/>
        <v>4</v>
      </c>
      <c r="C11" s="239"/>
      <c r="D11" s="239" t="str">
        <f t="shared" ref="D11:D27" si="2">E11&amp;F11&amp;"="&amp;G11&amp;H11</f>
        <v>1=</v>
      </c>
      <c r="E11" s="243" t="s">
        <v>2735</v>
      </c>
      <c r="F11" s="239"/>
      <c r="G11" s="240"/>
      <c r="H11" s="239"/>
      <c r="I11" s="239"/>
      <c r="J11" s="239"/>
    </row>
    <row r="12" spans="1:10">
      <c r="B12" s="217">
        <f t="shared" si="1"/>
        <v>5</v>
      </c>
      <c r="C12" s="239"/>
      <c r="D12" s="239" t="str">
        <f t="shared" si="2"/>
        <v>1=</v>
      </c>
      <c r="E12" s="243" t="s">
        <v>2735</v>
      </c>
      <c r="F12" s="239"/>
      <c r="G12" s="240"/>
      <c r="H12" s="239"/>
      <c r="I12" s="239"/>
      <c r="J12" s="239"/>
    </row>
    <row r="13" spans="1:10">
      <c r="B13" s="217">
        <f t="shared" si="1"/>
        <v>6</v>
      </c>
      <c r="C13" s="239"/>
      <c r="D13" s="239" t="str">
        <f t="shared" si="2"/>
        <v>1=</v>
      </c>
      <c r="E13" s="243" t="s">
        <v>2735</v>
      </c>
      <c r="F13" s="239"/>
      <c r="G13" s="240"/>
      <c r="H13" s="239"/>
      <c r="I13" s="239"/>
      <c r="J13" s="239"/>
    </row>
    <row r="14" spans="1:10">
      <c r="B14" s="217">
        <f t="shared" si="1"/>
        <v>7</v>
      </c>
      <c r="C14" s="239"/>
      <c r="D14" s="239" t="str">
        <f t="shared" si="2"/>
        <v>1=</v>
      </c>
      <c r="E14" s="243" t="s">
        <v>2735</v>
      </c>
      <c r="F14" s="239"/>
      <c r="G14" s="240"/>
      <c r="H14" s="239"/>
      <c r="I14" s="239"/>
      <c r="J14" s="239"/>
    </row>
    <row r="15" spans="1:10">
      <c r="B15" s="217">
        <f t="shared" si="1"/>
        <v>8</v>
      </c>
      <c r="C15" s="239"/>
      <c r="D15" s="239" t="str">
        <f t="shared" si="2"/>
        <v>1=</v>
      </c>
      <c r="E15" s="243" t="s">
        <v>2735</v>
      </c>
      <c r="F15" s="239"/>
      <c r="G15" s="240"/>
      <c r="H15" s="239"/>
      <c r="I15" s="239"/>
      <c r="J15" s="239"/>
    </row>
    <row r="16" spans="1:10">
      <c r="B16" s="217">
        <f t="shared" si="1"/>
        <v>9</v>
      </c>
      <c r="C16" s="239"/>
      <c r="D16" s="239" t="str">
        <f t="shared" si="2"/>
        <v>1=</v>
      </c>
      <c r="E16" s="243" t="s">
        <v>2735</v>
      </c>
      <c r="F16" s="239"/>
      <c r="G16" s="240"/>
      <c r="H16" s="239"/>
      <c r="I16" s="239"/>
      <c r="J16" s="239"/>
    </row>
    <row r="17" spans="2:10">
      <c r="B17" s="217">
        <f t="shared" si="1"/>
        <v>10</v>
      </c>
      <c r="C17" s="239"/>
      <c r="D17" s="239" t="str">
        <f t="shared" si="2"/>
        <v>1=</v>
      </c>
      <c r="E17" s="243" t="s">
        <v>2735</v>
      </c>
      <c r="F17" s="239"/>
      <c r="G17" s="240"/>
      <c r="H17" s="239"/>
      <c r="I17" s="239"/>
      <c r="J17" s="239"/>
    </row>
    <row r="18" spans="2:10">
      <c r="B18" s="217">
        <f t="shared" si="1"/>
        <v>11</v>
      </c>
      <c r="C18" s="239"/>
      <c r="D18" s="239" t="str">
        <f t="shared" si="2"/>
        <v>1=</v>
      </c>
      <c r="E18" s="243" t="s">
        <v>2735</v>
      </c>
      <c r="F18" s="239"/>
      <c r="G18" s="240"/>
      <c r="H18" s="239"/>
      <c r="I18" s="239"/>
      <c r="J18" s="239"/>
    </row>
    <row r="19" spans="2:10">
      <c r="B19" s="217">
        <f t="shared" si="1"/>
        <v>12</v>
      </c>
      <c r="C19" s="239"/>
      <c r="D19" s="239" t="str">
        <f t="shared" si="2"/>
        <v>1=</v>
      </c>
      <c r="E19" s="243" t="s">
        <v>2735</v>
      </c>
      <c r="F19" s="239"/>
      <c r="G19" s="240"/>
      <c r="H19" s="239"/>
      <c r="I19" s="239"/>
      <c r="J19" s="239"/>
    </row>
    <row r="20" spans="2:10">
      <c r="B20" s="217">
        <f t="shared" si="1"/>
        <v>13</v>
      </c>
      <c r="C20" s="239"/>
      <c r="D20" s="239" t="str">
        <f t="shared" si="2"/>
        <v>1=</v>
      </c>
      <c r="E20" s="243" t="s">
        <v>2735</v>
      </c>
      <c r="F20" s="239"/>
      <c r="G20" s="240"/>
      <c r="H20" s="239"/>
      <c r="I20" s="239"/>
      <c r="J20" s="239"/>
    </row>
    <row r="21" spans="2:10">
      <c r="B21" s="217">
        <f t="shared" si="1"/>
        <v>14</v>
      </c>
      <c r="C21" s="217"/>
      <c r="D21" s="239" t="str">
        <f t="shared" si="2"/>
        <v>1=</v>
      </c>
      <c r="E21" s="243" t="s">
        <v>2735</v>
      </c>
      <c r="F21" s="217"/>
      <c r="G21" s="241"/>
      <c r="H21" s="217"/>
      <c r="I21" s="217"/>
      <c r="J21" s="217"/>
    </row>
    <row r="22" spans="2:10">
      <c r="B22" s="217">
        <f t="shared" si="1"/>
        <v>15</v>
      </c>
      <c r="C22" s="239"/>
      <c r="D22" s="239" t="str">
        <f t="shared" si="2"/>
        <v>1=</v>
      </c>
      <c r="E22" s="243" t="s">
        <v>2735</v>
      </c>
      <c r="F22" s="239"/>
      <c r="G22" s="240"/>
      <c r="H22" s="239"/>
      <c r="I22" s="239"/>
      <c r="J22" s="239"/>
    </row>
    <row r="23" spans="2:10">
      <c r="B23" s="217">
        <f t="shared" si="1"/>
        <v>16</v>
      </c>
      <c r="C23" s="239"/>
      <c r="D23" s="239" t="str">
        <f t="shared" si="2"/>
        <v>1=</v>
      </c>
      <c r="E23" s="243" t="s">
        <v>2735</v>
      </c>
      <c r="F23" s="239"/>
      <c r="G23" s="240"/>
      <c r="H23" s="239"/>
      <c r="I23" s="239"/>
      <c r="J23" s="239"/>
    </row>
    <row r="24" spans="2:10">
      <c r="B24" s="217">
        <f t="shared" si="1"/>
        <v>17</v>
      </c>
      <c r="C24" s="239"/>
      <c r="D24" s="239" t="str">
        <f t="shared" si="2"/>
        <v>1=</v>
      </c>
      <c r="E24" s="243" t="s">
        <v>2735</v>
      </c>
      <c r="F24" s="239"/>
      <c r="G24" s="240"/>
      <c r="H24" s="239"/>
      <c r="I24" s="239"/>
      <c r="J24" s="239"/>
    </row>
    <row r="25" spans="2:10">
      <c r="B25" s="217">
        <f t="shared" si="1"/>
        <v>18</v>
      </c>
      <c r="C25" s="239"/>
      <c r="D25" s="239" t="str">
        <f t="shared" si="2"/>
        <v>1=</v>
      </c>
      <c r="E25" s="243" t="s">
        <v>2735</v>
      </c>
      <c r="F25" s="239"/>
      <c r="G25" s="240"/>
      <c r="H25" s="239"/>
      <c r="I25" s="239"/>
      <c r="J25" s="239"/>
    </row>
    <row r="26" spans="2:10">
      <c r="B26" s="217">
        <f t="shared" si="1"/>
        <v>19</v>
      </c>
      <c r="C26" s="239"/>
      <c r="D26" s="239" t="str">
        <f t="shared" si="2"/>
        <v>1=</v>
      </c>
      <c r="E26" s="243" t="s">
        <v>2735</v>
      </c>
      <c r="F26" s="239"/>
      <c r="G26" s="240"/>
      <c r="H26" s="239"/>
      <c r="I26" s="239"/>
      <c r="J26" s="239"/>
    </row>
    <row r="27" spans="2:10">
      <c r="B27" s="217">
        <f t="shared" si="1"/>
        <v>20</v>
      </c>
      <c r="C27" s="239"/>
      <c r="D27" s="239" t="str">
        <f t="shared" si="2"/>
        <v>1=</v>
      </c>
      <c r="E27" s="243" t="s">
        <v>2735</v>
      </c>
      <c r="F27" s="239"/>
      <c r="G27" s="240"/>
      <c r="H27" s="239"/>
      <c r="I27" s="239"/>
      <c r="J27" s="239"/>
    </row>
  </sheetData>
  <sheetProtection insertRows="0" deleteRows="0" sort="0" autoFilter="0"/>
  <dataConsolidate/>
  <mergeCells count="1">
    <mergeCell ref="B4:B6"/>
  </mergeCells>
  <phoneticPr fontId="14"/>
  <hyperlinks>
    <hyperlink ref="A3" location="パラメータ設定一覧!A1" display="パラメータ設定一覧へ" xr:uid="{C2C6E43A-2FE6-49B3-88DE-9A831CD19E27}"/>
  </hyperlink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7F51F-31F6-49C9-B58F-0912A8D95A6D}">
  <sheetPr codeName="Sheet6"/>
  <dimension ref="A1:L12"/>
  <sheetViews>
    <sheetView showGridLines="0" zoomScaleNormal="100" workbookViewId="0">
      <pane xSplit="6" ySplit="5" topLeftCell="G6" activePane="bottomRight" state="frozen"/>
      <selection pane="topRight"/>
      <selection pane="bottomLeft"/>
      <selection pane="bottomRight" activeCell="G6" sqref="G6"/>
    </sheetView>
  </sheetViews>
  <sheetFormatPr defaultColWidth="8.78515625" defaultRowHeight="13.5"/>
  <cols>
    <col min="1" max="1" width="2.78515625" style="46" customWidth="1"/>
    <col min="2" max="2" width="3.78515625" style="46" customWidth="1"/>
    <col min="3" max="3" width="16.78515625" style="46" customWidth="1"/>
    <col min="4" max="4" width="19.2109375" style="46" customWidth="1"/>
    <col min="5" max="5" width="16.5703125" style="46" customWidth="1"/>
    <col min="6" max="6" width="22.5703125" style="46" customWidth="1"/>
    <col min="7" max="7" width="44.640625" style="46" customWidth="1"/>
    <col min="8" max="8" width="27.5703125" style="46" customWidth="1"/>
    <col min="9" max="9" width="17.42578125" style="53" customWidth="1"/>
    <col min="10" max="10" width="22.42578125" style="46" customWidth="1"/>
    <col min="11" max="11" width="18.2109375" style="46" customWidth="1"/>
    <col min="12" max="12" width="13.2109375" style="46" customWidth="1"/>
    <col min="13" max="16384" width="8.78515625" style="46"/>
  </cols>
  <sheetData>
    <row r="1" spans="1:12" customFormat="1" ht="19.5">
      <c r="A1" s="99" t="s">
        <v>374</v>
      </c>
      <c r="C1" s="46"/>
      <c r="D1" s="46"/>
      <c r="E1" s="46"/>
      <c r="F1" s="46"/>
      <c r="G1" s="46"/>
      <c r="H1" s="46"/>
      <c r="I1" s="53"/>
    </row>
    <row r="2" spans="1:12" customFormat="1" ht="15">
      <c r="B2" t="s">
        <v>1598</v>
      </c>
      <c r="C2" s="46"/>
      <c r="D2" s="46"/>
      <c r="E2" s="46"/>
      <c r="F2" s="46"/>
      <c r="G2" s="46"/>
      <c r="H2" s="46"/>
      <c r="I2" s="53"/>
    </row>
    <row r="3" spans="1:12" customFormat="1" ht="15">
      <c r="B3" t="s">
        <v>1599</v>
      </c>
      <c r="C3" s="46"/>
      <c r="D3" s="46"/>
      <c r="E3" s="46"/>
      <c r="F3" s="46"/>
      <c r="G3" s="46"/>
      <c r="H3" s="46"/>
      <c r="I3" s="53"/>
    </row>
    <row r="4" spans="1:12" customFormat="1" ht="15">
      <c r="A4" s="10" t="s">
        <v>363</v>
      </c>
      <c r="C4" s="46"/>
      <c r="D4" s="46"/>
      <c r="E4" s="46"/>
      <c r="F4" s="46"/>
      <c r="G4" s="46"/>
      <c r="H4" s="46"/>
      <c r="I4" s="53"/>
    </row>
    <row r="5" spans="1:12">
      <c r="B5" s="11" t="s">
        <v>1</v>
      </c>
      <c r="C5" s="12" t="s">
        <v>9</v>
      </c>
      <c r="D5" s="11" t="s">
        <v>10</v>
      </c>
      <c r="E5" s="11" t="s">
        <v>11</v>
      </c>
      <c r="F5" s="20" t="s">
        <v>12</v>
      </c>
      <c r="G5" s="20" t="s">
        <v>13</v>
      </c>
      <c r="H5" s="11" t="s">
        <v>14</v>
      </c>
      <c r="I5" s="54" t="s">
        <v>15</v>
      </c>
      <c r="J5" s="11" t="s">
        <v>16</v>
      </c>
      <c r="K5" s="14" t="s">
        <v>17</v>
      </c>
      <c r="L5" s="14" t="s">
        <v>18</v>
      </c>
    </row>
    <row r="6" spans="1:12" ht="27">
      <c r="B6" s="15">
        <f t="shared" ref="B6:B12" si="0">ROW() - 5</f>
        <v>1</v>
      </c>
      <c r="C6" s="16" t="s">
        <v>374</v>
      </c>
      <c r="D6" s="167" t="s">
        <v>1600</v>
      </c>
      <c r="E6" s="52"/>
      <c r="F6" s="22" t="s">
        <v>1601</v>
      </c>
      <c r="G6" s="22" t="s">
        <v>1602</v>
      </c>
      <c r="H6" s="47"/>
      <c r="I6" s="44" t="s">
        <v>331</v>
      </c>
      <c r="J6" s="23"/>
      <c r="K6" s="2" t="s">
        <v>1613</v>
      </c>
      <c r="L6" s="3"/>
    </row>
    <row r="7" spans="1:12" ht="27">
      <c r="B7" s="15">
        <f t="shared" si="0"/>
        <v>2</v>
      </c>
      <c r="C7" s="68"/>
      <c r="D7" s="114"/>
      <c r="E7" s="67"/>
      <c r="F7" s="22" t="s">
        <v>1603</v>
      </c>
      <c r="G7" s="22" t="s">
        <v>1604</v>
      </c>
      <c r="H7" s="47"/>
      <c r="I7" s="44" t="s">
        <v>331</v>
      </c>
      <c r="J7" s="23"/>
      <c r="K7" s="2" t="s">
        <v>1613</v>
      </c>
      <c r="L7" s="3"/>
    </row>
    <row r="8" spans="1:12" ht="27">
      <c r="B8" s="15">
        <f t="shared" si="0"/>
        <v>3</v>
      </c>
      <c r="C8" s="68"/>
      <c r="D8" s="114"/>
      <c r="E8" s="68"/>
      <c r="F8" s="22" t="s">
        <v>1605</v>
      </c>
      <c r="G8" s="22" t="s">
        <v>1606</v>
      </c>
      <c r="H8" s="48"/>
      <c r="I8" s="44" t="s">
        <v>331</v>
      </c>
      <c r="J8" s="23"/>
      <c r="K8" s="2" t="s">
        <v>1613</v>
      </c>
      <c r="L8" s="3"/>
    </row>
    <row r="9" spans="1:12">
      <c r="B9" s="15">
        <f t="shared" si="0"/>
        <v>4</v>
      </c>
      <c r="C9" s="68"/>
      <c r="D9" s="168" t="s">
        <v>1607</v>
      </c>
      <c r="E9" s="16"/>
      <c r="F9" s="22" t="s">
        <v>52</v>
      </c>
      <c r="G9" s="22" t="s">
        <v>1612</v>
      </c>
      <c r="H9" s="47"/>
      <c r="I9" s="44" t="s">
        <v>331</v>
      </c>
      <c r="J9" s="23"/>
      <c r="K9" s="2" t="s">
        <v>1617</v>
      </c>
      <c r="L9" s="3"/>
    </row>
    <row r="10" spans="1:12">
      <c r="B10" s="15">
        <f t="shared" si="0"/>
        <v>5</v>
      </c>
      <c r="C10" s="68"/>
      <c r="D10" s="143"/>
      <c r="E10" s="68"/>
      <c r="F10" s="22" t="s">
        <v>1608</v>
      </c>
      <c r="G10" s="22" t="s">
        <v>19</v>
      </c>
      <c r="H10" s="47"/>
      <c r="I10" s="44" t="s">
        <v>331</v>
      </c>
      <c r="J10" s="23"/>
      <c r="K10" s="2" t="s">
        <v>1617</v>
      </c>
      <c r="L10" s="3"/>
    </row>
    <row r="11" spans="1:12">
      <c r="B11" s="15">
        <f t="shared" si="0"/>
        <v>6</v>
      </c>
      <c r="C11" s="68"/>
      <c r="D11" s="143"/>
      <c r="E11" s="68"/>
      <c r="F11" s="22" t="s">
        <v>1609</v>
      </c>
      <c r="G11" s="22"/>
      <c r="H11" s="47"/>
      <c r="I11" s="44" t="s">
        <v>331</v>
      </c>
      <c r="J11" s="23"/>
      <c r="K11" s="2" t="s">
        <v>1617</v>
      </c>
      <c r="L11" s="3"/>
    </row>
    <row r="12" spans="1:12">
      <c r="B12" s="15">
        <f t="shared" si="0"/>
        <v>7</v>
      </c>
      <c r="C12" s="19"/>
      <c r="D12" s="142"/>
      <c r="E12" s="19"/>
      <c r="F12" s="22" t="s">
        <v>1610</v>
      </c>
      <c r="G12" s="22"/>
      <c r="H12" s="48"/>
      <c r="I12" s="44" t="s">
        <v>331</v>
      </c>
      <c r="J12" s="23"/>
      <c r="K12" s="2" t="s">
        <v>1617</v>
      </c>
      <c r="L12" s="3"/>
    </row>
  </sheetData>
  <phoneticPr fontId="14"/>
  <hyperlinks>
    <hyperlink ref="A4" location="パラメータ設定一覧!A1" display="パラメータ設定一覧へ" xr:uid="{5328FEAD-5C54-4D3D-A588-5FE9933A277C}"/>
  </hyperlinks>
  <pageMargins left="0.7" right="0.7" top="0.75" bottom="0.75" header="0.3" footer="0.3"/>
  <pageSetup paperSize="9" orientation="portrait" horizontalDpi="1200" verticalDpi="12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A4484-BD52-4FFB-869E-1CD029F0E02B}">
  <sheetPr codeName="Sheet9"/>
  <dimension ref="A1:F23"/>
  <sheetViews>
    <sheetView showGridLines="0" zoomScaleNormal="100" workbookViewId="0">
      <pane ySplit="5" topLeftCell="A6" activePane="bottomLeft" state="frozen"/>
      <selection pane="bottomLeft" activeCell="C6" sqref="C6"/>
    </sheetView>
  </sheetViews>
  <sheetFormatPr defaultColWidth="8.78515625" defaultRowHeight="13.5"/>
  <cols>
    <col min="1" max="1" width="2.78515625" style="46" customWidth="1"/>
    <col min="2" max="2" width="3.5703125" style="46" bestFit="1" customWidth="1"/>
    <col min="3" max="4" width="17.2109375" style="46" customWidth="1"/>
    <col min="5" max="6" width="19.78515625" style="46" customWidth="1"/>
    <col min="7" max="16384" width="8.78515625" style="46"/>
  </cols>
  <sheetData>
    <row r="1" spans="1:6" customFormat="1" ht="19.5">
      <c r="A1" s="99" t="s">
        <v>2683</v>
      </c>
    </row>
    <row r="2" spans="1:6" customFormat="1" ht="15">
      <c r="A2" s="196" t="s">
        <v>2668</v>
      </c>
    </row>
    <row r="3" spans="1:6" customFormat="1" ht="15">
      <c r="A3" s="10" t="s">
        <v>363</v>
      </c>
    </row>
    <row r="4" spans="1:6">
      <c r="B4" s="442" t="s">
        <v>463</v>
      </c>
      <c r="C4" s="69" t="s">
        <v>1616</v>
      </c>
      <c r="D4" s="69" t="s">
        <v>1614</v>
      </c>
      <c r="E4" s="69" t="s">
        <v>1615</v>
      </c>
      <c r="F4" s="69" t="s">
        <v>1605</v>
      </c>
    </row>
    <row r="5" spans="1:6">
      <c r="B5" s="446"/>
      <c r="C5" s="8" t="s">
        <v>462</v>
      </c>
      <c r="D5" s="8" t="s">
        <v>462</v>
      </c>
      <c r="E5" s="8" t="s">
        <v>445</v>
      </c>
      <c r="F5" s="8" t="s">
        <v>445</v>
      </c>
    </row>
    <row r="6" spans="1:6">
      <c r="B6" s="217">
        <f t="shared" ref="B6:B23" si="0">ROW() - 5</f>
        <v>1</v>
      </c>
      <c r="C6" s="239"/>
      <c r="D6" s="239"/>
      <c r="E6" s="239"/>
      <c r="F6" s="239"/>
    </row>
    <row r="7" spans="1:6">
      <c r="B7" s="217">
        <f t="shared" si="0"/>
        <v>2</v>
      </c>
      <c r="C7" s="239"/>
      <c r="D7" s="239"/>
      <c r="E7" s="239"/>
      <c r="F7" s="239"/>
    </row>
    <row r="8" spans="1:6">
      <c r="B8" s="217">
        <f t="shared" si="0"/>
        <v>3</v>
      </c>
      <c r="C8" s="239"/>
      <c r="D8" s="239"/>
      <c r="E8" s="239"/>
      <c r="F8" s="239"/>
    </row>
    <row r="9" spans="1:6">
      <c r="B9" s="217">
        <f t="shared" si="0"/>
        <v>4</v>
      </c>
      <c r="C9" s="239"/>
      <c r="D9" s="239"/>
      <c r="E9" s="239"/>
      <c r="F9" s="239"/>
    </row>
    <row r="10" spans="1:6">
      <c r="B10" s="217">
        <f t="shared" si="0"/>
        <v>5</v>
      </c>
      <c r="C10" s="239"/>
      <c r="D10" s="239"/>
      <c r="E10" s="239"/>
      <c r="F10" s="239"/>
    </row>
    <row r="11" spans="1:6">
      <c r="B11" s="217">
        <f t="shared" si="0"/>
        <v>6</v>
      </c>
      <c r="C11" s="239"/>
      <c r="D11" s="239"/>
      <c r="E11" s="239"/>
      <c r="F11" s="239"/>
    </row>
    <row r="12" spans="1:6">
      <c r="B12" s="217">
        <f t="shared" si="0"/>
        <v>7</v>
      </c>
      <c r="C12" s="239"/>
      <c r="D12" s="239"/>
      <c r="E12" s="239"/>
      <c r="F12" s="239"/>
    </row>
    <row r="13" spans="1:6">
      <c r="B13" s="217">
        <f t="shared" si="0"/>
        <v>8</v>
      </c>
      <c r="C13" s="239"/>
      <c r="D13" s="239"/>
      <c r="E13" s="239"/>
      <c r="F13" s="239"/>
    </row>
    <row r="14" spans="1:6">
      <c r="B14" s="217">
        <f t="shared" si="0"/>
        <v>9</v>
      </c>
      <c r="C14" s="239"/>
      <c r="D14" s="239"/>
      <c r="E14" s="239"/>
      <c r="F14" s="239"/>
    </row>
    <row r="15" spans="1:6">
      <c r="B15" s="217">
        <f t="shared" si="0"/>
        <v>10</v>
      </c>
      <c r="C15" s="239"/>
      <c r="D15" s="239"/>
      <c r="E15" s="239"/>
      <c r="F15" s="239"/>
    </row>
    <row r="16" spans="1:6">
      <c r="B16" s="217">
        <f t="shared" si="0"/>
        <v>11</v>
      </c>
      <c r="C16" s="239"/>
      <c r="D16" s="239"/>
      <c r="E16" s="239"/>
      <c r="F16" s="239"/>
    </row>
    <row r="17" spans="2:6">
      <c r="B17" s="217">
        <f t="shared" si="0"/>
        <v>12</v>
      </c>
      <c r="C17" s="217"/>
      <c r="D17" s="217"/>
      <c r="E17" s="217"/>
      <c r="F17" s="217"/>
    </row>
    <row r="18" spans="2:6">
      <c r="B18" s="217">
        <f t="shared" si="0"/>
        <v>13</v>
      </c>
      <c r="C18" s="239"/>
      <c r="D18" s="239"/>
      <c r="E18" s="239"/>
      <c r="F18" s="239"/>
    </row>
    <row r="19" spans="2:6">
      <c r="B19" s="217">
        <f t="shared" si="0"/>
        <v>14</v>
      </c>
      <c r="C19" s="239"/>
      <c r="D19" s="239"/>
      <c r="E19" s="239"/>
      <c r="F19" s="239"/>
    </row>
    <row r="20" spans="2:6">
      <c r="B20" s="217">
        <f t="shared" si="0"/>
        <v>15</v>
      </c>
      <c r="C20" s="239"/>
      <c r="D20" s="239"/>
      <c r="E20" s="239"/>
      <c r="F20" s="239"/>
    </row>
    <row r="21" spans="2:6">
      <c r="B21" s="217">
        <f t="shared" si="0"/>
        <v>16</v>
      </c>
      <c r="C21" s="239"/>
      <c r="D21" s="239"/>
      <c r="E21" s="239"/>
      <c r="F21" s="239"/>
    </row>
    <row r="22" spans="2:6">
      <c r="B22" s="217">
        <f t="shared" si="0"/>
        <v>17</v>
      </c>
      <c r="C22" s="239"/>
      <c r="D22" s="239"/>
      <c r="E22" s="239"/>
      <c r="F22" s="239"/>
    </row>
    <row r="23" spans="2:6">
      <c r="B23" s="217">
        <f t="shared" si="0"/>
        <v>18</v>
      </c>
      <c r="C23" s="239"/>
      <c r="D23" s="239"/>
      <c r="E23" s="239"/>
      <c r="F23" s="239"/>
    </row>
  </sheetData>
  <sheetProtection insertRows="0" deleteRows="0" sort="0" autoFilter="0"/>
  <dataConsolidate/>
  <mergeCells count="1">
    <mergeCell ref="B4:B5"/>
  </mergeCells>
  <phoneticPr fontId="14"/>
  <hyperlinks>
    <hyperlink ref="A3" location="パラメータ設定一覧!A1" display="パラメータ設定一覧へ" xr:uid="{0886D43A-FD4E-4F7B-8743-8D4DF03083B9}"/>
  </hyperlink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58BF5-8110-42E2-91F2-E8B6CC64D014}">
  <sheetPr codeName="Sheet15"/>
  <dimension ref="A1:L14"/>
  <sheetViews>
    <sheetView showGridLines="0" zoomScaleNormal="100" workbookViewId="0">
      <pane xSplit="6" ySplit="5" topLeftCell="G6" activePane="bottomRight" state="frozen"/>
      <selection pane="topRight"/>
      <selection pane="bottomLeft"/>
      <selection pane="bottomRight" activeCell="G6" sqref="G6"/>
    </sheetView>
  </sheetViews>
  <sheetFormatPr defaultColWidth="8.78515625" defaultRowHeight="13.5"/>
  <cols>
    <col min="1" max="1" width="2.78515625" style="46" customWidth="1"/>
    <col min="2" max="2" width="3.78515625" style="46" customWidth="1"/>
    <col min="3" max="3" width="16.78515625" style="46" customWidth="1"/>
    <col min="4" max="4" width="19.2109375" style="46" customWidth="1"/>
    <col min="5" max="5" width="16.5703125" style="46" customWidth="1"/>
    <col min="6" max="6" width="22.5703125" style="46" customWidth="1"/>
    <col min="7" max="7" width="44.640625" style="46" customWidth="1"/>
    <col min="8" max="8" width="27.5703125" style="46" customWidth="1"/>
    <col min="9" max="9" width="17.42578125" style="53" customWidth="1"/>
    <col min="10" max="10" width="22.42578125" style="46" customWidth="1"/>
    <col min="11" max="11" width="18.2109375" style="46" customWidth="1"/>
    <col min="12" max="12" width="13.2109375" style="46" customWidth="1"/>
    <col min="13" max="16384" width="8.78515625" style="46"/>
  </cols>
  <sheetData>
    <row r="1" spans="1:12" customFormat="1" ht="19.5">
      <c r="A1" s="99" t="s">
        <v>1618</v>
      </c>
      <c r="C1" s="46"/>
      <c r="D1" s="46"/>
      <c r="E1" s="46"/>
      <c r="F1" s="46"/>
      <c r="G1" s="46"/>
      <c r="H1" s="46"/>
      <c r="I1" s="53"/>
    </row>
    <row r="2" spans="1:12" customFormat="1" ht="15">
      <c r="B2" t="s">
        <v>2745</v>
      </c>
      <c r="C2" s="46"/>
      <c r="D2" s="46"/>
      <c r="E2" s="46"/>
      <c r="F2" s="46"/>
      <c r="G2" s="46"/>
      <c r="H2" s="46"/>
      <c r="I2" s="53"/>
    </row>
    <row r="3" spans="1:12" customFormat="1" ht="15">
      <c r="B3" t="s">
        <v>2746</v>
      </c>
      <c r="C3" s="46"/>
      <c r="D3" s="46"/>
      <c r="E3" s="46"/>
      <c r="F3" s="46"/>
      <c r="G3" s="46"/>
      <c r="H3" s="46"/>
      <c r="I3" s="53"/>
    </row>
    <row r="4" spans="1:12" customFormat="1" ht="15">
      <c r="A4" s="10" t="s">
        <v>363</v>
      </c>
      <c r="C4" s="46"/>
      <c r="D4" s="46"/>
      <c r="E4" s="46"/>
      <c r="F4" s="46"/>
      <c r="G4" s="46"/>
      <c r="H4" s="46"/>
      <c r="I4" s="53"/>
    </row>
    <row r="5" spans="1:12">
      <c r="B5" s="11" t="s">
        <v>1</v>
      </c>
      <c r="C5" s="12" t="s">
        <v>9</v>
      </c>
      <c r="D5" s="11" t="s">
        <v>10</v>
      </c>
      <c r="E5" s="11" t="s">
        <v>11</v>
      </c>
      <c r="F5" s="20" t="s">
        <v>12</v>
      </c>
      <c r="G5" s="20" t="s">
        <v>13</v>
      </c>
      <c r="H5" s="11" t="s">
        <v>14</v>
      </c>
      <c r="I5" s="54" t="s">
        <v>15</v>
      </c>
      <c r="J5" s="11" t="s">
        <v>16</v>
      </c>
      <c r="K5" s="14" t="s">
        <v>17</v>
      </c>
      <c r="L5" s="14" t="s">
        <v>18</v>
      </c>
    </row>
    <row r="6" spans="1:12" ht="27">
      <c r="B6" s="15">
        <f t="shared" ref="B6:B14" si="0">ROW() - 5</f>
        <v>1</v>
      </c>
      <c r="C6" s="16" t="s">
        <v>1573</v>
      </c>
      <c r="D6" s="167" t="s">
        <v>1620</v>
      </c>
      <c r="E6" s="52"/>
      <c r="F6" s="22" t="s">
        <v>1612</v>
      </c>
      <c r="G6" s="22" t="s">
        <v>1612</v>
      </c>
      <c r="H6" s="47" t="s">
        <v>1630</v>
      </c>
      <c r="I6" s="44" t="s">
        <v>331</v>
      </c>
      <c r="J6" s="23"/>
      <c r="K6" s="2" t="s">
        <v>1619</v>
      </c>
      <c r="L6" s="3"/>
    </row>
    <row r="7" spans="1:12" ht="27">
      <c r="B7" s="15">
        <f t="shared" si="0"/>
        <v>2</v>
      </c>
      <c r="C7" s="68"/>
      <c r="D7" s="114"/>
      <c r="E7" s="67"/>
      <c r="F7" s="22" t="s">
        <v>1608</v>
      </c>
      <c r="G7" s="22" t="s">
        <v>19</v>
      </c>
      <c r="H7" s="47" t="s">
        <v>1630</v>
      </c>
      <c r="I7" s="44" t="s">
        <v>331</v>
      </c>
      <c r="J7" s="23"/>
      <c r="K7" s="2" t="s">
        <v>1619</v>
      </c>
      <c r="L7" s="3"/>
    </row>
    <row r="8" spans="1:12" ht="27">
      <c r="B8" s="15">
        <f t="shared" si="0"/>
        <v>3</v>
      </c>
      <c r="C8" s="68"/>
      <c r="D8" s="114"/>
      <c r="E8" s="67"/>
      <c r="F8" s="22" t="s">
        <v>1623</v>
      </c>
      <c r="G8" s="22"/>
      <c r="H8" s="47"/>
      <c r="I8" s="44" t="s">
        <v>331</v>
      </c>
      <c r="J8" s="23"/>
      <c r="K8" s="2" t="s">
        <v>1619</v>
      </c>
      <c r="L8" s="3"/>
    </row>
    <row r="9" spans="1:12" ht="27">
      <c r="B9" s="15">
        <f t="shared" si="0"/>
        <v>4</v>
      </c>
      <c r="C9" s="68"/>
      <c r="D9" s="114"/>
      <c r="E9" s="67"/>
      <c r="F9" s="22" t="s">
        <v>224</v>
      </c>
      <c r="G9" s="22" t="s">
        <v>1629</v>
      </c>
      <c r="H9" s="47" t="s">
        <v>1630</v>
      </c>
      <c r="I9" s="44" t="s">
        <v>331</v>
      </c>
      <c r="J9" s="23"/>
      <c r="K9" s="2" t="s">
        <v>1619</v>
      </c>
      <c r="L9" s="3"/>
    </row>
    <row r="10" spans="1:12" ht="27">
      <c r="B10" s="15">
        <f t="shared" si="0"/>
        <v>5</v>
      </c>
      <c r="C10" s="68"/>
      <c r="D10" s="114"/>
      <c r="E10" s="67"/>
      <c r="F10" s="22" t="s">
        <v>1626</v>
      </c>
      <c r="G10" s="22"/>
      <c r="H10" s="47"/>
      <c r="I10" s="44" t="s">
        <v>331</v>
      </c>
      <c r="J10" s="23"/>
      <c r="K10" s="2" t="s">
        <v>1619</v>
      </c>
      <c r="L10" s="3"/>
    </row>
    <row r="11" spans="1:12" ht="27">
      <c r="B11" s="15">
        <f t="shared" si="0"/>
        <v>6</v>
      </c>
      <c r="C11" s="68"/>
      <c r="D11" s="114"/>
      <c r="E11" s="67"/>
      <c r="F11" s="22" t="s">
        <v>22</v>
      </c>
      <c r="G11" s="22" t="s">
        <v>1624</v>
      </c>
      <c r="H11" s="47"/>
      <c r="I11" s="44" t="s">
        <v>331</v>
      </c>
      <c r="J11" s="23"/>
      <c r="K11" s="2" t="s">
        <v>1619</v>
      </c>
      <c r="L11" s="3"/>
    </row>
    <row r="12" spans="1:12" ht="27">
      <c r="B12" s="15">
        <f t="shared" si="0"/>
        <v>7</v>
      </c>
      <c r="C12" s="68"/>
      <c r="D12" s="114"/>
      <c r="E12" s="67"/>
      <c r="F12" s="22" t="s">
        <v>219</v>
      </c>
      <c r="G12" s="22" t="s">
        <v>1627</v>
      </c>
      <c r="H12" s="47"/>
      <c r="I12" s="44" t="s">
        <v>331</v>
      </c>
      <c r="J12" s="23"/>
      <c r="K12" s="2" t="s">
        <v>1619</v>
      </c>
      <c r="L12" s="3"/>
    </row>
    <row r="13" spans="1:12" ht="27">
      <c r="B13" s="15">
        <f t="shared" si="0"/>
        <v>8</v>
      </c>
      <c r="C13" s="68"/>
      <c r="D13" s="114"/>
      <c r="E13" s="68"/>
      <c r="F13" s="22" t="s">
        <v>766</v>
      </c>
      <c r="G13" s="22" t="s">
        <v>1628</v>
      </c>
      <c r="H13" s="48"/>
      <c r="I13" s="44" t="s">
        <v>331</v>
      </c>
      <c r="J13" s="23"/>
      <c r="K13" s="2" t="s">
        <v>1619</v>
      </c>
      <c r="L13" s="3"/>
    </row>
    <row r="14" spans="1:12">
      <c r="B14" s="15">
        <f t="shared" si="0"/>
        <v>9</v>
      </c>
      <c r="C14" s="19"/>
      <c r="D14" s="17" t="s">
        <v>1621</v>
      </c>
      <c r="E14" s="17"/>
      <c r="F14" s="22" t="s">
        <v>254</v>
      </c>
      <c r="G14" s="22" t="s">
        <v>1631</v>
      </c>
      <c r="H14" s="47"/>
      <c r="I14" s="44" t="s">
        <v>331</v>
      </c>
      <c r="J14" s="23"/>
      <c r="K14" s="2" t="s">
        <v>1617</v>
      </c>
      <c r="L14" s="3"/>
    </row>
  </sheetData>
  <phoneticPr fontId="14"/>
  <hyperlinks>
    <hyperlink ref="A4" location="パラメータ設定一覧!A1" display="パラメータ設定一覧へ" xr:uid="{69474456-90D3-411D-8DD2-518955A6A41E}"/>
  </hyperlinks>
  <pageMargins left="0.7" right="0.7" top="0.75" bottom="0.75" header="0.3" footer="0.3"/>
  <pageSetup paperSize="9" orientation="portrait" horizontalDpi="1200" verticalDpi="12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54342-04AC-48E2-93A2-9675E4C0343D}">
  <sheetPr codeName="Sheet16"/>
  <dimension ref="A1:K27"/>
  <sheetViews>
    <sheetView showGridLines="0" zoomScaleNormal="100" workbookViewId="0">
      <pane ySplit="6" topLeftCell="A7" activePane="bottomLeft" state="frozen"/>
      <selection pane="bottomLeft" activeCell="C7" sqref="C7"/>
    </sheetView>
  </sheetViews>
  <sheetFormatPr defaultColWidth="8.78515625" defaultRowHeight="13.5"/>
  <cols>
    <col min="1" max="1" width="2.78515625" style="46" customWidth="1"/>
    <col min="2" max="2" width="3.5703125" style="46" bestFit="1" customWidth="1"/>
    <col min="3" max="4" width="17.2109375" style="46" customWidth="1"/>
    <col min="5" max="6" width="19.78515625" style="46" customWidth="1"/>
    <col min="7" max="7" width="19.5" style="46" customWidth="1"/>
    <col min="8" max="8" width="8.78515625" style="46"/>
    <col min="9" max="9" width="12.28515625" style="46" bestFit="1" customWidth="1"/>
    <col min="10" max="10" width="8.78515625" style="46"/>
    <col min="11" max="11" width="19.42578125" style="46" customWidth="1"/>
    <col min="12" max="16384" width="8.78515625" style="46"/>
  </cols>
  <sheetData>
    <row r="1" spans="1:11" customFormat="1" ht="19.5">
      <c r="A1" s="99" t="s">
        <v>2669</v>
      </c>
    </row>
    <row r="2" spans="1:11" customFormat="1" ht="15">
      <c r="A2" s="196" t="s">
        <v>2668</v>
      </c>
    </row>
    <row r="3" spans="1:11" customFormat="1" ht="15">
      <c r="A3" s="10" t="s">
        <v>363</v>
      </c>
    </row>
    <row r="4" spans="1:11">
      <c r="B4" s="442" t="s">
        <v>463</v>
      </c>
      <c r="C4" s="69" t="s">
        <v>1611</v>
      </c>
      <c r="D4" s="69" t="s">
        <v>1608</v>
      </c>
      <c r="E4" s="69" t="s">
        <v>1622</v>
      </c>
      <c r="F4" s="69" t="s">
        <v>224</v>
      </c>
      <c r="G4" s="69" t="s">
        <v>1625</v>
      </c>
      <c r="H4" s="69" t="s">
        <v>22</v>
      </c>
      <c r="I4" s="69" t="s">
        <v>219</v>
      </c>
      <c r="J4" s="69" t="s">
        <v>766</v>
      </c>
      <c r="K4" s="69" t="s">
        <v>408</v>
      </c>
    </row>
    <row r="5" spans="1:11" ht="40.5">
      <c r="B5" s="442"/>
      <c r="C5" s="8" t="s">
        <v>2839</v>
      </c>
      <c r="D5" s="8" t="s">
        <v>2839</v>
      </c>
      <c r="E5" s="8"/>
      <c r="F5" s="8" t="s">
        <v>445</v>
      </c>
      <c r="G5" s="8" t="s">
        <v>462</v>
      </c>
      <c r="H5" s="8" t="s">
        <v>1633</v>
      </c>
      <c r="I5" s="8" t="s">
        <v>1632</v>
      </c>
      <c r="J5" s="8" t="s">
        <v>27</v>
      </c>
      <c r="K5" s="8" t="s">
        <v>1634</v>
      </c>
    </row>
    <row r="6" spans="1:11">
      <c r="B6" s="446"/>
      <c r="C6" s="8" t="s">
        <v>2667</v>
      </c>
      <c r="D6" s="8" t="s">
        <v>2667</v>
      </c>
      <c r="E6" s="8"/>
      <c r="F6" s="8" t="s">
        <v>2667</v>
      </c>
      <c r="G6" s="8"/>
      <c r="H6" s="8" t="s">
        <v>2752</v>
      </c>
      <c r="I6" s="8" t="s">
        <v>2752</v>
      </c>
      <c r="J6" s="8" t="s">
        <v>2667</v>
      </c>
      <c r="K6" s="8" t="s">
        <v>2752</v>
      </c>
    </row>
    <row r="7" spans="1:11" ht="27">
      <c r="B7" s="229" t="s">
        <v>1226</v>
      </c>
      <c r="C7" s="75" t="s">
        <v>2840</v>
      </c>
      <c r="D7" s="75" t="s">
        <v>2841</v>
      </c>
      <c r="E7" s="75" t="s">
        <v>2844</v>
      </c>
      <c r="F7" s="75"/>
      <c r="G7" s="75"/>
      <c r="H7" s="75" t="s">
        <v>2842</v>
      </c>
      <c r="I7" s="75"/>
      <c r="J7" s="75" t="s">
        <v>57</v>
      </c>
      <c r="K7" s="75" t="s">
        <v>2843</v>
      </c>
    </row>
    <row r="8" spans="1:11">
      <c r="B8" s="217">
        <f>ROW() - 7</f>
        <v>1</v>
      </c>
      <c r="C8" s="239"/>
      <c r="D8" s="239"/>
      <c r="E8" s="239"/>
      <c r="F8" s="239"/>
      <c r="G8" s="239"/>
      <c r="H8" s="239"/>
      <c r="I8" s="239"/>
      <c r="J8" s="239"/>
      <c r="K8" s="239"/>
    </row>
    <row r="9" spans="1:11">
      <c r="B9" s="217">
        <f t="shared" ref="B9:B27" si="0">ROW() - 7</f>
        <v>2</v>
      </c>
      <c r="C9" s="239"/>
      <c r="D9" s="239"/>
      <c r="E9" s="239"/>
      <c r="F9" s="239"/>
      <c r="G9" s="239"/>
      <c r="H9" s="239"/>
      <c r="I9" s="239"/>
      <c r="J9" s="239"/>
      <c r="K9" s="239"/>
    </row>
    <row r="10" spans="1:11">
      <c r="B10" s="217">
        <f t="shared" si="0"/>
        <v>3</v>
      </c>
      <c r="C10" s="239"/>
      <c r="D10" s="239"/>
      <c r="E10" s="239"/>
      <c r="F10" s="239"/>
      <c r="G10" s="239"/>
      <c r="H10" s="239"/>
      <c r="I10" s="239"/>
      <c r="J10" s="239"/>
      <c r="K10" s="239"/>
    </row>
    <row r="11" spans="1:11">
      <c r="B11" s="217">
        <f t="shared" si="0"/>
        <v>4</v>
      </c>
      <c r="C11" s="239"/>
      <c r="D11" s="239"/>
      <c r="E11" s="239"/>
      <c r="F11" s="239"/>
      <c r="G11" s="239"/>
      <c r="H11" s="239"/>
      <c r="I11" s="239"/>
      <c r="J11" s="239"/>
      <c r="K11" s="239"/>
    </row>
    <row r="12" spans="1:11">
      <c r="B12" s="217">
        <f t="shared" si="0"/>
        <v>5</v>
      </c>
      <c r="C12" s="239"/>
      <c r="D12" s="239"/>
      <c r="E12" s="239"/>
      <c r="F12" s="239"/>
      <c r="G12" s="239"/>
      <c r="H12" s="239"/>
      <c r="I12" s="239"/>
      <c r="J12" s="239"/>
      <c r="K12" s="239"/>
    </row>
    <row r="13" spans="1:11">
      <c r="B13" s="217">
        <f t="shared" si="0"/>
        <v>6</v>
      </c>
      <c r="C13" s="239"/>
      <c r="D13" s="239"/>
      <c r="E13" s="239"/>
      <c r="F13" s="239"/>
      <c r="G13" s="239"/>
      <c r="H13" s="239"/>
      <c r="I13" s="239"/>
      <c r="J13" s="239"/>
      <c r="K13" s="239"/>
    </row>
    <row r="14" spans="1:11">
      <c r="B14" s="217">
        <f t="shared" si="0"/>
        <v>7</v>
      </c>
      <c r="C14" s="239"/>
      <c r="D14" s="239"/>
      <c r="E14" s="239"/>
      <c r="F14" s="239"/>
      <c r="G14" s="239"/>
      <c r="H14" s="239"/>
      <c r="I14" s="239"/>
      <c r="J14" s="239"/>
      <c r="K14" s="239"/>
    </row>
    <row r="15" spans="1:11">
      <c r="B15" s="217">
        <f t="shared" si="0"/>
        <v>8</v>
      </c>
      <c r="C15" s="239"/>
      <c r="D15" s="239"/>
      <c r="E15" s="239"/>
      <c r="F15" s="239"/>
      <c r="G15" s="239"/>
      <c r="H15" s="239"/>
      <c r="I15" s="239"/>
      <c r="J15" s="239"/>
      <c r="K15" s="239"/>
    </row>
    <row r="16" spans="1:11">
      <c r="B16" s="217">
        <f t="shared" si="0"/>
        <v>9</v>
      </c>
      <c r="C16" s="239"/>
      <c r="D16" s="239"/>
      <c r="E16" s="239"/>
      <c r="F16" s="239"/>
      <c r="G16" s="239"/>
      <c r="H16" s="239"/>
      <c r="I16" s="239"/>
      <c r="J16" s="239"/>
      <c r="K16" s="239"/>
    </row>
    <row r="17" spans="2:11">
      <c r="B17" s="217">
        <f t="shared" si="0"/>
        <v>10</v>
      </c>
      <c r="C17" s="239"/>
      <c r="D17" s="239"/>
      <c r="E17" s="239"/>
      <c r="F17" s="239"/>
      <c r="G17" s="239"/>
      <c r="H17" s="239"/>
      <c r="I17" s="239"/>
      <c r="J17" s="239"/>
      <c r="K17" s="239"/>
    </row>
    <row r="18" spans="2:11">
      <c r="B18" s="217">
        <f t="shared" si="0"/>
        <v>11</v>
      </c>
      <c r="C18" s="239"/>
      <c r="D18" s="239"/>
      <c r="E18" s="239"/>
      <c r="F18" s="239"/>
      <c r="G18" s="239"/>
      <c r="H18" s="239"/>
      <c r="I18" s="239"/>
      <c r="J18" s="239"/>
      <c r="K18" s="239"/>
    </row>
    <row r="19" spans="2:11">
      <c r="B19" s="217">
        <f t="shared" si="0"/>
        <v>12</v>
      </c>
      <c r="C19" s="239"/>
      <c r="D19" s="239"/>
      <c r="E19" s="239"/>
      <c r="F19" s="239"/>
      <c r="G19" s="239"/>
      <c r="H19" s="239"/>
      <c r="I19" s="239"/>
      <c r="J19" s="239"/>
      <c r="K19" s="239"/>
    </row>
    <row r="20" spans="2:11">
      <c r="B20" s="217">
        <f t="shared" si="0"/>
        <v>13</v>
      </c>
      <c r="C20" s="239"/>
      <c r="D20" s="239"/>
      <c r="E20" s="239"/>
      <c r="F20" s="239"/>
      <c r="G20" s="239"/>
      <c r="H20" s="239"/>
      <c r="I20" s="239"/>
      <c r="J20" s="239"/>
      <c r="K20" s="239"/>
    </row>
    <row r="21" spans="2:11">
      <c r="B21" s="217">
        <f t="shared" si="0"/>
        <v>14</v>
      </c>
      <c r="C21" s="217"/>
      <c r="D21" s="217"/>
      <c r="E21" s="217"/>
      <c r="F21" s="217"/>
      <c r="G21" s="217"/>
      <c r="H21" s="217"/>
      <c r="I21" s="217"/>
      <c r="J21" s="217"/>
      <c r="K21" s="217"/>
    </row>
    <row r="22" spans="2:11">
      <c r="B22" s="217">
        <f t="shared" si="0"/>
        <v>15</v>
      </c>
      <c r="C22" s="239"/>
      <c r="D22" s="239"/>
      <c r="E22" s="239"/>
      <c r="F22" s="239"/>
      <c r="G22" s="239"/>
      <c r="H22" s="239"/>
      <c r="I22" s="239"/>
      <c r="J22" s="239"/>
      <c r="K22" s="239"/>
    </row>
    <row r="23" spans="2:11">
      <c r="B23" s="217">
        <f t="shared" si="0"/>
        <v>16</v>
      </c>
      <c r="C23" s="239"/>
      <c r="D23" s="239"/>
      <c r="E23" s="239"/>
      <c r="F23" s="239"/>
      <c r="G23" s="239"/>
      <c r="H23" s="239"/>
      <c r="I23" s="239"/>
      <c r="J23" s="239"/>
      <c r="K23" s="239"/>
    </row>
    <row r="24" spans="2:11">
      <c r="B24" s="217">
        <f t="shared" si="0"/>
        <v>17</v>
      </c>
      <c r="C24" s="239"/>
      <c r="D24" s="239"/>
      <c r="E24" s="239"/>
      <c r="F24" s="239"/>
      <c r="G24" s="239"/>
      <c r="H24" s="239"/>
      <c r="I24" s="239"/>
      <c r="J24" s="239"/>
      <c r="K24" s="239"/>
    </row>
    <row r="25" spans="2:11">
      <c r="B25" s="217">
        <f t="shared" si="0"/>
        <v>18</v>
      </c>
      <c r="C25" s="239"/>
      <c r="D25" s="239"/>
      <c r="E25" s="239"/>
      <c r="F25" s="239"/>
      <c r="G25" s="239"/>
      <c r="H25" s="239"/>
      <c r="I25" s="239"/>
      <c r="J25" s="239"/>
      <c r="K25" s="239"/>
    </row>
    <row r="26" spans="2:11">
      <c r="B26" s="217">
        <f t="shared" si="0"/>
        <v>19</v>
      </c>
      <c r="C26" s="239"/>
      <c r="D26" s="239"/>
      <c r="E26" s="239"/>
      <c r="F26" s="239"/>
      <c r="G26" s="239"/>
      <c r="H26" s="239"/>
      <c r="I26" s="239"/>
      <c r="J26" s="239"/>
      <c r="K26" s="239"/>
    </row>
    <row r="27" spans="2:11">
      <c r="B27" s="217">
        <f t="shared" si="0"/>
        <v>20</v>
      </c>
      <c r="C27" s="239"/>
      <c r="D27" s="239"/>
      <c r="E27" s="239"/>
      <c r="F27" s="239"/>
      <c r="G27" s="239"/>
      <c r="H27" s="239"/>
      <c r="I27" s="239"/>
      <c r="J27" s="239"/>
      <c r="K27" s="239"/>
    </row>
  </sheetData>
  <sheetProtection insertRows="0" deleteRows="0" sort="0" autoFilter="0"/>
  <dataConsolidate/>
  <mergeCells count="1">
    <mergeCell ref="B4:B6"/>
  </mergeCells>
  <phoneticPr fontId="14"/>
  <hyperlinks>
    <hyperlink ref="A3" location="パラメータ設定一覧!A1" display="パラメータ設定一覧へ" xr:uid="{9BD6AF7E-62A1-447C-A1DE-02F34BAA34A9}"/>
  </hyperlink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FEDFC-B8DF-4A93-9148-1A1D72886331}">
  <dimension ref="A1:L8"/>
  <sheetViews>
    <sheetView showGridLines="0" zoomScaleNormal="100" zoomScaleSheetLayoutView="5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85546875" defaultRowHeight="13.5"/>
  <cols>
    <col min="1" max="1" width="2.78515625" style="46" customWidth="1"/>
    <col min="2" max="2" width="3.78515625" style="46" customWidth="1"/>
    <col min="3" max="3" width="16.85546875" style="46" customWidth="1"/>
    <col min="4" max="4" width="19.2109375" style="46" customWidth="1"/>
    <col min="5" max="5" width="16.42578125" style="46" customWidth="1"/>
    <col min="6" max="6" width="22.42578125" style="46" customWidth="1"/>
    <col min="7" max="7" width="44.640625" style="46" customWidth="1"/>
    <col min="8" max="8" width="27.42578125" style="46" customWidth="1"/>
    <col min="9" max="9" width="17.42578125" style="53" customWidth="1"/>
    <col min="10" max="10" width="22.42578125" style="46" customWidth="1"/>
    <col min="11" max="11" width="18.2109375" style="46" customWidth="1"/>
    <col min="12" max="12" width="13.140625" style="46" customWidth="1"/>
    <col min="13" max="16384" width="8.85546875" style="46"/>
  </cols>
  <sheetData>
    <row r="1" spans="1:12" customFormat="1" ht="19.5">
      <c r="A1" s="99" t="s">
        <v>2817</v>
      </c>
      <c r="C1" s="46"/>
      <c r="D1" s="46"/>
      <c r="E1" s="46"/>
      <c r="F1" s="46"/>
      <c r="G1" s="46"/>
      <c r="H1" s="46"/>
      <c r="I1" s="53"/>
    </row>
    <row r="2" spans="1:12" customFormat="1" ht="15">
      <c r="B2" t="s">
        <v>2815</v>
      </c>
      <c r="C2" s="46"/>
      <c r="D2" s="46"/>
      <c r="E2" s="46"/>
      <c r="F2" s="46"/>
      <c r="G2" s="46"/>
      <c r="H2" s="46"/>
      <c r="I2" s="53"/>
    </row>
    <row r="3" spans="1:12" customFormat="1" ht="15">
      <c r="B3" t="s">
        <v>2814</v>
      </c>
      <c r="C3" s="46"/>
      <c r="D3" s="46"/>
      <c r="E3" s="46"/>
      <c r="F3" s="46"/>
      <c r="G3" s="46"/>
      <c r="H3" s="46"/>
      <c r="I3" s="53"/>
    </row>
    <row r="4" spans="1:12" customFormat="1" ht="15">
      <c r="A4" s="10" t="s">
        <v>363</v>
      </c>
      <c r="C4" s="46"/>
      <c r="D4" s="46"/>
      <c r="E4" s="46"/>
      <c r="F4" s="46"/>
      <c r="G4" s="46"/>
      <c r="H4" s="46"/>
      <c r="I4" s="53"/>
    </row>
    <row r="5" spans="1:12">
      <c r="B5" s="11" t="s">
        <v>1</v>
      </c>
      <c r="C5" s="11" t="s">
        <v>9</v>
      </c>
      <c r="D5" s="11" t="s">
        <v>10</v>
      </c>
      <c r="E5" s="11" t="s">
        <v>11</v>
      </c>
      <c r="F5" s="20" t="s">
        <v>12</v>
      </c>
      <c r="G5" s="20" t="s">
        <v>2813</v>
      </c>
      <c r="H5" s="11" t="s">
        <v>14</v>
      </c>
      <c r="I5" s="54" t="s">
        <v>15</v>
      </c>
      <c r="J5" s="11" t="s">
        <v>16</v>
      </c>
      <c r="K5" s="14" t="s">
        <v>17</v>
      </c>
      <c r="L5" s="14" t="s">
        <v>18</v>
      </c>
    </row>
    <row r="6" spans="1:12" ht="27">
      <c r="B6" s="21">
        <f>ROW() - 5</f>
        <v>1</v>
      </c>
      <c r="C6" s="52" t="s">
        <v>332</v>
      </c>
      <c r="D6" s="16"/>
      <c r="E6" s="52"/>
      <c r="F6" s="22" t="s">
        <v>332</v>
      </c>
      <c r="G6" s="22"/>
      <c r="H6" s="47" t="s">
        <v>20</v>
      </c>
      <c r="I6" s="44" t="s">
        <v>62</v>
      </c>
      <c r="J6" s="23"/>
      <c r="K6" s="2" t="s">
        <v>2811</v>
      </c>
      <c r="L6" s="3"/>
    </row>
    <row r="7" spans="1:12" ht="27">
      <c r="B7" s="21">
        <f>ROW() - 5</f>
        <v>2</v>
      </c>
      <c r="C7" s="19"/>
      <c r="D7" s="128"/>
      <c r="E7" s="19"/>
      <c r="F7" s="22" t="s">
        <v>2812</v>
      </c>
      <c r="G7" s="22"/>
      <c r="H7" s="49" t="s">
        <v>20</v>
      </c>
      <c r="I7" s="44" t="s">
        <v>62</v>
      </c>
      <c r="J7" s="23"/>
      <c r="K7" s="2" t="s">
        <v>2811</v>
      </c>
      <c r="L7" s="3"/>
    </row>
    <row r="8" spans="1:12" ht="27">
      <c r="B8" s="21">
        <f>ROW() - 5</f>
        <v>3</v>
      </c>
      <c r="C8" s="21" t="s">
        <v>1573</v>
      </c>
      <c r="D8" s="128"/>
      <c r="E8" s="19"/>
      <c r="F8" s="22" t="s">
        <v>2821</v>
      </c>
      <c r="G8" s="22"/>
      <c r="H8" s="49" t="s">
        <v>2822</v>
      </c>
      <c r="I8" s="44" t="s">
        <v>62</v>
      </c>
      <c r="J8" s="23"/>
      <c r="K8" s="2" t="s">
        <v>2811</v>
      </c>
      <c r="L8" s="3"/>
    </row>
  </sheetData>
  <phoneticPr fontId="14"/>
  <hyperlinks>
    <hyperlink ref="A4" location="パラメータ設定一覧!A1" display="パラメータ設定一覧へ" xr:uid="{B0D3F984-B684-49AF-BCB7-E33D7F93102E}"/>
  </hyperlinks>
  <pageMargins left="0.7" right="0.7" top="0.75" bottom="0.75" header="0.3" footer="0.3"/>
  <pageSetup paperSize="9" orientation="portrait"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77EB3-8869-4B3C-AF51-51824722189E}">
  <dimension ref="A1:E29"/>
  <sheetViews>
    <sheetView showGridLines="0" zoomScaleNormal="100" zoomScaleSheetLayoutView="50" workbookViewId="0">
      <pane ySplit="7" topLeftCell="A8" activePane="bottomLeft" state="frozen"/>
      <selection activeCell="G6" sqref="G6"/>
      <selection pane="bottomLeft" activeCell="A8" sqref="A8"/>
    </sheetView>
  </sheetViews>
  <sheetFormatPr defaultColWidth="8.85546875" defaultRowHeight="13.5"/>
  <cols>
    <col min="1" max="1" width="2.78515625" style="46" customWidth="1"/>
    <col min="2" max="2" width="3.42578125" style="46" bestFit="1" customWidth="1"/>
    <col min="3" max="3" width="17.2109375" style="46" customWidth="1"/>
    <col min="4" max="4" width="23.2109375" style="46" bestFit="1" customWidth="1"/>
    <col min="5" max="5" width="21.7109375" style="46" customWidth="1"/>
    <col min="6" max="16384" width="8.85546875" style="46"/>
  </cols>
  <sheetData>
    <row r="1" spans="1:5" customFormat="1" ht="19.5">
      <c r="A1" s="99" t="s">
        <v>2818</v>
      </c>
    </row>
    <row r="2" spans="1:5" customFormat="1" ht="15">
      <c r="A2" s="196" t="s">
        <v>2668</v>
      </c>
    </row>
    <row r="3" spans="1:5" customFormat="1" ht="15">
      <c r="A3" s="10" t="s">
        <v>363</v>
      </c>
    </row>
    <row r="4" spans="1:5">
      <c r="B4" s="441" t="s">
        <v>1</v>
      </c>
      <c r="C4" s="107" t="s">
        <v>332</v>
      </c>
      <c r="D4" s="218"/>
      <c r="E4" s="218" t="s">
        <v>1573</v>
      </c>
    </row>
    <row r="5" spans="1:5">
      <c r="B5" s="442"/>
      <c r="C5" s="69" t="s">
        <v>332</v>
      </c>
      <c r="D5" s="69" t="s">
        <v>2812</v>
      </c>
      <c r="E5" s="69" t="s">
        <v>2821</v>
      </c>
    </row>
    <row r="6" spans="1:5">
      <c r="B6" s="442"/>
      <c r="C6" s="8" t="s">
        <v>20</v>
      </c>
      <c r="D6" s="8" t="s">
        <v>20</v>
      </c>
      <c r="E6" s="8" t="s">
        <v>2822</v>
      </c>
    </row>
    <row r="7" spans="1:5">
      <c r="B7" s="442"/>
      <c r="C7" s="311" t="s">
        <v>2766</v>
      </c>
      <c r="D7" s="8" t="s">
        <v>2752</v>
      </c>
      <c r="E7" s="8"/>
    </row>
    <row r="8" spans="1:5">
      <c r="B8" s="336" t="s">
        <v>1226</v>
      </c>
      <c r="C8" s="337" t="s">
        <v>2845</v>
      </c>
      <c r="D8" s="337" t="s">
        <v>2846</v>
      </c>
      <c r="E8" s="229" t="s">
        <v>2840</v>
      </c>
    </row>
    <row r="9" spans="1:5">
      <c r="B9" s="331"/>
      <c r="C9" s="338"/>
      <c r="D9" s="338"/>
      <c r="E9" s="229" t="s">
        <v>2847</v>
      </c>
    </row>
    <row r="10" spans="1:5">
      <c r="B10" s="315">
        <v>1</v>
      </c>
      <c r="C10" s="312"/>
      <c r="D10" s="312"/>
      <c r="E10" s="245"/>
    </row>
    <row r="11" spans="1:5">
      <c r="B11" s="223"/>
      <c r="C11" s="313"/>
      <c r="D11" s="313"/>
      <c r="E11" s="245"/>
    </row>
    <row r="12" spans="1:5">
      <c r="B12" s="223"/>
      <c r="C12" s="313"/>
      <c r="D12" s="313"/>
      <c r="E12" s="245"/>
    </row>
    <row r="13" spans="1:5">
      <c r="B13" s="226"/>
      <c r="C13" s="314"/>
      <c r="D13" s="314"/>
      <c r="E13" s="245"/>
    </row>
    <row r="14" spans="1:5">
      <c r="B14" s="315">
        <v>2</v>
      </c>
      <c r="C14" s="312"/>
      <c r="D14" s="312"/>
      <c r="E14" s="245"/>
    </row>
    <row r="15" spans="1:5">
      <c r="B15" s="223"/>
      <c r="C15" s="313"/>
      <c r="D15" s="313"/>
      <c r="E15" s="245"/>
    </row>
    <row r="16" spans="1:5">
      <c r="B16" s="223"/>
      <c r="C16" s="313"/>
      <c r="D16" s="313"/>
      <c r="E16" s="245"/>
    </row>
    <row r="17" spans="2:5">
      <c r="B17" s="226"/>
      <c r="C17" s="314"/>
      <c r="D17" s="314"/>
      <c r="E17" s="245"/>
    </row>
    <row r="18" spans="2:5">
      <c r="B18" s="315">
        <v>3</v>
      </c>
      <c r="C18" s="312"/>
      <c r="D18" s="312"/>
      <c r="E18" s="245"/>
    </row>
    <row r="19" spans="2:5">
      <c r="B19" s="223"/>
      <c r="C19" s="313"/>
      <c r="D19" s="313"/>
      <c r="E19" s="245"/>
    </row>
    <row r="20" spans="2:5">
      <c r="B20" s="223"/>
      <c r="C20" s="313"/>
      <c r="D20" s="313"/>
      <c r="E20" s="245"/>
    </row>
    <row r="21" spans="2:5">
      <c r="B21" s="226"/>
      <c r="C21" s="314"/>
      <c r="D21" s="314"/>
      <c r="E21" s="245"/>
    </row>
    <row r="22" spans="2:5">
      <c r="B22" s="315">
        <v>4</v>
      </c>
      <c r="C22" s="312"/>
      <c r="D22" s="312"/>
      <c r="E22" s="245"/>
    </row>
    <row r="23" spans="2:5">
      <c r="B23" s="223"/>
      <c r="C23" s="313"/>
      <c r="D23" s="313"/>
      <c r="E23" s="245"/>
    </row>
    <row r="24" spans="2:5">
      <c r="B24" s="223"/>
      <c r="C24" s="313"/>
      <c r="D24" s="313"/>
      <c r="E24" s="245"/>
    </row>
    <row r="25" spans="2:5">
      <c r="B25" s="226"/>
      <c r="C25" s="314"/>
      <c r="D25" s="314"/>
      <c r="E25" s="245"/>
    </row>
    <row r="26" spans="2:5">
      <c r="B26" s="315">
        <v>5</v>
      </c>
      <c r="C26" s="312"/>
      <c r="D26" s="312"/>
      <c r="E26" s="245"/>
    </row>
    <row r="27" spans="2:5">
      <c r="B27" s="223"/>
      <c r="C27" s="313"/>
      <c r="D27" s="313"/>
      <c r="E27" s="245"/>
    </row>
    <row r="28" spans="2:5">
      <c r="B28" s="223"/>
      <c r="C28" s="313"/>
      <c r="D28" s="313"/>
      <c r="E28" s="245"/>
    </row>
    <row r="29" spans="2:5">
      <c r="B29" s="226"/>
      <c r="C29" s="314"/>
      <c r="D29" s="314"/>
      <c r="E29" s="245"/>
    </row>
  </sheetData>
  <sheetProtection insertRows="0" deleteRows="0" sort="0" autoFilter="0"/>
  <dataConsolidate/>
  <mergeCells count="1">
    <mergeCell ref="B4:B7"/>
  </mergeCells>
  <phoneticPr fontId="14"/>
  <hyperlinks>
    <hyperlink ref="A3" location="パラメータ設定一覧!A1" display="パラメータ設定一覧へ" xr:uid="{D7CEF9A3-FF6D-4C25-8147-08C14F34448D}"/>
  </hyperlink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B96C8-67D6-4426-A836-D14C52C64787}">
  <sheetPr codeName="Sheet17">
    <pageSetUpPr fitToPage="1"/>
  </sheetPr>
  <dimension ref="A1:L14"/>
  <sheetViews>
    <sheetView showGridLines="0" zoomScaleNormal="100" zoomScaleSheetLayoutView="70" workbookViewId="0">
      <pane xSplit="6" ySplit="5" topLeftCell="G6" activePane="bottomRight" state="frozen"/>
      <selection activeCell="A4" sqref="A4"/>
      <selection pane="topRight" activeCell="A4" sqref="A4"/>
      <selection pane="bottomLeft" activeCell="A4" sqref="A4"/>
      <selection pane="bottomRight" activeCell="G6" sqref="G6"/>
    </sheetView>
  </sheetViews>
  <sheetFormatPr defaultColWidth="8.78515625" defaultRowHeight="13.5"/>
  <cols>
    <col min="1" max="1" width="2.78515625" style="46" customWidth="1"/>
    <col min="2" max="2" width="3.35546875" style="46" bestFit="1" customWidth="1"/>
    <col min="3" max="3" width="12.42578125" style="46" customWidth="1"/>
    <col min="4" max="4" width="7" style="46" bestFit="1" customWidth="1"/>
    <col min="5" max="5" width="15" style="46" customWidth="1"/>
    <col min="6" max="6" width="13.42578125" style="46" customWidth="1"/>
    <col min="7" max="7" width="26.640625" style="46" customWidth="1"/>
    <col min="8" max="8" width="21.42578125" style="46" customWidth="1"/>
    <col min="9" max="9" width="19.42578125" style="46" bestFit="1" customWidth="1"/>
    <col min="10" max="10" width="28.78515625" style="46" customWidth="1"/>
    <col min="11" max="11" width="18.2109375" style="46" customWidth="1"/>
    <col min="12" max="12" width="13.2109375" style="46" customWidth="1"/>
    <col min="13" max="16384" width="8.78515625" style="46"/>
  </cols>
  <sheetData>
    <row r="1" spans="1:12" customFormat="1" ht="19.5">
      <c r="A1" s="101" t="s">
        <v>492</v>
      </c>
    </row>
    <row r="2" spans="1:12" customFormat="1" ht="19.5">
      <c r="A2" s="101"/>
      <c r="B2" t="s">
        <v>491</v>
      </c>
    </row>
    <row r="3" spans="1:12" customFormat="1" ht="15">
      <c r="B3" t="s">
        <v>490</v>
      </c>
    </row>
    <row r="4" spans="1:12" customFormat="1" ht="15">
      <c r="A4" s="10" t="s">
        <v>363</v>
      </c>
    </row>
    <row r="5" spans="1:12">
      <c r="B5" s="11" t="s">
        <v>1</v>
      </c>
      <c r="C5" s="12" t="s">
        <v>9</v>
      </c>
      <c r="D5" s="12" t="s">
        <v>10</v>
      </c>
      <c r="E5" s="12" t="s">
        <v>11</v>
      </c>
      <c r="F5" s="13" t="s">
        <v>12</v>
      </c>
      <c r="G5" s="13" t="s">
        <v>13</v>
      </c>
      <c r="H5" s="12" t="s">
        <v>14</v>
      </c>
      <c r="I5" s="12" t="s">
        <v>15</v>
      </c>
      <c r="J5" s="11" t="s">
        <v>16</v>
      </c>
      <c r="K5" s="14" t="s">
        <v>17</v>
      </c>
      <c r="L5" s="14" t="s">
        <v>18</v>
      </c>
    </row>
    <row r="6" spans="1:12" ht="67.5">
      <c r="B6" s="15">
        <f t="shared" ref="B6:B14" si="0">ROW() - 5</f>
        <v>1</v>
      </c>
      <c r="C6" s="16" t="s">
        <v>489</v>
      </c>
      <c r="D6" s="16"/>
      <c r="E6" s="16"/>
      <c r="F6" s="17" t="s">
        <v>488</v>
      </c>
      <c r="G6" s="17" t="s">
        <v>487</v>
      </c>
      <c r="H6" s="17" t="s">
        <v>486</v>
      </c>
      <c r="I6" s="17" t="s">
        <v>55</v>
      </c>
      <c r="J6" s="17" t="s">
        <v>485</v>
      </c>
      <c r="K6" s="2" t="s">
        <v>464</v>
      </c>
      <c r="L6" s="2"/>
    </row>
    <row r="7" spans="1:12" ht="27">
      <c r="B7" s="15">
        <f t="shared" si="0"/>
        <v>2</v>
      </c>
      <c r="C7" s="68"/>
      <c r="D7" s="68"/>
      <c r="E7" s="68"/>
      <c r="F7" s="17" t="s">
        <v>484</v>
      </c>
      <c r="G7" s="17" t="s">
        <v>483</v>
      </c>
      <c r="H7" s="17" t="s">
        <v>480</v>
      </c>
      <c r="I7" s="17" t="s">
        <v>331</v>
      </c>
      <c r="J7" s="17"/>
      <c r="K7" s="2" t="s">
        <v>464</v>
      </c>
      <c r="L7" s="2"/>
    </row>
    <row r="8" spans="1:12" ht="27">
      <c r="B8" s="15">
        <f t="shared" si="0"/>
        <v>3</v>
      </c>
      <c r="C8" s="68"/>
      <c r="D8" s="68"/>
      <c r="E8" s="68"/>
      <c r="F8" s="17" t="s">
        <v>482</v>
      </c>
      <c r="G8" s="17" t="s">
        <v>481</v>
      </c>
      <c r="H8" s="17" t="s">
        <v>480</v>
      </c>
      <c r="I8" s="17" t="s">
        <v>331</v>
      </c>
      <c r="J8" s="17"/>
      <c r="K8" s="2" t="s">
        <v>464</v>
      </c>
      <c r="L8" s="2"/>
    </row>
    <row r="9" spans="1:12" ht="67.5">
      <c r="B9" s="15">
        <f t="shared" si="0"/>
        <v>4</v>
      </c>
      <c r="C9" s="19"/>
      <c r="D9" s="19"/>
      <c r="E9" s="19"/>
      <c r="F9" s="17" t="s">
        <v>479</v>
      </c>
      <c r="G9" s="17" t="s">
        <v>478</v>
      </c>
      <c r="H9" s="17" t="s">
        <v>477</v>
      </c>
      <c r="I9" s="23">
        <v>1</v>
      </c>
      <c r="J9" s="17"/>
      <c r="K9" s="2" t="s">
        <v>464</v>
      </c>
      <c r="L9" s="2"/>
    </row>
    <row r="10" spans="1:12" ht="28.5" customHeight="1">
      <c r="B10" s="15">
        <f t="shared" si="0"/>
        <v>5</v>
      </c>
      <c r="C10" s="433" t="s">
        <v>476</v>
      </c>
      <c r="D10" s="16"/>
      <c r="E10" s="16"/>
      <c r="F10" s="17" t="s">
        <v>472</v>
      </c>
      <c r="G10" s="16" t="s">
        <v>475</v>
      </c>
      <c r="H10" s="17" t="s">
        <v>470</v>
      </c>
      <c r="I10" s="100" t="s">
        <v>2753</v>
      </c>
      <c r="J10" s="17" t="s">
        <v>2754</v>
      </c>
      <c r="K10" s="2" t="s">
        <v>464</v>
      </c>
      <c r="L10" s="2"/>
    </row>
    <row r="11" spans="1:12" ht="27">
      <c r="B11" s="15">
        <f t="shared" si="0"/>
        <v>6</v>
      </c>
      <c r="C11" s="434"/>
      <c r="D11" s="68"/>
      <c r="E11" s="68"/>
      <c r="F11" s="17" t="s">
        <v>474</v>
      </c>
      <c r="G11" s="16" t="s">
        <v>473</v>
      </c>
      <c r="H11" s="17" t="s">
        <v>470</v>
      </c>
      <c r="I11" s="100" t="s">
        <v>2753</v>
      </c>
      <c r="J11" s="17" t="s">
        <v>2754</v>
      </c>
      <c r="K11" s="2" t="s">
        <v>464</v>
      </c>
      <c r="L11" s="2"/>
    </row>
    <row r="12" spans="1:12" ht="27">
      <c r="B12" s="15">
        <f t="shared" si="0"/>
        <v>7</v>
      </c>
      <c r="C12" s="434"/>
      <c r="D12" s="68"/>
      <c r="E12" s="68"/>
      <c r="F12" s="17" t="s">
        <v>472</v>
      </c>
      <c r="G12" s="17" t="s">
        <v>471</v>
      </c>
      <c r="H12" s="17" t="s">
        <v>470</v>
      </c>
      <c r="I12" s="17" t="s">
        <v>331</v>
      </c>
      <c r="J12" s="17"/>
      <c r="K12" s="2" t="s">
        <v>464</v>
      </c>
      <c r="L12" s="2"/>
    </row>
    <row r="13" spans="1:12" ht="27">
      <c r="B13" s="15">
        <f t="shared" si="0"/>
        <v>8</v>
      </c>
      <c r="C13" s="434"/>
      <c r="D13" s="68"/>
      <c r="E13" s="68"/>
      <c r="F13" s="17" t="s">
        <v>469</v>
      </c>
      <c r="G13" s="17" t="s">
        <v>468</v>
      </c>
      <c r="H13" s="17" t="s">
        <v>50</v>
      </c>
      <c r="I13" s="17" t="s">
        <v>331</v>
      </c>
      <c r="J13" s="17"/>
      <c r="K13" s="2" t="s">
        <v>464</v>
      </c>
      <c r="L13" s="2"/>
    </row>
    <row r="14" spans="1:12" ht="81">
      <c r="B14" s="15">
        <f t="shared" si="0"/>
        <v>9</v>
      </c>
      <c r="C14" s="19"/>
      <c r="D14" s="19"/>
      <c r="E14" s="19"/>
      <c r="F14" s="17" t="s">
        <v>467</v>
      </c>
      <c r="G14" s="17" t="s">
        <v>466</v>
      </c>
      <c r="H14" s="17" t="s">
        <v>2748</v>
      </c>
      <c r="I14" s="17" t="s">
        <v>331</v>
      </c>
      <c r="J14" s="17" t="s">
        <v>2749</v>
      </c>
      <c r="K14" s="2" t="s">
        <v>464</v>
      </c>
      <c r="L14" s="2"/>
    </row>
  </sheetData>
  <mergeCells count="1">
    <mergeCell ref="C10:C13"/>
  </mergeCells>
  <phoneticPr fontId="14"/>
  <hyperlinks>
    <hyperlink ref="A4" location="パラメータ設定一覧!A1" display="パラメータ設定一覧へ" xr:uid="{36CA982B-6BF4-4D22-BCE3-00ED84577C37}"/>
  </hyperlinks>
  <pageMargins left="0.70866141732283472" right="0.70866141732283472" top="0.74803149606299213" bottom="0.74803149606299213" header="0.31496062992125984" footer="0.31496062992125984"/>
  <pageSetup paperSize="9" scale="39" orientation="portrait" r:id="rId1"/>
  <headerFooter>
    <oddFooter>&amp;RCopyright  SATO HOLDINGS CORPORATION All rights reserved</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4D866-404D-4B73-945A-F966806C5AD2}">
  <sheetPr codeName="Sheet18">
    <pageSetUpPr fitToPage="1"/>
  </sheetPr>
  <dimension ref="A1:I18"/>
  <sheetViews>
    <sheetView showGridLines="0" zoomScaleNormal="100" zoomScaleSheetLayoutView="70" workbookViewId="0">
      <pane ySplit="7" topLeftCell="A8" activePane="bottomLeft" state="frozen"/>
      <selection activeCell="A4" sqref="A4"/>
      <selection pane="bottomLeft" activeCell="A8" sqref="A8"/>
    </sheetView>
  </sheetViews>
  <sheetFormatPr defaultColWidth="8.78515625" defaultRowHeight="13.5"/>
  <cols>
    <col min="1" max="1" width="2.78515625" style="46" customWidth="1"/>
    <col min="2" max="2" width="3.5703125" style="46" bestFit="1" customWidth="1"/>
    <col min="3" max="3" width="11.5703125" style="46" customWidth="1"/>
    <col min="4" max="4" width="15" style="46" customWidth="1"/>
    <col min="5" max="5" width="14.78515625" style="46" customWidth="1"/>
    <col min="6" max="6" width="11" style="46" customWidth="1"/>
    <col min="7" max="7" width="13.2109375" style="46" customWidth="1"/>
    <col min="8" max="8" width="12.640625" style="46" customWidth="1"/>
    <col min="9" max="9" width="17.92578125" style="46" customWidth="1"/>
    <col min="10" max="16384" width="8.78515625" style="46"/>
  </cols>
  <sheetData>
    <row r="1" spans="1:9" customFormat="1" ht="19.5">
      <c r="A1" s="101" t="s">
        <v>2686</v>
      </c>
    </row>
    <row r="2" spans="1:9" customFormat="1" ht="15">
      <c r="A2" s="196" t="s">
        <v>2668</v>
      </c>
    </row>
    <row r="3" spans="1:9" customFormat="1" ht="15">
      <c r="A3" s="10" t="s">
        <v>363</v>
      </c>
    </row>
    <row r="4" spans="1:9" ht="15" customHeight="1">
      <c r="B4" s="440" t="s">
        <v>1</v>
      </c>
      <c r="C4" s="107" t="s">
        <v>489</v>
      </c>
      <c r="D4" s="110"/>
      <c r="E4" s="110"/>
      <c r="F4" s="218"/>
      <c r="G4" s="244" t="s">
        <v>2755</v>
      </c>
      <c r="H4" s="110"/>
      <c r="I4" s="218"/>
    </row>
    <row r="5" spans="1:9">
      <c r="B5" s="440"/>
      <c r="C5" s="40" t="s">
        <v>488</v>
      </c>
      <c r="D5" s="40" t="s">
        <v>484</v>
      </c>
      <c r="E5" s="40" t="s">
        <v>482</v>
      </c>
      <c r="F5" s="40" t="s">
        <v>479</v>
      </c>
      <c r="G5" s="40" t="s">
        <v>472</v>
      </c>
      <c r="H5" s="40" t="s">
        <v>469</v>
      </c>
      <c r="I5" s="40" t="s">
        <v>467</v>
      </c>
    </row>
    <row r="6" spans="1:9" ht="54">
      <c r="B6" s="440"/>
      <c r="C6" s="24" t="s">
        <v>2747</v>
      </c>
      <c r="D6" s="24" t="s">
        <v>480</v>
      </c>
      <c r="E6" s="24" t="s">
        <v>493</v>
      </c>
      <c r="F6" s="24"/>
      <c r="G6" s="24" t="s">
        <v>470</v>
      </c>
      <c r="H6" s="24" t="s">
        <v>50</v>
      </c>
      <c r="I6" s="24" t="s">
        <v>2750</v>
      </c>
    </row>
    <row r="7" spans="1:9">
      <c r="B7" s="440"/>
      <c r="C7" s="24" t="s">
        <v>2667</v>
      </c>
      <c r="D7" s="24" t="s">
        <v>2667</v>
      </c>
      <c r="E7" s="24"/>
      <c r="F7" s="24"/>
      <c r="G7" s="24" t="s">
        <v>2752</v>
      </c>
      <c r="H7" s="24" t="s">
        <v>2667</v>
      </c>
      <c r="I7" s="24" t="s">
        <v>2751</v>
      </c>
    </row>
    <row r="8" spans="1:9" ht="16.5" customHeight="1">
      <c r="B8" s="229" t="s">
        <v>2848</v>
      </c>
      <c r="C8" s="229" t="s">
        <v>2849</v>
      </c>
      <c r="D8" s="339" t="s">
        <v>2850</v>
      </c>
      <c r="E8" s="229" t="s">
        <v>2851</v>
      </c>
      <c r="F8" s="340">
        <v>100</v>
      </c>
      <c r="G8" s="341">
        <v>45017</v>
      </c>
      <c r="H8" s="342">
        <v>1</v>
      </c>
      <c r="I8" s="343" t="str">
        <f t="shared" ref="I8" si="0">H8&amp;E8&amp;"（"&amp;D8&amp;F8&amp;"）"</f>
        <v>1USD（JPY100）</v>
      </c>
    </row>
    <row r="9" spans="1:9" ht="16.5" customHeight="1">
      <c r="B9" s="217">
        <f>ROW() - 8</f>
        <v>1</v>
      </c>
      <c r="C9" s="245"/>
      <c r="D9" s="246"/>
      <c r="E9" s="245"/>
      <c r="F9" s="247"/>
      <c r="G9" s="248"/>
      <c r="H9" s="249"/>
      <c r="I9" s="250" t="str">
        <f t="shared" ref="I9:I18" si="1">H9&amp;E9&amp;"（"&amp;D9&amp;F9&amp;"）"</f>
        <v>（）</v>
      </c>
    </row>
    <row r="10" spans="1:9" ht="16.5" customHeight="1">
      <c r="B10" s="217">
        <f t="shared" ref="B10:B18" si="2">ROW() - 8</f>
        <v>2</v>
      </c>
      <c r="C10" s="245"/>
      <c r="D10" s="246"/>
      <c r="E10" s="245"/>
      <c r="F10" s="247"/>
      <c r="G10" s="248"/>
      <c r="H10" s="251"/>
      <c r="I10" s="250" t="str">
        <f t="shared" si="1"/>
        <v>（）</v>
      </c>
    </row>
    <row r="11" spans="1:9" ht="16.5" customHeight="1">
      <c r="B11" s="217">
        <f t="shared" si="2"/>
        <v>3</v>
      </c>
      <c r="C11" s="245"/>
      <c r="D11" s="252"/>
      <c r="E11" s="245"/>
      <c r="F11" s="247"/>
      <c r="G11" s="248"/>
      <c r="H11" s="251"/>
      <c r="I11" s="250" t="str">
        <f t="shared" si="1"/>
        <v>（）</v>
      </c>
    </row>
    <row r="12" spans="1:9" ht="16.5" customHeight="1">
      <c r="B12" s="217">
        <f t="shared" si="2"/>
        <v>4</v>
      </c>
      <c r="C12" s="245"/>
      <c r="D12" s="246"/>
      <c r="E12" s="245"/>
      <c r="F12" s="247"/>
      <c r="G12" s="248"/>
      <c r="H12" s="251"/>
      <c r="I12" s="250" t="str">
        <f t="shared" si="1"/>
        <v>（）</v>
      </c>
    </row>
    <row r="13" spans="1:9" ht="16.5" customHeight="1">
      <c r="B13" s="217">
        <f t="shared" si="2"/>
        <v>5</v>
      </c>
      <c r="C13" s="245"/>
      <c r="D13" s="252"/>
      <c r="E13" s="245"/>
      <c r="F13" s="247"/>
      <c r="G13" s="248"/>
      <c r="H13" s="251"/>
      <c r="I13" s="250" t="str">
        <f t="shared" si="1"/>
        <v>（）</v>
      </c>
    </row>
    <row r="14" spans="1:9" ht="16.5" customHeight="1">
      <c r="B14" s="217">
        <f t="shared" si="2"/>
        <v>6</v>
      </c>
      <c r="C14" s="245"/>
      <c r="D14" s="252"/>
      <c r="E14" s="245"/>
      <c r="F14" s="247"/>
      <c r="G14" s="248"/>
      <c r="H14" s="251"/>
      <c r="I14" s="250" t="str">
        <f t="shared" si="1"/>
        <v>（）</v>
      </c>
    </row>
    <row r="15" spans="1:9" ht="16.5" customHeight="1">
      <c r="B15" s="217">
        <f t="shared" si="2"/>
        <v>7</v>
      </c>
      <c r="C15" s="245"/>
      <c r="D15" s="246"/>
      <c r="E15" s="245"/>
      <c r="F15" s="247"/>
      <c r="G15" s="248"/>
      <c r="H15" s="251"/>
      <c r="I15" s="250" t="str">
        <f t="shared" si="1"/>
        <v>（）</v>
      </c>
    </row>
    <row r="16" spans="1:9" ht="16.5" customHeight="1">
      <c r="B16" s="217">
        <f t="shared" si="2"/>
        <v>8</v>
      </c>
      <c r="C16" s="245"/>
      <c r="D16" s="252"/>
      <c r="E16" s="245"/>
      <c r="F16" s="247"/>
      <c r="G16" s="248"/>
      <c r="H16" s="251"/>
      <c r="I16" s="250" t="str">
        <f t="shared" si="1"/>
        <v>（）</v>
      </c>
    </row>
    <row r="17" spans="2:9" ht="16.5" customHeight="1">
      <c r="B17" s="217">
        <f t="shared" si="2"/>
        <v>9</v>
      </c>
      <c r="C17" s="245"/>
      <c r="D17" s="252"/>
      <c r="E17" s="245"/>
      <c r="F17" s="247"/>
      <c r="G17" s="248"/>
      <c r="H17" s="251"/>
      <c r="I17" s="250" t="str">
        <f t="shared" si="1"/>
        <v>（）</v>
      </c>
    </row>
    <row r="18" spans="2:9">
      <c r="B18" s="217">
        <f t="shared" si="2"/>
        <v>10</v>
      </c>
      <c r="C18" s="253"/>
      <c r="D18" s="253"/>
      <c r="E18" s="253"/>
      <c r="F18" s="254"/>
      <c r="G18" s="255"/>
      <c r="H18" s="251"/>
      <c r="I18" s="250" t="str">
        <f t="shared" si="1"/>
        <v>（）</v>
      </c>
    </row>
  </sheetData>
  <sheetProtection insertRows="0" deleteRows="0" sort="0" autoFilter="0"/>
  <mergeCells count="1">
    <mergeCell ref="B4:B7"/>
  </mergeCells>
  <phoneticPr fontId="14"/>
  <hyperlinks>
    <hyperlink ref="A3" location="パラメータ設定一覧!A1" display="パラメータ設定一覧へ" xr:uid="{917259C6-B9DE-4562-93FB-7892C484DAB3}"/>
  </hyperlinks>
  <pageMargins left="0.70866141732283472" right="0.70866141732283472" top="0.74803149606299213" bottom="0.74803149606299213" header="0.31496062992125984" footer="0.31496062992125984"/>
  <pageSetup paperSize="9" scale="56" orientation="portrait" r:id="rId1"/>
  <headerFooter>
    <oddFooter>&amp;RCopyright  SATO HOLDINGS CORPORATION All rights reserved</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FE09D-3FA3-4921-94B3-D302B6BED48E}">
  <sheetPr codeName="Sheet19"/>
  <dimension ref="A1:L179"/>
  <sheetViews>
    <sheetView showGridLines="0" zoomScaleNormal="100" workbookViewId="0">
      <pane xSplit="6" ySplit="5" topLeftCell="G6" activePane="bottomRight" state="frozen"/>
      <selection pane="topRight"/>
      <selection pane="bottomLeft"/>
      <selection pane="bottomRight" activeCell="G6" sqref="G6"/>
    </sheetView>
  </sheetViews>
  <sheetFormatPr defaultColWidth="8.78515625" defaultRowHeight="13.5"/>
  <cols>
    <col min="1" max="1" width="2.78515625" style="46" customWidth="1"/>
    <col min="2" max="2" width="3.78515625" style="46" customWidth="1"/>
    <col min="3" max="3" width="16.78515625" style="46" customWidth="1"/>
    <col min="4" max="4" width="19.2109375" style="46" customWidth="1"/>
    <col min="5" max="5" width="16.5703125" style="46" customWidth="1"/>
    <col min="6" max="6" width="22.5703125" style="46" customWidth="1"/>
    <col min="7" max="7" width="19" style="46" customWidth="1"/>
    <col min="8" max="8" width="23.2109375" style="46" customWidth="1"/>
    <col min="9" max="9" width="17.42578125" style="53" customWidth="1"/>
    <col min="10" max="10" width="22.42578125" style="46" customWidth="1"/>
    <col min="11" max="11" width="18.2109375" style="46" customWidth="1"/>
    <col min="12" max="12" width="13.2109375" style="46" customWidth="1"/>
    <col min="13" max="16384" width="8.78515625" style="46"/>
  </cols>
  <sheetData>
    <row r="1" spans="1:12" customFormat="1" ht="19.5">
      <c r="A1" s="88" t="s">
        <v>497</v>
      </c>
      <c r="C1" s="46"/>
      <c r="D1" s="46"/>
      <c r="E1" s="46"/>
      <c r="F1" s="46"/>
      <c r="G1" s="46"/>
      <c r="H1" s="46"/>
      <c r="I1" s="53"/>
    </row>
    <row r="2" spans="1:12" customFormat="1" ht="15">
      <c r="B2" t="s">
        <v>500</v>
      </c>
      <c r="C2" s="46"/>
      <c r="D2" s="46"/>
      <c r="E2" s="46"/>
      <c r="F2" s="46"/>
      <c r="G2" s="46"/>
      <c r="H2" s="46"/>
      <c r="I2" s="53"/>
    </row>
    <row r="3" spans="1:12" customFormat="1" ht="15">
      <c r="B3" t="s">
        <v>499</v>
      </c>
      <c r="C3" s="46"/>
      <c r="D3" s="46"/>
      <c r="E3" s="46"/>
      <c r="F3" s="46"/>
      <c r="G3" s="46"/>
      <c r="H3" s="46"/>
      <c r="I3" s="53"/>
    </row>
    <row r="4" spans="1:12" customFormat="1" ht="15">
      <c r="A4" s="10" t="s">
        <v>363</v>
      </c>
      <c r="C4" s="46"/>
      <c r="D4" s="46"/>
      <c r="E4" s="46"/>
      <c r="F4" s="46"/>
      <c r="G4" s="46"/>
      <c r="H4" s="46"/>
      <c r="I4" s="53"/>
    </row>
    <row r="5" spans="1:12">
      <c r="B5" s="11" t="s">
        <v>1</v>
      </c>
      <c r="C5" s="11" t="s">
        <v>9</v>
      </c>
      <c r="D5" s="11" t="s">
        <v>10</v>
      </c>
      <c r="E5" s="11" t="s">
        <v>11</v>
      </c>
      <c r="F5" s="20" t="s">
        <v>12</v>
      </c>
      <c r="G5" s="20" t="s">
        <v>498</v>
      </c>
      <c r="H5" s="11" t="s">
        <v>14</v>
      </c>
      <c r="I5" s="54" t="s">
        <v>15</v>
      </c>
      <c r="J5" s="11" t="s">
        <v>16</v>
      </c>
      <c r="K5" s="14" t="s">
        <v>17</v>
      </c>
      <c r="L5" s="14" t="s">
        <v>18</v>
      </c>
    </row>
    <row r="6" spans="1:12" ht="27">
      <c r="B6" s="21">
        <f>ROW() - 5</f>
        <v>1</v>
      </c>
      <c r="C6" s="16" t="s">
        <v>497</v>
      </c>
      <c r="D6" s="16"/>
      <c r="E6" s="104"/>
      <c r="F6" s="22" t="s">
        <v>251</v>
      </c>
      <c r="G6" s="22"/>
      <c r="H6" s="44" t="s">
        <v>20</v>
      </c>
      <c r="I6" s="44" t="s">
        <v>331</v>
      </c>
      <c r="J6" s="17"/>
      <c r="K6" s="2" t="s">
        <v>494</v>
      </c>
      <c r="L6" s="3"/>
    </row>
    <row r="7" spans="1:12" ht="27">
      <c r="B7" s="21">
        <f>ROW() - 5</f>
        <v>2</v>
      </c>
      <c r="C7" s="68"/>
      <c r="D7" s="68"/>
      <c r="E7" s="68"/>
      <c r="F7" s="22" t="s">
        <v>19</v>
      </c>
      <c r="G7" s="22"/>
      <c r="H7" s="44" t="s">
        <v>20</v>
      </c>
      <c r="I7" s="44" t="s">
        <v>331</v>
      </c>
      <c r="J7" s="23"/>
      <c r="K7" s="2" t="s">
        <v>494</v>
      </c>
      <c r="L7" s="3"/>
    </row>
    <row r="8" spans="1:12" ht="54">
      <c r="B8" s="21">
        <f>ROW() - 5</f>
        <v>3</v>
      </c>
      <c r="C8" s="19"/>
      <c r="D8" s="19"/>
      <c r="E8" s="19"/>
      <c r="F8" s="22" t="s">
        <v>496</v>
      </c>
      <c r="G8" s="103"/>
      <c r="H8" s="44" t="s">
        <v>495</v>
      </c>
      <c r="I8" s="44" t="s">
        <v>251</v>
      </c>
      <c r="J8" s="23"/>
      <c r="K8" s="2" t="s">
        <v>494</v>
      </c>
      <c r="L8" s="3"/>
    </row>
    <row r="9" spans="1:12">
      <c r="I9" s="46"/>
    </row>
    <row r="10" spans="1:12">
      <c r="I10" s="46"/>
    </row>
    <row r="11" spans="1:12">
      <c r="I11" s="46"/>
    </row>
    <row r="12" spans="1:12">
      <c r="I12" s="46"/>
    </row>
    <row r="13" spans="1:12">
      <c r="I13" s="46"/>
    </row>
    <row r="14" spans="1:12">
      <c r="I14" s="46"/>
    </row>
    <row r="15" spans="1:12">
      <c r="I15" s="46"/>
    </row>
    <row r="16" spans="1:12">
      <c r="I16" s="46"/>
    </row>
    <row r="17" s="46" customFormat="1"/>
    <row r="18" s="46" customFormat="1"/>
    <row r="19" s="46" customFormat="1"/>
    <row r="20" s="46" customFormat="1"/>
    <row r="21" s="46" customFormat="1"/>
    <row r="22" s="46" customFormat="1"/>
    <row r="23" s="46" customFormat="1"/>
    <row r="24" s="46" customFormat="1"/>
    <row r="25" s="46" customFormat="1"/>
    <row r="26" s="46" customFormat="1"/>
    <row r="27" s="46" customFormat="1" ht="33" customHeight="1"/>
    <row r="28" s="46" customFormat="1"/>
    <row r="29" s="46" customFormat="1"/>
    <row r="30" s="46" customFormat="1"/>
    <row r="31" s="46" customFormat="1"/>
    <row r="32" s="46" customFormat="1" ht="31.5" customHeight="1"/>
    <row r="33" s="46" customFormat="1"/>
    <row r="34" s="46" customFormat="1"/>
    <row r="35" s="46" customFormat="1"/>
    <row r="36" s="46" customFormat="1"/>
    <row r="37" s="46" customFormat="1"/>
    <row r="38" s="46" customFormat="1"/>
    <row r="39" s="46" customFormat="1"/>
    <row r="40" s="46" customFormat="1"/>
    <row r="41" s="46" customFormat="1"/>
    <row r="42" s="46" customFormat="1" ht="30.75" customHeight="1"/>
    <row r="43" s="46" customFormat="1" ht="33" customHeight="1"/>
    <row r="44" s="46" customFormat="1"/>
    <row r="45" s="46" customFormat="1"/>
    <row r="46" s="46" customFormat="1"/>
    <row r="47" s="46" customFormat="1"/>
    <row r="48" s="46" customFormat="1" ht="31.5" customHeight="1"/>
    <row r="49" s="46" customFormat="1"/>
    <row r="50" s="46" customFormat="1" ht="30.75" customHeight="1"/>
    <row r="51" s="46" customFormat="1"/>
    <row r="52" s="46" customFormat="1" ht="31.5" customHeight="1"/>
    <row r="53" s="46" customFormat="1"/>
    <row r="54" s="46" customFormat="1"/>
    <row r="55" s="46" customFormat="1"/>
    <row r="56" s="46" customFormat="1" ht="33" customHeight="1"/>
    <row r="57" s="46" customFormat="1"/>
    <row r="58" s="46" customFormat="1" ht="30.75" customHeight="1"/>
    <row r="59" s="46" customFormat="1" ht="27" customHeigh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ht="409" customHeigh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ht="2.25" customHeight="1"/>
    <row r="168" s="46" customFormat="1" ht="409.5" customHeight="1"/>
    <row r="169" s="46" customFormat="1"/>
    <row r="170" s="46" customFormat="1"/>
    <row r="171" s="46" customFormat="1"/>
    <row r="172" s="46" customFormat="1"/>
    <row r="173" s="46" customFormat="1"/>
    <row r="174" s="46" customFormat="1"/>
    <row r="175" s="46" customFormat="1"/>
    <row r="176" s="46" customFormat="1"/>
    <row r="177" spans="9:9">
      <c r="I177" s="46"/>
    </row>
    <row r="178" spans="9:9">
      <c r="I178" s="46"/>
    </row>
    <row r="179" spans="9:9">
      <c r="I179" s="46"/>
    </row>
  </sheetData>
  <phoneticPr fontId="14"/>
  <hyperlinks>
    <hyperlink ref="A4" location="パラメータ設定一覧!A1" display="パラメータ設定一覧へ" xr:uid="{58FBD351-2B22-4378-B53E-751AD889E502}"/>
  </hyperlinks>
  <pageMargins left="0.7" right="0.7" top="0.75" bottom="0.75" header="0.3" footer="0.3"/>
  <pageSetup paperSize="9" orientation="portrait" verticalDpi="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10C39-5311-4521-B0E3-1967F54FCD89}">
  <sheetPr codeName="Sheet20"/>
  <dimension ref="A1:E14"/>
  <sheetViews>
    <sheetView showGridLines="0" zoomScaleNormal="100" workbookViewId="0">
      <pane ySplit="7" topLeftCell="A8" activePane="bottomLeft" state="frozen"/>
      <selection pane="bottomLeft" activeCell="A8" sqref="A8"/>
    </sheetView>
  </sheetViews>
  <sheetFormatPr defaultColWidth="8.78515625" defaultRowHeight="13.5"/>
  <cols>
    <col min="1" max="1" width="2.78515625" style="46" customWidth="1"/>
    <col min="2" max="2" width="3.5703125" style="46" bestFit="1" customWidth="1"/>
    <col min="3" max="3" width="17.85546875" style="46" customWidth="1"/>
    <col min="4" max="4" width="17.640625" style="46" customWidth="1"/>
    <col min="5" max="5" width="17.2109375" style="46" customWidth="1"/>
    <col min="6" max="6" width="19.640625" style="46" bestFit="1" customWidth="1"/>
    <col min="7" max="7" width="15.2109375" style="46" bestFit="1" customWidth="1"/>
    <col min="8" max="9" width="15.2109375" style="46" customWidth="1"/>
    <col min="10" max="10" width="20.640625" style="46" bestFit="1" customWidth="1"/>
    <col min="11" max="11" width="14.42578125" style="46" bestFit="1" customWidth="1"/>
    <col min="12" max="12" width="11.78515625" style="46" customWidth="1"/>
    <col min="13" max="13" width="8.2109375" style="46" bestFit="1" customWidth="1"/>
    <col min="14" max="16384" width="8.78515625" style="46"/>
  </cols>
  <sheetData>
    <row r="1" spans="1:5" customFormat="1" ht="19.5">
      <c r="A1" s="88" t="s">
        <v>2688</v>
      </c>
    </row>
    <row r="2" spans="1:5" customFormat="1" ht="15">
      <c r="A2" s="196" t="s">
        <v>2668</v>
      </c>
    </row>
    <row r="3" spans="1:5" customFormat="1" ht="15">
      <c r="A3" s="10" t="s">
        <v>363</v>
      </c>
    </row>
    <row r="4" spans="1:5" ht="15.75" customHeight="1">
      <c r="B4" s="440" t="s">
        <v>1</v>
      </c>
      <c r="C4" s="107" t="s">
        <v>497</v>
      </c>
      <c r="D4" s="447"/>
      <c r="E4" s="447"/>
    </row>
    <row r="5" spans="1:5">
      <c r="B5" s="440"/>
      <c r="C5" s="69" t="s">
        <v>503</v>
      </c>
      <c r="D5" s="69" t="s">
        <v>19</v>
      </c>
      <c r="E5" s="69" t="s">
        <v>496</v>
      </c>
    </row>
    <row r="6" spans="1:5" ht="54">
      <c r="B6" s="440"/>
      <c r="C6" s="8" t="s">
        <v>502</v>
      </c>
      <c r="D6" s="8" t="s">
        <v>20</v>
      </c>
      <c r="E6" s="8" t="s">
        <v>501</v>
      </c>
    </row>
    <row r="7" spans="1:5">
      <c r="B7" s="440"/>
      <c r="C7" s="8" t="s">
        <v>2667</v>
      </c>
      <c r="D7" s="8"/>
      <c r="E7" s="8" t="s">
        <v>2667</v>
      </c>
    </row>
    <row r="8" spans="1:5">
      <c r="B8" s="217">
        <f t="shared" ref="B8:B14" si="0">ROW() - 7</f>
        <v>1</v>
      </c>
      <c r="C8" s="217"/>
      <c r="D8" s="256"/>
      <c r="E8" s="234"/>
    </row>
    <row r="9" spans="1:5">
      <c r="B9" s="217">
        <f t="shared" si="0"/>
        <v>2</v>
      </c>
      <c r="C9" s="217"/>
      <c r="D9" s="256"/>
      <c r="E9" s="234"/>
    </row>
    <row r="10" spans="1:5">
      <c r="B10" s="217">
        <f t="shared" si="0"/>
        <v>3</v>
      </c>
      <c r="C10" s="217"/>
      <c r="D10" s="245"/>
      <c r="E10" s="234"/>
    </row>
    <row r="11" spans="1:5">
      <c r="B11" s="217">
        <f t="shared" si="0"/>
        <v>4</v>
      </c>
      <c r="C11" s="217"/>
      <c r="D11" s="245"/>
      <c r="E11" s="234"/>
    </row>
    <row r="12" spans="1:5">
      <c r="B12" s="217">
        <f t="shared" si="0"/>
        <v>5</v>
      </c>
      <c r="C12" s="217"/>
      <c r="D12" s="245"/>
      <c r="E12" s="234"/>
    </row>
    <row r="13" spans="1:5">
      <c r="B13" s="217">
        <f t="shared" si="0"/>
        <v>6</v>
      </c>
      <c r="C13" s="217"/>
      <c r="D13" s="245"/>
      <c r="E13" s="234"/>
    </row>
    <row r="14" spans="1:5">
      <c r="B14" s="217">
        <f t="shared" si="0"/>
        <v>7</v>
      </c>
      <c r="C14" s="217"/>
      <c r="D14" s="245"/>
      <c r="E14" s="234"/>
    </row>
  </sheetData>
  <sheetProtection insertRows="0" deleteRows="0" sort="0" autoFilter="0"/>
  <mergeCells count="2">
    <mergeCell ref="B4:B7"/>
    <mergeCell ref="D4:E4"/>
  </mergeCells>
  <phoneticPr fontId="14"/>
  <hyperlinks>
    <hyperlink ref="A3" location="パラメータ設定一覧!A1" display="パラメータ設定一覧へ" xr:uid="{FFA55404-EE63-4B09-BC50-CDBFB22CB303}"/>
  </hyperlinks>
  <pageMargins left="0.7" right="0.7" top="0.75" bottom="0.75" header="0.3" footer="0.3"/>
  <pageSetup paperSize="9" orientation="portrait" verticalDpi="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BDF46-70B3-4112-9EB4-5F2C2A39720B}">
  <sheetPr codeName="Sheet21"/>
  <dimension ref="A1:L179"/>
  <sheetViews>
    <sheetView showGridLines="0" zoomScaleNormal="100" workbookViewId="0">
      <pane xSplit="6" ySplit="5" topLeftCell="G6" activePane="bottomRight" state="frozen"/>
      <selection pane="topRight"/>
      <selection pane="bottomLeft"/>
      <selection pane="bottomRight" activeCell="G6" sqref="G6"/>
    </sheetView>
  </sheetViews>
  <sheetFormatPr defaultColWidth="8.78515625" defaultRowHeight="13.5"/>
  <cols>
    <col min="1" max="1" width="2.78515625" style="46" customWidth="1"/>
    <col min="2" max="2" width="3.78515625" style="46" customWidth="1"/>
    <col min="3" max="3" width="16.78515625" style="46" customWidth="1"/>
    <col min="4" max="4" width="19.2109375" style="46" customWidth="1"/>
    <col min="5" max="5" width="16.5703125" style="46" customWidth="1"/>
    <col min="6" max="6" width="22.5703125" style="46" customWidth="1"/>
    <col min="7" max="7" width="19" style="46" customWidth="1"/>
    <col min="8" max="8" width="23.2109375" style="46" customWidth="1"/>
    <col min="9" max="9" width="17.42578125" style="53" customWidth="1"/>
    <col min="10" max="10" width="22.42578125" style="46" customWidth="1"/>
    <col min="11" max="11" width="18.2109375" style="46" customWidth="1"/>
    <col min="12" max="12" width="13.2109375" style="46" customWidth="1"/>
    <col min="13" max="16384" width="8.78515625" style="46"/>
  </cols>
  <sheetData>
    <row r="1" spans="1:12" customFormat="1" ht="19.5">
      <c r="A1" s="88" t="s">
        <v>2776</v>
      </c>
      <c r="C1" s="46"/>
      <c r="D1" s="46"/>
      <c r="E1" s="46"/>
      <c r="F1" s="46"/>
      <c r="G1" s="46"/>
      <c r="H1" s="46"/>
      <c r="I1" s="53"/>
    </row>
    <row r="2" spans="1:12" customFormat="1" ht="15">
      <c r="B2" t="s">
        <v>509</v>
      </c>
      <c r="C2" s="46"/>
      <c r="D2" s="46"/>
      <c r="E2" s="46"/>
      <c r="F2" s="46"/>
      <c r="G2" s="46"/>
      <c r="H2" s="46"/>
      <c r="I2" s="53"/>
    </row>
    <row r="3" spans="1:12" customFormat="1" ht="15">
      <c r="B3" t="s">
        <v>508</v>
      </c>
      <c r="C3" s="46"/>
      <c r="D3" s="46"/>
      <c r="E3" s="46"/>
      <c r="F3" s="46"/>
      <c r="G3" s="46"/>
      <c r="H3" s="46"/>
      <c r="I3" s="53"/>
    </row>
    <row r="4" spans="1:12" customFormat="1" ht="15">
      <c r="A4" s="10" t="s">
        <v>363</v>
      </c>
      <c r="C4" s="46"/>
      <c r="D4" s="46"/>
      <c r="E4" s="46"/>
      <c r="F4" s="46"/>
      <c r="G4" s="46"/>
      <c r="H4" s="46"/>
      <c r="I4" s="53"/>
    </row>
    <row r="5" spans="1:12">
      <c r="B5" s="11" t="s">
        <v>1</v>
      </c>
      <c r="C5" s="11" t="s">
        <v>9</v>
      </c>
      <c r="D5" s="11" t="s">
        <v>10</v>
      </c>
      <c r="E5" s="11" t="s">
        <v>11</v>
      </c>
      <c r="F5" s="20" t="s">
        <v>12</v>
      </c>
      <c r="G5" s="20" t="s">
        <v>498</v>
      </c>
      <c r="H5" s="11" t="s">
        <v>14</v>
      </c>
      <c r="I5" s="54" t="s">
        <v>15</v>
      </c>
      <c r="J5" s="11" t="s">
        <v>16</v>
      </c>
      <c r="K5" s="14" t="s">
        <v>17</v>
      </c>
      <c r="L5" s="14" t="s">
        <v>18</v>
      </c>
    </row>
    <row r="6" spans="1:12" ht="27">
      <c r="B6" s="21">
        <f>ROW() - 5</f>
        <v>1</v>
      </c>
      <c r="C6" s="16" t="s">
        <v>507</v>
      </c>
      <c r="D6" s="16"/>
      <c r="E6" s="104"/>
      <c r="F6" s="22" t="s">
        <v>19</v>
      </c>
      <c r="G6" s="22"/>
      <c r="H6" s="44" t="s">
        <v>20</v>
      </c>
      <c r="I6" s="44" t="s">
        <v>331</v>
      </c>
      <c r="J6" s="17"/>
      <c r="K6" s="2" t="s">
        <v>504</v>
      </c>
      <c r="L6" s="3"/>
    </row>
    <row r="7" spans="1:12" ht="27">
      <c r="B7" s="21">
        <f>ROW() - 5</f>
        <v>2</v>
      </c>
      <c r="C7" s="68"/>
      <c r="D7" s="68"/>
      <c r="E7" s="68"/>
      <c r="F7" s="22" t="s">
        <v>45</v>
      </c>
      <c r="G7" s="22"/>
      <c r="H7" s="44" t="s">
        <v>20</v>
      </c>
      <c r="I7" s="44" t="s">
        <v>331</v>
      </c>
      <c r="J7" s="23"/>
      <c r="K7" s="2" t="s">
        <v>504</v>
      </c>
      <c r="L7" s="3"/>
    </row>
    <row r="8" spans="1:12" ht="121.5">
      <c r="B8" s="21">
        <f>ROW() - 5</f>
        <v>3</v>
      </c>
      <c r="C8" s="19"/>
      <c r="D8" s="19"/>
      <c r="E8" s="19"/>
      <c r="F8" s="22" t="s">
        <v>506</v>
      </c>
      <c r="G8" s="103"/>
      <c r="H8" s="44" t="s">
        <v>505</v>
      </c>
      <c r="I8" s="44" t="s">
        <v>331</v>
      </c>
      <c r="J8" s="23"/>
      <c r="K8" s="2" t="s">
        <v>504</v>
      </c>
      <c r="L8" s="3"/>
    </row>
    <row r="9" spans="1:12">
      <c r="I9" s="46"/>
    </row>
    <row r="10" spans="1:12">
      <c r="I10" s="46"/>
    </row>
    <row r="11" spans="1:12">
      <c r="I11" s="46"/>
    </row>
    <row r="12" spans="1:12">
      <c r="I12" s="46"/>
    </row>
    <row r="13" spans="1:12">
      <c r="I13" s="46"/>
    </row>
    <row r="14" spans="1:12">
      <c r="I14" s="46"/>
    </row>
    <row r="15" spans="1:12">
      <c r="I15" s="46"/>
    </row>
    <row r="16" spans="1:12">
      <c r="I16" s="46"/>
    </row>
    <row r="17" s="46" customFormat="1"/>
    <row r="18" s="46" customFormat="1"/>
    <row r="19" s="46" customFormat="1"/>
    <row r="20" s="46" customFormat="1"/>
    <row r="21" s="46" customFormat="1"/>
    <row r="22" s="46" customFormat="1"/>
    <row r="23" s="46" customFormat="1"/>
    <row r="24" s="46" customFormat="1"/>
    <row r="25" s="46" customFormat="1"/>
    <row r="26" s="46" customFormat="1"/>
    <row r="27" s="46" customFormat="1" ht="33" customHeight="1"/>
    <row r="28" s="46" customFormat="1"/>
    <row r="29" s="46" customFormat="1"/>
    <row r="30" s="46" customFormat="1"/>
    <row r="31" s="46" customFormat="1"/>
    <row r="32" s="46" customFormat="1" ht="31.5" customHeight="1"/>
    <row r="33" s="46" customFormat="1"/>
    <row r="34" s="46" customFormat="1"/>
    <row r="35" s="46" customFormat="1"/>
    <row r="36" s="46" customFormat="1"/>
    <row r="37" s="46" customFormat="1"/>
    <row r="38" s="46" customFormat="1"/>
    <row r="39" s="46" customFormat="1"/>
    <row r="40" s="46" customFormat="1"/>
    <row r="41" s="46" customFormat="1"/>
    <row r="42" s="46" customFormat="1" ht="30.75" customHeight="1"/>
    <row r="43" s="46" customFormat="1" ht="33" customHeight="1"/>
    <row r="44" s="46" customFormat="1"/>
    <row r="45" s="46" customFormat="1"/>
    <row r="46" s="46" customFormat="1"/>
    <row r="47" s="46" customFormat="1"/>
    <row r="48" s="46" customFormat="1" ht="31.5" customHeight="1"/>
    <row r="49" s="46" customFormat="1"/>
    <row r="50" s="46" customFormat="1" ht="30.75" customHeight="1"/>
    <row r="51" s="46" customFormat="1"/>
    <row r="52" s="46" customFormat="1" ht="31.5" customHeight="1"/>
    <row r="53" s="46" customFormat="1"/>
    <row r="54" s="46" customFormat="1"/>
    <row r="55" s="46" customFormat="1"/>
    <row r="56" s="46" customFormat="1" ht="33" customHeight="1"/>
    <row r="57" s="46" customFormat="1"/>
    <row r="58" s="46" customFormat="1" ht="30.75" customHeight="1"/>
    <row r="59" s="46" customFormat="1" ht="27" customHeigh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ht="409" customHeigh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ht="2.25" customHeight="1"/>
    <row r="168" s="46" customFormat="1" ht="409.5" customHeight="1"/>
    <row r="169" s="46" customFormat="1"/>
    <row r="170" s="46" customFormat="1"/>
    <row r="171" s="46" customFormat="1"/>
    <row r="172" s="46" customFormat="1"/>
    <row r="173" s="46" customFormat="1"/>
    <row r="174" s="46" customFormat="1"/>
    <row r="175" s="46" customFormat="1"/>
    <row r="176" s="46" customFormat="1"/>
    <row r="177" spans="9:9">
      <c r="I177" s="46"/>
    </row>
    <row r="178" spans="9:9">
      <c r="I178" s="46"/>
    </row>
    <row r="179" spans="9:9">
      <c r="I179" s="46"/>
    </row>
  </sheetData>
  <phoneticPr fontId="14"/>
  <hyperlinks>
    <hyperlink ref="A4" location="パラメータ設定一覧!A1" display="パラメータ設定一覧へ" xr:uid="{37CA4ECE-BBE9-4A79-9B32-64A666A405C0}"/>
  </hyperlinks>
  <pageMargins left="0.7" right="0.7" top="0.75" bottom="0.75" header="0.3" footer="0.3"/>
  <pageSetup paperSize="9" orientation="portrait" verticalDpi="0"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66FE0-0CA8-4CF3-BDE3-1D5556C7033E}">
  <sheetPr codeName="Sheet22"/>
  <dimension ref="A1:E14"/>
  <sheetViews>
    <sheetView showGridLines="0" zoomScaleNormal="100" workbookViewId="0">
      <pane ySplit="7" topLeftCell="A8" activePane="bottomLeft" state="frozen"/>
      <selection pane="bottomLeft" activeCell="A8" sqref="A8"/>
    </sheetView>
  </sheetViews>
  <sheetFormatPr defaultColWidth="8.78515625" defaultRowHeight="13.5"/>
  <cols>
    <col min="1" max="1" width="2.78515625" style="46" customWidth="1"/>
    <col min="2" max="2" width="3.5703125" style="46" bestFit="1" customWidth="1"/>
    <col min="3" max="3" width="19.35546875" style="46" customWidth="1"/>
    <col min="4" max="4" width="35.28515625" style="46" customWidth="1"/>
    <col min="5" max="5" width="17.2109375" style="46" customWidth="1"/>
    <col min="6" max="6" width="19.640625" style="46" bestFit="1" customWidth="1"/>
    <col min="7" max="7" width="15.2109375" style="46" bestFit="1" customWidth="1"/>
    <col min="8" max="9" width="15.2109375" style="46" customWidth="1"/>
    <col min="10" max="10" width="20.640625" style="46" bestFit="1" customWidth="1"/>
    <col min="11" max="11" width="14.42578125" style="46" bestFit="1" customWidth="1"/>
    <col min="12" max="12" width="11.78515625" style="46" customWidth="1"/>
    <col min="13" max="13" width="8.2109375" style="46" bestFit="1" customWidth="1"/>
    <col min="14" max="16384" width="8.78515625" style="46"/>
  </cols>
  <sheetData>
    <row r="1" spans="1:5" customFormat="1" ht="19.5">
      <c r="A1" s="88" t="s">
        <v>2777</v>
      </c>
    </row>
    <row r="2" spans="1:5" customFormat="1" ht="15">
      <c r="A2" s="196" t="s">
        <v>2668</v>
      </c>
    </row>
    <row r="3" spans="1:5" customFormat="1" ht="15">
      <c r="A3" s="10" t="s">
        <v>363</v>
      </c>
    </row>
    <row r="4" spans="1:5" ht="15.75" customHeight="1">
      <c r="B4" s="440" t="s">
        <v>1</v>
      </c>
      <c r="C4" s="107" t="s">
        <v>507</v>
      </c>
      <c r="D4" s="447"/>
      <c r="E4" s="447"/>
    </row>
    <row r="5" spans="1:5">
      <c r="B5" s="440"/>
      <c r="C5" s="69" t="s">
        <v>19</v>
      </c>
      <c r="D5" s="69" t="s">
        <v>45</v>
      </c>
      <c r="E5" s="69" t="s">
        <v>506</v>
      </c>
    </row>
    <row r="6" spans="1:5" ht="121.5">
      <c r="B6" s="440"/>
      <c r="C6" s="8" t="s">
        <v>502</v>
      </c>
      <c r="D6" s="8" t="s">
        <v>20</v>
      </c>
      <c r="E6" s="8" t="s">
        <v>505</v>
      </c>
    </row>
    <row r="7" spans="1:5">
      <c r="B7" s="440"/>
      <c r="C7" s="8" t="s">
        <v>2667</v>
      </c>
      <c r="D7" s="8"/>
      <c r="E7" s="8" t="s">
        <v>2667</v>
      </c>
    </row>
    <row r="8" spans="1:5">
      <c r="B8" s="217">
        <f t="shared" ref="B8:B14" si="0">ROW() - 7</f>
        <v>1</v>
      </c>
      <c r="C8" s="217"/>
      <c r="D8" s="256"/>
      <c r="E8" s="234"/>
    </row>
    <row r="9" spans="1:5">
      <c r="B9" s="217">
        <f t="shared" si="0"/>
        <v>2</v>
      </c>
      <c r="C9" s="217"/>
      <c r="D9" s="256"/>
      <c r="E9" s="234"/>
    </row>
    <row r="10" spans="1:5">
      <c r="B10" s="217">
        <f t="shared" si="0"/>
        <v>3</v>
      </c>
      <c r="C10" s="217"/>
      <c r="D10" s="245"/>
      <c r="E10" s="234"/>
    </row>
    <row r="11" spans="1:5">
      <c r="B11" s="217">
        <f t="shared" si="0"/>
        <v>4</v>
      </c>
      <c r="C11" s="217"/>
      <c r="D11" s="245"/>
      <c r="E11" s="234"/>
    </row>
    <row r="12" spans="1:5">
      <c r="B12" s="217">
        <f t="shared" si="0"/>
        <v>5</v>
      </c>
      <c r="C12" s="217"/>
      <c r="D12" s="245"/>
      <c r="E12" s="234"/>
    </row>
    <row r="13" spans="1:5">
      <c r="B13" s="217">
        <f t="shared" si="0"/>
        <v>6</v>
      </c>
      <c r="C13" s="217"/>
      <c r="D13" s="245"/>
      <c r="E13" s="234"/>
    </row>
    <row r="14" spans="1:5">
      <c r="B14" s="217">
        <f t="shared" si="0"/>
        <v>7</v>
      </c>
      <c r="C14" s="217"/>
      <c r="D14" s="245"/>
      <c r="E14" s="234"/>
    </row>
  </sheetData>
  <sheetProtection insertRows="0" deleteRows="0" sort="0" autoFilter="0"/>
  <mergeCells count="2">
    <mergeCell ref="B4:B7"/>
    <mergeCell ref="D4:E4"/>
  </mergeCells>
  <phoneticPr fontId="14"/>
  <hyperlinks>
    <hyperlink ref="A3" location="パラメータ設定一覧!A1" display="パラメータ設定一覧へ" xr:uid="{C9F8A04D-E13C-4BDE-8A4C-7A6E3926C40C}"/>
  </hyperlinks>
  <pageMargins left="0.7" right="0.7" top="0.75" bottom="0.75" header="0.3" footer="0.3"/>
  <pageSetup paperSize="9" orientation="portrait" verticalDpi="0"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112A8-317F-45AD-BD32-A55CC8350BFE}">
  <sheetPr codeName="Sheet80"/>
  <dimension ref="A1:L216"/>
  <sheetViews>
    <sheetView showGridLines="0" zoomScaleNormal="100" workbookViewId="0">
      <pane xSplit="6" ySplit="5" topLeftCell="G6" activePane="bottomRight" state="frozen"/>
      <selection pane="topRight"/>
      <selection pane="bottomLeft"/>
      <selection pane="bottomRight" activeCell="G6" sqref="G6"/>
    </sheetView>
  </sheetViews>
  <sheetFormatPr defaultColWidth="8.78515625" defaultRowHeight="13.5"/>
  <cols>
    <col min="1" max="1" width="2.78515625" style="177" customWidth="1"/>
    <col min="2" max="2" width="3.78515625" style="177" customWidth="1"/>
    <col min="3" max="3" width="16.78515625" style="177" customWidth="1"/>
    <col min="4" max="4" width="19.2109375" style="177" customWidth="1"/>
    <col min="5" max="5" width="16.5703125" style="177" customWidth="1"/>
    <col min="6" max="6" width="22.5703125" style="177" customWidth="1"/>
    <col min="7" max="7" width="33.0703125" style="177" customWidth="1"/>
    <col min="8" max="8" width="23.2109375" style="177" customWidth="1"/>
    <col min="9" max="9" width="17.42578125" style="178" customWidth="1"/>
    <col min="10" max="10" width="38.42578125" style="177" bestFit="1" customWidth="1"/>
    <col min="11" max="11" width="18.2109375" style="177" customWidth="1"/>
    <col min="12" max="12" width="13.2109375" style="177" customWidth="1"/>
    <col min="13" max="16384" width="8.78515625" style="177"/>
  </cols>
  <sheetData>
    <row r="1" spans="1:12" s="116" customFormat="1" ht="19.5">
      <c r="A1" s="176" t="s">
        <v>2774</v>
      </c>
      <c r="C1" s="177"/>
      <c r="D1" s="177"/>
      <c r="E1" s="177"/>
      <c r="F1" s="177"/>
      <c r="G1" s="177"/>
      <c r="H1" s="177"/>
      <c r="I1" s="178"/>
    </row>
    <row r="2" spans="1:12" s="116" customFormat="1" ht="15">
      <c r="B2" s="116" t="s">
        <v>1935</v>
      </c>
      <c r="C2" s="177"/>
      <c r="D2" s="177"/>
      <c r="E2" s="177"/>
      <c r="F2" s="177"/>
      <c r="G2" s="177"/>
      <c r="H2" s="177"/>
      <c r="I2" s="178"/>
    </row>
    <row r="3" spans="1:12" s="116" customFormat="1" ht="15">
      <c r="B3" s="116" t="s">
        <v>1936</v>
      </c>
      <c r="C3" s="177"/>
      <c r="D3" s="177"/>
      <c r="E3" s="177"/>
      <c r="F3" s="177"/>
      <c r="G3" s="177"/>
      <c r="H3" s="177"/>
      <c r="I3" s="178"/>
    </row>
    <row r="4" spans="1:12" s="116" customFormat="1" ht="15">
      <c r="A4" s="179" t="s">
        <v>363</v>
      </c>
      <c r="C4" s="177"/>
      <c r="D4" s="177"/>
      <c r="E4" s="177"/>
      <c r="F4" s="177"/>
      <c r="G4" s="177"/>
      <c r="H4" s="177"/>
      <c r="I4" s="178"/>
    </row>
    <row r="5" spans="1:12">
      <c r="B5" s="11" t="s">
        <v>1</v>
      </c>
      <c r="C5" s="11" t="s">
        <v>9</v>
      </c>
      <c r="D5" s="11" t="s">
        <v>10</v>
      </c>
      <c r="E5" s="11" t="s">
        <v>11</v>
      </c>
      <c r="F5" s="20" t="s">
        <v>12</v>
      </c>
      <c r="G5" s="20" t="s">
        <v>498</v>
      </c>
      <c r="H5" s="11" t="s">
        <v>14</v>
      </c>
      <c r="I5" s="11" t="s">
        <v>15</v>
      </c>
      <c r="J5" s="11" t="s">
        <v>16</v>
      </c>
      <c r="K5" s="14" t="s">
        <v>17</v>
      </c>
      <c r="L5" s="14" t="s">
        <v>18</v>
      </c>
    </row>
    <row r="6" spans="1:12" ht="27">
      <c r="B6" s="21">
        <f t="shared" ref="B6:B12" si="0">ROW() - 5</f>
        <v>1</v>
      </c>
      <c r="C6" s="16" t="s">
        <v>1934</v>
      </c>
      <c r="D6" s="16"/>
      <c r="E6" s="52"/>
      <c r="F6" s="22" t="s">
        <v>19</v>
      </c>
      <c r="G6" s="22"/>
      <c r="H6" s="23" t="s">
        <v>1971</v>
      </c>
      <c r="I6" s="23" t="s">
        <v>331</v>
      </c>
      <c r="J6" s="17"/>
      <c r="K6" s="2" t="s">
        <v>1937</v>
      </c>
      <c r="L6" s="3"/>
    </row>
    <row r="7" spans="1:12" ht="27">
      <c r="B7" s="21">
        <f t="shared" si="0"/>
        <v>2</v>
      </c>
      <c r="C7" s="68"/>
      <c r="D7" s="68"/>
      <c r="E7" s="68"/>
      <c r="F7" s="22" t="s">
        <v>1938</v>
      </c>
      <c r="G7" s="22"/>
      <c r="H7" s="23" t="s">
        <v>1942</v>
      </c>
      <c r="I7" s="23" t="s">
        <v>331</v>
      </c>
      <c r="J7" s="23" t="s">
        <v>1980</v>
      </c>
      <c r="K7" s="2" t="s">
        <v>1937</v>
      </c>
      <c r="L7" s="3"/>
    </row>
    <row r="8" spans="1:12" ht="27">
      <c r="B8" s="21">
        <f t="shared" si="0"/>
        <v>3</v>
      </c>
      <c r="C8" s="68"/>
      <c r="D8" s="68"/>
      <c r="E8" s="68"/>
      <c r="F8" s="22" t="s">
        <v>45</v>
      </c>
      <c r="G8" s="22"/>
      <c r="H8" s="23" t="s">
        <v>20</v>
      </c>
      <c r="I8" s="23" t="s">
        <v>331</v>
      </c>
      <c r="J8" s="23"/>
      <c r="K8" s="2" t="s">
        <v>1937</v>
      </c>
      <c r="L8" s="3"/>
    </row>
    <row r="9" spans="1:12" ht="27">
      <c r="B9" s="21">
        <f t="shared" si="0"/>
        <v>4</v>
      </c>
      <c r="C9" s="68"/>
      <c r="D9" s="68"/>
      <c r="E9" s="68"/>
      <c r="F9" s="22" t="s">
        <v>1939</v>
      </c>
      <c r="G9" s="22"/>
      <c r="H9" s="23" t="s">
        <v>1732</v>
      </c>
      <c r="I9" s="23" t="s">
        <v>331</v>
      </c>
      <c r="J9" s="23" t="s">
        <v>1945</v>
      </c>
      <c r="K9" s="2" t="s">
        <v>1937</v>
      </c>
      <c r="L9" s="3"/>
    </row>
    <row r="10" spans="1:12" ht="27">
      <c r="B10" s="21">
        <f t="shared" si="0"/>
        <v>5</v>
      </c>
      <c r="C10" s="68"/>
      <c r="D10" s="68"/>
      <c r="E10" s="68"/>
      <c r="F10" s="22" t="s">
        <v>1940</v>
      </c>
      <c r="G10" s="22"/>
      <c r="H10" s="23" t="s">
        <v>277</v>
      </c>
      <c r="I10" s="23" t="s">
        <v>331</v>
      </c>
      <c r="J10" s="23" t="s">
        <v>1945</v>
      </c>
      <c r="K10" s="2" t="s">
        <v>1937</v>
      </c>
      <c r="L10" s="3"/>
    </row>
    <row r="11" spans="1:12" ht="121.5">
      <c r="B11" s="21">
        <f t="shared" si="0"/>
        <v>6</v>
      </c>
      <c r="C11" s="68"/>
      <c r="D11" s="68"/>
      <c r="E11" s="68"/>
      <c r="F11" s="22" t="s">
        <v>212</v>
      </c>
      <c r="G11" s="22"/>
      <c r="H11" s="23" t="s">
        <v>1944</v>
      </c>
      <c r="I11" s="23" t="s">
        <v>1972</v>
      </c>
      <c r="J11" s="23"/>
      <c r="K11" s="2" t="s">
        <v>1937</v>
      </c>
      <c r="L11" s="3"/>
    </row>
    <row r="12" spans="1:12" ht="27">
      <c r="B12" s="21">
        <f t="shared" si="0"/>
        <v>7</v>
      </c>
      <c r="C12" s="19"/>
      <c r="D12" s="19"/>
      <c r="E12" s="19"/>
      <c r="F12" s="22" t="s">
        <v>1941</v>
      </c>
      <c r="G12" s="173"/>
      <c r="H12" s="23" t="s">
        <v>1732</v>
      </c>
      <c r="I12" s="23" t="s">
        <v>783</v>
      </c>
      <c r="J12" s="23"/>
      <c r="K12" s="2" t="s">
        <v>1937</v>
      </c>
      <c r="L12" s="3"/>
    </row>
    <row r="13" spans="1:12" ht="27">
      <c r="B13" s="21">
        <f t="shared" ref="B13:B45" si="1">ROW() - 5</f>
        <v>8</v>
      </c>
      <c r="C13" s="16" t="s">
        <v>1946</v>
      </c>
      <c r="D13" s="16"/>
      <c r="E13" s="52" t="s">
        <v>166</v>
      </c>
      <c r="F13" s="22" t="s">
        <v>1949</v>
      </c>
      <c r="G13" s="22"/>
      <c r="H13" s="23" t="s">
        <v>1979</v>
      </c>
      <c r="I13" s="23" t="s">
        <v>331</v>
      </c>
      <c r="J13" s="17" t="s">
        <v>1993</v>
      </c>
      <c r="K13" s="2" t="s">
        <v>1937</v>
      </c>
      <c r="L13" s="3"/>
    </row>
    <row r="14" spans="1:12" ht="121.5">
      <c r="B14" s="21">
        <f t="shared" si="1"/>
        <v>9</v>
      </c>
      <c r="C14" s="68"/>
      <c r="D14" s="68"/>
      <c r="E14" s="68"/>
      <c r="F14" s="22" t="s">
        <v>506</v>
      </c>
      <c r="G14" s="22" t="s">
        <v>1973</v>
      </c>
      <c r="H14" s="23" t="s">
        <v>1944</v>
      </c>
      <c r="I14" s="23" t="s">
        <v>1972</v>
      </c>
      <c r="J14" s="23"/>
      <c r="K14" s="2" t="s">
        <v>1937</v>
      </c>
      <c r="L14" s="3"/>
    </row>
    <row r="15" spans="1:12" ht="40.5">
      <c r="B15" s="21">
        <f t="shared" si="1"/>
        <v>10</v>
      </c>
      <c r="C15" s="68"/>
      <c r="D15" s="68"/>
      <c r="E15" s="68"/>
      <c r="F15" s="22" t="s">
        <v>1950</v>
      </c>
      <c r="G15" s="22"/>
      <c r="H15" s="23" t="s">
        <v>1975</v>
      </c>
      <c r="I15" s="23" t="s">
        <v>199</v>
      </c>
      <c r="J15" s="23" t="s">
        <v>1976</v>
      </c>
      <c r="K15" s="2" t="s">
        <v>1937</v>
      </c>
      <c r="L15" s="3"/>
    </row>
    <row r="16" spans="1:12" ht="54">
      <c r="B16" s="21">
        <f t="shared" si="1"/>
        <v>11</v>
      </c>
      <c r="C16" s="68"/>
      <c r="D16" s="68"/>
      <c r="E16" s="68"/>
      <c r="F16" s="22" t="s">
        <v>1951</v>
      </c>
      <c r="G16" s="22"/>
      <c r="H16" s="23" t="s">
        <v>1983</v>
      </c>
      <c r="I16" s="23" t="s">
        <v>331</v>
      </c>
      <c r="J16" s="22" t="s">
        <v>1981</v>
      </c>
      <c r="K16" s="2" t="s">
        <v>1937</v>
      </c>
      <c r="L16" s="3"/>
    </row>
    <row r="17" spans="2:12" ht="40.5">
      <c r="B17" s="21">
        <f t="shared" si="1"/>
        <v>12</v>
      </c>
      <c r="C17" s="68"/>
      <c r="D17" s="68"/>
      <c r="E17" s="68"/>
      <c r="F17" s="22" t="s">
        <v>1952</v>
      </c>
      <c r="G17" s="22"/>
      <c r="H17" s="23" t="s">
        <v>1975</v>
      </c>
      <c r="I17" s="23" t="s">
        <v>876</v>
      </c>
      <c r="J17" s="23" t="s">
        <v>1978</v>
      </c>
      <c r="K17" s="2" t="s">
        <v>1937</v>
      </c>
      <c r="L17" s="3"/>
    </row>
    <row r="18" spans="2:12" ht="54">
      <c r="B18" s="21">
        <f t="shared" si="1"/>
        <v>13</v>
      </c>
      <c r="C18" s="68"/>
      <c r="D18" s="68"/>
      <c r="E18" s="68"/>
      <c r="F18" s="22" t="s">
        <v>237</v>
      </c>
      <c r="G18" s="22"/>
      <c r="H18" s="23" t="s">
        <v>1986</v>
      </c>
      <c r="I18" s="23" t="s">
        <v>331</v>
      </c>
      <c r="J18" s="22" t="s">
        <v>1984</v>
      </c>
      <c r="K18" s="2" t="s">
        <v>1937</v>
      </c>
      <c r="L18" s="3"/>
    </row>
    <row r="19" spans="2:12" ht="27">
      <c r="B19" s="21">
        <f t="shared" si="1"/>
        <v>14</v>
      </c>
      <c r="C19" s="68"/>
      <c r="D19" s="68"/>
      <c r="E19" s="68"/>
      <c r="F19" s="22" t="s">
        <v>1849</v>
      </c>
      <c r="G19" s="22" t="s">
        <v>1977</v>
      </c>
      <c r="H19" s="23" t="s">
        <v>1991</v>
      </c>
      <c r="I19" s="23" t="s">
        <v>331</v>
      </c>
      <c r="J19" s="23"/>
      <c r="K19" s="2" t="s">
        <v>1937</v>
      </c>
      <c r="L19" s="3"/>
    </row>
    <row r="20" spans="2:12" ht="27">
      <c r="B20" s="21">
        <f t="shared" si="1"/>
        <v>15</v>
      </c>
      <c r="C20" s="68"/>
      <c r="D20" s="68"/>
      <c r="E20" s="68"/>
      <c r="F20" s="22" t="s">
        <v>1851</v>
      </c>
      <c r="G20" s="22"/>
      <c r="H20" s="23" t="s">
        <v>1991</v>
      </c>
      <c r="I20" s="23" t="s">
        <v>331</v>
      </c>
      <c r="J20" s="23"/>
      <c r="K20" s="2" t="s">
        <v>1937</v>
      </c>
      <c r="L20" s="3"/>
    </row>
    <row r="21" spans="2:12" ht="27">
      <c r="B21" s="21">
        <f t="shared" si="1"/>
        <v>16</v>
      </c>
      <c r="C21" s="68"/>
      <c r="D21" s="68"/>
      <c r="E21" s="68"/>
      <c r="F21" s="22" t="s">
        <v>1852</v>
      </c>
      <c r="G21" s="22"/>
      <c r="H21" s="23" t="s">
        <v>1991</v>
      </c>
      <c r="I21" s="23" t="s">
        <v>331</v>
      </c>
      <c r="J21" s="23"/>
      <c r="K21" s="2" t="s">
        <v>1937</v>
      </c>
      <c r="L21" s="3"/>
    </row>
    <row r="22" spans="2:12" ht="27">
      <c r="B22" s="21">
        <f t="shared" si="1"/>
        <v>17</v>
      </c>
      <c r="C22" s="68"/>
      <c r="D22" s="68"/>
      <c r="E22" s="68"/>
      <c r="F22" s="22" t="s">
        <v>1854</v>
      </c>
      <c r="G22" s="22"/>
      <c r="H22" s="23" t="s">
        <v>1991</v>
      </c>
      <c r="I22" s="23" t="s">
        <v>331</v>
      </c>
      <c r="J22" s="23"/>
      <c r="K22" s="2" t="s">
        <v>1937</v>
      </c>
      <c r="L22" s="3"/>
    </row>
    <row r="23" spans="2:12" ht="27">
      <c r="B23" s="21">
        <f t="shared" si="1"/>
        <v>18</v>
      </c>
      <c r="C23" s="68"/>
      <c r="D23" s="68"/>
      <c r="E23" s="68"/>
      <c r="F23" s="22" t="s">
        <v>695</v>
      </c>
      <c r="G23" s="22"/>
      <c r="H23" s="23" t="s">
        <v>1473</v>
      </c>
      <c r="I23" s="23" t="s">
        <v>331</v>
      </c>
      <c r="J23" s="23"/>
      <c r="K23" s="2" t="s">
        <v>1937</v>
      </c>
      <c r="L23" s="3"/>
    </row>
    <row r="24" spans="2:12" ht="27">
      <c r="B24" s="21">
        <f t="shared" si="1"/>
        <v>19</v>
      </c>
      <c r="C24" s="68"/>
      <c r="D24" s="68"/>
      <c r="E24" s="68"/>
      <c r="F24" s="22" t="s">
        <v>389</v>
      </c>
      <c r="G24" s="22"/>
      <c r="H24" s="23" t="s">
        <v>1443</v>
      </c>
      <c r="I24" s="23" t="s">
        <v>331</v>
      </c>
      <c r="J24" s="23"/>
      <c r="K24" s="2" t="s">
        <v>1937</v>
      </c>
      <c r="L24" s="3"/>
    </row>
    <row r="25" spans="2:12" ht="67.5">
      <c r="B25" s="21">
        <f t="shared" si="1"/>
        <v>20</v>
      </c>
      <c r="C25" s="68"/>
      <c r="D25" s="68"/>
      <c r="E25" s="68"/>
      <c r="F25" s="22" t="s">
        <v>1953</v>
      </c>
      <c r="G25" s="22" t="s">
        <v>1987</v>
      </c>
      <c r="H25" s="23" t="s">
        <v>50</v>
      </c>
      <c r="I25" s="180" t="s">
        <v>1450</v>
      </c>
      <c r="J25" s="23"/>
      <c r="K25" s="2" t="s">
        <v>1937</v>
      </c>
      <c r="L25" s="3"/>
    </row>
    <row r="26" spans="2:12" ht="67.5">
      <c r="B26" s="21">
        <f t="shared" si="1"/>
        <v>21</v>
      </c>
      <c r="C26" s="68"/>
      <c r="D26" s="68"/>
      <c r="E26" s="68"/>
      <c r="F26" s="22" t="s">
        <v>1954</v>
      </c>
      <c r="G26" s="22" t="s">
        <v>1988</v>
      </c>
      <c r="H26" s="23" t="s">
        <v>50</v>
      </c>
      <c r="I26" s="23" t="s">
        <v>331</v>
      </c>
      <c r="J26" s="23"/>
      <c r="K26" s="2" t="s">
        <v>1937</v>
      </c>
      <c r="L26" s="3"/>
    </row>
    <row r="27" spans="2:12" ht="27">
      <c r="B27" s="21">
        <f t="shared" si="1"/>
        <v>22</v>
      </c>
      <c r="C27" s="68"/>
      <c r="D27" s="68"/>
      <c r="E27" s="68"/>
      <c r="F27" s="22" t="s">
        <v>167</v>
      </c>
      <c r="G27" s="22"/>
      <c r="H27" s="23" t="s">
        <v>445</v>
      </c>
      <c r="I27" s="23"/>
      <c r="J27" s="23"/>
      <c r="K27" s="2" t="s">
        <v>1937</v>
      </c>
      <c r="L27" s="3"/>
    </row>
    <row r="28" spans="2:12" ht="27">
      <c r="B28" s="21">
        <f t="shared" si="1"/>
        <v>23</v>
      </c>
      <c r="C28" s="68"/>
      <c r="D28" s="68"/>
      <c r="E28" s="68"/>
      <c r="F28" s="22" t="s">
        <v>1955</v>
      </c>
      <c r="G28" s="22"/>
      <c r="H28" s="23" t="s">
        <v>50</v>
      </c>
      <c r="I28" s="180" t="s">
        <v>1450</v>
      </c>
      <c r="J28" s="23"/>
      <c r="K28" s="2" t="s">
        <v>1937</v>
      </c>
      <c r="L28" s="3"/>
    </row>
    <row r="29" spans="2:12" ht="27">
      <c r="B29" s="21">
        <f t="shared" si="1"/>
        <v>24</v>
      </c>
      <c r="C29" s="68"/>
      <c r="D29" s="68"/>
      <c r="E29" s="68"/>
      <c r="F29" s="22" t="s">
        <v>230</v>
      </c>
      <c r="G29" s="22"/>
      <c r="H29" s="23" t="s">
        <v>1989</v>
      </c>
      <c r="I29" s="23"/>
      <c r="J29" s="23" t="s">
        <v>1992</v>
      </c>
      <c r="K29" s="2" t="s">
        <v>1937</v>
      </c>
      <c r="L29" s="3"/>
    </row>
    <row r="30" spans="2:12" ht="27">
      <c r="B30" s="21">
        <f t="shared" si="1"/>
        <v>25</v>
      </c>
      <c r="C30" s="68"/>
      <c r="D30" s="68"/>
      <c r="E30" s="68"/>
      <c r="F30" s="22" t="s">
        <v>1956</v>
      </c>
      <c r="G30" s="22"/>
      <c r="H30" s="23" t="s">
        <v>50</v>
      </c>
      <c r="I30" s="180" t="s">
        <v>1450</v>
      </c>
      <c r="J30" s="23"/>
      <c r="K30" s="2" t="s">
        <v>1937</v>
      </c>
      <c r="L30" s="3"/>
    </row>
    <row r="31" spans="2:12" ht="27">
      <c r="B31" s="21">
        <f t="shared" si="1"/>
        <v>26</v>
      </c>
      <c r="C31" s="68"/>
      <c r="D31" s="68"/>
      <c r="E31" s="68"/>
      <c r="F31" s="22" t="s">
        <v>1957</v>
      </c>
      <c r="G31" s="22"/>
      <c r="H31" s="23" t="s">
        <v>1990</v>
      </c>
      <c r="I31" s="23" t="s">
        <v>331</v>
      </c>
      <c r="J31" s="23"/>
      <c r="K31" s="2" t="s">
        <v>1937</v>
      </c>
      <c r="L31" s="3"/>
    </row>
    <row r="32" spans="2:12" ht="27">
      <c r="B32" s="21">
        <f t="shared" si="1"/>
        <v>27</v>
      </c>
      <c r="C32" s="68"/>
      <c r="D32" s="68"/>
      <c r="E32" s="68"/>
      <c r="F32" s="22" t="s">
        <v>1958</v>
      </c>
      <c r="G32" s="22"/>
      <c r="H32" s="23" t="s">
        <v>1979</v>
      </c>
      <c r="I32" s="23" t="s">
        <v>331</v>
      </c>
      <c r="J32" s="23" t="s">
        <v>1994</v>
      </c>
      <c r="K32" s="2" t="s">
        <v>1937</v>
      </c>
      <c r="L32" s="3"/>
    </row>
    <row r="33" spans="2:12" ht="27">
      <c r="B33" s="21">
        <f t="shared" si="1"/>
        <v>28</v>
      </c>
      <c r="C33" s="68"/>
      <c r="D33" s="68"/>
      <c r="E33" s="19"/>
      <c r="F33" s="22" t="s">
        <v>1959</v>
      </c>
      <c r="G33" s="22"/>
      <c r="H33" s="23" t="s">
        <v>1979</v>
      </c>
      <c r="I33" s="23" t="s">
        <v>331</v>
      </c>
      <c r="J33" s="23" t="s">
        <v>1994</v>
      </c>
      <c r="K33" s="2" t="s">
        <v>1937</v>
      </c>
      <c r="L33" s="3"/>
    </row>
    <row r="34" spans="2:12" ht="27">
      <c r="B34" s="21">
        <f t="shared" si="1"/>
        <v>29</v>
      </c>
      <c r="C34" s="68"/>
      <c r="D34" s="68"/>
      <c r="E34" s="16" t="s">
        <v>49</v>
      </c>
      <c r="F34" s="22" t="s">
        <v>1960</v>
      </c>
      <c r="G34" s="22"/>
      <c r="H34" s="23" t="s">
        <v>277</v>
      </c>
      <c r="I34" s="23" t="s">
        <v>331</v>
      </c>
      <c r="J34" s="23" t="s">
        <v>1995</v>
      </c>
      <c r="K34" s="2" t="s">
        <v>1937</v>
      </c>
      <c r="L34" s="3"/>
    </row>
    <row r="35" spans="2:12" ht="27">
      <c r="B35" s="21">
        <f t="shared" si="1"/>
        <v>30</v>
      </c>
      <c r="C35" s="68"/>
      <c r="D35" s="68"/>
      <c r="E35" s="68"/>
      <c r="F35" s="22" t="s">
        <v>474</v>
      </c>
      <c r="G35" s="22"/>
      <c r="H35" s="23" t="s">
        <v>277</v>
      </c>
      <c r="I35" s="23" t="s">
        <v>331</v>
      </c>
      <c r="J35" s="23" t="s">
        <v>1996</v>
      </c>
      <c r="K35" s="2" t="s">
        <v>1937</v>
      </c>
      <c r="L35" s="3"/>
    </row>
    <row r="36" spans="2:12" ht="27">
      <c r="B36" s="21">
        <f t="shared" si="1"/>
        <v>31</v>
      </c>
      <c r="C36" s="68"/>
      <c r="D36" s="68"/>
      <c r="E36" s="68"/>
      <c r="F36" s="22" t="s">
        <v>1825</v>
      </c>
      <c r="G36" s="174" t="s">
        <v>1998</v>
      </c>
      <c r="H36" s="23" t="s">
        <v>50</v>
      </c>
      <c r="I36" s="174" t="s">
        <v>1450</v>
      </c>
      <c r="J36" s="23"/>
      <c r="K36" s="2" t="s">
        <v>1937</v>
      </c>
      <c r="L36" s="3"/>
    </row>
    <row r="37" spans="2:12" ht="27">
      <c r="B37" s="21">
        <f t="shared" si="1"/>
        <v>32</v>
      </c>
      <c r="C37" s="68"/>
      <c r="D37" s="68"/>
      <c r="E37" s="68"/>
      <c r="F37" s="22" t="s">
        <v>1961</v>
      </c>
      <c r="G37" s="174"/>
      <c r="H37" s="23" t="s">
        <v>50</v>
      </c>
      <c r="I37" s="174" t="s">
        <v>1393</v>
      </c>
      <c r="J37" s="23"/>
      <c r="K37" s="2" t="s">
        <v>1937</v>
      </c>
      <c r="L37" s="3"/>
    </row>
    <row r="38" spans="2:12" ht="27">
      <c r="B38" s="21">
        <f t="shared" si="1"/>
        <v>33</v>
      </c>
      <c r="C38" s="68"/>
      <c r="D38" s="68"/>
      <c r="E38" s="68"/>
      <c r="F38" s="22" t="s">
        <v>1962</v>
      </c>
      <c r="G38" s="174" t="s">
        <v>1999</v>
      </c>
      <c r="H38" s="23" t="s">
        <v>50</v>
      </c>
      <c r="I38" s="174" t="s">
        <v>1450</v>
      </c>
      <c r="J38" s="23"/>
      <c r="K38" s="2" t="s">
        <v>1937</v>
      </c>
      <c r="L38" s="3"/>
    </row>
    <row r="39" spans="2:12" ht="27">
      <c r="B39" s="21">
        <f t="shared" si="1"/>
        <v>34</v>
      </c>
      <c r="C39" s="68"/>
      <c r="D39" s="68"/>
      <c r="E39" s="68"/>
      <c r="F39" s="22" t="s">
        <v>1963</v>
      </c>
      <c r="G39" s="174" t="s">
        <v>1999</v>
      </c>
      <c r="H39" s="23" t="s">
        <v>50</v>
      </c>
      <c r="I39" s="174" t="s">
        <v>1450</v>
      </c>
      <c r="J39" s="23"/>
      <c r="K39" s="2" t="s">
        <v>1937</v>
      </c>
      <c r="L39" s="3"/>
    </row>
    <row r="40" spans="2:12" ht="27">
      <c r="B40" s="21">
        <f t="shared" si="1"/>
        <v>35</v>
      </c>
      <c r="C40" s="68"/>
      <c r="D40" s="68"/>
      <c r="E40" s="68"/>
      <c r="F40" s="22" t="s">
        <v>1965</v>
      </c>
      <c r="G40" s="174" t="s">
        <v>2000</v>
      </c>
      <c r="H40" s="23" t="s">
        <v>50</v>
      </c>
      <c r="I40" s="174" t="s">
        <v>1644</v>
      </c>
      <c r="J40" s="23"/>
      <c r="K40" s="2" t="s">
        <v>1937</v>
      </c>
      <c r="L40" s="3"/>
    </row>
    <row r="41" spans="2:12" ht="27">
      <c r="B41" s="21">
        <f t="shared" si="1"/>
        <v>36</v>
      </c>
      <c r="C41" s="68"/>
      <c r="D41" s="68"/>
      <c r="E41" s="68"/>
      <c r="F41" s="22" t="s">
        <v>1966</v>
      </c>
      <c r="G41" s="22"/>
      <c r="H41" s="23" t="s">
        <v>27</v>
      </c>
      <c r="I41" s="23" t="s">
        <v>28</v>
      </c>
      <c r="J41" s="23"/>
      <c r="K41" s="2" t="s">
        <v>1937</v>
      </c>
      <c r="L41" s="3"/>
    </row>
    <row r="42" spans="2:12" ht="27">
      <c r="B42" s="21">
        <f t="shared" si="1"/>
        <v>37</v>
      </c>
      <c r="C42" s="68"/>
      <c r="D42" s="68"/>
      <c r="E42" s="68"/>
      <c r="F42" s="22" t="s">
        <v>1969</v>
      </c>
      <c r="G42" s="22"/>
      <c r="H42" s="23" t="s">
        <v>27</v>
      </c>
      <c r="I42" s="23" t="s">
        <v>57</v>
      </c>
      <c r="J42" s="23"/>
      <c r="K42" s="2" t="s">
        <v>1937</v>
      </c>
      <c r="L42" s="3"/>
    </row>
    <row r="43" spans="2:12" ht="81">
      <c r="B43" s="21">
        <f t="shared" si="1"/>
        <v>38</v>
      </c>
      <c r="C43" s="68"/>
      <c r="D43" s="68"/>
      <c r="E43" s="68"/>
      <c r="F43" s="22" t="s">
        <v>1967</v>
      </c>
      <c r="G43" s="22" t="s">
        <v>2001</v>
      </c>
      <c r="H43" s="23" t="s">
        <v>27</v>
      </c>
      <c r="I43" s="23" t="s">
        <v>28</v>
      </c>
      <c r="J43" s="23"/>
      <c r="K43" s="2" t="s">
        <v>1937</v>
      </c>
      <c r="L43" s="3"/>
    </row>
    <row r="44" spans="2:12" ht="27">
      <c r="B44" s="21">
        <f t="shared" si="1"/>
        <v>39</v>
      </c>
      <c r="C44" s="68"/>
      <c r="D44" s="68"/>
      <c r="E44" s="19"/>
      <c r="F44" s="34" t="s">
        <v>1968</v>
      </c>
      <c r="G44" s="22" t="s">
        <v>2002</v>
      </c>
      <c r="H44" s="23" t="s">
        <v>27</v>
      </c>
      <c r="I44" s="23" t="s">
        <v>57</v>
      </c>
      <c r="J44" s="23"/>
      <c r="K44" s="2" t="s">
        <v>1937</v>
      </c>
      <c r="L44" s="3"/>
    </row>
    <row r="45" spans="2:12" ht="27">
      <c r="B45" s="21">
        <f t="shared" si="1"/>
        <v>40</v>
      </c>
      <c r="C45" s="19"/>
      <c r="D45" s="19"/>
      <c r="E45" s="17" t="s">
        <v>1947</v>
      </c>
      <c r="F45" s="22" t="s">
        <v>1948</v>
      </c>
      <c r="G45" s="173"/>
      <c r="H45" s="23" t="s">
        <v>1979</v>
      </c>
      <c r="I45" s="23" t="s">
        <v>331</v>
      </c>
      <c r="J45" s="23" t="s">
        <v>1997</v>
      </c>
      <c r="K45" s="2" t="s">
        <v>1937</v>
      </c>
      <c r="L45" s="3"/>
    </row>
    <row r="46" spans="2:12">
      <c r="I46" s="177"/>
    </row>
    <row r="47" spans="2:12">
      <c r="I47" s="177"/>
    </row>
    <row r="48" spans="2:12">
      <c r="I48" s="177"/>
    </row>
    <row r="49" s="177" customFormat="1"/>
    <row r="50" s="177" customFormat="1"/>
    <row r="51" s="177" customFormat="1"/>
    <row r="52" s="177" customFormat="1"/>
    <row r="53" s="177" customFormat="1"/>
    <row r="54" s="177" customFormat="1"/>
    <row r="55" s="177" customFormat="1"/>
    <row r="56" s="177" customFormat="1"/>
    <row r="57" s="177" customFormat="1"/>
    <row r="58" s="177" customFormat="1"/>
    <row r="59" s="177" customFormat="1"/>
    <row r="60" s="177" customFormat="1"/>
    <row r="61" s="177" customFormat="1"/>
    <row r="62" s="177" customFormat="1"/>
    <row r="63" s="177" customFormat="1"/>
    <row r="64" s="177" customFormat="1" ht="33" customHeight="1"/>
    <row r="65" s="177" customFormat="1"/>
    <row r="66" s="177" customFormat="1"/>
    <row r="67" s="177" customFormat="1"/>
    <row r="68" s="177" customFormat="1"/>
    <row r="69" s="177" customFormat="1" ht="31.5" customHeight="1"/>
    <row r="70" s="177" customFormat="1"/>
    <row r="71" s="177" customFormat="1"/>
    <row r="72" s="177" customFormat="1"/>
    <row r="73" s="177" customFormat="1"/>
    <row r="74" s="177" customFormat="1"/>
    <row r="75" s="177" customFormat="1"/>
    <row r="76" s="177" customFormat="1"/>
    <row r="77" s="177" customFormat="1"/>
    <row r="78" s="177" customFormat="1"/>
    <row r="79" s="177" customFormat="1" ht="30.75" customHeight="1"/>
    <row r="80" s="177" customFormat="1" ht="33" customHeight="1"/>
    <row r="81" s="177" customFormat="1"/>
    <row r="82" s="177" customFormat="1"/>
    <row r="83" s="177" customFormat="1"/>
    <row r="84" s="177" customFormat="1"/>
    <row r="85" s="177" customFormat="1" ht="31.5" customHeight="1"/>
    <row r="86" s="177" customFormat="1"/>
    <row r="87" s="177" customFormat="1" ht="30.75" customHeight="1"/>
    <row r="88" s="177" customFormat="1"/>
    <row r="89" s="177" customFormat="1" ht="31.5" customHeight="1"/>
    <row r="90" s="177" customFormat="1"/>
    <row r="91" s="177" customFormat="1"/>
    <row r="92" s="177" customFormat="1"/>
    <row r="93" s="177" customFormat="1" ht="33" customHeight="1"/>
    <row r="94" s="177" customFormat="1"/>
    <row r="95" s="177" customFormat="1" ht="30.75" customHeight="1"/>
    <row r="96" s="177" customFormat="1" ht="27" customHeight="1"/>
    <row r="97" s="177" customFormat="1"/>
    <row r="98" s="177" customFormat="1"/>
    <row r="99" s="177" customFormat="1"/>
    <row r="100" s="177" customFormat="1"/>
    <row r="101" s="177" customFormat="1"/>
    <row r="102" s="177" customFormat="1"/>
    <row r="103" s="177" customFormat="1"/>
    <row r="104" s="177" customFormat="1"/>
    <row r="105" s="177" customFormat="1"/>
    <row r="106" s="177" customFormat="1"/>
    <row r="107" s="177" customFormat="1"/>
    <row r="108" s="177" customFormat="1"/>
    <row r="109" s="177" customFormat="1"/>
    <row r="110" s="177" customFormat="1"/>
    <row r="111" s="177" customFormat="1"/>
    <row r="112" s="177" customFormat="1"/>
    <row r="113" s="177" customFormat="1"/>
    <row r="114" s="177" customFormat="1"/>
    <row r="115" s="177" customFormat="1"/>
    <row r="116" s="177" customFormat="1"/>
    <row r="117" s="177" customFormat="1"/>
    <row r="118" s="177" customFormat="1"/>
    <row r="119" s="177" customFormat="1"/>
    <row r="120" s="177" customFormat="1"/>
    <row r="121" s="177" customFormat="1"/>
    <row r="122" s="177" customFormat="1"/>
    <row r="123" s="177" customFormat="1"/>
    <row r="124" s="177" customFormat="1"/>
    <row r="125" s="177" customFormat="1"/>
    <row r="126" s="177" customFormat="1"/>
    <row r="127" s="177" customFormat="1" ht="409" customHeight="1"/>
    <row r="128" s="177" customFormat="1"/>
    <row r="129" s="177" customFormat="1"/>
    <row r="130" s="177" customFormat="1"/>
    <row r="131" s="177" customFormat="1"/>
    <row r="132" s="177" customFormat="1"/>
    <row r="133" s="177" customFormat="1"/>
    <row r="134" s="177" customFormat="1"/>
    <row r="135" s="177" customFormat="1"/>
    <row r="136" s="177" customFormat="1"/>
    <row r="137" s="177" customFormat="1"/>
    <row r="138" s="177" customFormat="1"/>
    <row r="139" s="177" customFormat="1"/>
    <row r="140" s="177" customFormat="1"/>
    <row r="141" s="177" customFormat="1"/>
    <row r="142" s="177" customFormat="1"/>
    <row r="143" s="177" customFormat="1"/>
    <row r="144" s="177" customFormat="1"/>
    <row r="145" s="177" customFormat="1"/>
    <row r="146" s="177" customFormat="1"/>
    <row r="147" s="177" customFormat="1"/>
    <row r="148" s="177" customFormat="1"/>
    <row r="149" s="177" customFormat="1"/>
    <row r="150" s="177" customFormat="1"/>
    <row r="151" s="177" customFormat="1"/>
    <row r="152" s="177" customFormat="1"/>
    <row r="153" s="177" customFormat="1"/>
    <row r="154" s="177" customFormat="1"/>
    <row r="155" s="177" customFormat="1"/>
    <row r="156" s="177" customFormat="1"/>
    <row r="157" s="177" customFormat="1"/>
    <row r="158" s="177" customFormat="1"/>
    <row r="159" s="177" customFormat="1"/>
    <row r="160" s="177" customFormat="1"/>
    <row r="161" s="177" customFormat="1"/>
    <row r="162" s="177" customFormat="1"/>
    <row r="163" s="177" customFormat="1"/>
    <row r="164" s="177" customFormat="1"/>
    <row r="165" s="177" customFormat="1"/>
    <row r="166" s="177" customFormat="1"/>
    <row r="167" s="177" customFormat="1"/>
    <row r="168" s="177" customFormat="1"/>
    <row r="169" s="177" customFormat="1"/>
    <row r="170" s="177" customFormat="1"/>
    <row r="171" s="177" customFormat="1"/>
    <row r="172" s="177" customFormat="1"/>
    <row r="173" s="177" customFormat="1"/>
    <row r="174" s="177" customFormat="1"/>
    <row r="175" s="177" customFormat="1"/>
    <row r="176" s="177" customFormat="1"/>
    <row r="177" s="177" customFormat="1"/>
    <row r="178" s="177" customFormat="1"/>
    <row r="179" s="177" customFormat="1"/>
    <row r="180" s="177" customFormat="1"/>
    <row r="181" s="177" customFormat="1"/>
    <row r="182" s="177" customFormat="1"/>
    <row r="183" s="177" customFormat="1"/>
    <row r="184" s="177" customFormat="1"/>
    <row r="185" s="177" customFormat="1"/>
    <row r="186" s="177" customFormat="1"/>
    <row r="187" s="177" customFormat="1"/>
    <row r="188" s="177" customFormat="1"/>
    <row r="189" s="177" customFormat="1"/>
    <row r="190" s="177" customFormat="1"/>
    <row r="191" s="177" customFormat="1"/>
    <row r="192" s="177" customFormat="1"/>
    <row r="193" s="177" customFormat="1"/>
    <row r="194" s="177" customFormat="1"/>
    <row r="195" s="177" customFormat="1"/>
    <row r="196" s="177" customFormat="1"/>
    <row r="197" s="177" customFormat="1"/>
    <row r="198" s="177" customFormat="1"/>
    <row r="199" s="177" customFormat="1"/>
    <row r="200" s="177" customFormat="1"/>
    <row r="201" s="177" customFormat="1"/>
    <row r="202" s="177" customFormat="1"/>
    <row r="203" s="177" customFormat="1"/>
    <row r="204" s="177" customFormat="1" ht="2.25" customHeight="1"/>
    <row r="205" s="177" customFormat="1" ht="409.5" customHeight="1"/>
    <row r="206" s="177" customFormat="1"/>
    <row r="207" s="177" customFormat="1"/>
    <row r="208" s="177" customFormat="1"/>
    <row r="209" spans="9:9">
      <c r="I209" s="177"/>
    </row>
    <row r="210" spans="9:9">
      <c r="I210" s="177"/>
    </row>
    <row r="211" spans="9:9">
      <c r="I211" s="177"/>
    </row>
    <row r="212" spans="9:9">
      <c r="I212" s="177"/>
    </row>
    <row r="213" spans="9:9">
      <c r="I213" s="177"/>
    </row>
    <row r="214" spans="9:9">
      <c r="I214" s="177"/>
    </row>
    <row r="215" spans="9:9">
      <c r="I215" s="177"/>
    </row>
    <row r="216" spans="9:9">
      <c r="I216" s="177"/>
    </row>
  </sheetData>
  <phoneticPr fontId="14"/>
  <hyperlinks>
    <hyperlink ref="A4" location="パラメータ設定一覧!A1" display="パラメータ設定一覧へ" xr:uid="{DE7647BE-B231-49DA-994E-934B3057CEE7}"/>
  </hyperlinks>
  <pageMargins left="0.7" right="0.7" top="0.75" bottom="0.75" header="0.3" footer="0.3"/>
  <pageSetup paperSize="9" orientation="portrait" verticalDpi="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97EF4-4005-47A8-BC3A-F6F4C66FB96B}">
  <sheetPr codeName="Sheet81"/>
  <dimension ref="A1:AP38"/>
  <sheetViews>
    <sheetView showGridLines="0" zoomScaleNormal="100" workbookViewId="0">
      <pane xSplit="4" ySplit="6" topLeftCell="E7" activePane="bottomRight" state="frozen"/>
      <selection pane="topRight"/>
      <selection pane="bottomLeft"/>
      <selection pane="bottomRight" activeCell="E7" sqref="E7"/>
    </sheetView>
  </sheetViews>
  <sheetFormatPr defaultColWidth="8.78515625" defaultRowHeight="13.5"/>
  <cols>
    <col min="1" max="1" width="2.78515625" style="46" customWidth="1"/>
    <col min="2" max="2" width="3.5703125" style="46" bestFit="1" customWidth="1"/>
    <col min="3" max="8" width="19.35546875" style="46" customWidth="1"/>
    <col min="9" max="9" width="16.28515625" style="46" bestFit="1" customWidth="1"/>
    <col min="10" max="42" width="17.2109375" style="46" customWidth="1"/>
    <col min="43" max="43" width="20.640625" style="46" bestFit="1" customWidth="1"/>
    <col min="44" max="44" width="14.42578125" style="46" bestFit="1" customWidth="1"/>
    <col min="45" max="45" width="11.78515625" style="46" customWidth="1"/>
    <col min="46" max="46" width="8.2109375" style="46" bestFit="1" customWidth="1"/>
    <col min="47" max="16384" width="8.78515625" style="46"/>
  </cols>
  <sheetData>
    <row r="1" spans="1:42" customFormat="1" ht="19.5">
      <c r="A1" s="88" t="s">
        <v>2775</v>
      </c>
    </row>
    <row r="2" spans="1:42" customFormat="1" ht="15">
      <c r="A2" s="196" t="s">
        <v>2668</v>
      </c>
    </row>
    <row r="3" spans="1:42" customFormat="1" ht="15">
      <c r="A3" s="10" t="s">
        <v>363</v>
      </c>
    </row>
    <row r="4" spans="1:42" ht="15.75" customHeight="1">
      <c r="B4" s="439" t="s">
        <v>1</v>
      </c>
      <c r="C4" s="107" t="s">
        <v>1934</v>
      </c>
      <c r="D4" s="110"/>
      <c r="E4" s="110"/>
      <c r="F4" s="110"/>
      <c r="G4" s="110"/>
      <c r="H4" s="110"/>
      <c r="I4" s="110"/>
      <c r="J4" s="154" t="s">
        <v>1970</v>
      </c>
      <c r="K4" s="153"/>
      <c r="L4" s="153"/>
      <c r="M4" s="153"/>
      <c r="N4" s="153"/>
      <c r="O4" s="153"/>
      <c r="P4" s="153"/>
      <c r="Q4" s="153"/>
      <c r="R4" s="153"/>
      <c r="S4" s="153"/>
      <c r="T4" s="153"/>
      <c r="U4" s="153"/>
      <c r="V4" s="153"/>
      <c r="W4" s="153"/>
      <c r="X4" s="153"/>
      <c r="Y4" s="153"/>
      <c r="Z4" s="153"/>
      <c r="AA4" s="153"/>
      <c r="AB4" s="153"/>
      <c r="AC4" s="153"/>
      <c r="AD4" s="153"/>
      <c r="AE4" s="153"/>
      <c r="AF4" s="153"/>
      <c r="AG4" s="153"/>
      <c r="AH4" s="153"/>
      <c r="AI4" s="153"/>
      <c r="AJ4" s="153"/>
      <c r="AK4" s="153"/>
      <c r="AL4" s="153"/>
      <c r="AM4" s="153"/>
      <c r="AN4" s="153"/>
      <c r="AO4" s="153"/>
      <c r="AP4" s="152"/>
    </row>
    <row r="5" spans="1:42" ht="15.75" customHeight="1">
      <c r="B5" s="439"/>
      <c r="C5" s="106"/>
      <c r="D5" s="109"/>
      <c r="E5" s="109"/>
      <c r="F5" s="109"/>
      <c r="G5" s="109"/>
      <c r="H5" s="109"/>
      <c r="I5" s="109"/>
      <c r="J5" s="106" t="s">
        <v>166</v>
      </c>
      <c r="K5" s="109"/>
      <c r="L5" s="109"/>
      <c r="M5" s="109"/>
      <c r="N5" s="109"/>
      <c r="O5" s="109"/>
      <c r="P5" s="109"/>
      <c r="Q5" s="109"/>
      <c r="R5" s="109"/>
      <c r="S5" s="109"/>
      <c r="T5" s="109"/>
      <c r="U5" s="109"/>
      <c r="V5" s="109"/>
      <c r="W5" s="109"/>
      <c r="X5" s="109"/>
      <c r="Y5" s="109"/>
      <c r="Z5" s="109"/>
      <c r="AA5" s="109"/>
      <c r="AB5" s="109"/>
      <c r="AC5" s="109"/>
      <c r="AD5" s="109"/>
      <c r="AE5" s="106" t="s">
        <v>49</v>
      </c>
      <c r="AF5" s="109"/>
      <c r="AG5" s="109"/>
      <c r="AH5" s="109"/>
      <c r="AI5" s="109"/>
      <c r="AJ5" s="109"/>
      <c r="AK5" s="109"/>
      <c r="AL5" s="109"/>
      <c r="AM5" s="109"/>
      <c r="AN5" s="109"/>
      <c r="AO5" s="175"/>
      <c r="AP5" s="166" t="s">
        <v>1947</v>
      </c>
    </row>
    <row r="6" spans="1:42">
      <c r="B6" s="440"/>
      <c r="C6" s="59" t="s">
        <v>19</v>
      </c>
      <c r="D6" s="59" t="s">
        <v>1938</v>
      </c>
      <c r="E6" s="59" t="s">
        <v>45</v>
      </c>
      <c r="F6" s="59" t="s">
        <v>1939</v>
      </c>
      <c r="G6" s="59" t="s">
        <v>1940</v>
      </c>
      <c r="H6" s="59" t="s">
        <v>212</v>
      </c>
      <c r="I6" s="59" t="s">
        <v>1941</v>
      </c>
      <c r="J6" s="59" t="s">
        <v>1949</v>
      </c>
      <c r="K6" s="59" t="s">
        <v>506</v>
      </c>
      <c r="L6" s="59" t="s">
        <v>1950</v>
      </c>
      <c r="M6" s="59" t="s">
        <v>1951</v>
      </c>
      <c r="N6" s="59" t="s">
        <v>1952</v>
      </c>
      <c r="O6" s="59" t="s">
        <v>237</v>
      </c>
      <c r="P6" s="59" t="s">
        <v>1848</v>
      </c>
      <c r="Q6" s="59" t="s">
        <v>1850</v>
      </c>
      <c r="R6" s="59" t="s">
        <v>1852</v>
      </c>
      <c r="S6" s="59" t="s">
        <v>1853</v>
      </c>
      <c r="T6" s="59" t="s">
        <v>1107</v>
      </c>
      <c r="U6" s="59" t="s">
        <v>389</v>
      </c>
      <c r="V6" s="59" t="s">
        <v>1953</v>
      </c>
      <c r="W6" s="59" t="s">
        <v>1954</v>
      </c>
      <c r="X6" s="59" t="s">
        <v>167</v>
      </c>
      <c r="Y6" s="59" t="s">
        <v>1955</v>
      </c>
      <c r="Z6" s="59" t="s">
        <v>230</v>
      </c>
      <c r="AA6" s="59" t="s">
        <v>1956</v>
      </c>
      <c r="AB6" s="59" t="s">
        <v>1957</v>
      </c>
      <c r="AC6" s="59" t="s">
        <v>1958</v>
      </c>
      <c r="AD6" s="59" t="s">
        <v>1959</v>
      </c>
      <c r="AE6" s="59" t="s">
        <v>1960</v>
      </c>
      <c r="AF6" s="59" t="s">
        <v>474</v>
      </c>
      <c r="AG6" s="59" t="s">
        <v>1825</v>
      </c>
      <c r="AH6" s="59" t="s">
        <v>1961</v>
      </c>
      <c r="AI6" s="59" t="s">
        <v>1962</v>
      </c>
      <c r="AJ6" s="59" t="s">
        <v>1963</v>
      </c>
      <c r="AK6" s="59" t="s">
        <v>1964</v>
      </c>
      <c r="AL6" s="59" t="s">
        <v>1966</v>
      </c>
      <c r="AM6" s="59" t="s">
        <v>1969</v>
      </c>
      <c r="AN6" s="59" t="s">
        <v>1967</v>
      </c>
      <c r="AO6" s="59" t="s">
        <v>1968</v>
      </c>
      <c r="AP6" s="69" t="s">
        <v>1948</v>
      </c>
    </row>
    <row r="7" spans="1:42" ht="121.5">
      <c r="B7" s="440"/>
      <c r="C7" s="8" t="s">
        <v>1971</v>
      </c>
      <c r="D7" s="8" t="s">
        <v>1942</v>
      </c>
      <c r="E7" s="8" t="s">
        <v>20</v>
      </c>
      <c r="F7" s="8" t="s">
        <v>1732</v>
      </c>
      <c r="G7" s="8" t="s">
        <v>277</v>
      </c>
      <c r="H7" s="8" t="s">
        <v>1943</v>
      </c>
      <c r="I7" s="8" t="s">
        <v>1732</v>
      </c>
      <c r="J7" s="8" t="s">
        <v>1979</v>
      </c>
      <c r="K7" s="8" t="s">
        <v>1943</v>
      </c>
      <c r="L7" s="8" t="s">
        <v>1974</v>
      </c>
      <c r="M7" s="8" t="s">
        <v>1982</v>
      </c>
      <c r="N7" s="8" t="s">
        <v>1974</v>
      </c>
      <c r="O7" s="8" t="s">
        <v>1985</v>
      </c>
      <c r="P7" s="8" t="s">
        <v>1991</v>
      </c>
      <c r="Q7" s="8" t="s">
        <v>1991</v>
      </c>
      <c r="R7" s="8" t="s">
        <v>1991</v>
      </c>
      <c r="S7" s="8" t="s">
        <v>1991</v>
      </c>
      <c r="T7" s="8" t="s">
        <v>1473</v>
      </c>
      <c r="U7" s="8" t="s">
        <v>1443</v>
      </c>
      <c r="V7" s="8" t="s">
        <v>50</v>
      </c>
      <c r="W7" s="8" t="s">
        <v>50</v>
      </c>
      <c r="X7" s="8" t="s">
        <v>445</v>
      </c>
      <c r="Y7" s="8" t="s">
        <v>50</v>
      </c>
      <c r="Z7" s="8" t="s">
        <v>1989</v>
      </c>
      <c r="AA7" s="8" t="s">
        <v>50</v>
      </c>
      <c r="AB7" s="8" t="s">
        <v>1990</v>
      </c>
      <c r="AC7" s="8" t="s">
        <v>1979</v>
      </c>
      <c r="AD7" s="8" t="s">
        <v>1979</v>
      </c>
      <c r="AE7" s="8" t="s">
        <v>277</v>
      </c>
      <c r="AF7" s="8" t="s">
        <v>277</v>
      </c>
      <c r="AG7" s="8" t="s">
        <v>50</v>
      </c>
      <c r="AH7" s="8" t="s">
        <v>50</v>
      </c>
      <c r="AI7" s="8" t="s">
        <v>50</v>
      </c>
      <c r="AJ7" s="8" t="s">
        <v>50</v>
      </c>
      <c r="AK7" s="8" t="s">
        <v>50</v>
      </c>
      <c r="AL7" s="8" t="s">
        <v>833</v>
      </c>
      <c r="AM7" s="8" t="s">
        <v>833</v>
      </c>
      <c r="AN7" s="8" t="s">
        <v>833</v>
      </c>
      <c r="AO7" s="8" t="s">
        <v>833</v>
      </c>
      <c r="AP7" s="8" t="s">
        <v>1979</v>
      </c>
    </row>
    <row r="8" spans="1:42">
      <c r="B8" s="440"/>
      <c r="C8" s="8" t="s">
        <v>2667</v>
      </c>
      <c r="D8" s="8" t="s">
        <v>1979</v>
      </c>
      <c r="E8" s="8"/>
      <c r="F8" s="8" t="s">
        <v>1979</v>
      </c>
      <c r="G8" s="8" t="s">
        <v>1979</v>
      </c>
      <c r="H8" s="8" t="s">
        <v>2667</v>
      </c>
      <c r="I8" s="8"/>
      <c r="J8" s="8" t="s">
        <v>1979</v>
      </c>
      <c r="K8" s="8" t="s">
        <v>2752</v>
      </c>
      <c r="L8" s="8" t="s">
        <v>2752</v>
      </c>
      <c r="M8" s="8" t="s">
        <v>2752</v>
      </c>
      <c r="N8" s="8" t="s">
        <v>2752</v>
      </c>
      <c r="O8" s="8" t="s">
        <v>2752</v>
      </c>
      <c r="P8" s="8"/>
      <c r="Q8" s="8"/>
      <c r="R8" s="8"/>
      <c r="S8" s="8"/>
      <c r="T8" s="8"/>
      <c r="U8" s="8"/>
      <c r="V8" s="8"/>
      <c r="W8" s="8"/>
      <c r="X8" s="8"/>
      <c r="Y8" s="8" t="s">
        <v>2752</v>
      </c>
      <c r="Z8" s="8" t="s">
        <v>198</v>
      </c>
      <c r="AA8" s="8"/>
      <c r="AB8" s="8"/>
      <c r="AC8" s="8"/>
      <c r="AD8" s="8"/>
      <c r="AE8" s="8"/>
      <c r="AF8" s="8"/>
      <c r="AG8" s="8"/>
      <c r="AH8" s="8"/>
      <c r="AI8" s="8"/>
      <c r="AJ8" s="8"/>
      <c r="AK8" s="8"/>
      <c r="AL8" s="8"/>
      <c r="AM8" s="8"/>
      <c r="AN8" s="8"/>
      <c r="AO8" s="8"/>
      <c r="AP8" s="8"/>
    </row>
    <row r="9" spans="1:42">
      <c r="B9" s="217">
        <f>ROW() - 8</f>
        <v>1</v>
      </c>
      <c r="C9" s="217"/>
      <c r="D9" s="217"/>
      <c r="E9" s="217"/>
      <c r="F9" s="217"/>
      <c r="G9" s="217"/>
      <c r="H9" s="217"/>
      <c r="I9" s="256"/>
      <c r="J9" s="234"/>
      <c r="K9" s="234"/>
      <c r="L9" s="234"/>
      <c r="M9" s="234"/>
      <c r="N9" s="234"/>
      <c r="O9" s="234"/>
      <c r="P9" s="234"/>
      <c r="Q9" s="234"/>
      <c r="R9" s="234"/>
      <c r="S9" s="234"/>
      <c r="T9" s="234"/>
      <c r="U9" s="234"/>
      <c r="V9" s="234"/>
      <c r="W9" s="234"/>
      <c r="X9" s="234"/>
      <c r="Y9" s="234"/>
      <c r="Z9" s="234"/>
      <c r="AA9" s="234"/>
      <c r="AB9" s="234"/>
      <c r="AC9" s="234"/>
      <c r="AD9" s="234"/>
      <c r="AE9" s="234"/>
      <c r="AF9" s="234"/>
      <c r="AG9" s="234"/>
      <c r="AH9" s="234"/>
      <c r="AI9" s="234"/>
      <c r="AJ9" s="234"/>
      <c r="AK9" s="234"/>
      <c r="AL9" s="234"/>
      <c r="AM9" s="234"/>
      <c r="AN9" s="234"/>
      <c r="AO9" s="234"/>
      <c r="AP9" s="217"/>
    </row>
    <row r="10" spans="1:42">
      <c r="B10" s="217">
        <f t="shared" ref="B10:B38" si="0">ROW() - 8</f>
        <v>2</v>
      </c>
      <c r="C10" s="217"/>
      <c r="D10" s="217"/>
      <c r="E10" s="217"/>
      <c r="F10" s="217"/>
      <c r="G10" s="217"/>
      <c r="H10" s="217"/>
      <c r="I10" s="256"/>
      <c r="J10" s="234"/>
      <c r="K10" s="234"/>
      <c r="L10" s="234"/>
      <c r="M10" s="234"/>
      <c r="N10" s="234"/>
      <c r="O10" s="234"/>
      <c r="P10" s="234"/>
      <c r="Q10" s="234"/>
      <c r="R10" s="234"/>
      <c r="S10" s="234"/>
      <c r="T10" s="234"/>
      <c r="U10" s="234"/>
      <c r="V10" s="234"/>
      <c r="W10" s="234"/>
      <c r="X10" s="234"/>
      <c r="Y10" s="234"/>
      <c r="Z10" s="234"/>
      <c r="AA10" s="234"/>
      <c r="AB10" s="234"/>
      <c r="AC10" s="234"/>
      <c r="AD10" s="234"/>
      <c r="AE10" s="234"/>
      <c r="AF10" s="234"/>
      <c r="AG10" s="234"/>
      <c r="AH10" s="234"/>
      <c r="AI10" s="234"/>
      <c r="AJ10" s="234"/>
      <c r="AK10" s="234"/>
      <c r="AL10" s="234"/>
      <c r="AM10" s="234"/>
      <c r="AN10" s="234"/>
      <c r="AO10" s="234"/>
      <c r="AP10" s="217"/>
    </row>
    <row r="11" spans="1:42">
      <c r="B11" s="217">
        <f t="shared" si="0"/>
        <v>3</v>
      </c>
      <c r="C11" s="217"/>
      <c r="D11" s="217"/>
      <c r="E11" s="217"/>
      <c r="F11" s="217"/>
      <c r="G11" s="217"/>
      <c r="H11" s="217"/>
      <c r="I11" s="245"/>
      <c r="J11" s="234"/>
      <c r="K11" s="234"/>
      <c r="L11" s="234"/>
      <c r="M11" s="234"/>
      <c r="N11" s="234"/>
      <c r="O11" s="234"/>
      <c r="P11" s="234"/>
      <c r="Q11" s="234"/>
      <c r="R11" s="234"/>
      <c r="S11" s="234"/>
      <c r="T11" s="234"/>
      <c r="U11" s="234"/>
      <c r="V11" s="234"/>
      <c r="W11" s="234"/>
      <c r="X11" s="234"/>
      <c r="Y11" s="234"/>
      <c r="Z11" s="234"/>
      <c r="AA11" s="234"/>
      <c r="AB11" s="234"/>
      <c r="AC11" s="234"/>
      <c r="AD11" s="234"/>
      <c r="AE11" s="234"/>
      <c r="AF11" s="234"/>
      <c r="AG11" s="234"/>
      <c r="AH11" s="234"/>
      <c r="AI11" s="234"/>
      <c r="AJ11" s="234"/>
      <c r="AK11" s="234"/>
      <c r="AL11" s="234"/>
      <c r="AM11" s="234"/>
      <c r="AN11" s="234"/>
      <c r="AO11" s="234"/>
      <c r="AP11" s="217"/>
    </row>
    <row r="12" spans="1:42">
      <c r="B12" s="217">
        <f t="shared" si="0"/>
        <v>4</v>
      </c>
      <c r="C12" s="217"/>
      <c r="D12" s="217"/>
      <c r="E12" s="217"/>
      <c r="F12" s="217"/>
      <c r="G12" s="217"/>
      <c r="H12" s="217"/>
      <c r="I12" s="245"/>
      <c r="J12" s="234"/>
      <c r="K12" s="234"/>
      <c r="L12" s="234"/>
      <c r="M12" s="234"/>
      <c r="N12" s="234"/>
      <c r="O12" s="234"/>
      <c r="P12" s="234"/>
      <c r="Q12" s="234"/>
      <c r="R12" s="234"/>
      <c r="S12" s="234"/>
      <c r="T12" s="234"/>
      <c r="U12" s="234"/>
      <c r="V12" s="234"/>
      <c r="W12" s="234"/>
      <c r="X12" s="234"/>
      <c r="Y12" s="234"/>
      <c r="Z12" s="234"/>
      <c r="AA12" s="234"/>
      <c r="AB12" s="234"/>
      <c r="AC12" s="234"/>
      <c r="AD12" s="234"/>
      <c r="AE12" s="234"/>
      <c r="AF12" s="234"/>
      <c r="AG12" s="234"/>
      <c r="AH12" s="234"/>
      <c r="AI12" s="234"/>
      <c r="AJ12" s="234"/>
      <c r="AK12" s="234"/>
      <c r="AL12" s="234"/>
      <c r="AM12" s="234"/>
      <c r="AN12" s="234"/>
      <c r="AO12" s="234"/>
      <c r="AP12" s="217"/>
    </row>
    <row r="13" spans="1:42">
      <c r="B13" s="217">
        <f t="shared" si="0"/>
        <v>5</v>
      </c>
      <c r="C13" s="217"/>
      <c r="D13" s="217"/>
      <c r="E13" s="217"/>
      <c r="F13" s="217"/>
      <c r="G13" s="217"/>
      <c r="H13" s="217"/>
      <c r="I13" s="245"/>
      <c r="J13" s="234"/>
      <c r="K13" s="234"/>
      <c r="L13" s="234"/>
      <c r="M13" s="234"/>
      <c r="N13" s="234"/>
      <c r="O13" s="234"/>
      <c r="P13" s="234"/>
      <c r="Q13" s="234"/>
      <c r="R13" s="234"/>
      <c r="S13" s="234"/>
      <c r="T13" s="234"/>
      <c r="U13" s="234"/>
      <c r="V13" s="234"/>
      <c r="W13" s="234"/>
      <c r="X13" s="234"/>
      <c r="Y13" s="234"/>
      <c r="Z13" s="234"/>
      <c r="AA13" s="234"/>
      <c r="AB13" s="234"/>
      <c r="AC13" s="234"/>
      <c r="AD13" s="234"/>
      <c r="AE13" s="234"/>
      <c r="AF13" s="234"/>
      <c r="AG13" s="234"/>
      <c r="AH13" s="234"/>
      <c r="AI13" s="234"/>
      <c r="AJ13" s="234"/>
      <c r="AK13" s="234"/>
      <c r="AL13" s="234"/>
      <c r="AM13" s="234"/>
      <c r="AN13" s="234"/>
      <c r="AO13" s="234"/>
      <c r="AP13" s="217"/>
    </row>
    <row r="14" spans="1:42">
      <c r="B14" s="217">
        <f t="shared" si="0"/>
        <v>6</v>
      </c>
      <c r="C14" s="217"/>
      <c r="D14" s="217"/>
      <c r="E14" s="217"/>
      <c r="F14" s="217"/>
      <c r="G14" s="217"/>
      <c r="H14" s="217"/>
      <c r="I14" s="256"/>
      <c r="J14" s="234"/>
      <c r="K14" s="234"/>
      <c r="L14" s="234"/>
      <c r="M14" s="234"/>
      <c r="N14" s="234"/>
      <c r="O14" s="234"/>
      <c r="P14" s="234"/>
      <c r="Q14" s="234"/>
      <c r="R14" s="234"/>
      <c r="S14" s="234"/>
      <c r="T14" s="234"/>
      <c r="U14" s="234"/>
      <c r="V14" s="234"/>
      <c r="W14" s="234"/>
      <c r="X14" s="234"/>
      <c r="Y14" s="234"/>
      <c r="Z14" s="234"/>
      <c r="AA14" s="234"/>
      <c r="AB14" s="234"/>
      <c r="AC14" s="234"/>
      <c r="AD14" s="234"/>
      <c r="AE14" s="234"/>
      <c r="AF14" s="234"/>
      <c r="AG14" s="234"/>
      <c r="AH14" s="234"/>
      <c r="AI14" s="234"/>
      <c r="AJ14" s="234"/>
      <c r="AK14" s="234"/>
      <c r="AL14" s="234"/>
      <c r="AM14" s="234"/>
      <c r="AN14" s="234"/>
      <c r="AO14" s="234"/>
      <c r="AP14" s="217"/>
    </row>
    <row r="15" spans="1:42">
      <c r="B15" s="217">
        <f t="shared" si="0"/>
        <v>7</v>
      </c>
      <c r="C15" s="217"/>
      <c r="D15" s="217"/>
      <c r="E15" s="217"/>
      <c r="F15" s="217"/>
      <c r="G15" s="217"/>
      <c r="H15" s="217"/>
      <c r="I15" s="245"/>
      <c r="J15" s="234"/>
      <c r="K15" s="234"/>
      <c r="L15" s="234"/>
      <c r="M15" s="234"/>
      <c r="N15" s="234"/>
      <c r="O15" s="234"/>
      <c r="P15" s="234"/>
      <c r="Q15" s="234"/>
      <c r="R15" s="234"/>
      <c r="S15" s="234"/>
      <c r="T15" s="234"/>
      <c r="U15" s="234"/>
      <c r="V15" s="234"/>
      <c r="W15" s="234"/>
      <c r="X15" s="234"/>
      <c r="Y15" s="234"/>
      <c r="Z15" s="234"/>
      <c r="AA15" s="234"/>
      <c r="AB15" s="234"/>
      <c r="AC15" s="234"/>
      <c r="AD15" s="234"/>
      <c r="AE15" s="234"/>
      <c r="AF15" s="234"/>
      <c r="AG15" s="234"/>
      <c r="AH15" s="234"/>
      <c r="AI15" s="234"/>
      <c r="AJ15" s="234"/>
      <c r="AK15" s="234"/>
      <c r="AL15" s="234"/>
      <c r="AM15" s="234"/>
      <c r="AN15" s="234"/>
      <c r="AO15" s="234"/>
      <c r="AP15" s="217"/>
    </row>
    <row r="16" spans="1:42">
      <c r="B16" s="217">
        <f t="shared" si="0"/>
        <v>8</v>
      </c>
      <c r="C16" s="217"/>
      <c r="D16" s="217"/>
      <c r="E16" s="217"/>
      <c r="F16" s="217"/>
      <c r="G16" s="217"/>
      <c r="H16" s="217"/>
      <c r="I16" s="245"/>
      <c r="J16" s="234"/>
      <c r="K16" s="234"/>
      <c r="L16" s="234"/>
      <c r="M16" s="234"/>
      <c r="N16" s="234"/>
      <c r="O16" s="234"/>
      <c r="P16" s="234"/>
      <c r="Q16" s="234"/>
      <c r="R16" s="234"/>
      <c r="S16" s="234"/>
      <c r="T16" s="234"/>
      <c r="U16" s="234"/>
      <c r="V16" s="234"/>
      <c r="W16" s="234"/>
      <c r="X16" s="234"/>
      <c r="Y16" s="234"/>
      <c r="Z16" s="234"/>
      <c r="AA16" s="234"/>
      <c r="AB16" s="234"/>
      <c r="AC16" s="234"/>
      <c r="AD16" s="234"/>
      <c r="AE16" s="234"/>
      <c r="AF16" s="234"/>
      <c r="AG16" s="234"/>
      <c r="AH16" s="234"/>
      <c r="AI16" s="234"/>
      <c r="AJ16" s="234"/>
      <c r="AK16" s="234"/>
      <c r="AL16" s="234"/>
      <c r="AM16" s="234"/>
      <c r="AN16" s="234"/>
      <c r="AO16" s="234"/>
      <c r="AP16" s="217"/>
    </row>
    <row r="17" spans="2:42">
      <c r="B17" s="217">
        <f t="shared" si="0"/>
        <v>9</v>
      </c>
      <c r="C17" s="217"/>
      <c r="D17" s="217"/>
      <c r="E17" s="217"/>
      <c r="F17" s="217"/>
      <c r="G17" s="217"/>
      <c r="H17" s="217"/>
      <c r="I17" s="245"/>
      <c r="J17" s="234"/>
      <c r="K17" s="234"/>
      <c r="L17" s="234"/>
      <c r="M17" s="234"/>
      <c r="N17" s="234"/>
      <c r="O17" s="234"/>
      <c r="P17" s="234"/>
      <c r="Q17" s="234"/>
      <c r="R17" s="234"/>
      <c r="S17" s="234"/>
      <c r="T17" s="234"/>
      <c r="U17" s="234"/>
      <c r="V17" s="234"/>
      <c r="W17" s="234"/>
      <c r="X17" s="234"/>
      <c r="Y17" s="234"/>
      <c r="Z17" s="234"/>
      <c r="AA17" s="234"/>
      <c r="AB17" s="234"/>
      <c r="AC17" s="234"/>
      <c r="AD17" s="234"/>
      <c r="AE17" s="234"/>
      <c r="AF17" s="234"/>
      <c r="AG17" s="234"/>
      <c r="AH17" s="234"/>
      <c r="AI17" s="234"/>
      <c r="AJ17" s="234"/>
      <c r="AK17" s="234"/>
      <c r="AL17" s="234"/>
      <c r="AM17" s="234"/>
      <c r="AN17" s="234"/>
      <c r="AO17" s="234"/>
      <c r="AP17" s="217"/>
    </row>
    <row r="18" spans="2:42">
      <c r="B18" s="217">
        <f t="shared" si="0"/>
        <v>10</v>
      </c>
      <c r="C18" s="217"/>
      <c r="D18" s="217"/>
      <c r="E18" s="217"/>
      <c r="F18" s="217"/>
      <c r="G18" s="217"/>
      <c r="H18" s="217"/>
      <c r="I18" s="256"/>
      <c r="J18" s="234"/>
      <c r="K18" s="234"/>
      <c r="L18" s="234"/>
      <c r="M18" s="234"/>
      <c r="N18" s="234"/>
      <c r="O18" s="234"/>
      <c r="P18" s="234"/>
      <c r="Q18" s="234"/>
      <c r="R18" s="234"/>
      <c r="S18" s="234"/>
      <c r="T18" s="234"/>
      <c r="U18" s="234"/>
      <c r="V18" s="234"/>
      <c r="W18" s="234"/>
      <c r="X18" s="234"/>
      <c r="Y18" s="234"/>
      <c r="Z18" s="234"/>
      <c r="AA18" s="234"/>
      <c r="AB18" s="234"/>
      <c r="AC18" s="234"/>
      <c r="AD18" s="234"/>
      <c r="AE18" s="234"/>
      <c r="AF18" s="234"/>
      <c r="AG18" s="234"/>
      <c r="AH18" s="234"/>
      <c r="AI18" s="234"/>
      <c r="AJ18" s="234"/>
      <c r="AK18" s="234"/>
      <c r="AL18" s="234"/>
      <c r="AM18" s="234"/>
      <c r="AN18" s="234"/>
      <c r="AO18" s="234"/>
      <c r="AP18" s="217"/>
    </row>
    <row r="19" spans="2:42">
      <c r="B19" s="217">
        <f t="shared" si="0"/>
        <v>11</v>
      </c>
      <c r="C19" s="217"/>
      <c r="D19" s="217"/>
      <c r="E19" s="217"/>
      <c r="F19" s="217"/>
      <c r="G19" s="217"/>
      <c r="H19" s="217"/>
      <c r="I19" s="245"/>
      <c r="J19" s="234"/>
      <c r="K19" s="234"/>
      <c r="L19" s="234"/>
      <c r="M19" s="234"/>
      <c r="N19" s="234"/>
      <c r="O19" s="234"/>
      <c r="P19" s="234"/>
      <c r="Q19" s="234"/>
      <c r="R19" s="234"/>
      <c r="S19" s="234"/>
      <c r="T19" s="234"/>
      <c r="U19" s="234"/>
      <c r="V19" s="234"/>
      <c r="W19" s="234"/>
      <c r="X19" s="234"/>
      <c r="Y19" s="234"/>
      <c r="Z19" s="234"/>
      <c r="AA19" s="234"/>
      <c r="AB19" s="234"/>
      <c r="AC19" s="234"/>
      <c r="AD19" s="234"/>
      <c r="AE19" s="234"/>
      <c r="AF19" s="234"/>
      <c r="AG19" s="234"/>
      <c r="AH19" s="234"/>
      <c r="AI19" s="234"/>
      <c r="AJ19" s="234"/>
      <c r="AK19" s="234"/>
      <c r="AL19" s="234"/>
      <c r="AM19" s="234"/>
      <c r="AN19" s="234"/>
      <c r="AO19" s="234"/>
      <c r="AP19" s="217"/>
    </row>
    <row r="20" spans="2:42">
      <c r="B20" s="217">
        <f t="shared" si="0"/>
        <v>12</v>
      </c>
      <c r="C20" s="217"/>
      <c r="D20" s="217"/>
      <c r="E20" s="217"/>
      <c r="F20" s="217"/>
      <c r="G20" s="217"/>
      <c r="H20" s="217"/>
      <c r="I20" s="245"/>
      <c r="J20" s="234"/>
      <c r="K20" s="234"/>
      <c r="L20" s="234"/>
      <c r="M20" s="234"/>
      <c r="N20" s="234"/>
      <c r="O20" s="234"/>
      <c r="P20" s="234"/>
      <c r="Q20" s="234"/>
      <c r="R20" s="234"/>
      <c r="S20" s="234"/>
      <c r="T20" s="234"/>
      <c r="U20" s="234"/>
      <c r="V20" s="234"/>
      <c r="W20" s="234"/>
      <c r="X20" s="234"/>
      <c r="Y20" s="234"/>
      <c r="Z20" s="234"/>
      <c r="AA20" s="234"/>
      <c r="AB20" s="234"/>
      <c r="AC20" s="234"/>
      <c r="AD20" s="234"/>
      <c r="AE20" s="234"/>
      <c r="AF20" s="234"/>
      <c r="AG20" s="234"/>
      <c r="AH20" s="234"/>
      <c r="AI20" s="234"/>
      <c r="AJ20" s="234"/>
      <c r="AK20" s="234"/>
      <c r="AL20" s="234"/>
      <c r="AM20" s="234"/>
      <c r="AN20" s="234"/>
      <c r="AO20" s="234"/>
      <c r="AP20" s="217"/>
    </row>
    <row r="21" spans="2:42">
      <c r="B21" s="217">
        <f t="shared" si="0"/>
        <v>13</v>
      </c>
      <c r="C21" s="217"/>
      <c r="D21" s="217"/>
      <c r="E21" s="217"/>
      <c r="F21" s="217"/>
      <c r="G21" s="217"/>
      <c r="H21" s="217"/>
      <c r="I21" s="245"/>
      <c r="J21" s="234"/>
      <c r="K21" s="234"/>
      <c r="L21" s="234"/>
      <c r="M21" s="234"/>
      <c r="N21" s="234"/>
      <c r="O21" s="234"/>
      <c r="P21" s="234"/>
      <c r="Q21" s="234"/>
      <c r="R21" s="234"/>
      <c r="S21" s="234"/>
      <c r="T21" s="234"/>
      <c r="U21" s="234"/>
      <c r="V21" s="234"/>
      <c r="W21" s="234"/>
      <c r="X21" s="234"/>
      <c r="Y21" s="234"/>
      <c r="Z21" s="234"/>
      <c r="AA21" s="234"/>
      <c r="AB21" s="234"/>
      <c r="AC21" s="234"/>
      <c r="AD21" s="234"/>
      <c r="AE21" s="234"/>
      <c r="AF21" s="234"/>
      <c r="AG21" s="234"/>
      <c r="AH21" s="234"/>
      <c r="AI21" s="234"/>
      <c r="AJ21" s="234"/>
      <c r="AK21" s="234"/>
      <c r="AL21" s="234"/>
      <c r="AM21" s="234"/>
      <c r="AN21" s="234"/>
      <c r="AO21" s="234"/>
      <c r="AP21" s="217"/>
    </row>
    <row r="22" spans="2:42">
      <c r="B22" s="217">
        <f t="shared" si="0"/>
        <v>14</v>
      </c>
      <c r="C22" s="217"/>
      <c r="D22" s="217"/>
      <c r="E22" s="217"/>
      <c r="F22" s="217"/>
      <c r="G22" s="217"/>
      <c r="H22" s="217"/>
      <c r="I22" s="256"/>
      <c r="J22" s="234"/>
      <c r="K22" s="234"/>
      <c r="L22" s="234"/>
      <c r="M22" s="234"/>
      <c r="N22" s="234"/>
      <c r="O22" s="234"/>
      <c r="P22" s="234"/>
      <c r="Q22" s="234"/>
      <c r="R22" s="234"/>
      <c r="S22" s="234"/>
      <c r="T22" s="234"/>
      <c r="U22" s="234"/>
      <c r="V22" s="234"/>
      <c r="W22" s="234"/>
      <c r="X22" s="234"/>
      <c r="Y22" s="234"/>
      <c r="Z22" s="234"/>
      <c r="AA22" s="234"/>
      <c r="AB22" s="234"/>
      <c r="AC22" s="234"/>
      <c r="AD22" s="234"/>
      <c r="AE22" s="234"/>
      <c r="AF22" s="234"/>
      <c r="AG22" s="234"/>
      <c r="AH22" s="234"/>
      <c r="AI22" s="234"/>
      <c r="AJ22" s="234"/>
      <c r="AK22" s="234"/>
      <c r="AL22" s="234"/>
      <c r="AM22" s="234"/>
      <c r="AN22" s="234"/>
      <c r="AO22" s="234"/>
      <c r="AP22" s="217"/>
    </row>
    <row r="23" spans="2:42">
      <c r="B23" s="217">
        <f t="shared" si="0"/>
        <v>15</v>
      </c>
      <c r="C23" s="217"/>
      <c r="D23" s="217"/>
      <c r="E23" s="217"/>
      <c r="F23" s="217"/>
      <c r="G23" s="217"/>
      <c r="H23" s="217"/>
      <c r="I23" s="245"/>
      <c r="J23" s="234"/>
      <c r="K23" s="234"/>
      <c r="L23" s="234"/>
      <c r="M23" s="234"/>
      <c r="N23" s="234"/>
      <c r="O23" s="234"/>
      <c r="P23" s="234"/>
      <c r="Q23" s="234"/>
      <c r="R23" s="234"/>
      <c r="S23" s="234"/>
      <c r="T23" s="234"/>
      <c r="U23" s="234"/>
      <c r="V23" s="234"/>
      <c r="W23" s="234"/>
      <c r="X23" s="234"/>
      <c r="Y23" s="234"/>
      <c r="Z23" s="234"/>
      <c r="AA23" s="234"/>
      <c r="AB23" s="234"/>
      <c r="AC23" s="234"/>
      <c r="AD23" s="234"/>
      <c r="AE23" s="234"/>
      <c r="AF23" s="234"/>
      <c r="AG23" s="234"/>
      <c r="AH23" s="234"/>
      <c r="AI23" s="234"/>
      <c r="AJ23" s="234"/>
      <c r="AK23" s="234"/>
      <c r="AL23" s="234"/>
      <c r="AM23" s="234"/>
      <c r="AN23" s="234"/>
      <c r="AO23" s="234"/>
      <c r="AP23" s="217"/>
    </row>
    <row r="24" spans="2:42">
      <c r="B24" s="217">
        <f t="shared" si="0"/>
        <v>16</v>
      </c>
      <c r="C24" s="217"/>
      <c r="D24" s="217"/>
      <c r="E24" s="217"/>
      <c r="F24" s="217"/>
      <c r="G24" s="217"/>
      <c r="H24" s="217"/>
      <c r="I24" s="245"/>
      <c r="J24" s="234"/>
      <c r="K24" s="234"/>
      <c r="L24" s="234"/>
      <c r="M24" s="234"/>
      <c r="N24" s="234"/>
      <c r="O24" s="234"/>
      <c r="P24" s="234"/>
      <c r="Q24" s="234"/>
      <c r="R24" s="234"/>
      <c r="S24" s="234"/>
      <c r="T24" s="234"/>
      <c r="U24" s="234"/>
      <c r="V24" s="234"/>
      <c r="W24" s="234"/>
      <c r="X24" s="234"/>
      <c r="Y24" s="234"/>
      <c r="Z24" s="234"/>
      <c r="AA24" s="234"/>
      <c r="AB24" s="234"/>
      <c r="AC24" s="234"/>
      <c r="AD24" s="234"/>
      <c r="AE24" s="234"/>
      <c r="AF24" s="234"/>
      <c r="AG24" s="234"/>
      <c r="AH24" s="234"/>
      <c r="AI24" s="234"/>
      <c r="AJ24" s="234"/>
      <c r="AK24" s="234"/>
      <c r="AL24" s="234"/>
      <c r="AM24" s="234"/>
      <c r="AN24" s="234"/>
      <c r="AO24" s="234"/>
      <c r="AP24" s="217"/>
    </row>
    <row r="25" spans="2:42">
      <c r="B25" s="217">
        <f t="shared" si="0"/>
        <v>17</v>
      </c>
      <c r="C25" s="217"/>
      <c r="D25" s="217"/>
      <c r="E25" s="217"/>
      <c r="F25" s="217"/>
      <c r="G25" s="217"/>
      <c r="H25" s="217"/>
      <c r="I25" s="245"/>
      <c r="J25" s="234"/>
      <c r="K25" s="234"/>
      <c r="L25" s="234"/>
      <c r="M25" s="234"/>
      <c r="N25" s="234"/>
      <c r="O25" s="234"/>
      <c r="P25" s="234"/>
      <c r="Q25" s="234"/>
      <c r="R25" s="234"/>
      <c r="S25" s="234"/>
      <c r="T25" s="234"/>
      <c r="U25" s="234"/>
      <c r="V25" s="234"/>
      <c r="W25" s="234"/>
      <c r="X25" s="234"/>
      <c r="Y25" s="234"/>
      <c r="Z25" s="234"/>
      <c r="AA25" s="234"/>
      <c r="AB25" s="234"/>
      <c r="AC25" s="234"/>
      <c r="AD25" s="234"/>
      <c r="AE25" s="234"/>
      <c r="AF25" s="234"/>
      <c r="AG25" s="234"/>
      <c r="AH25" s="234"/>
      <c r="AI25" s="234"/>
      <c r="AJ25" s="234"/>
      <c r="AK25" s="234"/>
      <c r="AL25" s="234"/>
      <c r="AM25" s="234"/>
      <c r="AN25" s="234"/>
      <c r="AO25" s="234"/>
      <c r="AP25" s="217"/>
    </row>
    <row r="26" spans="2:42">
      <c r="B26" s="217">
        <f t="shared" si="0"/>
        <v>18</v>
      </c>
      <c r="C26" s="217"/>
      <c r="D26" s="217"/>
      <c r="E26" s="217"/>
      <c r="F26" s="217"/>
      <c r="G26" s="217"/>
      <c r="H26" s="217"/>
      <c r="I26" s="245"/>
      <c r="J26" s="234"/>
      <c r="K26" s="234"/>
      <c r="L26" s="234"/>
      <c r="M26" s="234"/>
      <c r="N26" s="234"/>
      <c r="O26" s="234"/>
      <c r="P26" s="234"/>
      <c r="Q26" s="234"/>
      <c r="R26" s="234"/>
      <c r="S26" s="234"/>
      <c r="T26" s="234"/>
      <c r="U26" s="234"/>
      <c r="V26" s="234"/>
      <c r="W26" s="234"/>
      <c r="X26" s="234"/>
      <c r="Y26" s="234"/>
      <c r="Z26" s="234"/>
      <c r="AA26" s="234"/>
      <c r="AB26" s="234"/>
      <c r="AC26" s="234"/>
      <c r="AD26" s="234"/>
      <c r="AE26" s="234"/>
      <c r="AF26" s="234"/>
      <c r="AG26" s="234"/>
      <c r="AH26" s="234"/>
      <c r="AI26" s="234"/>
      <c r="AJ26" s="234"/>
      <c r="AK26" s="234"/>
      <c r="AL26" s="234"/>
      <c r="AM26" s="234"/>
      <c r="AN26" s="234"/>
      <c r="AO26" s="234"/>
      <c r="AP26" s="217"/>
    </row>
    <row r="27" spans="2:42">
      <c r="B27" s="217">
        <f t="shared" si="0"/>
        <v>19</v>
      </c>
      <c r="C27" s="217"/>
      <c r="D27" s="217"/>
      <c r="E27" s="217"/>
      <c r="F27" s="217"/>
      <c r="G27" s="217"/>
      <c r="H27" s="217"/>
      <c r="I27" s="245"/>
      <c r="J27" s="234"/>
      <c r="K27" s="234"/>
      <c r="L27" s="234"/>
      <c r="M27" s="234"/>
      <c r="N27" s="234"/>
      <c r="O27" s="234"/>
      <c r="P27" s="234"/>
      <c r="Q27" s="234"/>
      <c r="R27" s="234"/>
      <c r="S27" s="234"/>
      <c r="T27" s="234"/>
      <c r="U27" s="234"/>
      <c r="V27" s="234"/>
      <c r="W27" s="234"/>
      <c r="X27" s="234"/>
      <c r="Y27" s="234"/>
      <c r="Z27" s="234"/>
      <c r="AA27" s="234"/>
      <c r="AB27" s="234"/>
      <c r="AC27" s="234"/>
      <c r="AD27" s="234"/>
      <c r="AE27" s="234"/>
      <c r="AF27" s="234"/>
      <c r="AG27" s="234"/>
      <c r="AH27" s="234"/>
      <c r="AI27" s="234"/>
      <c r="AJ27" s="234"/>
      <c r="AK27" s="234"/>
      <c r="AL27" s="234"/>
      <c r="AM27" s="234"/>
      <c r="AN27" s="234"/>
      <c r="AO27" s="234"/>
      <c r="AP27" s="217"/>
    </row>
    <row r="28" spans="2:42">
      <c r="B28" s="217">
        <f t="shared" si="0"/>
        <v>20</v>
      </c>
      <c r="C28" s="217"/>
      <c r="D28" s="217"/>
      <c r="E28" s="217"/>
      <c r="F28" s="217"/>
      <c r="G28" s="217"/>
      <c r="H28" s="217"/>
      <c r="I28" s="245"/>
      <c r="J28" s="234"/>
      <c r="K28" s="234"/>
      <c r="L28" s="234"/>
      <c r="M28" s="234"/>
      <c r="N28" s="234"/>
      <c r="O28" s="234"/>
      <c r="P28" s="234"/>
      <c r="Q28" s="234"/>
      <c r="R28" s="234"/>
      <c r="S28" s="234"/>
      <c r="T28" s="234"/>
      <c r="U28" s="234"/>
      <c r="V28" s="234"/>
      <c r="W28" s="234"/>
      <c r="X28" s="234"/>
      <c r="Y28" s="234"/>
      <c r="Z28" s="234"/>
      <c r="AA28" s="234"/>
      <c r="AB28" s="234"/>
      <c r="AC28" s="234"/>
      <c r="AD28" s="234"/>
      <c r="AE28" s="234"/>
      <c r="AF28" s="234"/>
      <c r="AG28" s="234"/>
      <c r="AH28" s="234"/>
      <c r="AI28" s="234"/>
      <c r="AJ28" s="234"/>
      <c r="AK28" s="234"/>
      <c r="AL28" s="234"/>
      <c r="AM28" s="234"/>
      <c r="AN28" s="234"/>
      <c r="AO28" s="234"/>
      <c r="AP28" s="217"/>
    </row>
    <row r="29" spans="2:42">
      <c r="B29" s="217">
        <f t="shared" si="0"/>
        <v>21</v>
      </c>
      <c r="C29" s="217"/>
      <c r="D29" s="217"/>
      <c r="E29" s="217"/>
      <c r="F29" s="217"/>
      <c r="G29" s="217"/>
      <c r="H29" s="217"/>
      <c r="I29" s="256"/>
      <c r="J29" s="234"/>
      <c r="K29" s="234"/>
      <c r="L29" s="234"/>
      <c r="M29" s="234"/>
      <c r="N29" s="234"/>
      <c r="O29" s="234"/>
      <c r="P29" s="234"/>
      <c r="Q29" s="234"/>
      <c r="R29" s="234"/>
      <c r="S29" s="234"/>
      <c r="T29" s="234"/>
      <c r="U29" s="234"/>
      <c r="V29" s="234"/>
      <c r="W29" s="234"/>
      <c r="X29" s="234"/>
      <c r="Y29" s="234"/>
      <c r="Z29" s="234"/>
      <c r="AA29" s="234"/>
      <c r="AB29" s="234"/>
      <c r="AC29" s="234"/>
      <c r="AD29" s="234"/>
      <c r="AE29" s="234"/>
      <c r="AF29" s="234"/>
      <c r="AG29" s="234"/>
      <c r="AH29" s="234"/>
      <c r="AI29" s="234"/>
      <c r="AJ29" s="234"/>
      <c r="AK29" s="234"/>
      <c r="AL29" s="234"/>
      <c r="AM29" s="234"/>
      <c r="AN29" s="234"/>
      <c r="AO29" s="234"/>
      <c r="AP29" s="217"/>
    </row>
    <row r="30" spans="2:42">
      <c r="B30" s="217">
        <f t="shared" si="0"/>
        <v>22</v>
      </c>
      <c r="C30" s="217"/>
      <c r="D30" s="217"/>
      <c r="E30" s="217"/>
      <c r="F30" s="217"/>
      <c r="G30" s="217"/>
      <c r="H30" s="217"/>
      <c r="I30" s="245"/>
      <c r="J30" s="234"/>
      <c r="K30" s="234"/>
      <c r="L30" s="234"/>
      <c r="M30" s="234"/>
      <c r="N30" s="234"/>
      <c r="O30" s="234"/>
      <c r="P30" s="234"/>
      <c r="Q30" s="234"/>
      <c r="R30" s="234"/>
      <c r="S30" s="234"/>
      <c r="T30" s="234"/>
      <c r="U30" s="234"/>
      <c r="V30" s="234"/>
      <c r="W30" s="234"/>
      <c r="X30" s="234"/>
      <c r="Y30" s="234"/>
      <c r="Z30" s="234"/>
      <c r="AA30" s="234"/>
      <c r="AB30" s="234"/>
      <c r="AC30" s="234"/>
      <c r="AD30" s="234"/>
      <c r="AE30" s="234"/>
      <c r="AF30" s="234"/>
      <c r="AG30" s="234"/>
      <c r="AH30" s="234"/>
      <c r="AI30" s="234"/>
      <c r="AJ30" s="234"/>
      <c r="AK30" s="234"/>
      <c r="AL30" s="234"/>
      <c r="AM30" s="234"/>
      <c r="AN30" s="234"/>
      <c r="AO30" s="234"/>
      <c r="AP30" s="217"/>
    </row>
    <row r="31" spans="2:42">
      <c r="B31" s="217">
        <f t="shared" si="0"/>
        <v>23</v>
      </c>
      <c r="C31" s="217"/>
      <c r="D31" s="217"/>
      <c r="E31" s="217"/>
      <c r="F31" s="217"/>
      <c r="G31" s="217"/>
      <c r="H31" s="217"/>
      <c r="I31" s="245"/>
      <c r="J31" s="234"/>
      <c r="K31" s="234"/>
      <c r="L31" s="234"/>
      <c r="M31" s="234"/>
      <c r="N31" s="234"/>
      <c r="O31" s="234"/>
      <c r="P31" s="234"/>
      <c r="Q31" s="234"/>
      <c r="R31" s="234"/>
      <c r="S31" s="234"/>
      <c r="T31" s="234"/>
      <c r="U31" s="234"/>
      <c r="V31" s="234"/>
      <c r="W31" s="234"/>
      <c r="X31" s="234"/>
      <c r="Y31" s="234"/>
      <c r="Z31" s="234"/>
      <c r="AA31" s="234"/>
      <c r="AB31" s="234"/>
      <c r="AC31" s="234"/>
      <c r="AD31" s="234"/>
      <c r="AE31" s="234"/>
      <c r="AF31" s="234"/>
      <c r="AG31" s="234"/>
      <c r="AH31" s="234"/>
      <c r="AI31" s="234"/>
      <c r="AJ31" s="234"/>
      <c r="AK31" s="234"/>
      <c r="AL31" s="234"/>
      <c r="AM31" s="234"/>
      <c r="AN31" s="234"/>
      <c r="AO31" s="234"/>
      <c r="AP31" s="217"/>
    </row>
    <row r="32" spans="2:42">
      <c r="B32" s="217">
        <f t="shared" si="0"/>
        <v>24</v>
      </c>
      <c r="C32" s="217"/>
      <c r="D32" s="217"/>
      <c r="E32" s="217"/>
      <c r="F32" s="217"/>
      <c r="G32" s="217"/>
      <c r="H32" s="217"/>
      <c r="I32" s="245"/>
      <c r="J32" s="234"/>
      <c r="K32" s="234"/>
      <c r="L32" s="234"/>
      <c r="M32" s="234"/>
      <c r="N32" s="234"/>
      <c r="O32" s="234"/>
      <c r="P32" s="234"/>
      <c r="Q32" s="234"/>
      <c r="R32" s="234"/>
      <c r="S32" s="234"/>
      <c r="T32" s="234"/>
      <c r="U32" s="234"/>
      <c r="V32" s="234"/>
      <c r="W32" s="234"/>
      <c r="X32" s="234"/>
      <c r="Y32" s="234"/>
      <c r="Z32" s="234"/>
      <c r="AA32" s="234"/>
      <c r="AB32" s="234"/>
      <c r="AC32" s="234"/>
      <c r="AD32" s="234"/>
      <c r="AE32" s="234"/>
      <c r="AF32" s="234"/>
      <c r="AG32" s="234"/>
      <c r="AH32" s="234"/>
      <c r="AI32" s="234"/>
      <c r="AJ32" s="234"/>
      <c r="AK32" s="234"/>
      <c r="AL32" s="234"/>
      <c r="AM32" s="234"/>
      <c r="AN32" s="234"/>
      <c r="AO32" s="234"/>
      <c r="AP32" s="217"/>
    </row>
    <row r="33" spans="2:42">
      <c r="B33" s="217">
        <f t="shared" si="0"/>
        <v>25</v>
      </c>
      <c r="C33" s="217"/>
      <c r="D33" s="217"/>
      <c r="E33" s="217"/>
      <c r="F33" s="217"/>
      <c r="G33" s="217"/>
      <c r="H33" s="217"/>
      <c r="I33" s="256"/>
      <c r="J33" s="234"/>
      <c r="K33" s="234"/>
      <c r="L33" s="234"/>
      <c r="M33" s="234"/>
      <c r="N33" s="234"/>
      <c r="O33" s="234"/>
      <c r="P33" s="234"/>
      <c r="Q33" s="234"/>
      <c r="R33" s="234"/>
      <c r="S33" s="234"/>
      <c r="T33" s="234"/>
      <c r="U33" s="234"/>
      <c r="V33" s="234"/>
      <c r="W33" s="234"/>
      <c r="X33" s="234"/>
      <c r="Y33" s="234"/>
      <c r="Z33" s="234"/>
      <c r="AA33" s="234"/>
      <c r="AB33" s="234"/>
      <c r="AC33" s="234"/>
      <c r="AD33" s="234"/>
      <c r="AE33" s="234"/>
      <c r="AF33" s="234"/>
      <c r="AG33" s="234"/>
      <c r="AH33" s="234"/>
      <c r="AI33" s="234"/>
      <c r="AJ33" s="234"/>
      <c r="AK33" s="234"/>
      <c r="AL33" s="234"/>
      <c r="AM33" s="234"/>
      <c r="AN33" s="234"/>
      <c r="AO33" s="234"/>
      <c r="AP33" s="217"/>
    </row>
    <row r="34" spans="2:42">
      <c r="B34" s="217">
        <f t="shared" si="0"/>
        <v>26</v>
      </c>
      <c r="C34" s="217"/>
      <c r="D34" s="217"/>
      <c r="E34" s="217"/>
      <c r="F34" s="217"/>
      <c r="G34" s="217"/>
      <c r="H34" s="217"/>
      <c r="I34" s="245"/>
      <c r="J34" s="234"/>
      <c r="K34" s="234"/>
      <c r="L34" s="234"/>
      <c r="M34" s="234"/>
      <c r="N34" s="234"/>
      <c r="O34" s="234"/>
      <c r="P34" s="234"/>
      <c r="Q34" s="234"/>
      <c r="R34" s="234"/>
      <c r="S34" s="234"/>
      <c r="T34" s="234"/>
      <c r="U34" s="234"/>
      <c r="V34" s="234"/>
      <c r="W34" s="234"/>
      <c r="X34" s="234"/>
      <c r="Y34" s="234"/>
      <c r="Z34" s="234"/>
      <c r="AA34" s="234"/>
      <c r="AB34" s="234"/>
      <c r="AC34" s="234"/>
      <c r="AD34" s="234"/>
      <c r="AE34" s="234"/>
      <c r="AF34" s="234"/>
      <c r="AG34" s="234"/>
      <c r="AH34" s="234"/>
      <c r="AI34" s="234"/>
      <c r="AJ34" s="234"/>
      <c r="AK34" s="234"/>
      <c r="AL34" s="234"/>
      <c r="AM34" s="234"/>
      <c r="AN34" s="234"/>
      <c r="AO34" s="234"/>
      <c r="AP34" s="217"/>
    </row>
    <row r="35" spans="2:42">
      <c r="B35" s="217">
        <f t="shared" si="0"/>
        <v>27</v>
      </c>
      <c r="C35" s="217"/>
      <c r="D35" s="217"/>
      <c r="E35" s="217"/>
      <c r="F35" s="217"/>
      <c r="G35" s="217"/>
      <c r="H35" s="217"/>
      <c r="I35" s="245"/>
      <c r="J35" s="234"/>
      <c r="K35" s="234"/>
      <c r="L35" s="234"/>
      <c r="M35" s="234"/>
      <c r="N35" s="234"/>
      <c r="O35" s="234"/>
      <c r="P35" s="234"/>
      <c r="Q35" s="234"/>
      <c r="R35" s="234"/>
      <c r="S35" s="234"/>
      <c r="T35" s="234"/>
      <c r="U35" s="234"/>
      <c r="V35" s="234"/>
      <c r="W35" s="234"/>
      <c r="X35" s="234"/>
      <c r="Y35" s="234"/>
      <c r="Z35" s="234"/>
      <c r="AA35" s="234"/>
      <c r="AB35" s="234"/>
      <c r="AC35" s="234"/>
      <c r="AD35" s="234"/>
      <c r="AE35" s="234"/>
      <c r="AF35" s="234"/>
      <c r="AG35" s="234"/>
      <c r="AH35" s="234"/>
      <c r="AI35" s="234"/>
      <c r="AJ35" s="234"/>
      <c r="AK35" s="234"/>
      <c r="AL35" s="234"/>
      <c r="AM35" s="234"/>
      <c r="AN35" s="234"/>
      <c r="AO35" s="234"/>
      <c r="AP35" s="217"/>
    </row>
    <row r="36" spans="2:42">
      <c r="B36" s="217">
        <f t="shared" si="0"/>
        <v>28</v>
      </c>
      <c r="C36" s="217"/>
      <c r="D36" s="217"/>
      <c r="E36" s="217"/>
      <c r="F36" s="217"/>
      <c r="G36" s="217"/>
      <c r="H36" s="217"/>
      <c r="I36" s="245"/>
      <c r="J36" s="234"/>
      <c r="K36" s="234"/>
      <c r="L36" s="234"/>
      <c r="M36" s="234"/>
      <c r="N36" s="234"/>
      <c r="O36" s="234"/>
      <c r="P36" s="234"/>
      <c r="Q36" s="234"/>
      <c r="R36" s="234"/>
      <c r="S36" s="234"/>
      <c r="T36" s="234"/>
      <c r="U36" s="234"/>
      <c r="V36" s="234"/>
      <c r="W36" s="234"/>
      <c r="X36" s="234"/>
      <c r="Y36" s="234"/>
      <c r="Z36" s="234"/>
      <c r="AA36" s="234"/>
      <c r="AB36" s="234"/>
      <c r="AC36" s="234"/>
      <c r="AD36" s="234"/>
      <c r="AE36" s="234"/>
      <c r="AF36" s="234"/>
      <c r="AG36" s="234"/>
      <c r="AH36" s="234"/>
      <c r="AI36" s="234"/>
      <c r="AJ36" s="234"/>
      <c r="AK36" s="234"/>
      <c r="AL36" s="234"/>
      <c r="AM36" s="234"/>
      <c r="AN36" s="234"/>
      <c r="AO36" s="234"/>
      <c r="AP36" s="217"/>
    </row>
    <row r="37" spans="2:42">
      <c r="B37" s="217">
        <f t="shared" si="0"/>
        <v>29</v>
      </c>
      <c r="C37" s="217"/>
      <c r="D37" s="217"/>
      <c r="E37" s="217"/>
      <c r="F37" s="217"/>
      <c r="G37" s="217"/>
      <c r="H37" s="217"/>
      <c r="I37" s="245"/>
      <c r="J37" s="234"/>
      <c r="K37" s="234"/>
      <c r="L37" s="234"/>
      <c r="M37" s="234"/>
      <c r="N37" s="234"/>
      <c r="O37" s="234"/>
      <c r="P37" s="234"/>
      <c r="Q37" s="234"/>
      <c r="R37" s="234"/>
      <c r="S37" s="234"/>
      <c r="T37" s="234"/>
      <c r="U37" s="234"/>
      <c r="V37" s="234"/>
      <c r="W37" s="234"/>
      <c r="X37" s="234"/>
      <c r="Y37" s="234"/>
      <c r="Z37" s="234"/>
      <c r="AA37" s="234"/>
      <c r="AB37" s="234"/>
      <c r="AC37" s="234"/>
      <c r="AD37" s="234"/>
      <c r="AE37" s="234"/>
      <c r="AF37" s="234"/>
      <c r="AG37" s="234"/>
      <c r="AH37" s="234"/>
      <c r="AI37" s="234"/>
      <c r="AJ37" s="234"/>
      <c r="AK37" s="234"/>
      <c r="AL37" s="234"/>
      <c r="AM37" s="234"/>
      <c r="AN37" s="234"/>
      <c r="AO37" s="234"/>
      <c r="AP37" s="217"/>
    </row>
    <row r="38" spans="2:42">
      <c r="B38" s="217">
        <f t="shared" si="0"/>
        <v>30</v>
      </c>
      <c r="C38" s="217"/>
      <c r="D38" s="217"/>
      <c r="E38" s="217"/>
      <c r="F38" s="217"/>
      <c r="G38" s="217"/>
      <c r="H38" s="217"/>
      <c r="I38" s="245"/>
      <c r="J38" s="234"/>
      <c r="K38" s="234"/>
      <c r="L38" s="234"/>
      <c r="M38" s="234"/>
      <c r="N38" s="234"/>
      <c r="O38" s="234"/>
      <c r="P38" s="234"/>
      <c r="Q38" s="234"/>
      <c r="R38" s="234"/>
      <c r="S38" s="234"/>
      <c r="T38" s="234"/>
      <c r="U38" s="234"/>
      <c r="V38" s="234"/>
      <c r="W38" s="234"/>
      <c r="X38" s="234"/>
      <c r="Y38" s="234"/>
      <c r="Z38" s="234"/>
      <c r="AA38" s="234"/>
      <c r="AB38" s="234"/>
      <c r="AC38" s="234"/>
      <c r="AD38" s="234"/>
      <c r="AE38" s="234"/>
      <c r="AF38" s="234"/>
      <c r="AG38" s="234"/>
      <c r="AH38" s="234"/>
      <c r="AI38" s="234"/>
      <c r="AJ38" s="234"/>
      <c r="AK38" s="234"/>
      <c r="AL38" s="234"/>
      <c r="AM38" s="234"/>
      <c r="AN38" s="234"/>
      <c r="AO38" s="234"/>
      <c r="AP38" s="217"/>
    </row>
  </sheetData>
  <sheetProtection insertRows="0" deleteRows="0" sort="0" autoFilter="0"/>
  <mergeCells count="1">
    <mergeCell ref="B4:B8"/>
  </mergeCells>
  <phoneticPr fontId="14"/>
  <hyperlinks>
    <hyperlink ref="A3" location="パラメータ設定一覧!A1" display="パラメータ設定一覧へ" xr:uid="{F045730A-9C81-4B26-921F-EECE16B42B38}"/>
  </hyperlinks>
  <pageMargins left="0.7" right="0.7" top="0.75" bottom="0.75" header="0.3" footer="0.3"/>
  <pageSetup paperSize="9" orientation="portrait" verticalDpi="0"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C653B-64B3-4223-9CE2-227134646923}">
  <sheetPr codeName="Sheet23"/>
  <dimension ref="A1:L190"/>
  <sheetViews>
    <sheetView showGridLines="0" zoomScaleNormal="100" workbookViewId="0">
      <pane xSplit="6" ySplit="5" topLeftCell="G6" activePane="bottomRight" state="frozen"/>
      <selection pane="topRight"/>
      <selection pane="bottomLeft"/>
      <selection pane="bottomRight" activeCell="G6" sqref="G6"/>
    </sheetView>
  </sheetViews>
  <sheetFormatPr defaultColWidth="8.78515625" defaultRowHeight="13.5"/>
  <cols>
    <col min="1" max="1" width="2.78515625" style="46" customWidth="1"/>
    <col min="2" max="2" width="3.78515625" style="46" customWidth="1"/>
    <col min="3" max="3" width="16.78515625" style="46" customWidth="1"/>
    <col min="4" max="4" width="19.2109375" style="46" customWidth="1"/>
    <col min="5" max="5" width="16.5703125" style="46" customWidth="1"/>
    <col min="6" max="6" width="22.5703125" style="46" customWidth="1"/>
    <col min="7" max="7" width="33.42578125" style="46" customWidth="1"/>
    <col min="8" max="8" width="23.2109375" style="46" customWidth="1"/>
    <col min="9" max="9" width="17.42578125" style="53" customWidth="1"/>
    <col min="10" max="10" width="22.42578125" style="46" customWidth="1"/>
    <col min="11" max="11" width="18.2109375" style="46" customWidth="1"/>
    <col min="12" max="12" width="13.2109375" style="46" customWidth="1"/>
    <col min="13" max="16384" width="8.78515625" style="46"/>
  </cols>
  <sheetData>
    <row r="1" spans="1:12" customFormat="1" ht="19.5">
      <c r="A1" s="88" t="s">
        <v>534</v>
      </c>
      <c r="C1" s="46"/>
      <c r="D1" s="46"/>
      <c r="E1" s="46"/>
      <c r="F1" s="46"/>
      <c r="G1" s="46"/>
      <c r="H1" s="46"/>
      <c r="I1" s="53"/>
    </row>
    <row r="2" spans="1:12" customFormat="1" ht="15">
      <c r="B2" t="s">
        <v>533</v>
      </c>
      <c r="C2" s="46"/>
      <c r="D2" s="46"/>
      <c r="E2" s="46"/>
      <c r="F2" s="46"/>
      <c r="G2" s="46"/>
      <c r="H2" s="46"/>
      <c r="I2" s="53"/>
    </row>
    <row r="3" spans="1:12" customFormat="1" ht="15">
      <c r="B3" t="s">
        <v>532</v>
      </c>
      <c r="C3" s="46"/>
      <c r="D3" s="46"/>
      <c r="E3" s="46"/>
      <c r="F3" s="46"/>
      <c r="G3" s="46"/>
      <c r="H3" s="46"/>
      <c r="I3" s="53"/>
    </row>
    <row r="4" spans="1:12" customFormat="1" ht="15">
      <c r="A4" s="10" t="s">
        <v>363</v>
      </c>
      <c r="C4" s="46"/>
      <c r="D4" s="46"/>
      <c r="E4" s="46"/>
      <c r="F4" s="46"/>
      <c r="G4" s="46"/>
      <c r="H4" s="46"/>
      <c r="I4" s="53"/>
    </row>
    <row r="5" spans="1:12">
      <c r="B5" s="11" t="s">
        <v>1</v>
      </c>
      <c r="C5" s="11" t="s">
        <v>9</v>
      </c>
      <c r="D5" s="11" t="s">
        <v>10</v>
      </c>
      <c r="E5" s="11" t="s">
        <v>11</v>
      </c>
      <c r="F5" s="20" t="s">
        <v>12</v>
      </c>
      <c r="G5" s="20" t="s">
        <v>498</v>
      </c>
      <c r="H5" s="11" t="s">
        <v>14</v>
      </c>
      <c r="I5" s="54" t="s">
        <v>15</v>
      </c>
      <c r="J5" s="11" t="s">
        <v>16</v>
      </c>
      <c r="K5" s="14" t="s">
        <v>17</v>
      </c>
      <c r="L5" s="14" t="s">
        <v>18</v>
      </c>
    </row>
    <row r="6" spans="1:12" ht="54">
      <c r="B6" s="21">
        <f t="shared" ref="B6:B14" si="0">ROW() - 5</f>
        <v>1</v>
      </c>
      <c r="C6" s="16" t="s">
        <v>531</v>
      </c>
      <c r="D6" s="16"/>
      <c r="E6" s="104"/>
      <c r="F6" s="22" t="s">
        <v>531</v>
      </c>
      <c r="G6" s="22" t="s">
        <v>530</v>
      </c>
      <c r="H6" s="44" t="s">
        <v>20</v>
      </c>
      <c r="I6" s="44" t="s">
        <v>331</v>
      </c>
      <c r="J6" s="17"/>
      <c r="K6" s="2" t="s">
        <v>2756</v>
      </c>
      <c r="L6" s="3"/>
    </row>
    <row r="7" spans="1:12" ht="40.5">
      <c r="B7" s="21">
        <f t="shared" si="0"/>
        <v>2</v>
      </c>
      <c r="C7" s="68"/>
      <c r="D7" s="68"/>
      <c r="E7" s="68"/>
      <c r="F7" s="22" t="s">
        <v>45</v>
      </c>
      <c r="G7" s="22" t="s">
        <v>529</v>
      </c>
      <c r="H7" s="44" t="s">
        <v>20</v>
      </c>
      <c r="I7" s="44" t="s">
        <v>331</v>
      </c>
      <c r="J7" s="23"/>
      <c r="K7" s="2" t="s">
        <v>2756</v>
      </c>
      <c r="L7" s="3"/>
    </row>
    <row r="8" spans="1:12" ht="27">
      <c r="B8" s="21">
        <f t="shared" si="0"/>
        <v>3</v>
      </c>
      <c r="C8" s="68"/>
      <c r="D8" s="68"/>
      <c r="E8" s="68"/>
      <c r="F8" s="22" t="s">
        <v>528</v>
      </c>
      <c r="G8" s="108"/>
      <c r="H8" s="22" t="s">
        <v>527</v>
      </c>
      <c r="I8" s="44" t="s">
        <v>331</v>
      </c>
      <c r="J8" s="23"/>
      <c r="K8" s="2" t="s">
        <v>2756</v>
      </c>
      <c r="L8" s="3"/>
    </row>
    <row r="9" spans="1:12" ht="27">
      <c r="B9" s="21">
        <f t="shared" si="0"/>
        <v>4</v>
      </c>
      <c r="C9" s="19"/>
      <c r="D9" s="19"/>
      <c r="E9" s="19"/>
      <c r="F9" s="22" t="s">
        <v>526</v>
      </c>
      <c r="G9" s="103"/>
      <c r="H9" s="22" t="s">
        <v>525</v>
      </c>
      <c r="I9" s="44" t="s">
        <v>331</v>
      </c>
      <c r="J9" s="23"/>
      <c r="K9" s="2" t="s">
        <v>2756</v>
      </c>
      <c r="L9" s="3"/>
    </row>
    <row r="10" spans="1:12" ht="27">
      <c r="B10" s="21">
        <f t="shared" si="0"/>
        <v>5</v>
      </c>
      <c r="C10" s="16" t="s">
        <v>524</v>
      </c>
      <c r="D10" s="16"/>
      <c r="E10" s="104"/>
      <c r="F10" s="22" t="s">
        <v>19</v>
      </c>
      <c r="G10" s="22"/>
      <c r="H10" s="44" t="s">
        <v>523</v>
      </c>
      <c r="I10" s="44" t="s">
        <v>331</v>
      </c>
      <c r="J10" s="17" t="s">
        <v>522</v>
      </c>
      <c r="K10" s="2" t="s">
        <v>2756</v>
      </c>
      <c r="L10" s="3"/>
    </row>
    <row r="11" spans="1:12" ht="40.5">
      <c r="B11" s="21">
        <f t="shared" si="0"/>
        <v>6</v>
      </c>
      <c r="C11" s="68"/>
      <c r="D11" s="68"/>
      <c r="E11" s="68"/>
      <c r="F11" s="22" t="s">
        <v>521</v>
      </c>
      <c r="G11" s="22"/>
      <c r="H11" s="44" t="s">
        <v>50</v>
      </c>
      <c r="I11" s="44" t="s">
        <v>331</v>
      </c>
      <c r="J11" s="17" t="s">
        <v>520</v>
      </c>
      <c r="K11" s="2" t="s">
        <v>2756</v>
      </c>
      <c r="L11" s="3"/>
    </row>
    <row r="12" spans="1:12" ht="27">
      <c r="B12" s="21">
        <f t="shared" si="0"/>
        <v>7</v>
      </c>
      <c r="C12" s="16" t="s">
        <v>239</v>
      </c>
      <c r="D12" s="16"/>
      <c r="E12" s="104"/>
      <c r="F12" s="22" t="s">
        <v>200</v>
      </c>
      <c r="G12" s="22"/>
      <c r="H12" s="44" t="s">
        <v>519</v>
      </c>
      <c r="I12" s="44" t="s">
        <v>331</v>
      </c>
      <c r="J12" s="17"/>
      <c r="K12" s="2" t="s">
        <v>2756</v>
      </c>
      <c r="L12" s="3"/>
    </row>
    <row r="13" spans="1:12" ht="27">
      <c r="B13" s="21">
        <f t="shared" si="0"/>
        <v>8</v>
      </c>
      <c r="C13" s="68"/>
      <c r="D13" s="68"/>
      <c r="E13" s="68"/>
      <c r="F13" s="22" t="s">
        <v>239</v>
      </c>
      <c r="G13" s="22"/>
      <c r="H13" s="44" t="s">
        <v>518</v>
      </c>
      <c r="I13" s="44" t="s">
        <v>331</v>
      </c>
      <c r="J13" s="23"/>
      <c r="K13" s="2" t="s">
        <v>2756</v>
      </c>
      <c r="L13" s="3"/>
    </row>
    <row r="14" spans="1:12" ht="27">
      <c r="B14" s="21">
        <f t="shared" si="0"/>
        <v>9</v>
      </c>
      <c r="C14" s="68"/>
      <c r="D14" s="68"/>
      <c r="E14" s="68"/>
      <c r="F14" s="22" t="s">
        <v>517</v>
      </c>
      <c r="G14" s="108"/>
      <c r="H14" s="44" t="s">
        <v>516</v>
      </c>
      <c r="I14" s="44" t="s">
        <v>331</v>
      </c>
      <c r="J14" s="23"/>
      <c r="K14" s="2" t="s">
        <v>2756</v>
      </c>
      <c r="L14" s="3"/>
    </row>
    <row r="15" spans="1:12" ht="27">
      <c r="B15" s="21"/>
      <c r="C15" s="68"/>
      <c r="D15" s="68"/>
      <c r="E15" s="68"/>
      <c r="F15" s="22" t="s">
        <v>19</v>
      </c>
      <c r="G15" s="108"/>
      <c r="H15" s="22" t="s">
        <v>20</v>
      </c>
      <c r="I15" s="44"/>
      <c r="J15" s="23"/>
      <c r="K15" s="2" t="s">
        <v>2756</v>
      </c>
      <c r="L15" s="3"/>
    </row>
    <row r="16" spans="1:12" ht="40.5">
      <c r="B16" s="21">
        <f>ROW() - 5</f>
        <v>11</v>
      </c>
      <c r="C16" s="19"/>
      <c r="D16" s="19"/>
      <c r="E16" s="19"/>
      <c r="F16" s="22" t="s">
        <v>513</v>
      </c>
      <c r="G16" s="103" t="s">
        <v>512</v>
      </c>
      <c r="H16" s="22" t="s">
        <v>511</v>
      </c>
      <c r="I16" s="44" t="s">
        <v>510</v>
      </c>
      <c r="J16" s="23"/>
      <c r="K16" s="2" t="s">
        <v>2756</v>
      </c>
      <c r="L16" s="3"/>
    </row>
    <row r="17" spans="2:12" ht="27">
      <c r="B17" s="21">
        <f>ROW() - 5</f>
        <v>12</v>
      </c>
      <c r="C17" s="16" t="s">
        <v>31</v>
      </c>
      <c r="D17" s="16"/>
      <c r="E17" s="104"/>
      <c r="F17" s="22" t="s">
        <v>35</v>
      </c>
      <c r="G17" s="22"/>
      <c r="H17" s="44" t="s">
        <v>515</v>
      </c>
      <c r="I17" s="44" t="s">
        <v>331</v>
      </c>
      <c r="J17" s="17"/>
      <c r="K17" s="2" t="s">
        <v>2756</v>
      </c>
      <c r="L17" s="3"/>
    </row>
    <row r="18" spans="2:12" ht="27">
      <c r="B18" s="21">
        <f>ROW() - 5</f>
        <v>13</v>
      </c>
      <c r="C18" s="68"/>
      <c r="D18" s="68"/>
      <c r="E18" s="68"/>
      <c r="F18" s="22" t="s">
        <v>42</v>
      </c>
      <c r="G18" s="22"/>
      <c r="H18" s="44" t="s">
        <v>514</v>
      </c>
      <c r="I18" s="44" t="s">
        <v>331</v>
      </c>
      <c r="J18" s="23"/>
      <c r="K18" s="2" t="s">
        <v>2756</v>
      </c>
      <c r="L18" s="3"/>
    </row>
    <row r="19" spans="2:12" ht="40.5">
      <c r="B19" s="21">
        <f>ROW() - 5</f>
        <v>14</v>
      </c>
      <c r="C19" s="19"/>
      <c r="D19" s="19"/>
      <c r="E19" s="19"/>
      <c r="F19" s="22" t="s">
        <v>513</v>
      </c>
      <c r="G19" s="103" t="s">
        <v>512</v>
      </c>
      <c r="H19" s="22" t="s">
        <v>511</v>
      </c>
      <c r="I19" s="44" t="s">
        <v>510</v>
      </c>
      <c r="J19" s="23"/>
      <c r="K19" s="2" t="s">
        <v>2756</v>
      </c>
      <c r="L19" s="3"/>
    </row>
    <row r="20" spans="2:12">
      <c r="I20" s="46"/>
    </row>
    <row r="21" spans="2:12">
      <c r="I21" s="46"/>
    </row>
    <row r="22" spans="2:12">
      <c r="I22" s="46"/>
    </row>
    <row r="23" spans="2:12">
      <c r="I23" s="46"/>
    </row>
    <row r="24" spans="2:12">
      <c r="I24" s="46"/>
    </row>
    <row r="25" spans="2:12">
      <c r="I25" s="46"/>
    </row>
    <row r="26" spans="2:12">
      <c r="I26" s="46"/>
    </row>
    <row r="27" spans="2:12">
      <c r="I27" s="46"/>
    </row>
    <row r="28" spans="2:12">
      <c r="I28" s="46"/>
    </row>
    <row r="29" spans="2:12">
      <c r="I29" s="46"/>
    </row>
    <row r="30" spans="2:12">
      <c r="I30" s="46"/>
    </row>
    <row r="31" spans="2:12">
      <c r="I31" s="46"/>
    </row>
    <row r="32" spans="2:12">
      <c r="I32" s="46"/>
    </row>
    <row r="33" s="46" customFormat="1"/>
    <row r="34" s="46" customFormat="1"/>
    <row r="35" s="46" customFormat="1"/>
    <row r="36" s="46" customFormat="1"/>
    <row r="37" s="46" customFormat="1"/>
    <row r="38" s="46" customFormat="1" ht="33" customHeight="1"/>
    <row r="39" s="46" customFormat="1"/>
    <row r="40" s="46" customFormat="1"/>
    <row r="41" s="46" customFormat="1"/>
    <row r="42" s="46" customFormat="1"/>
    <row r="43" s="46" customFormat="1" ht="31.5" customHeight="1"/>
    <row r="44" s="46" customFormat="1"/>
    <row r="45" s="46" customFormat="1"/>
    <row r="46" s="46" customFormat="1"/>
    <row r="47" s="46" customFormat="1"/>
    <row r="48" s="46" customFormat="1"/>
    <row r="49" s="46" customFormat="1"/>
    <row r="50" s="46" customFormat="1"/>
    <row r="51" s="46" customFormat="1"/>
    <row r="52" s="46" customFormat="1"/>
    <row r="53" s="46" customFormat="1" ht="30.75" customHeight="1"/>
    <row r="54" s="46" customFormat="1" ht="33" customHeight="1"/>
    <row r="55" s="46" customFormat="1"/>
    <row r="56" s="46" customFormat="1"/>
    <row r="57" s="46" customFormat="1"/>
    <row r="58" s="46" customFormat="1"/>
    <row r="59" s="46" customFormat="1" ht="31.5" customHeight="1"/>
    <row r="60" s="46" customFormat="1"/>
    <row r="61" s="46" customFormat="1" ht="30.75" customHeight="1"/>
    <row r="62" s="46" customFormat="1"/>
    <row r="63" s="46" customFormat="1" ht="31.5" customHeight="1"/>
    <row r="64" s="46" customFormat="1"/>
    <row r="65" s="46" customFormat="1"/>
    <row r="66" s="46" customFormat="1"/>
    <row r="67" s="46" customFormat="1" ht="33" customHeight="1"/>
    <row r="68" s="46" customFormat="1"/>
    <row r="69" s="46" customFormat="1" ht="30.75" customHeight="1"/>
    <row r="70" s="46" customFormat="1" ht="27" customHeigh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ht="409" customHeigh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pans="9:9">
      <c r="I177" s="46"/>
    </row>
    <row r="178" spans="9:9" ht="2.25" customHeight="1">
      <c r="I178" s="46"/>
    </row>
    <row r="179" spans="9:9" ht="409.5" customHeight="1">
      <c r="I179" s="46"/>
    </row>
    <row r="180" spans="9:9">
      <c r="I180" s="46"/>
    </row>
    <row r="181" spans="9:9">
      <c r="I181" s="46"/>
    </row>
    <row r="182" spans="9:9">
      <c r="I182" s="46"/>
    </row>
    <row r="183" spans="9:9">
      <c r="I183" s="46"/>
    </row>
    <row r="184" spans="9:9">
      <c r="I184" s="46"/>
    </row>
    <row r="185" spans="9:9">
      <c r="I185" s="46"/>
    </row>
    <row r="186" spans="9:9">
      <c r="I186" s="46"/>
    </row>
    <row r="187" spans="9:9">
      <c r="I187" s="46"/>
    </row>
    <row r="188" spans="9:9">
      <c r="I188" s="46"/>
    </row>
    <row r="189" spans="9:9">
      <c r="I189" s="46"/>
    </row>
    <row r="190" spans="9:9">
      <c r="I190" s="46"/>
    </row>
  </sheetData>
  <phoneticPr fontId="14"/>
  <hyperlinks>
    <hyperlink ref="A4" location="パラメータ設定一覧!A1" display="パラメータ設定一覧へ" xr:uid="{5AB82ED6-0E0D-4682-99EB-2FAD9D3E5B1E}"/>
  </hyperlinks>
  <pageMargins left="0.7" right="0.7" top="0.75" bottom="0.75" header="0.3" footer="0.3"/>
  <pageSetup paperSize="9" orientation="portrait" verticalDpi="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45E8C-5C54-4873-A3ED-84D5D4771C05}">
  <sheetPr codeName="Sheet24"/>
  <dimension ref="A1:P17"/>
  <sheetViews>
    <sheetView showGridLines="0" zoomScaleNormal="100" workbookViewId="0">
      <pane xSplit="3" ySplit="7" topLeftCell="D8" activePane="bottomRight" state="frozen"/>
      <selection pane="topRight" activeCell="D1" sqref="D1"/>
      <selection pane="bottomLeft" activeCell="A8" sqref="A8"/>
      <selection pane="bottomRight" activeCell="D8" sqref="D8"/>
    </sheetView>
  </sheetViews>
  <sheetFormatPr defaultColWidth="8.78515625" defaultRowHeight="13.5"/>
  <cols>
    <col min="1" max="1" width="2.78515625" style="46" customWidth="1"/>
    <col min="2" max="2" width="3.5703125" style="46" bestFit="1" customWidth="1"/>
    <col min="3" max="3" width="19.35546875" style="46" customWidth="1"/>
    <col min="4" max="4" width="36.28515625" style="46" customWidth="1"/>
    <col min="5" max="7" width="19.35546875" style="46" customWidth="1"/>
    <col min="8" max="8" width="10.2109375" style="46" bestFit="1" customWidth="1"/>
    <col min="9" max="9" width="19.640625" style="46" bestFit="1" customWidth="1"/>
    <col min="10" max="10" width="15.2109375" style="46" bestFit="1" customWidth="1"/>
    <col min="11" max="12" width="15.2109375" style="46" customWidth="1"/>
    <col min="13" max="13" width="20.640625" style="46" bestFit="1" customWidth="1"/>
    <col min="14" max="14" width="14.42578125" style="46" bestFit="1" customWidth="1"/>
    <col min="15" max="15" width="11.78515625" style="46" customWidth="1"/>
    <col min="16" max="16" width="8.2109375" style="46" bestFit="1" customWidth="1"/>
    <col min="17" max="16384" width="8.78515625" style="46"/>
  </cols>
  <sheetData>
    <row r="1" spans="1:16" customFormat="1" ht="19.5">
      <c r="A1" s="88" t="s">
        <v>2689</v>
      </c>
    </row>
    <row r="2" spans="1:16" customFormat="1" ht="15">
      <c r="A2" s="196" t="s">
        <v>2668</v>
      </c>
    </row>
    <row r="3" spans="1:16" customFormat="1" ht="15">
      <c r="A3" s="10" t="s">
        <v>363</v>
      </c>
    </row>
    <row r="4" spans="1:16" ht="15.75" customHeight="1">
      <c r="B4" s="439" t="s">
        <v>1</v>
      </c>
      <c r="C4" s="154" t="s">
        <v>531</v>
      </c>
      <c r="D4" s="153"/>
      <c r="E4" s="153"/>
      <c r="F4" s="152"/>
      <c r="G4" s="110" t="s">
        <v>535</v>
      </c>
      <c r="H4" s="190"/>
      <c r="I4" s="107" t="s">
        <v>539</v>
      </c>
      <c r="J4" s="110"/>
      <c r="K4" s="110"/>
      <c r="L4" s="110"/>
      <c r="M4" s="190"/>
      <c r="N4" s="107" t="s">
        <v>541</v>
      </c>
      <c r="O4" s="110"/>
      <c r="P4" s="190"/>
    </row>
    <row r="5" spans="1:16">
      <c r="B5" s="440"/>
      <c r="C5" s="59" t="s">
        <v>531</v>
      </c>
      <c r="D5" s="59" t="s">
        <v>45</v>
      </c>
      <c r="E5" s="59" t="s">
        <v>528</v>
      </c>
      <c r="F5" s="59" t="s">
        <v>526</v>
      </c>
      <c r="G5" s="69" t="s">
        <v>19</v>
      </c>
      <c r="H5" s="69" t="s">
        <v>521</v>
      </c>
      <c r="I5" s="69" t="s">
        <v>200</v>
      </c>
      <c r="J5" s="69" t="s">
        <v>239</v>
      </c>
      <c r="K5" s="69" t="s">
        <v>517</v>
      </c>
      <c r="L5" s="69" t="s">
        <v>19</v>
      </c>
      <c r="M5" s="69" t="s">
        <v>513</v>
      </c>
      <c r="N5" s="69" t="s">
        <v>35</v>
      </c>
      <c r="O5" s="69" t="s">
        <v>42</v>
      </c>
      <c r="P5" s="69" t="s">
        <v>513</v>
      </c>
    </row>
    <row r="6" spans="1:16" ht="27">
      <c r="B6" s="440"/>
      <c r="C6" s="8" t="s">
        <v>20</v>
      </c>
      <c r="D6" s="8" t="s">
        <v>20</v>
      </c>
      <c r="E6" s="8" t="s">
        <v>527</v>
      </c>
      <c r="F6" s="8" t="s">
        <v>525</v>
      </c>
      <c r="G6" s="8" t="s">
        <v>523</v>
      </c>
      <c r="H6" s="8" t="s">
        <v>50</v>
      </c>
      <c r="I6" s="8" t="s">
        <v>519</v>
      </c>
      <c r="J6" s="8" t="s">
        <v>538</v>
      </c>
      <c r="K6" s="8" t="s">
        <v>537</v>
      </c>
      <c r="L6" s="8" t="s">
        <v>20</v>
      </c>
      <c r="M6" s="8" t="s">
        <v>536</v>
      </c>
      <c r="N6" s="8" t="s">
        <v>540</v>
      </c>
      <c r="O6" s="8" t="s">
        <v>514</v>
      </c>
      <c r="P6" s="8" t="s">
        <v>536</v>
      </c>
    </row>
    <row r="7" spans="1:16">
      <c r="B7" s="440"/>
      <c r="C7" s="8" t="s">
        <v>2667</v>
      </c>
      <c r="D7" s="8"/>
      <c r="E7" s="8"/>
      <c r="F7" s="8"/>
      <c r="G7" s="8"/>
      <c r="H7" s="8"/>
      <c r="I7" s="8"/>
      <c r="J7" s="8"/>
      <c r="K7" s="8"/>
      <c r="L7" s="8"/>
      <c r="M7" s="8"/>
      <c r="N7" s="8"/>
      <c r="O7" s="8"/>
      <c r="P7" s="8"/>
    </row>
    <row r="8" spans="1:16">
      <c r="B8" s="217">
        <f t="shared" ref="B8:B17" si="0">ROW() - 7</f>
        <v>1</v>
      </c>
      <c r="C8" s="217"/>
      <c r="D8" s="217"/>
      <c r="E8" s="217"/>
      <c r="F8" s="217"/>
      <c r="G8" s="217"/>
      <c r="H8" s="256"/>
      <c r="I8" s="217"/>
      <c r="J8" s="217"/>
      <c r="K8" s="217"/>
      <c r="L8" s="217"/>
      <c r="M8" s="256"/>
      <c r="N8" s="217"/>
      <c r="O8" s="217"/>
      <c r="P8" s="256"/>
    </row>
    <row r="9" spans="1:16">
      <c r="B9" s="217">
        <f t="shared" si="0"/>
        <v>2</v>
      </c>
      <c r="C9" s="217"/>
      <c r="D9" s="217"/>
      <c r="E9" s="217"/>
      <c r="F9" s="217"/>
      <c r="G9" s="217"/>
      <c r="H9" s="256"/>
      <c r="I9" s="217"/>
      <c r="J9" s="217"/>
      <c r="K9" s="217"/>
      <c r="L9" s="217"/>
      <c r="M9" s="256"/>
      <c r="N9" s="217"/>
      <c r="O9" s="217"/>
      <c r="P9" s="256"/>
    </row>
    <row r="10" spans="1:16">
      <c r="B10" s="217">
        <f t="shared" si="0"/>
        <v>3</v>
      </c>
      <c r="C10" s="217"/>
      <c r="D10" s="217"/>
      <c r="E10" s="217"/>
      <c r="F10" s="217"/>
      <c r="G10" s="217"/>
      <c r="H10" s="245"/>
      <c r="I10" s="217"/>
      <c r="J10" s="217"/>
      <c r="K10" s="217"/>
      <c r="L10" s="217"/>
      <c r="M10" s="245"/>
      <c r="N10" s="217"/>
      <c r="O10" s="217"/>
      <c r="P10" s="245"/>
    </row>
    <row r="11" spans="1:16">
      <c r="B11" s="217">
        <f t="shared" si="0"/>
        <v>4</v>
      </c>
      <c r="C11" s="217"/>
      <c r="D11" s="217"/>
      <c r="E11" s="217"/>
      <c r="F11" s="217"/>
      <c r="G11" s="217"/>
      <c r="H11" s="245"/>
      <c r="I11" s="217"/>
      <c r="J11" s="217"/>
      <c r="K11" s="217"/>
      <c r="L11" s="217"/>
      <c r="M11" s="245"/>
      <c r="N11" s="217"/>
      <c r="O11" s="217"/>
      <c r="P11" s="245"/>
    </row>
    <row r="12" spans="1:16">
      <c r="B12" s="217">
        <f t="shared" si="0"/>
        <v>5</v>
      </c>
      <c r="C12" s="217"/>
      <c r="D12" s="217"/>
      <c r="E12" s="217"/>
      <c r="F12" s="217"/>
      <c r="G12" s="217"/>
      <c r="H12" s="256"/>
      <c r="I12" s="217"/>
      <c r="J12" s="217"/>
      <c r="K12" s="217"/>
      <c r="L12" s="217"/>
      <c r="M12" s="256"/>
      <c r="N12" s="217"/>
      <c r="O12" s="217"/>
      <c r="P12" s="256"/>
    </row>
    <row r="13" spans="1:16">
      <c r="B13" s="217">
        <f t="shared" si="0"/>
        <v>6</v>
      </c>
      <c r="C13" s="217"/>
      <c r="D13" s="217"/>
      <c r="E13" s="217"/>
      <c r="F13" s="217"/>
      <c r="G13" s="217"/>
      <c r="H13" s="245"/>
      <c r="I13" s="217"/>
      <c r="J13" s="217"/>
      <c r="K13" s="217"/>
      <c r="L13" s="217"/>
      <c r="M13" s="245"/>
      <c r="N13" s="217"/>
      <c r="O13" s="217"/>
      <c r="P13" s="245"/>
    </row>
    <row r="14" spans="1:16">
      <c r="B14" s="217">
        <f t="shared" si="0"/>
        <v>7</v>
      </c>
      <c r="C14" s="217"/>
      <c r="D14" s="217"/>
      <c r="E14" s="217"/>
      <c r="F14" s="217"/>
      <c r="G14" s="217"/>
      <c r="H14" s="245"/>
      <c r="I14" s="217"/>
      <c r="J14" s="217"/>
      <c r="K14" s="217"/>
      <c r="L14" s="217"/>
      <c r="M14" s="245"/>
      <c r="N14" s="217"/>
      <c r="O14" s="217"/>
      <c r="P14" s="245"/>
    </row>
    <row r="15" spans="1:16">
      <c r="B15" s="217">
        <f t="shared" si="0"/>
        <v>8</v>
      </c>
      <c r="C15" s="217"/>
      <c r="D15" s="217"/>
      <c r="E15" s="217"/>
      <c r="F15" s="217"/>
      <c r="G15" s="217"/>
      <c r="H15" s="245"/>
      <c r="I15" s="217"/>
      <c r="J15" s="217"/>
      <c r="K15" s="217"/>
      <c r="L15" s="217"/>
      <c r="M15" s="245"/>
      <c r="N15" s="217"/>
      <c r="O15" s="217"/>
      <c r="P15" s="245"/>
    </row>
    <row r="16" spans="1:16">
      <c r="B16" s="217">
        <f t="shared" si="0"/>
        <v>9</v>
      </c>
      <c r="C16" s="217"/>
      <c r="D16" s="217"/>
      <c r="E16" s="217"/>
      <c r="F16" s="217"/>
      <c r="G16" s="217"/>
      <c r="H16" s="245"/>
      <c r="I16" s="217"/>
      <c r="J16" s="217"/>
      <c r="K16" s="217"/>
      <c r="L16" s="217"/>
      <c r="M16" s="245"/>
      <c r="N16" s="217"/>
      <c r="O16" s="217"/>
      <c r="P16" s="245"/>
    </row>
    <row r="17" spans="2:16">
      <c r="B17" s="217">
        <f t="shared" si="0"/>
        <v>10</v>
      </c>
      <c r="C17" s="217"/>
      <c r="D17" s="217"/>
      <c r="E17" s="217"/>
      <c r="F17" s="217"/>
      <c r="G17" s="217"/>
      <c r="H17" s="245"/>
      <c r="I17" s="217"/>
      <c r="J17" s="217"/>
      <c r="K17" s="217"/>
      <c r="L17" s="217"/>
      <c r="M17" s="245"/>
      <c r="N17" s="217"/>
      <c r="O17" s="217"/>
      <c r="P17" s="245"/>
    </row>
  </sheetData>
  <sheetProtection insertRows="0" deleteRows="0" sort="0" autoFilter="0"/>
  <mergeCells count="1">
    <mergeCell ref="B4:B7"/>
  </mergeCells>
  <phoneticPr fontId="14"/>
  <hyperlinks>
    <hyperlink ref="A3" location="パラメータ設定一覧!A1" display="パラメータ設定一覧へ" xr:uid="{6BD32E92-78C5-4775-B069-167659F2670F}"/>
  </hyperlinks>
  <pageMargins left="0.7" right="0.7" top="0.75" bottom="0.75" header="0.3" footer="0.3"/>
  <pageSetup paperSize="9" orientation="portrait" verticalDpi="0"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CBE38-926D-4DFA-B9EA-AADA1E148FD4}">
  <sheetPr codeName="Sheet27">
    <pageSetUpPr fitToPage="1"/>
  </sheetPr>
  <dimension ref="A1:L209"/>
  <sheetViews>
    <sheetView showGridLines="0" zoomScaleNormal="100" zoomScaleSheetLayoutView="70" workbookViewId="0">
      <pane xSplit="6" ySplit="5" topLeftCell="G6" activePane="bottomRight" state="frozen"/>
      <selection activeCell="A3" sqref="A3"/>
      <selection pane="topRight" activeCell="A3" sqref="A3"/>
      <selection pane="bottomLeft" activeCell="A3" sqref="A3"/>
      <selection pane="bottomRight" activeCell="G6" sqref="G6"/>
    </sheetView>
  </sheetViews>
  <sheetFormatPr defaultColWidth="8.78515625" defaultRowHeight="13.5"/>
  <cols>
    <col min="1" max="1" width="2.78515625" style="177" customWidth="1"/>
    <col min="2" max="2" width="3.78515625" style="177" customWidth="1"/>
    <col min="3" max="3" width="14.5703125" style="177" bestFit="1" customWidth="1"/>
    <col min="4" max="4" width="7" style="177" bestFit="1" customWidth="1"/>
    <col min="5" max="5" width="15.640625" style="177" bestFit="1" customWidth="1"/>
    <col min="6" max="6" width="24.2109375" style="177" bestFit="1" customWidth="1"/>
    <col min="7" max="7" width="22.2109375" style="177" bestFit="1" customWidth="1"/>
    <col min="8" max="8" width="22.2109375" style="177" customWidth="1"/>
    <col min="9" max="9" width="16.2109375" style="177" customWidth="1"/>
    <col min="10" max="10" width="32.640625" style="177" customWidth="1"/>
    <col min="11" max="11" width="20.42578125" style="177" customWidth="1"/>
    <col min="12" max="12" width="13.2109375" style="177" customWidth="1"/>
    <col min="13" max="16384" width="8.78515625" style="177"/>
  </cols>
  <sheetData>
    <row r="1" spans="1:12" s="116" customFormat="1" ht="19.5">
      <c r="A1" s="262" t="s">
        <v>258</v>
      </c>
    </row>
    <row r="2" spans="1:12" s="116" customFormat="1" ht="19.5">
      <c r="A2" s="262"/>
      <c r="B2" s="116" t="s">
        <v>823</v>
      </c>
    </row>
    <row r="3" spans="1:12" s="116" customFormat="1" ht="15">
      <c r="B3" s="116" t="s">
        <v>822</v>
      </c>
    </row>
    <row r="4" spans="1:12" s="116" customFormat="1" ht="15">
      <c r="A4" s="179" t="s">
        <v>363</v>
      </c>
    </row>
    <row r="5" spans="1:12">
      <c r="B5" s="11" t="s">
        <v>1</v>
      </c>
      <c r="C5" s="12" t="s">
        <v>9</v>
      </c>
      <c r="D5" s="12" t="s">
        <v>10</v>
      </c>
      <c r="E5" s="12" t="s">
        <v>11</v>
      </c>
      <c r="F5" s="13" t="s">
        <v>12</v>
      </c>
      <c r="G5" s="13" t="s">
        <v>13</v>
      </c>
      <c r="H5" s="12" t="s">
        <v>14</v>
      </c>
      <c r="I5" s="12" t="s">
        <v>15</v>
      </c>
      <c r="J5" s="11" t="s">
        <v>16</v>
      </c>
      <c r="K5" s="14" t="s">
        <v>17</v>
      </c>
      <c r="L5" s="14" t="s">
        <v>18</v>
      </c>
    </row>
    <row r="6" spans="1:12">
      <c r="B6" s="15">
        <f t="shared" ref="B6:B37" si="0">ROW() - 5</f>
        <v>1</v>
      </c>
      <c r="C6" s="16" t="s">
        <v>821</v>
      </c>
      <c r="D6" s="16"/>
      <c r="E6" s="16" t="s">
        <v>820</v>
      </c>
      <c r="F6" s="17" t="s">
        <v>815</v>
      </c>
      <c r="G6" s="17"/>
      <c r="H6" s="17" t="s">
        <v>20</v>
      </c>
      <c r="I6" s="17" t="s">
        <v>21</v>
      </c>
      <c r="J6" s="23" t="s">
        <v>2757</v>
      </c>
      <c r="K6" s="2" t="s">
        <v>808</v>
      </c>
      <c r="L6" s="3"/>
    </row>
    <row r="7" spans="1:12" ht="27">
      <c r="B7" s="15">
        <f t="shared" si="0"/>
        <v>2</v>
      </c>
      <c r="C7" s="68"/>
      <c r="D7" s="68"/>
      <c r="E7" s="68"/>
      <c r="F7" s="17" t="s">
        <v>46</v>
      </c>
      <c r="G7" s="17"/>
      <c r="H7" s="17" t="s">
        <v>814</v>
      </c>
      <c r="I7" s="17" t="s">
        <v>58</v>
      </c>
      <c r="J7" s="23"/>
      <c r="K7" s="2" t="s">
        <v>809</v>
      </c>
      <c r="L7" s="3"/>
    </row>
    <row r="8" spans="1:12">
      <c r="B8" s="15">
        <f t="shared" si="0"/>
        <v>3</v>
      </c>
      <c r="C8" s="68"/>
      <c r="D8" s="68"/>
      <c r="E8" s="68"/>
      <c r="F8" s="17" t="s">
        <v>19</v>
      </c>
      <c r="G8" s="17"/>
      <c r="H8" s="17" t="s">
        <v>20</v>
      </c>
      <c r="I8" s="17" t="s">
        <v>21</v>
      </c>
      <c r="J8" s="23"/>
      <c r="K8" s="2" t="s">
        <v>808</v>
      </c>
      <c r="L8" s="3"/>
    </row>
    <row r="9" spans="1:12">
      <c r="B9" s="15">
        <f t="shared" si="0"/>
        <v>4</v>
      </c>
      <c r="C9" s="68"/>
      <c r="D9" s="68"/>
      <c r="E9" s="68"/>
      <c r="F9" s="17" t="s">
        <v>806</v>
      </c>
      <c r="G9" s="17"/>
      <c r="H9" s="17" t="s">
        <v>805</v>
      </c>
      <c r="I9" s="17" t="s">
        <v>21</v>
      </c>
      <c r="J9" s="23"/>
      <c r="K9" s="2" t="s">
        <v>809</v>
      </c>
      <c r="L9" s="3"/>
    </row>
    <row r="10" spans="1:12">
      <c r="B10" s="15">
        <f t="shared" si="0"/>
        <v>5</v>
      </c>
      <c r="C10" s="68"/>
      <c r="D10" s="68"/>
      <c r="E10" s="68"/>
      <c r="F10" s="17" t="s">
        <v>230</v>
      </c>
      <c r="G10" s="21"/>
      <c r="H10" s="17" t="s">
        <v>480</v>
      </c>
      <c r="I10" s="17" t="s">
        <v>21</v>
      </c>
      <c r="J10" s="23"/>
      <c r="K10" s="2" t="s">
        <v>808</v>
      </c>
      <c r="L10" s="3"/>
    </row>
    <row r="11" spans="1:12">
      <c r="B11" s="15">
        <f t="shared" si="0"/>
        <v>6</v>
      </c>
      <c r="C11" s="68"/>
      <c r="D11" s="68"/>
      <c r="E11" s="68"/>
      <c r="F11" s="17" t="s">
        <v>653</v>
      </c>
      <c r="G11" s="17"/>
      <c r="H11" s="17" t="s">
        <v>652</v>
      </c>
      <c r="I11" s="17" t="s">
        <v>21</v>
      </c>
      <c r="J11" s="23"/>
      <c r="K11" s="2" t="s">
        <v>809</v>
      </c>
      <c r="L11" s="3"/>
    </row>
    <row r="12" spans="1:12">
      <c r="B12" s="15">
        <f t="shared" si="0"/>
        <v>7</v>
      </c>
      <c r="C12" s="68"/>
      <c r="D12" s="68"/>
      <c r="E12" s="68"/>
      <c r="F12" s="17" t="s">
        <v>599</v>
      </c>
      <c r="G12" s="17"/>
      <c r="H12" s="17" t="s">
        <v>598</v>
      </c>
      <c r="I12" s="17" t="s">
        <v>21</v>
      </c>
      <c r="J12" s="23"/>
      <c r="K12" s="2" t="s">
        <v>808</v>
      </c>
      <c r="L12" s="3"/>
    </row>
    <row r="13" spans="1:12">
      <c r="B13" s="15">
        <f t="shared" si="0"/>
        <v>8</v>
      </c>
      <c r="C13" s="68"/>
      <c r="D13" s="68"/>
      <c r="E13" s="68"/>
      <c r="F13" s="17" t="s">
        <v>597</v>
      </c>
      <c r="G13" s="17"/>
      <c r="H13" s="17" t="s">
        <v>596</v>
      </c>
      <c r="I13" s="17" t="s">
        <v>21</v>
      </c>
      <c r="J13" s="23"/>
      <c r="K13" s="2" t="s">
        <v>809</v>
      </c>
      <c r="L13" s="3"/>
    </row>
    <row r="14" spans="1:12">
      <c r="B14" s="15">
        <f t="shared" si="0"/>
        <v>9</v>
      </c>
      <c r="C14" s="68"/>
      <c r="D14" s="68"/>
      <c r="E14" s="68"/>
      <c r="F14" s="17" t="s">
        <v>249</v>
      </c>
      <c r="G14" s="17"/>
      <c r="H14" s="17" t="s">
        <v>819</v>
      </c>
      <c r="I14" s="17" t="s">
        <v>21</v>
      </c>
      <c r="J14" s="23"/>
      <c r="K14" s="2" t="s">
        <v>808</v>
      </c>
      <c r="L14" s="3"/>
    </row>
    <row r="15" spans="1:12">
      <c r="B15" s="15">
        <f t="shared" si="0"/>
        <v>10</v>
      </c>
      <c r="C15" s="68"/>
      <c r="D15" s="68"/>
      <c r="E15" s="114"/>
      <c r="F15" s="17" t="s">
        <v>587</v>
      </c>
      <c r="G15" s="17"/>
      <c r="H15" s="17" t="s">
        <v>818</v>
      </c>
      <c r="I15" s="17" t="s">
        <v>21</v>
      </c>
      <c r="J15" s="23"/>
      <c r="K15" s="2" t="s">
        <v>809</v>
      </c>
      <c r="L15" s="3"/>
    </row>
    <row r="16" spans="1:12">
      <c r="B16" s="15">
        <f t="shared" si="0"/>
        <v>11</v>
      </c>
      <c r="C16" s="68"/>
      <c r="D16" s="68"/>
      <c r="E16" s="114"/>
      <c r="F16" s="17" t="s">
        <v>746</v>
      </c>
      <c r="G16" s="17"/>
      <c r="H16" s="17" t="s">
        <v>817</v>
      </c>
      <c r="I16" s="17" t="s">
        <v>21</v>
      </c>
      <c r="J16" s="23"/>
      <c r="K16" s="2" t="s">
        <v>808</v>
      </c>
      <c r="L16" s="3"/>
    </row>
    <row r="17" spans="2:12">
      <c r="B17" s="15">
        <f t="shared" si="0"/>
        <v>12</v>
      </c>
      <c r="C17" s="68"/>
      <c r="D17" s="43"/>
      <c r="E17" s="16" t="s">
        <v>816</v>
      </c>
      <c r="F17" s="115" t="s">
        <v>815</v>
      </c>
      <c r="G17" s="17"/>
      <c r="H17" s="17" t="s">
        <v>20</v>
      </c>
      <c r="I17" s="17" t="s">
        <v>21</v>
      </c>
      <c r="J17" s="23"/>
      <c r="K17" s="2" t="s">
        <v>809</v>
      </c>
      <c r="L17" s="3"/>
    </row>
    <row r="18" spans="2:12" ht="27">
      <c r="B18" s="15">
        <f t="shared" si="0"/>
        <v>13</v>
      </c>
      <c r="C18" s="68"/>
      <c r="D18" s="68"/>
      <c r="E18" s="114"/>
      <c r="F18" s="17" t="s">
        <v>46</v>
      </c>
      <c r="G18" s="17"/>
      <c r="H18" s="17" t="s">
        <v>814</v>
      </c>
      <c r="I18" s="17" t="s">
        <v>219</v>
      </c>
      <c r="J18" s="23"/>
      <c r="K18" s="2" t="s">
        <v>808</v>
      </c>
      <c r="L18" s="3"/>
    </row>
    <row r="19" spans="2:12">
      <c r="B19" s="15">
        <f t="shared" si="0"/>
        <v>14</v>
      </c>
      <c r="C19" s="68"/>
      <c r="D19" s="68"/>
      <c r="E19" s="68"/>
      <c r="F19" s="17" t="s">
        <v>813</v>
      </c>
      <c r="G19" s="17"/>
      <c r="H19" s="17" t="s">
        <v>20</v>
      </c>
      <c r="I19" s="17" t="s">
        <v>21</v>
      </c>
      <c r="J19" s="23"/>
      <c r="K19" s="2" t="s">
        <v>809</v>
      </c>
      <c r="L19" s="3"/>
    </row>
    <row r="20" spans="2:12">
      <c r="B20" s="15">
        <f t="shared" si="0"/>
        <v>15</v>
      </c>
      <c r="C20" s="68"/>
      <c r="D20" s="68"/>
      <c r="E20" s="68"/>
      <c r="F20" s="17" t="s">
        <v>256</v>
      </c>
      <c r="G20" s="17"/>
      <c r="H20" s="17" t="s">
        <v>20</v>
      </c>
      <c r="I20" s="17" t="s">
        <v>21</v>
      </c>
      <c r="J20" s="23"/>
      <c r="K20" s="2" t="s">
        <v>808</v>
      </c>
      <c r="L20" s="3"/>
    </row>
    <row r="21" spans="2:12">
      <c r="B21" s="15">
        <f t="shared" si="0"/>
        <v>16</v>
      </c>
      <c r="C21" s="68"/>
      <c r="D21" s="68"/>
      <c r="E21" s="68"/>
      <c r="F21" s="17" t="s">
        <v>259</v>
      </c>
      <c r="G21" s="17"/>
      <c r="H21" s="17" t="s">
        <v>20</v>
      </c>
      <c r="I21" s="17" t="s">
        <v>21</v>
      </c>
      <c r="J21" s="23"/>
      <c r="K21" s="2" t="s">
        <v>809</v>
      </c>
      <c r="L21" s="3"/>
    </row>
    <row r="22" spans="2:12">
      <c r="B22" s="15">
        <f t="shared" si="0"/>
        <v>17</v>
      </c>
      <c r="C22" s="68"/>
      <c r="D22" s="68"/>
      <c r="E22" s="68"/>
      <c r="F22" s="17" t="s">
        <v>812</v>
      </c>
      <c r="G22" s="17"/>
      <c r="H22" s="17" t="s">
        <v>20</v>
      </c>
      <c r="I22" s="17" t="s">
        <v>21</v>
      </c>
      <c r="J22" s="23"/>
      <c r="K22" s="2" t="s">
        <v>808</v>
      </c>
      <c r="L22" s="3"/>
    </row>
    <row r="23" spans="2:12">
      <c r="B23" s="15">
        <f t="shared" si="0"/>
        <v>18</v>
      </c>
      <c r="C23" s="68"/>
      <c r="D23" s="68"/>
      <c r="E23" s="68"/>
      <c r="F23" s="17" t="s">
        <v>806</v>
      </c>
      <c r="G23" s="17"/>
      <c r="H23" s="17" t="s">
        <v>805</v>
      </c>
      <c r="I23" s="17" t="s">
        <v>21</v>
      </c>
      <c r="J23" s="23"/>
      <c r="K23" s="2" t="s">
        <v>809</v>
      </c>
      <c r="L23" s="3"/>
    </row>
    <row r="24" spans="2:12">
      <c r="B24" s="15">
        <f t="shared" si="0"/>
        <v>19</v>
      </c>
      <c r="C24" s="68"/>
      <c r="D24" s="68"/>
      <c r="E24" s="68"/>
      <c r="F24" s="17" t="s">
        <v>230</v>
      </c>
      <c r="G24" s="17"/>
      <c r="H24" s="17" t="s">
        <v>480</v>
      </c>
      <c r="I24" s="17" t="s">
        <v>21</v>
      </c>
      <c r="J24" s="23"/>
      <c r="K24" s="2" t="s">
        <v>808</v>
      </c>
      <c r="L24" s="3"/>
    </row>
    <row r="25" spans="2:12">
      <c r="B25" s="15">
        <f t="shared" si="0"/>
        <v>20</v>
      </c>
      <c r="C25" s="68"/>
      <c r="D25" s="68"/>
      <c r="E25" s="68"/>
      <c r="F25" s="17" t="s">
        <v>811</v>
      </c>
      <c r="G25" s="17"/>
      <c r="H25" s="17" t="s">
        <v>20</v>
      </c>
      <c r="I25" s="17" t="s">
        <v>21</v>
      </c>
      <c r="J25" s="23"/>
      <c r="K25" s="2" t="s">
        <v>809</v>
      </c>
      <c r="L25" s="3"/>
    </row>
    <row r="26" spans="2:12">
      <c r="B26" s="15">
        <f t="shared" si="0"/>
        <v>21</v>
      </c>
      <c r="C26" s="68"/>
      <c r="D26" s="68"/>
      <c r="E26" s="68"/>
      <c r="F26" s="17" t="s">
        <v>599</v>
      </c>
      <c r="G26" s="17"/>
      <c r="H26" s="17" t="s">
        <v>20</v>
      </c>
      <c r="I26" s="17" t="s">
        <v>21</v>
      </c>
      <c r="J26" s="23"/>
      <c r="K26" s="2" t="s">
        <v>808</v>
      </c>
      <c r="L26" s="3"/>
    </row>
    <row r="27" spans="2:12">
      <c r="B27" s="15">
        <f t="shared" si="0"/>
        <v>22</v>
      </c>
      <c r="C27" s="68"/>
      <c r="D27" s="437"/>
      <c r="E27" s="68"/>
      <c r="F27" s="17" t="s">
        <v>597</v>
      </c>
      <c r="G27" s="17"/>
      <c r="H27" s="17" t="s">
        <v>20</v>
      </c>
      <c r="I27" s="17" t="s">
        <v>21</v>
      </c>
      <c r="J27" s="23"/>
      <c r="K27" s="2" t="s">
        <v>809</v>
      </c>
      <c r="L27" s="3"/>
    </row>
    <row r="28" spans="2:12">
      <c r="B28" s="15">
        <f t="shared" si="0"/>
        <v>23</v>
      </c>
      <c r="C28" s="68"/>
      <c r="D28" s="437"/>
      <c r="E28" s="68"/>
      <c r="F28" s="17" t="s">
        <v>249</v>
      </c>
      <c r="G28" s="17"/>
      <c r="H28" s="17" t="s">
        <v>20</v>
      </c>
      <c r="I28" s="17" t="s">
        <v>21</v>
      </c>
      <c r="J28" s="23"/>
      <c r="K28" s="2" t="s">
        <v>808</v>
      </c>
      <c r="L28" s="3"/>
    </row>
    <row r="29" spans="2:12">
      <c r="B29" s="15">
        <f t="shared" si="0"/>
        <v>24</v>
      </c>
      <c r="C29" s="68"/>
      <c r="D29" s="437"/>
      <c r="E29" s="68"/>
      <c r="F29" s="17" t="s">
        <v>587</v>
      </c>
      <c r="G29" s="17"/>
      <c r="H29" s="17" t="s">
        <v>20</v>
      </c>
      <c r="I29" s="17" t="s">
        <v>21</v>
      </c>
      <c r="J29" s="23"/>
      <c r="K29" s="2" t="s">
        <v>809</v>
      </c>
      <c r="L29" s="3"/>
    </row>
    <row r="30" spans="2:12">
      <c r="B30" s="15">
        <f t="shared" si="0"/>
        <v>25</v>
      </c>
      <c r="C30" s="68"/>
      <c r="D30" s="437"/>
      <c r="E30" s="19"/>
      <c r="F30" s="17" t="s">
        <v>746</v>
      </c>
      <c r="G30" s="17"/>
      <c r="H30" s="17" t="s">
        <v>20</v>
      </c>
      <c r="I30" s="17" t="s">
        <v>21</v>
      </c>
      <c r="J30" s="23"/>
      <c r="K30" s="2" t="s">
        <v>808</v>
      </c>
      <c r="L30" s="3"/>
    </row>
    <row r="31" spans="2:12">
      <c r="B31" s="113">
        <f t="shared" si="0"/>
        <v>26</v>
      </c>
      <c r="C31" s="68"/>
      <c r="D31" s="437"/>
      <c r="E31" s="68" t="s">
        <v>31</v>
      </c>
      <c r="F31" s="19" t="s">
        <v>35</v>
      </c>
      <c r="G31" s="19"/>
      <c r="H31" s="19" t="s">
        <v>771</v>
      </c>
      <c r="I31" s="19" t="s">
        <v>90</v>
      </c>
      <c r="J31" s="186"/>
      <c r="K31" s="2" t="s">
        <v>809</v>
      </c>
      <c r="L31" s="112"/>
    </row>
    <row r="32" spans="2:12">
      <c r="B32" s="15">
        <f t="shared" si="0"/>
        <v>27</v>
      </c>
      <c r="C32" s="68"/>
      <c r="D32" s="437"/>
      <c r="E32" s="68"/>
      <c r="F32" s="17" t="s">
        <v>810</v>
      </c>
      <c r="G32" s="17"/>
      <c r="H32" s="17" t="s">
        <v>20</v>
      </c>
      <c r="I32" s="17" t="s">
        <v>21</v>
      </c>
      <c r="J32" s="23"/>
      <c r="K32" s="2" t="s">
        <v>808</v>
      </c>
      <c r="L32" s="3"/>
    </row>
    <row r="33" spans="2:12">
      <c r="B33" s="15">
        <f t="shared" si="0"/>
        <v>28</v>
      </c>
      <c r="C33" s="68"/>
      <c r="D33" s="437"/>
      <c r="E33" s="68"/>
      <c r="F33" s="17" t="s">
        <v>31</v>
      </c>
      <c r="G33" s="17"/>
      <c r="H33" s="17" t="s">
        <v>20</v>
      </c>
      <c r="I33" s="17" t="s">
        <v>21</v>
      </c>
      <c r="J33" s="23"/>
      <c r="K33" s="2" t="s">
        <v>809</v>
      </c>
      <c r="L33" s="3"/>
    </row>
    <row r="34" spans="2:12">
      <c r="B34" s="15">
        <f t="shared" si="0"/>
        <v>29</v>
      </c>
      <c r="C34" s="68"/>
      <c r="D34" s="68"/>
      <c r="E34" s="68"/>
      <c r="F34" s="17" t="s">
        <v>70</v>
      </c>
      <c r="G34" s="17"/>
      <c r="H34" s="17" t="s">
        <v>20</v>
      </c>
      <c r="I34" s="17" t="s">
        <v>21</v>
      </c>
      <c r="J34" s="23"/>
      <c r="K34" s="2" t="s">
        <v>808</v>
      </c>
      <c r="L34" s="3"/>
    </row>
    <row r="35" spans="2:12">
      <c r="B35" s="15">
        <f t="shared" si="0"/>
        <v>30</v>
      </c>
      <c r="C35" s="68"/>
      <c r="D35" s="68"/>
      <c r="E35" s="68"/>
      <c r="F35" s="17" t="s">
        <v>42</v>
      </c>
      <c r="G35" s="17"/>
      <c r="H35" s="17" t="s">
        <v>20</v>
      </c>
      <c r="I35" s="17" t="s">
        <v>21</v>
      </c>
      <c r="J35" s="23"/>
      <c r="K35" s="2" t="s">
        <v>809</v>
      </c>
      <c r="L35" s="3"/>
    </row>
    <row r="36" spans="2:12">
      <c r="B36" s="15">
        <f t="shared" si="0"/>
        <v>31</v>
      </c>
      <c r="C36" s="68"/>
      <c r="D36" s="68"/>
      <c r="E36" s="19"/>
      <c r="F36" s="17" t="s">
        <v>61</v>
      </c>
      <c r="G36" s="17"/>
      <c r="H36" s="17" t="s">
        <v>795</v>
      </c>
      <c r="I36" s="17" t="s">
        <v>21</v>
      </c>
      <c r="J36" s="23"/>
      <c r="K36" s="2" t="s">
        <v>808</v>
      </c>
      <c r="L36" s="3"/>
    </row>
    <row r="37" spans="2:12">
      <c r="B37" s="15">
        <f t="shared" si="0"/>
        <v>32</v>
      </c>
      <c r="C37" s="68"/>
      <c r="D37" s="68"/>
      <c r="E37" s="16" t="s">
        <v>787</v>
      </c>
      <c r="F37" s="17" t="s">
        <v>220</v>
      </c>
      <c r="G37" s="17"/>
      <c r="H37" s="17" t="s">
        <v>20</v>
      </c>
      <c r="I37" s="17" t="s">
        <v>21</v>
      </c>
      <c r="J37" s="23"/>
      <c r="K37" s="2" t="s">
        <v>809</v>
      </c>
      <c r="L37" s="3"/>
    </row>
    <row r="38" spans="2:12">
      <c r="B38" s="15">
        <f t="shared" ref="B38:B64" si="1">ROW() - 5</f>
        <v>33</v>
      </c>
      <c r="C38" s="68"/>
      <c r="D38" s="68"/>
      <c r="E38" s="68"/>
      <c r="F38" s="17" t="s">
        <v>48</v>
      </c>
      <c r="G38" s="17"/>
      <c r="H38" s="17" t="s">
        <v>20</v>
      </c>
      <c r="I38" s="17" t="s">
        <v>21</v>
      </c>
      <c r="J38" s="23"/>
      <c r="K38" s="2" t="s">
        <v>808</v>
      </c>
      <c r="L38" s="3"/>
    </row>
    <row r="39" spans="2:12">
      <c r="B39" s="15">
        <f t="shared" si="1"/>
        <v>34</v>
      </c>
      <c r="C39" s="68"/>
      <c r="D39" s="68"/>
      <c r="E39" s="68"/>
      <c r="F39" s="17" t="s">
        <v>192</v>
      </c>
      <c r="G39" s="17"/>
      <c r="H39" s="17" t="s">
        <v>20</v>
      </c>
      <c r="I39" s="17" t="s">
        <v>21</v>
      </c>
      <c r="J39" s="23"/>
      <c r="K39" s="2" t="s">
        <v>809</v>
      </c>
      <c r="L39" s="3"/>
    </row>
    <row r="40" spans="2:12">
      <c r="B40" s="15">
        <f t="shared" si="1"/>
        <v>35</v>
      </c>
      <c r="C40" s="19"/>
      <c r="D40" s="19"/>
      <c r="E40" s="19"/>
      <c r="F40" s="17" t="s">
        <v>197</v>
      </c>
      <c r="G40" s="17"/>
      <c r="H40" s="17" t="s">
        <v>20</v>
      </c>
      <c r="I40" s="17" t="s">
        <v>21</v>
      </c>
      <c r="J40" s="23"/>
      <c r="K40" s="2" t="s">
        <v>808</v>
      </c>
      <c r="L40" s="3"/>
    </row>
    <row r="41" spans="2:12">
      <c r="B41" s="15">
        <f t="shared" si="1"/>
        <v>36</v>
      </c>
      <c r="C41" s="16" t="s">
        <v>23</v>
      </c>
      <c r="D41" s="16"/>
      <c r="E41" s="16" t="s">
        <v>59</v>
      </c>
      <c r="F41" s="17" t="s">
        <v>807</v>
      </c>
      <c r="G41" s="17"/>
      <c r="H41" s="17" t="s">
        <v>442</v>
      </c>
      <c r="I41" s="17" t="s">
        <v>21</v>
      </c>
      <c r="J41" s="23"/>
      <c r="K41" s="2" t="s">
        <v>542</v>
      </c>
      <c r="L41" s="3"/>
    </row>
    <row r="42" spans="2:12">
      <c r="B42" s="15">
        <f t="shared" si="1"/>
        <v>37</v>
      </c>
      <c r="C42" s="68"/>
      <c r="D42" s="68"/>
      <c r="E42" s="68"/>
      <c r="F42" s="16" t="s">
        <v>46</v>
      </c>
      <c r="G42" s="17"/>
      <c r="H42" s="17" t="s">
        <v>442</v>
      </c>
      <c r="I42" s="17" t="s">
        <v>21</v>
      </c>
      <c r="J42" s="23"/>
      <c r="K42" s="2" t="s">
        <v>542</v>
      </c>
      <c r="L42" s="3"/>
    </row>
    <row r="43" spans="2:12">
      <c r="B43" s="15">
        <f t="shared" si="1"/>
        <v>38</v>
      </c>
      <c r="C43" s="68"/>
      <c r="D43" s="68"/>
      <c r="E43" s="68"/>
      <c r="F43" s="17" t="s">
        <v>19</v>
      </c>
      <c r="G43" s="17"/>
      <c r="H43" s="17" t="s">
        <v>20</v>
      </c>
      <c r="I43" s="17" t="s">
        <v>21</v>
      </c>
      <c r="J43" s="23"/>
      <c r="K43" s="2" t="s">
        <v>542</v>
      </c>
      <c r="L43" s="3"/>
    </row>
    <row r="44" spans="2:12">
      <c r="B44" s="15">
        <f t="shared" si="1"/>
        <v>39</v>
      </c>
      <c r="C44" s="68"/>
      <c r="D44" s="68"/>
      <c r="E44" s="68"/>
      <c r="F44" s="16" t="s">
        <v>25</v>
      </c>
      <c r="G44" s="17"/>
      <c r="H44" s="17" t="s">
        <v>20</v>
      </c>
      <c r="I44" s="17" t="s">
        <v>21</v>
      </c>
      <c r="J44" s="23" t="s">
        <v>2763</v>
      </c>
      <c r="K44" s="2" t="s">
        <v>542</v>
      </c>
      <c r="L44" s="3"/>
    </row>
    <row r="45" spans="2:12">
      <c r="B45" s="15">
        <f t="shared" si="1"/>
        <v>40</v>
      </c>
      <c r="C45" s="68"/>
      <c r="D45" s="68"/>
      <c r="E45" s="68"/>
      <c r="F45" s="17" t="s">
        <v>806</v>
      </c>
      <c r="G45" s="17"/>
      <c r="H45" s="17" t="s">
        <v>805</v>
      </c>
      <c r="I45" s="17" t="s">
        <v>21</v>
      </c>
      <c r="J45" s="23"/>
      <c r="K45" s="2" t="s">
        <v>542</v>
      </c>
      <c r="L45" s="3"/>
    </row>
    <row r="46" spans="2:12">
      <c r="B46" s="15">
        <f t="shared" si="1"/>
        <v>41</v>
      </c>
      <c r="C46" s="68"/>
      <c r="D46" s="68"/>
      <c r="E46" s="68"/>
      <c r="F46" s="17" t="s">
        <v>804</v>
      </c>
      <c r="G46" s="17"/>
      <c r="H46" s="17" t="s">
        <v>803</v>
      </c>
      <c r="I46" s="17" t="s">
        <v>21</v>
      </c>
      <c r="J46" s="23"/>
      <c r="K46" s="2" t="s">
        <v>542</v>
      </c>
      <c r="L46" s="3"/>
    </row>
    <row r="47" spans="2:12">
      <c r="B47" s="15">
        <f t="shared" si="1"/>
        <v>42</v>
      </c>
      <c r="C47" s="68"/>
      <c r="D47" s="68"/>
      <c r="E47" s="68"/>
      <c r="F47" s="17" t="s">
        <v>802</v>
      </c>
      <c r="G47" s="17"/>
      <c r="H47" s="17" t="s">
        <v>179</v>
      </c>
      <c r="I47" s="17" t="s">
        <v>21</v>
      </c>
      <c r="J47" s="23"/>
      <c r="K47" s="2" t="s">
        <v>542</v>
      </c>
      <c r="L47" s="3"/>
    </row>
    <row r="48" spans="2:12">
      <c r="B48" s="15">
        <f t="shared" si="1"/>
        <v>43</v>
      </c>
      <c r="C48" s="68"/>
      <c r="D48" s="68"/>
      <c r="E48" s="16" t="s">
        <v>801</v>
      </c>
      <c r="F48" s="17" t="s">
        <v>800</v>
      </c>
      <c r="G48" s="17"/>
      <c r="H48" s="23">
        <v>0</v>
      </c>
      <c r="I48" s="270">
        <v>0</v>
      </c>
      <c r="J48" s="23"/>
      <c r="K48" s="2" t="s">
        <v>542</v>
      </c>
      <c r="L48" s="3"/>
    </row>
    <row r="49" spans="2:12">
      <c r="B49" s="15">
        <f t="shared" si="1"/>
        <v>44</v>
      </c>
      <c r="C49" s="68"/>
      <c r="D49" s="68"/>
      <c r="E49" s="68"/>
      <c r="F49" s="17" t="s">
        <v>799</v>
      </c>
      <c r="G49" s="17"/>
      <c r="H49" s="23" t="s">
        <v>20</v>
      </c>
      <c r="I49" s="270"/>
      <c r="J49" s="23"/>
      <c r="K49" s="2" t="s">
        <v>542</v>
      </c>
      <c r="L49" s="3"/>
    </row>
    <row r="50" spans="2:12" ht="54">
      <c r="B50" s="15">
        <f t="shared" si="1"/>
        <v>45</v>
      </c>
      <c r="C50" s="68"/>
      <c r="D50" s="68"/>
      <c r="E50" s="68"/>
      <c r="F50" s="17" t="s">
        <v>798</v>
      </c>
      <c r="G50" s="17"/>
      <c r="H50" s="17" t="s">
        <v>797</v>
      </c>
      <c r="I50" s="21" t="s">
        <v>170</v>
      </c>
      <c r="J50" s="23"/>
      <c r="K50" s="2" t="s">
        <v>542</v>
      </c>
      <c r="L50" s="3"/>
    </row>
    <row r="51" spans="2:12">
      <c r="B51" s="15">
        <f t="shared" si="1"/>
        <v>46</v>
      </c>
      <c r="C51" s="68"/>
      <c r="D51" s="68"/>
      <c r="E51" s="19"/>
      <c r="F51" s="17" t="s">
        <v>185</v>
      </c>
      <c r="G51" s="17"/>
      <c r="H51" s="17" t="s">
        <v>50</v>
      </c>
      <c r="I51" s="21" t="s">
        <v>21</v>
      </c>
      <c r="J51" s="23"/>
      <c r="K51" s="2" t="s">
        <v>542</v>
      </c>
      <c r="L51" s="3"/>
    </row>
    <row r="52" spans="2:12">
      <c r="B52" s="15">
        <f t="shared" si="1"/>
        <v>47</v>
      </c>
      <c r="C52" s="68"/>
      <c r="D52" s="68"/>
      <c r="E52" s="16" t="s">
        <v>796</v>
      </c>
      <c r="F52" s="17" t="s">
        <v>61</v>
      </c>
      <c r="G52" s="17"/>
      <c r="H52" s="17" t="s">
        <v>795</v>
      </c>
      <c r="I52" s="21" t="s">
        <v>21</v>
      </c>
      <c r="J52" s="23"/>
      <c r="K52" s="2" t="s">
        <v>542</v>
      </c>
      <c r="L52" s="3"/>
    </row>
    <row r="53" spans="2:12">
      <c r="B53" s="15">
        <f t="shared" si="1"/>
        <v>48</v>
      </c>
      <c r="C53" s="68"/>
      <c r="D53" s="68"/>
      <c r="E53" s="68"/>
      <c r="F53" s="17" t="s">
        <v>794</v>
      </c>
      <c r="G53" s="17"/>
      <c r="H53" s="17" t="s">
        <v>793</v>
      </c>
      <c r="I53" s="21" t="s">
        <v>21</v>
      </c>
      <c r="J53" s="23"/>
      <c r="K53" s="2" t="s">
        <v>542</v>
      </c>
      <c r="L53" s="3"/>
    </row>
    <row r="54" spans="2:12">
      <c r="B54" s="15">
        <f t="shared" si="1"/>
        <v>49</v>
      </c>
      <c r="C54" s="68"/>
      <c r="D54" s="68"/>
      <c r="E54" s="68"/>
      <c r="F54" s="17" t="s">
        <v>792</v>
      </c>
      <c r="G54" s="17"/>
      <c r="H54" s="17" t="s">
        <v>20</v>
      </c>
      <c r="I54" s="21" t="s">
        <v>21</v>
      </c>
      <c r="J54" s="23"/>
      <c r="K54" s="2" t="s">
        <v>542</v>
      </c>
      <c r="L54" s="3"/>
    </row>
    <row r="55" spans="2:12">
      <c r="B55" s="15">
        <f t="shared" si="1"/>
        <v>50</v>
      </c>
      <c r="C55" s="68"/>
      <c r="D55" s="68"/>
      <c r="E55" s="68"/>
      <c r="F55" s="17" t="s">
        <v>791</v>
      </c>
      <c r="G55" s="17"/>
      <c r="H55" s="17" t="s">
        <v>20</v>
      </c>
      <c r="I55" s="21" t="s">
        <v>21</v>
      </c>
      <c r="J55" s="23"/>
      <c r="K55" s="2" t="s">
        <v>542</v>
      </c>
      <c r="L55" s="3"/>
    </row>
    <row r="56" spans="2:12">
      <c r="B56" s="15">
        <f t="shared" si="1"/>
        <v>51</v>
      </c>
      <c r="C56" s="16" t="s">
        <v>31</v>
      </c>
      <c r="D56" s="16"/>
      <c r="E56" s="16" t="s">
        <v>172</v>
      </c>
      <c r="F56" s="17" t="s">
        <v>790</v>
      </c>
      <c r="G56" s="17"/>
      <c r="H56" s="22" t="s">
        <v>20</v>
      </c>
      <c r="I56" s="17" t="s">
        <v>21</v>
      </c>
      <c r="J56" s="23"/>
      <c r="K56" s="2" t="s">
        <v>542</v>
      </c>
      <c r="L56" s="3"/>
    </row>
    <row r="57" spans="2:12">
      <c r="B57" s="15">
        <f t="shared" si="1"/>
        <v>52</v>
      </c>
      <c r="C57" s="68"/>
      <c r="D57" s="68"/>
      <c r="E57" s="68"/>
      <c r="F57" s="17" t="s">
        <v>31</v>
      </c>
      <c r="G57" s="17"/>
      <c r="H57" s="22" t="s">
        <v>20</v>
      </c>
      <c r="I57" s="17" t="s">
        <v>21</v>
      </c>
      <c r="J57" s="23"/>
      <c r="K57" s="2" t="s">
        <v>542</v>
      </c>
      <c r="L57" s="3"/>
    </row>
    <row r="58" spans="2:12" ht="243">
      <c r="B58" s="15">
        <f t="shared" si="1"/>
        <v>53</v>
      </c>
      <c r="C58" s="68"/>
      <c r="D58" s="68"/>
      <c r="E58" s="68"/>
      <c r="F58" s="17" t="s">
        <v>32</v>
      </c>
      <c r="G58" s="17"/>
      <c r="H58" s="26" t="s">
        <v>789</v>
      </c>
      <c r="I58" s="17" t="s">
        <v>21</v>
      </c>
      <c r="J58" s="23"/>
      <c r="K58" s="2" t="s">
        <v>542</v>
      </c>
      <c r="L58" s="3"/>
    </row>
    <row r="59" spans="2:12">
      <c r="B59" s="15">
        <f t="shared" si="1"/>
        <v>54</v>
      </c>
      <c r="C59" s="68"/>
      <c r="D59" s="68"/>
      <c r="E59" s="19"/>
      <c r="F59" s="17" t="s">
        <v>33</v>
      </c>
      <c r="G59" s="17"/>
      <c r="H59" s="26" t="s">
        <v>65</v>
      </c>
      <c r="I59" s="17" t="s">
        <v>783</v>
      </c>
      <c r="J59" s="23"/>
      <c r="K59" s="2" t="s">
        <v>542</v>
      </c>
      <c r="L59" s="3"/>
    </row>
    <row r="60" spans="2:12">
      <c r="B60" s="15">
        <f t="shared" si="1"/>
        <v>55</v>
      </c>
      <c r="C60" s="68"/>
      <c r="D60" s="68"/>
      <c r="E60" s="16" t="s">
        <v>34</v>
      </c>
      <c r="F60" s="26" t="s">
        <v>35</v>
      </c>
      <c r="G60" s="17"/>
      <c r="H60" s="26" t="s">
        <v>36</v>
      </c>
      <c r="I60" s="17" t="s">
        <v>21</v>
      </c>
      <c r="J60" s="23"/>
      <c r="K60" s="2" t="s">
        <v>542</v>
      </c>
      <c r="L60" s="3"/>
    </row>
    <row r="61" spans="2:12">
      <c r="B61" s="15">
        <f t="shared" si="1"/>
        <v>56</v>
      </c>
      <c r="C61" s="68"/>
      <c r="D61" s="68"/>
      <c r="E61" s="68"/>
      <c r="F61" s="26" t="s">
        <v>38</v>
      </c>
      <c r="G61" s="26"/>
      <c r="H61" s="26" t="s">
        <v>50</v>
      </c>
      <c r="I61" s="29" t="s">
        <v>21</v>
      </c>
      <c r="J61" s="23"/>
      <c r="K61" s="2" t="s">
        <v>542</v>
      </c>
      <c r="L61" s="3"/>
    </row>
    <row r="62" spans="2:12">
      <c r="B62" s="15">
        <f t="shared" si="1"/>
        <v>57</v>
      </c>
      <c r="C62" s="68"/>
      <c r="D62" s="68"/>
      <c r="E62" s="68"/>
      <c r="F62" s="26" t="s">
        <v>31</v>
      </c>
      <c r="G62" s="26"/>
      <c r="H62" s="26" t="s">
        <v>20</v>
      </c>
      <c r="I62" s="29" t="s">
        <v>21</v>
      </c>
      <c r="J62" s="23"/>
      <c r="K62" s="2" t="s">
        <v>542</v>
      </c>
      <c r="L62" s="3"/>
    </row>
    <row r="63" spans="2:12">
      <c r="B63" s="15">
        <f t="shared" si="1"/>
        <v>58</v>
      </c>
      <c r="C63" s="68"/>
      <c r="D63" s="68"/>
      <c r="E63" s="68"/>
      <c r="F63" s="26" t="s">
        <v>40</v>
      </c>
      <c r="G63" s="26"/>
      <c r="H63" s="26" t="s">
        <v>20</v>
      </c>
      <c r="I63" s="29" t="s">
        <v>21</v>
      </c>
      <c r="J63" s="23"/>
      <c r="K63" s="2" t="s">
        <v>542</v>
      </c>
      <c r="L63" s="3"/>
    </row>
    <row r="64" spans="2:12">
      <c r="B64" s="15">
        <f t="shared" si="1"/>
        <v>59</v>
      </c>
      <c r="C64" s="68"/>
      <c r="D64" s="68"/>
      <c r="E64" s="68"/>
      <c r="F64" s="26" t="s">
        <v>42</v>
      </c>
      <c r="G64" s="26"/>
      <c r="H64" s="26" t="s">
        <v>20</v>
      </c>
      <c r="I64" s="29" t="s">
        <v>21</v>
      </c>
      <c r="J64" s="23"/>
      <c r="K64" s="2" t="s">
        <v>542</v>
      </c>
      <c r="L64" s="3"/>
    </row>
    <row r="65" spans="2:12">
      <c r="B65" s="15"/>
      <c r="C65" s="68"/>
      <c r="D65" s="68"/>
      <c r="E65" s="68"/>
      <c r="F65" s="26" t="s">
        <v>33</v>
      </c>
      <c r="G65" s="26"/>
      <c r="H65" s="26" t="s">
        <v>27</v>
      </c>
      <c r="I65" s="29" t="s">
        <v>28</v>
      </c>
      <c r="J65" s="23"/>
      <c r="K65" s="2" t="s">
        <v>542</v>
      </c>
      <c r="L65" s="3"/>
    </row>
    <row r="66" spans="2:12">
      <c r="B66" s="15"/>
      <c r="C66" s="68"/>
      <c r="D66" s="68"/>
      <c r="E66" s="68"/>
      <c r="F66" s="26" t="s">
        <v>788</v>
      </c>
      <c r="G66" s="26"/>
      <c r="H66" s="26" t="s">
        <v>27</v>
      </c>
      <c r="I66" s="29" t="s">
        <v>28</v>
      </c>
      <c r="J66" s="23"/>
      <c r="K66" s="2" t="s">
        <v>542</v>
      </c>
      <c r="L66" s="3"/>
    </row>
    <row r="67" spans="2:12">
      <c r="B67" s="15">
        <f t="shared" ref="B67:B98" si="2">ROW() - 5</f>
        <v>62</v>
      </c>
      <c r="C67" s="68"/>
      <c r="D67" s="68"/>
      <c r="E67" s="68"/>
      <c r="F67" s="26" t="s">
        <v>43</v>
      </c>
      <c r="G67" s="26"/>
      <c r="H67" s="26" t="s">
        <v>27</v>
      </c>
      <c r="I67" s="29" t="s">
        <v>28</v>
      </c>
      <c r="J67" s="23"/>
      <c r="K67" s="2" t="s">
        <v>542</v>
      </c>
      <c r="L67" s="3"/>
    </row>
    <row r="68" spans="2:12">
      <c r="B68" s="15">
        <f t="shared" si="2"/>
        <v>63</v>
      </c>
      <c r="C68" s="16" t="s">
        <v>787</v>
      </c>
      <c r="D68" s="16"/>
      <c r="E68" s="52"/>
      <c r="F68" s="21" t="s">
        <v>45</v>
      </c>
      <c r="G68" s="17"/>
      <c r="H68" s="26" t="s">
        <v>20</v>
      </c>
      <c r="I68" s="26" t="s">
        <v>21</v>
      </c>
      <c r="J68" s="26"/>
      <c r="K68" s="2" t="s">
        <v>542</v>
      </c>
      <c r="L68" s="3"/>
    </row>
    <row r="69" spans="2:12" ht="108">
      <c r="B69" s="15">
        <f t="shared" si="2"/>
        <v>64</v>
      </c>
      <c r="C69" s="68"/>
      <c r="D69" s="68"/>
      <c r="E69" s="67"/>
      <c r="F69" s="21" t="s">
        <v>46</v>
      </c>
      <c r="G69" s="17"/>
      <c r="H69" s="25" t="s">
        <v>786</v>
      </c>
      <c r="I69" s="29" t="s">
        <v>21</v>
      </c>
      <c r="J69" s="29"/>
      <c r="K69" s="2" t="s">
        <v>542</v>
      </c>
      <c r="L69" s="3"/>
    </row>
    <row r="70" spans="2:12">
      <c r="B70" s="15">
        <f t="shared" si="2"/>
        <v>65</v>
      </c>
      <c r="C70" s="68"/>
      <c r="D70" s="68"/>
      <c r="E70" s="67"/>
      <c r="F70" s="21" t="s">
        <v>785</v>
      </c>
      <c r="G70" s="17"/>
      <c r="H70" s="25" t="s">
        <v>20</v>
      </c>
      <c r="I70" s="29" t="s">
        <v>21</v>
      </c>
      <c r="J70" s="29"/>
      <c r="K70" s="2" t="s">
        <v>542</v>
      </c>
      <c r="L70" s="3"/>
    </row>
    <row r="71" spans="2:12" ht="40.5">
      <c r="B71" s="15">
        <f t="shared" si="2"/>
        <v>66</v>
      </c>
      <c r="C71" s="68"/>
      <c r="D71" s="68"/>
      <c r="E71" s="67"/>
      <c r="F71" s="21" t="s">
        <v>48</v>
      </c>
      <c r="G71" s="17"/>
      <c r="H71" s="26" t="s">
        <v>20</v>
      </c>
      <c r="I71" s="29" t="s">
        <v>21</v>
      </c>
      <c r="J71" s="29" t="s">
        <v>784</v>
      </c>
      <c r="K71" s="2" t="s">
        <v>542</v>
      </c>
      <c r="L71" s="3"/>
    </row>
    <row r="72" spans="2:12">
      <c r="B72" s="15">
        <f t="shared" si="2"/>
        <v>67</v>
      </c>
      <c r="C72" s="19"/>
      <c r="D72" s="19"/>
      <c r="E72" s="51"/>
      <c r="F72" s="21" t="s">
        <v>33</v>
      </c>
      <c r="G72" s="17"/>
      <c r="H72" s="26" t="s">
        <v>53</v>
      </c>
      <c r="I72" s="29" t="s">
        <v>783</v>
      </c>
      <c r="J72" s="29"/>
      <c r="K72" s="2" t="s">
        <v>542</v>
      </c>
      <c r="L72" s="3"/>
    </row>
    <row r="73" spans="2:12">
      <c r="B73" s="15">
        <f t="shared" si="2"/>
        <v>68</v>
      </c>
      <c r="C73" s="16" t="s">
        <v>782</v>
      </c>
      <c r="D73" s="16"/>
      <c r="E73" s="16"/>
      <c r="F73" s="21" t="s">
        <v>781</v>
      </c>
      <c r="G73" s="17"/>
      <c r="H73" s="17" t="s">
        <v>27</v>
      </c>
      <c r="I73" s="17" t="s">
        <v>28</v>
      </c>
      <c r="J73" s="23"/>
      <c r="K73" s="2" t="s">
        <v>542</v>
      </c>
      <c r="L73" s="3"/>
    </row>
    <row r="74" spans="2:12">
      <c r="B74" s="15">
        <f t="shared" si="2"/>
        <v>69</v>
      </c>
      <c r="C74" s="68"/>
      <c r="D74" s="68"/>
      <c r="E74" s="68"/>
      <c r="F74" s="21" t="s">
        <v>780</v>
      </c>
      <c r="G74" s="17"/>
      <c r="H74" s="17" t="s">
        <v>779</v>
      </c>
      <c r="I74" s="17" t="s">
        <v>21</v>
      </c>
      <c r="J74" s="23"/>
      <c r="K74" s="2" t="s">
        <v>542</v>
      </c>
      <c r="L74" s="3"/>
    </row>
    <row r="75" spans="2:12" ht="67.5">
      <c r="B75" s="15">
        <f t="shared" si="2"/>
        <v>70</v>
      </c>
      <c r="C75" s="68"/>
      <c r="D75" s="68"/>
      <c r="E75" s="19"/>
      <c r="F75" s="21" t="s">
        <v>243</v>
      </c>
      <c r="G75" s="17"/>
      <c r="H75" s="17" t="s">
        <v>778</v>
      </c>
      <c r="I75" s="17" t="s">
        <v>225</v>
      </c>
      <c r="J75" s="23"/>
      <c r="K75" s="2" t="s">
        <v>542</v>
      </c>
      <c r="L75" s="3"/>
    </row>
    <row r="76" spans="2:12" ht="27">
      <c r="B76" s="15">
        <f t="shared" si="2"/>
        <v>71</v>
      </c>
      <c r="C76" s="68"/>
      <c r="D76" s="68"/>
      <c r="E76" s="16" t="s">
        <v>777</v>
      </c>
      <c r="F76" s="21" t="s">
        <v>244</v>
      </c>
      <c r="G76" s="17"/>
      <c r="H76" s="17" t="s">
        <v>776</v>
      </c>
      <c r="I76" s="17" t="s">
        <v>775</v>
      </c>
      <c r="J76" s="23"/>
      <c r="K76" s="2" t="s">
        <v>542</v>
      </c>
      <c r="L76" s="3"/>
    </row>
    <row r="77" spans="2:12">
      <c r="B77" s="15">
        <f t="shared" si="2"/>
        <v>72</v>
      </c>
      <c r="C77" s="68"/>
      <c r="D77" s="68"/>
      <c r="E77" s="16" t="s">
        <v>774</v>
      </c>
      <c r="F77" s="21" t="s">
        <v>773</v>
      </c>
      <c r="G77" s="17"/>
      <c r="H77" s="17" t="s">
        <v>20</v>
      </c>
      <c r="I77" s="17" t="s">
        <v>21</v>
      </c>
      <c r="J77" s="23"/>
      <c r="K77" s="2" t="s">
        <v>542</v>
      </c>
      <c r="L77" s="3"/>
    </row>
    <row r="78" spans="2:12">
      <c r="B78" s="15">
        <f t="shared" si="2"/>
        <v>73</v>
      </c>
      <c r="C78" s="68"/>
      <c r="D78" s="68"/>
      <c r="E78" s="68"/>
      <c r="F78" s="21" t="s">
        <v>772</v>
      </c>
      <c r="G78" s="17"/>
      <c r="H78" s="17" t="s">
        <v>771</v>
      </c>
      <c r="I78" s="17" t="s">
        <v>21</v>
      </c>
      <c r="J78" s="23"/>
      <c r="K78" s="2" t="s">
        <v>542</v>
      </c>
      <c r="L78" s="3"/>
    </row>
    <row r="79" spans="2:12">
      <c r="B79" s="15">
        <f t="shared" si="2"/>
        <v>74</v>
      </c>
      <c r="C79" s="68"/>
      <c r="D79" s="68"/>
      <c r="E79" s="19"/>
      <c r="F79" s="21" t="s">
        <v>42</v>
      </c>
      <c r="G79" s="17"/>
      <c r="H79" s="17" t="s">
        <v>20</v>
      </c>
      <c r="I79" s="17" t="s">
        <v>21</v>
      </c>
      <c r="J79" s="23"/>
      <c r="K79" s="2" t="s">
        <v>542</v>
      </c>
      <c r="L79" s="3"/>
    </row>
    <row r="80" spans="2:12">
      <c r="B80" s="15">
        <f t="shared" si="2"/>
        <v>75</v>
      </c>
      <c r="C80" s="68"/>
      <c r="D80" s="68"/>
      <c r="E80" s="17" t="s">
        <v>770</v>
      </c>
      <c r="F80" s="21" t="s">
        <v>60</v>
      </c>
      <c r="G80" s="17"/>
      <c r="H80" s="17" t="s">
        <v>769</v>
      </c>
      <c r="I80" s="17" t="s">
        <v>21</v>
      </c>
      <c r="J80" s="23"/>
      <c r="K80" s="2" t="s">
        <v>542</v>
      </c>
      <c r="L80" s="3"/>
    </row>
    <row r="81" spans="2:12">
      <c r="B81" s="15">
        <f t="shared" si="2"/>
        <v>76</v>
      </c>
      <c r="C81" s="68"/>
      <c r="D81" s="68"/>
      <c r="E81" s="17" t="s">
        <v>768</v>
      </c>
      <c r="F81" s="21" t="s">
        <v>767</v>
      </c>
      <c r="G81" s="17"/>
      <c r="H81" s="17" t="s">
        <v>27</v>
      </c>
      <c r="I81" s="17" t="s">
        <v>28</v>
      </c>
      <c r="J81" s="23"/>
      <c r="K81" s="2" t="s">
        <v>542</v>
      </c>
      <c r="L81" s="3"/>
    </row>
    <row r="82" spans="2:12">
      <c r="B82" s="15">
        <f t="shared" si="2"/>
        <v>77</v>
      </c>
      <c r="C82" s="68"/>
      <c r="D82" s="68"/>
      <c r="E82" s="16" t="s">
        <v>683</v>
      </c>
      <c r="F82" s="21" t="s">
        <v>766</v>
      </c>
      <c r="G82" s="17"/>
      <c r="H82" s="17" t="s">
        <v>27</v>
      </c>
      <c r="I82" s="17" t="s">
        <v>28</v>
      </c>
      <c r="J82" s="23"/>
      <c r="K82" s="2" t="s">
        <v>542</v>
      </c>
      <c r="L82" s="3"/>
    </row>
    <row r="83" spans="2:12">
      <c r="B83" s="15">
        <f t="shared" si="2"/>
        <v>78</v>
      </c>
      <c r="C83" s="68"/>
      <c r="D83" s="68"/>
      <c r="E83" s="68"/>
      <c r="F83" s="21" t="s">
        <v>22</v>
      </c>
      <c r="G83" s="17"/>
      <c r="H83" s="17" t="s">
        <v>179</v>
      </c>
      <c r="I83" s="17" t="s">
        <v>21</v>
      </c>
      <c r="J83" s="23"/>
      <c r="K83" s="2" t="s">
        <v>542</v>
      </c>
      <c r="L83" s="3"/>
    </row>
    <row r="84" spans="2:12">
      <c r="B84" s="15">
        <f t="shared" si="2"/>
        <v>79</v>
      </c>
      <c r="C84" s="68"/>
      <c r="D84" s="68"/>
      <c r="E84" s="68"/>
      <c r="F84" s="21" t="s">
        <v>60</v>
      </c>
      <c r="G84" s="17"/>
      <c r="H84" s="17" t="s">
        <v>179</v>
      </c>
      <c r="I84" s="17" t="s">
        <v>21</v>
      </c>
      <c r="J84" s="23"/>
      <c r="K84" s="2" t="s">
        <v>542</v>
      </c>
      <c r="L84" s="3"/>
    </row>
    <row r="85" spans="2:12">
      <c r="B85" s="15">
        <f t="shared" si="2"/>
        <v>80</v>
      </c>
      <c r="C85" s="68"/>
      <c r="D85" s="68"/>
      <c r="E85" s="68"/>
      <c r="F85" s="21" t="s">
        <v>765</v>
      </c>
      <c r="G85" s="17"/>
      <c r="H85" s="17" t="s">
        <v>27</v>
      </c>
      <c r="I85" s="17" t="s">
        <v>28</v>
      </c>
      <c r="J85" s="23"/>
      <c r="K85" s="2" t="s">
        <v>542</v>
      </c>
      <c r="L85" s="3"/>
    </row>
    <row r="86" spans="2:12">
      <c r="B86" s="15">
        <f t="shared" si="2"/>
        <v>81</v>
      </c>
      <c r="C86" s="68"/>
      <c r="D86" s="68"/>
      <c r="E86" s="68"/>
      <c r="F86" s="21" t="s">
        <v>764</v>
      </c>
      <c r="G86" s="17"/>
      <c r="H86" s="17" t="s">
        <v>27</v>
      </c>
      <c r="I86" s="17" t="s">
        <v>28</v>
      </c>
      <c r="J86" s="23"/>
      <c r="K86" s="2" t="s">
        <v>542</v>
      </c>
      <c r="L86" s="3"/>
    </row>
    <row r="87" spans="2:12">
      <c r="B87" s="15">
        <f t="shared" si="2"/>
        <v>82</v>
      </c>
      <c r="C87" s="68"/>
      <c r="D87" s="68"/>
      <c r="E87" s="68"/>
      <c r="F87" s="21" t="s">
        <v>763</v>
      </c>
      <c r="G87" s="17"/>
      <c r="H87" s="17" t="s">
        <v>27</v>
      </c>
      <c r="I87" s="17" t="s">
        <v>28</v>
      </c>
      <c r="J87" s="23"/>
      <c r="K87" s="2" t="s">
        <v>542</v>
      </c>
      <c r="L87" s="3"/>
    </row>
    <row r="88" spans="2:12">
      <c r="B88" s="15">
        <f t="shared" si="2"/>
        <v>83</v>
      </c>
      <c r="C88" s="16" t="s">
        <v>762</v>
      </c>
      <c r="D88" s="16"/>
      <c r="E88" s="16"/>
      <c r="F88" s="21" t="s">
        <v>761</v>
      </c>
      <c r="G88" s="17"/>
      <c r="H88" s="17" t="s">
        <v>760</v>
      </c>
      <c r="I88" s="17" t="s">
        <v>21</v>
      </c>
      <c r="J88" s="23"/>
      <c r="K88" s="2" t="s">
        <v>542</v>
      </c>
      <c r="L88" s="3"/>
    </row>
    <row r="89" spans="2:12">
      <c r="B89" s="15">
        <f t="shared" si="2"/>
        <v>84</v>
      </c>
      <c r="C89" s="187"/>
      <c r="D89" s="68"/>
      <c r="E89" s="68"/>
      <c r="F89" s="21" t="s">
        <v>759</v>
      </c>
      <c r="G89" s="17"/>
      <c r="H89" s="17" t="s">
        <v>758</v>
      </c>
      <c r="I89" s="17" t="s">
        <v>21</v>
      </c>
      <c r="J89" s="23"/>
      <c r="K89" s="2" t="s">
        <v>542</v>
      </c>
      <c r="L89" s="3"/>
    </row>
    <row r="90" spans="2:12">
      <c r="B90" s="15">
        <f t="shared" si="2"/>
        <v>85</v>
      </c>
      <c r="C90" s="68"/>
      <c r="D90" s="68"/>
      <c r="E90" s="68"/>
      <c r="F90" s="21" t="s">
        <v>757</v>
      </c>
      <c r="G90" s="17"/>
      <c r="H90" s="17" t="s">
        <v>756</v>
      </c>
      <c r="I90" s="17" t="s">
        <v>21</v>
      </c>
      <c r="J90" s="23"/>
      <c r="K90" s="2" t="s">
        <v>542</v>
      </c>
      <c r="L90" s="3"/>
    </row>
    <row r="91" spans="2:12">
      <c r="B91" s="15">
        <f t="shared" si="2"/>
        <v>86</v>
      </c>
      <c r="C91" s="68"/>
      <c r="D91" s="68"/>
      <c r="E91" s="68"/>
      <c r="F91" s="21" t="s">
        <v>175</v>
      </c>
      <c r="G91" s="17"/>
      <c r="H91" s="17" t="s">
        <v>755</v>
      </c>
      <c r="I91" s="17" t="s">
        <v>21</v>
      </c>
      <c r="J91" s="23"/>
      <c r="K91" s="2" t="s">
        <v>542</v>
      </c>
      <c r="L91" s="3"/>
    </row>
    <row r="92" spans="2:12">
      <c r="B92" s="15">
        <f t="shared" si="2"/>
        <v>87</v>
      </c>
      <c r="C92" s="68"/>
      <c r="D92" s="68"/>
      <c r="E92" s="68"/>
      <c r="F92" s="21" t="s">
        <v>754</v>
      </c>
      <c r="G92" s="17"/>
      <c r="H92" s="17" t="s">
        <v>753</v>
      </c>
      <c r="I92" s="17" t="s">
        <v>21</v>
      </c>
      <c r="J92" s="23"/>
      <c r="K92" s="2" t="s">
        <v>542</v>
      </c>
      <c r="L92" s="3"/>
    </row>
    <row r="93" spans="2:12">
      <c r="B93" s="15">
        <f t="shared" si="2"/>
        <v>88</v>
      </c>
      <c r="C93" s="68"/>
      <c r="D93" s="68"/>
      <c r="E93" s="68"/>
      <c r="F93" s="21" t="s">
        <v>752</v>
      </c>
      <c r="G93" s="17"/>
      <c r="H93" s="17" t="s">
        <v>751</v>
      </c>
      <c r="I93" s="17" t="s">
        <v>21</v>
      </c>
      <c r="J93" s="23"/>
      <c r="K93" s="2" t="s">
        <v>542</v>
      </c>
      <c r="L93" s="3"/>
    </row>
    <row r="94" spans="2:12">
      <c r="B94" s="15">
        <f t="shared" si="2"/>
        <v>89</v>
      </c>
      <c r="C94" s="68"/>
      <c r="D94" s="68"/>
      <c r="E94" s="68"/>
      <c r="F94" s="21" t="s">
        <v>750</v>
      </c>
      <c r="G94" s="17"/>
      <c r="H94" s="17" t="s">
        <v>749</v>
      </c>
      <c r="I94" s="17" t="s">
        <v>21</v>
      </c>
      <c r="J94" s="23"/>
      <c r="K94" s="2" t="s">
        <v>542</v>
      </c>
      <c r="L94" s="3"/>
    </row>
    <row r="95" spans="2:12">
      <c r="B95" s="15">
        <f t="shared" si="2"/>
        <v>90</v>
      </c>
      <c r="C95" s="68"/>
      <c r="D95" s="68"/>
      <c r="E95" s="68"/>
      <c r="F95" s="21" t="s">
        <v>230</v>
      </c>
      <c r="G95" s="17"/>
      <c r="H95" s="17" t="s">
        <v>480</v>
      </c>
      <c r="I95" s="17" t="s">
        <v>748</v>
      </c>
      <c r="J95" s="23"/>
      <c r="K95" s="2" t="s">
        <v>542</v>
      </c>
      <c r="L95" s="3"/>
    </row>
    <row r="96" spans="2:12">
      <c r="B96" s="15">
        <f t="shared" si="2"/>
        <v>91</v>
      </c>
      <c r="C96" s="68"/>
      <c r="D96" s="68"/>
      <c r="E96" s="68"/>
      <c r="F96" s="21" t="s">
        <v>24</v>
      </c>
      <c r="G96" s="17"/>
      <c r="H96" s="17" t="s">
        <v>20</v>
      </c>
      <c r="I96" s="17" t="s">
        <v>21</v>
      </c>
      <c r="J96" s="23"/>
      <c r="K96" s="2" t="s">
        <v>542</v>
      </c>
      <c r="L96" s="3"/>
    </row>
    <row r="97" spans="2:12">
      <c r="B97" s="15">
        <f t="shared" si="2"/>
        <v>92</v>
      </c>
      <c r="C97" s="68"/>
      <c r="D97" s="68"/>
      <c r="E97" s="16" t="s">
        <v>747</v>
      </c>
      <c r="F97" s="21" t="s">
        <v>746</v>
      </c>
      <c r="G97" s="17"/>
      <c r="H97" s="17" t="s">
        <v>743</v>
      </c>
      <c r="I97" s="17" t="s">
        <v>21</v>
      </c>
      <c r="J97" s="23"/>
      <c r="K97" s="2" t="s">
        <v>542</v>
      </c>
      <c r="L97" s="3"/>
    </row>
    <row r="98" spans="2:12">
      <c r="B98" s="15">
        <f t="shared" si="2"/>
        <v>93</v>
      </c>
      <c r="C98" s="68"/>
      <c r="D98" s="68"/>
      <c r="E98" s="68"/>
      <c r="F98" s="21" t="s">
        <v>745</v>
      </c>
      <c r="G98" s="17"/>
      <c r="H98" s="17" t="s">
        <v>743</v>
      </c>
      <c r="I98" s="17" t="s">
        <v>21</v>
      </c>
      <c r="J98" s="23"/>
      <c r="K98" s="2" t="s">
        <v>542</v>
      </c>
      <c r="L98" s="3"/>
    </row>
    <row r="99" spans="2:12">
      <c r="B99" s="15">
        <f t="shared" ref="B99:B130" si="3">ROW() - 5</f>
        <v>94</v>
      </c>
      <c r="C99" s="68"/>
      <c r="D99" s="68"/>
      <c r="E99" s="68"/>
      <c r="F99" s="21" t="s">
        <v>744</v>
      </c>
      <c r="G99" s="17"/>
      <c r="H99" s="17" t="s">
        <v>743</v>
      </c>
      <c r="I99" s="17" t="s">
        <v>21</v>
      </c>
      <c r="J99" s="23"/>
      <c r="K99" s="2" t="s">
        <v>542</v>
      </c>
      <c r="L99" s="3"/>
    </row>
    <row r="100" spans="2:12">
      <c r="B100" s="15">
        <f t="shared" si="3"/>
        <v>95</v>
      </c>
      <c r="C100" s="16" t="s">
        <v>742</v>
      </c>
      <c r="D100" s="16"/>
      <c r="E100" s="16" t="s">
        <v>741</v>
      </c>
      <c r="F100" s="21" t="s">
        <v>740</v>
      </c>
      <c r="G100" s="17"/>
      <c r="H100" s="17" t="s">
        <v>20</v>
      </c>
      <c r="I100" s="17" t="s">
        <v>21</v>
      </c>
      <c r="J100" s="23"/>
      <c r="K100" s="2" t="s">
        <v>542</v>
      </c>
      <c r="L100" s="3"/>
    </row>
    <row r="101" spans="2:12">
      <c r="B101" s="15">
        <f t="shared" si="3"/>
        <v>96</v>
      </c>
      <c r="C101" s="68"/>
      <c r="D101" s="68"/>
      <c r="E101" s="68"/>
      <c r="F101" s="21" t="s">
        <v>739</v>
      </c>
      <c r="G101" s="17"/>
      <c r="H101" s="17" t="s">
        <v>27</v>
      </c>
      <c r="I101" s="17" t="s">
        <v>28</v>
      </c>
      <c r="J101" s="23"/>
      <c r="K101" s="2" t="s">
        <v>542</v>
      </c>
      <c r="L101" s="3"/>
    </row>
    <row r="102" spans="2:12">
      <c r="B102" s="15">
        <f t="shared" si="3"/>
        <v>97</v>
      </c>
      <c r="C102" s="68"/>
      <c r="D102" s="68"/>
      <c r="E102" s="68"/>
      <c r="F102" s="21" t="s">
        <v>738</v>
      </c>
      <c r="G102" s="17"/>
      <c r="H102" s="17" t="s">
        <v>27</v>
      </c>
      <c r="I102" s="17" t="s">
        <v>28</v>
      </c>
      <c r="J102" s="23"/>
      <c r="K102" s="2" t="s">
        <v>542</v>
      </c>
      <c r="L102" s="3"/>
    </row>
    <row r="103" spans="2:12">
      <c r="B103" s="15">
        <f t="shared" si="3"/>
        <v>98</v>
      </c>
      <c r="C103" s="68"/>
      <c r="D103" s="68"/>
      <c r="E103" s="68"/>
      <c r="F103" s="21" t="s">
        <v>737</v>
      </c>
      <c r="G103" s="17"/>
      <c r="H103" s="17" t="s">
        <v>27</v>
      </c>
      <c r="I103" s="17" t="s">
        <v>28</v>
      </c>
      <c r="J103" s="23"/>
      <c r="K103" s="2" t="s">
        <v>542</v>
      </c>
      <c r="L103" s="3"/>
    </row>
    <row r="104" spans="2:12">
      <c r="B104" s="15">
        <f t="shared" si="3"/>
        <v>99</v>
      </c>
      <c r="C104" s="68"/>
      <c r="D104" s="68"/>
      <c r="E104" s="19"/>
      <c r="F104" s="21" t="s">
        <v>736</v>
      </c>
      <c r="G104" s="17"/>
      <c r="H104" s="17" t="s">
        <v>735</v>
      </c>
      <c r="I104" s="17" t="s">
        <v>21</v>
      </c>
      <c r="J104" s="23"/>
      <c r="K104" s="2" t="s">
        <v>542</v>
      </c>
      <c r="L104" s="3"/>
    </row>
    <row r="105" spans="2:12">
      <c r="B105" s="15">
        <f t="shared" si="3"/>
        <v>100</v>
      </c>
      <c r="C105" s="68"/>
      <c r="D105" s="68"/>
      <c r="E105" s="16" t="s">
        <v>734</v>
      </c>
      <c r="F105" s="21" t="s">
        <v>733</v>
      </c>
      <c r="G105" s="17"/>
      <c r="H105" s="17" t="s">
        <v>179</v>
      </c>
      <c r="I105" s="111">
        <v>0</v>
      </c>
      <c r="J105" s="23"/>
      <c r="K105" s="2" t="s">
        <v>542</v>
      </c>
      <c r="L105" s="3"/>
    </row>
    <row r="106" spans="2:12">
      <c r="B106" s="15">
        <f t="shared" si="3"/>
        <v>101</v>
      </c>
      <c r="C106" s="68"/>
      <c r="D106" s="68"/>
      <c r="E106" s="68"/>
      <c r="F106" s="21" t="s">
        <v>732</v>
      </c>
      <c r="G106" s="17"/>
      <c r="H106" s="17" t="s">
        <v>179</v>
      </c>
      <c r="I106" s="111">
        <v>0</v>
      </c>
      <c r="J106" s="23"/>
      <c r="K106" s="2" t="s">
        <v>542</v>
      </c>
      <c r="L106" s="3"/>
    </row>
    <row r="107" spans="2:12">
      <c r="B107" s="15">
        <f t="shared" si="3"/>
        <v>102</v>
      </c>
      <c r="C107" s="68"/>
      <c r="D107" s="68"/>
      <c r="E107" s="68"/>
      <c r="F107" s="21" t="s">
        <v>731</v>
      </c>
      <c r="G107" s="17"/>
      <c r="H107" s="17" t="s">
        <v>179</v>
      </c>
      <c r="I107" s="111">
        <v>0</v>
      </c>
      <c r="J107" s="23"/>
      <c r="K107" s="2" t="s">
        <v>542</v>
      </c>
      <c r="L107" s="3"/>
    </row>
    <row r="108" spans="2:12">
      <c r="B108" s="15">
        <f t="shared" si="3"/>
        <v>103</v>
      </c>
      <c r="C108" s="68"/>
      <c r="D108" s="68"/>
      <c r="E108" s="68"/>
      <c r="F108" s="21" t="s">
        <v>730</v>
      </c>
      <c r="G108" s="17"/>
      <c r="H108" s="17" t="s">
        <v>179</v>
      </c>
      <c r="I108" s="111">
        <v>0</v>
      </c>
      <c r="J108" s="23"/>
      <c r="K108" s="2" t="s">
        <v>542</v>
      </c>
      <c r="L108" s="3"/>
    </row>
    <row r="109" spans="2:12">
      <c r="B109" s="15">
        <f t="shared" si="3"/>
        <v>104</v>
      </c>
      <c r="C109" s="68"/>
      <c r="D109" s="68"/>
      <c r="E109" s="68"/>
      <c r="F109" s="21" t="s">
        <v>729</v>
      </c>
      <c r="G109" s="17"/>
      <c r="H109" s="17" t="s">
        <v>277</v>
      </c>
      <c r="I109" s="17" t="s">
        <v>21</v>
      </c>
      <c r="J109" s="23"/>
      <c r="K109" s="2" t="s">
        <v>542</v>
      </c>
      <c r="L109" s="3"/>
    </row>
    <row r="110" spans="2:12">
      <c r="B110" s="15">
        <f t="shared" si="3"/>
        <v>105</v>
      </c>
      <c r="C110" s="68"/>
      <c r="D110" s="68"/>
      <c r="E110" s="68"/>
      <c r="F110" s="21" t="s">
        <v>728</v>
      </c>
      <c r="G110" s="17"/>
      <c r="H110" s="17" t="s">
        <v>179</v>
      </c>
      <c r="I110" s="17" t="s">
        <v>21</v>
      </c>
      <c r="J110" s="23"/>
      <c r="K110" s="2" t="s">
        <v>542</v>
      </c>
      <c r="L110" s="3"/>
    </row>
    <row r="111" spans="2:12">
      <c r="B111" s="15">
        <f t="shared" si="3"/>
        <v>106</v>
      </c>
      <c r="C111" s="68"/>
      <c r="D111" s="68"/>
      <c r="E111" s="19"/>
      <c r="F111" s="21" t="s">
        <v>727</v>
      </c>
      <c r="G111" s="17"/>
      <c r="H111" s="17" t="s">
        <v>179</v>
      </c>
      <c r="I111" s="17" t="s">
        <v>21</v>
      </c>
      <c r="J111" s="23"/>
      <c r="K111" s="2" t="s">
        <v>542</v>
      </c>
      <c r="L111" s="3"/>
    </row>
    <row r="112" spans="2:12">
      <c r="B112" s="15">
        <f t="shared" si="3"/>
        <v>107</v>
      </c>
      <c r="C112" s="68"/>
      <c r="D112" s="68"/>
      <c r="E112" s="16" t="s">
        <v>726</v>
      </c>
      <c r="F112" s="21" t="s">
        <v>725</v>
      </c>
      <c r="G112" s="17"/>
      <c r="H112" s="17" t="s">
        <v>277</v>
      </c>
      <c r="I112" s="17" t="s">
        <v>21</v>
      </c>
      <c r="J112" s="23"/>
      <c r="K112" s="2" t="s">
        <v>542</v>
      </c>
      <c r="L112" s="3"/>
    </row>
    <row r="113" spans="2:12">
      <c r="B113" s="15">
        <f t="shared" si="3"/>
        <v>108</v>
      </c>
      <c r="C113" s="68"/>
      <c r="D113" s="68"/>
      <c r="E113" s="19"/>
      <c r="F113" s="21" t="s">
        <v>724</v>
      </c>
      <c r="G113" s="17"/>
      <c r="H113" s="17" t="s">
        <v>277</v>
      </c>
      <c r="I113" s="17" t="s">
        <v>21</v>
      </c>
      <c r="J113" s="23"/>
      <c r="K113" s="2" t="s">
        <v>542</v>
      </c>
      <c r="L113" s="3"/>
    </row>
    <row r="114" spans="2:12">
      <c r="B114" s="15">
        <f t="shared" si="3"/>
        <v>109</v>
      </c>
      <c r="C114" s="68"/>
      <c r="D114" s="68"/>
      <c r="E114" s="68" t="s">
        <v>723</v>
      </c>
      <c r="F114" s="21" t="s">
        <v>723</v>
      </c>
      <c r="G114" s="17"/>
      <c r="H114" s="111" t="s">
        <v>50</v>
      </c>
      <c r="I114" s="111">
        <v>0</v>
      </c>
      <c r="J114" s="23"/>
      <c r="K114" s="2" t="s">
        <v>542</v>
      </c>
      <c r="L114" s="3"/>
    </row>
    <row r="115" spans="2:12">
      <c r="B115" s="15">
        <f t="shared" si="3"/>
        <v>110</v>
      </c>
      <c r="C115" s="68"/>
      <c r="D115" s="68"/>
      <c r="E115" s="68"/>
      <c r="F115" s="21" t="s">
        <v>722</v>
      </c>
      <c r="G115" s="17"/>
      <c r="H115" s="17" t="s">
        <v>480</v>
      </c>
      <c r="I115" s="17" t="s">
        <v>21</v>
      </c>
      <c r="J115" s="23"/>
      <c r="K115" s="2" t="s">
        <v>542</v>
      </c>
      <c r="L115" s="3"/>
    </row>
    <row r="116" spans="2:12">
      <c r="B116" s="15">
        <f t="shared" si="3"/>
        <v>111</v>
      </c>
      <c r="C116" s="68"/>
      <c r="D116" s="68"/>
      <c r="E116" s="19"/>
      <c r="F116" s="21" t="s">
        <v>721</v>
      </c>
      <c r="G116" s="17"/>
      <c r="H116" s="17" t="s">
        <v>179</v>
      </c>
      <c r="I116" s="17" t="s">
        <v>21</v>
      </c>
      <c r="J116" s="23"/>
      <c r="K116" s="2" t="s">
        <v>542</v>
      </c>
      <c r="L116" s="3"/>
    </row>
    <row r="117" spans="2:12">
      <c r="B117" s="15">
        <f t="shared" si="3"/>
        <v>112</v>
      </c>
      <c r="C117" s="68"/>
      <c r="D117" s="68"/>
      <c r="E117" s="68" t="s">
        <v>720</v>
      </c>
      <c r="F117" s="21" t="s">
        <v>719</v>
      </c>
      <c r="G117" s="17"/>
      <c r="H117" s="17" t="s">
        <v>718</v>
      </c>
      <c r="I117" s="17" t="s">
        <v>21</v>
      </c>
      <c r="J117" s="23"/>
      <c r="K117" s="2" t="s">
        <v>542</v>
      </c>
      <c r="L117" s="3"/>
    </row>
    <row r="118" spans="2:12" ht="27">
      <c r="B118" s="15">
        <f t="shared" si="3"/>
        <v>113</v>
      </c>
      <c r="C118" s="68"/>
      <c r="D118" s="68"/>
      <c r="E118" s="68"/>
      <c r="F118" s="21" t="s">
        <v>717</v>
      </c>
      <c r="G118" s="17"/>
      <c r="H118" s="17" t="s">
        <v>716</v>
      </c>
      <c r="I118" s="17" t="s">
        <v>21</v>
      </c>
      <c r="J118" s="23" t="s">
        <v>715</v>
      </c>
      <c r="K118" s="2" t="s">
        <v>542</v>
      </c>
      <c r="L118" s="3"/>
    </row>
    <row r="119" spans="2:12">
      <c r="B119" s="15">
        <f t="shared" si="3"/>
        <v>114</v>
      </c>
      <c r="C119" s="68"/>
      <c r="D119" s="68"/>
      <c r="E119" s="68"/>
      <c r="F119" s="21" t="s">
        <v>714</v>
      </c>
      <c r="G119" s="17"/>
      <c r="H119" s="17" t="s">
        <v>27</v>
      </c>
      <c r="I119" s="17" t="s">
        <v>28</v>
      </c>
      <c r="J119" s="23"/>
      <c r="K119" s="2" t="s">
        <v>542</v>
      </c>
      <c r="L119" s="3"/>
    </row>
    <row r="120" spans="2:12">
      <c r="B120" s="15">
        <f t="shared" si="3"/>
        <v>115</v>
      </c>
      <c r="C120" s="68"/>
      <c r="D120" s="68"/>
      <c r="E120" s="19"/>
      <c r="F120" s="21" t="s">
        <v>713</v>
      </c>
      <c r="G120" s="17"/>
      <c r="H120" s="17" t="s">
        <v>27</v>
      </c>
      <c r="I120" s="17" t="s">
        <v>28</v>
      </c>
      <c r="J120" s="23"/>
      <c r="K120" s="2" t="s">
        <v>542</v>
      </c>
      <c r="L120" s="3"/>
    </row>
    <row r="121" spans="2:12">
      <c r="B121" s="15">
        <f t="shared" si="3"/>
        <v>116</v>
      </c>
      <c r="C121" s="68"/>
      <c r="D121" s="68"/>
      <c r="E121" s="68" t="s">
        <v>712</v>
      </c>
      <c r="F121" s="21" t="s">
        <v>711</v>
      </c>
      <c r="G121" s="17"/>
      <c r="H121" s="17" t="s">
        <v>277</v>
      </c>
      <c r="I121" s="17" t="s">
        <v>21</v>
      </c>
      <c r="J121" s="23"/>
      <c r="K121" s="2" t="s">
        <v>542</v>
      </c>
      <c r="L121" s="3"/>
    </row>
    <row r="122" spans="2:12">
      <c r="B122" s="15">
        <f t="shared" si="3"/>
        <v>117</v>
      </c>
      <c r="C122" s="68"/>
      <c r="D122" s="68"/>
      <c r="E122" s="19"/>
      <c r="F122" s="21" t="s">
        <v>710</v>
      </c>
      <c r="G122" s="17"/>
      <c r="H122" s="17" t="s">
        <v>277</v>
      </c>
      <c r="I122" s="17" t="s">
        <v>21</v>
      </c>
      <c r="J122" s="23"/>
      <c r="K122" s="2" t="s">
        <v>542</v>
      </c>
      <c r="L122" s="3"/>
    </row>
    <row r="123" spans="2:12">
      <c r="B123" s="15">
        <f t="shared" si="3"/>
        <v>118</v>
      </c>
      <c r="C123" s="68"/>
      <c r="D123" s="68"/>
      <c r="E123" s="68" t="s">
        <v>24</v>
      </c>
      <c r="F123" s="21" t="s">
        <v>709</v>
      </c>
      <c r="G123" s="17"/>
      <c r="H123" s="111" t="s">
        <v>20</v>
      </c>
      <c r="I123" s="17" t="s">
        <v>21</v>
      </c>
      <c r="J123" s="23"/>
      <c r="K123" s="2" t="s">
        <v>542</v>
      </c>
      <c r="L123" s="3"/>
    </row>
    <row r="124" spans="2:12" ht="94.5">
      <c r="B124" s="15">
        <f t="shared" si="3"/>
        <v>119</v>
      </c>
      <c r="C124" s="68"/>
      <c r="D124" s="68"/>
      <c r="E124" s="16" t="s">
        <v>708</v>
      </c>
      <c r="F124" s="21" t="s">
        <v>707</v>
      </c>
      <c r="G124" s="17"/>
      <c r="H124" s="17" t="s">
        <v>706</v>
      </c>
      <c r="I124" s="17" t="s">
        <v>28</v>
      </c>
      <c r="J124" s="23"/>
      <c r="K124" s="2" t="s">
        <v>542</v>
      </c>
      <c r="L124" s="3"/>
    </row>
    <row r="125" spans="2:12">
      <c r="B125" s="15">
        <f t="shared" si="3"/>
        <v>120</v>
      </c>
      <c r="C125" s="68"/>
      <c r="D125" s="68"/>
      <c r="E125" s="68"/>
      <c r="F125" s="21" t="s">
        <v>705</v>
      </c>
      <c r="G125" s="17"/>
      <c r="H125" s="17" t="s">
        <v>704</v>
      </c>
      <c r="I125" s="17" t="s">
        <v>21</v>
      </c>
      <c r="J125" s="23"/>
      <c r="K125" s="2" t="s">
        <v>542</v>
      </c>
      <c r="L125" s="3"/>
    </row>
    <row r="126" spans="2:12" ht="27">
      <c r="B126" s="15">
        <f t="shared" si="3"/>
        <v>121</v>
      </c>
      <c r="C126" s="68"/>
      <c r="D126" s="68"/>
      <c r="E126" s="68"/>
      <c r="F126" s="21" t="s">
        <v>703</v>
      </c>
      <c r="G126" s="17"/>
      <c r="H126" s="17" t="s">
        <v>702</v>
      </c>
      <c r="I126" s="17" t="s">
        <v>21</v>
      </c>
      <c r="J126" s="23"/>
      <c r="K126" s="2" t="s">
        <v>542</v>
      </c>
      <c r="L126" s="3"/>
    </row>
    <row r="127" spans="2:12">
      <c r="B127" s="15">
        <f t="shared" si="3"/>
        <v>122</v>
      </c>
      <c r="C127" s="68"/>
      <c r="D127" s="68"/>
      <c r="E127" s="68"/>
      <c r="F127" s="21" t="s">
        <v>701</v>
      </c>
      <c r="G127" s="17"/>
      <c r="H127" s="17" t="s">
        <v>27</v>
      </c>
      <c r="I127" s="17" t="s">
        <v>28</v>
      </c>
      <c r="J127" s="23"/>
      <c r="K127" s="2" t="s">
        <v>542</v>
      </c>
      <c r="L127" s="3"/>
    </row>
    <row r="128" spans="2:12">
      <c r="B128" s="15">
        <f t="shared" si="3"/>
        <v>123</v>
      </c>
      <c r="C128" s="68"/>
      <c r="D128" s="68"/>
      <c r="E128" s="68"/>
      <c r="F128" s="52" t="s">
        <v>700</v>
      </c>
      <c r="G128" s="17"/>
      <c r="H128" s="17" t="s">
        <v>27</v>
      </c>
      <c r="I128" s="17" t="s">
        <v>28</v>
      </c>
      <c r="J128" s="23"/>
      <c r="K128" s="2" t="s">
        <v>542</v>
      </c>
      <c r="L128" s="3"/>
    </row>
    <row r="129" spans="2:12">
      <c r="B129" s="15">
        <f t="shared" si="3"/>
        <v>124</v>
      </c>
      <c r="C129" s="16" t="s">
        <v>699</v>
      </c>
      <c r="D129" s="16"/>
      <c r="E129" s="16" t="s">
        <v>698</v>
      </c>
      <c r="F129" s="21" t="s">
        <v>697</v>
      </c>
      <c r="G129" s="17"/>
      <c r="H129" s="17" t="s">
        <v>696</v>
      </c>
      <c r="I129" s="17" t="s">
        <v>21</v>
      </c>
      <c r="J129" s="23"/>
      <c r="K129" s="2" t="s">
        <v>542</v>
      </c>
      <c r="L129" s="3"/>
    </row>
    <row r="130" spans="2:12">
      <c r="B130" s="15">
        <f t="shared" si="3"/>
        <v>125</v>
      </c>
      <c r="C130" s="68"/>
      <c r="D130" s="68"/>
      <c r="E130" s="68"/>
      <c r="F130" s="21" t="s">
        <v>695</v>
      </c>
      <c r="G130" s="17"/>
      <c r="H130" s="17" t="s">
        <v>694</v>
      </c>
      <c r="I130" s="17" t="s">
        <v>21</v>
      </c>
      <c r="J130" s="23"/>
      <c r="K130" s="2" t="s">
        <v>542</v>
      </c>
      <c r="L130" s="3"/>
    </row>
    <row r="131" spans="2:12">
      <c r="B131" s="15">
        <f t="shared" ref="B131:B162" si="4">ROW() - 5</f>
        <v>126</v>
      </c>
      <c r="C131" s="68"/>
      <c r="D131" s="68"/>
      <c r="E131" s="68"/>
      <c r="F131" s="21" t="s">
        <v>389</v>
      </c>
      <c r="G131" s="17"/>
      <c r="H131" s="17" t="s">
        <v>693</v>
      </c>
      <c r="I131" s="17" t="s">
        <v>21</v>
      </c>
      <c r="J131" s="23"/>
      <c r="K131" s="2" t="s">
        <v>542</v>
      </c>
      <c r="L131" s="3"/>
    </row>
    <row r="132" spans="2:12">
      <c r="B132" s="15">
        <f t="shared" si="4"/>
        <v>127</v>
      </c>
      <c r="C132" s="68"/>
      <c r="D132" s="68"/>
      <c r="E132" s="68"/>
      <c r="F132" s="21" t="s">
        <v>692</v>
      </c>
      <c r="G132" s="17"/>
      <c r="H132" s="17" t="s">
        <v>691</v>
      </c>
      <c r="I132" s="17" t="s">
        <v>21</v>
      </c>
      <c r="J132" s="23"/>
      <c r="K132" s="2" t="s">
        <v>542</v>
      </c>
      <c r="L132" s="3"/>
    </row>
    <row r="133" spans="2:12" ht="27">
      <c r="B133" s="15">
        <f t="shared" si="4"/>
        <v>128</v>
      </c>
      <c r="C133" s="68"/>
      <c r="D133" s="68"/>
      <c r="E133" s="68"/>
      <c r="F133" s="21" t="s">
        <v>690</v>
      </c>
      <c r="G133" s="17"/>
      <c r="H133" s="17" t="s">
        <v>689</v>
      </c>
      <c r="I133" s="17" t="s">
        <v>21</v>
      </c>
      <c r="J133" s="23"/>
      <c r="K133" s="2" t="s">
        <v>542</v>
      </c>
      <c r="L133" s="3"/>
    </row>
    <row r="134" spans="2:12" ht="27">
      <c r="B134" s="15">
        <f t="shared" si="4"/>
        <v>129</v>
      </c>
      <c r="C134" s="68"/>
      <c r="D134" s="68"/>
      <c r="E134" s="68"/>
      <c r="F134" s="21" t="s">
        <v>688</v>
      </c>
      <c r="G134" s="17"/>
      <c r="H134" s="17" t="s">
        <v>687</v>
      </c>
      <c r="I134" s="17" t="s">
        <v>21</v>
      </c>
      <c r="J134" s="23"/>
      <c r="K134" s="2" t="s">
        <v>542</v>
      </c>
      <c r="L134" s="3"/>
    </row>
    <row r="135" spans="2:12">
      <c r="B135" s="15">
        <f t="shared" si="4"/>
        <v>130</v>
      </c>
      <c r="C135" s="68"/>
      <c r="D135" s="68"/>
      <c r="E135" s="68"/>
      <c r="F135" s="21" t="s">
        <v>686</v>
      </c>
      <c r="G135" s="17"/>
      <c r="H135" s="17" t="s">
        <v>685</v>
      </c>
      <c r="I135" s="17" t="s">
        <v>21</v>
      </c>
      <c r="J135" s="23"/>
      <c r="K135" s="2" t="s">
        <v>542</v>
      </c>
      <c r="L135" s="3"/>
    </row>
    <row r="136" spans="2:12">
      <c r="B136" s="15">
        <f t="shared" si="4"/>
        <v>131</v>
      </c>
      <c r="C136" s="68"/>
      <c r="D136" s="68"/>
      <c r="E136" s="68"/>
      <c r="F136" s="21" t="s">
        <v>684</v>
      </c>
      <c r="G136" s="17"/>
      <c r="H136" s="17" t="s">
        <v>583</v>
      </c>
      <c r="I136" s="17" t="s">
        <v>21</v>
      </c>
      <c r="J136" s="23"/>
      <c r="K136" s="2" t="s">
        <v>542</v>
      </c>
      <c r="L136" s="3"/>
    </row>
    <row r="137" spans="2:12">
      <c r="B137" s="15">
        <f t="shared" si="4"/>
        <v>132</v>
      </c>
      <c r="C137" s="68"/>
      <c r="D137" s="68"/>
      <c r="E137" s="68"/>
      <c r="F137" s="21" t="s">
        <v>683</v>
      </c>
      <c r="G137" s="17"/>
      <c r="H137" s="17" t="s">
        <v>583</v>
      </c>
      <c r="I137" s="17" t="s">
        <v>21</v>
      </c>
      <c r="J137" s="23"/>
      <c r="K137" s="2" t="s">
        <v>542</v>
      </c>
      <c r="L137" s="3"/>
    </row>
    <row r="138" spans="2:12" ht="27">
      <c r="B138" s="15">
        <f t="shared" si="4"/>
        <v>133</v>
      </c>
      <c r="C138" s="68"/>
      <c r="D138" s="68"/>
      <c r="E138" s="68"/>
      <c r="F138" s="21" t="s">
        <v>682</v>
      </c>
      <c r="G138" s="17"/>
      <c r="H138" s="17" t="s">
        <v>681</v>
      </c>
      <c r="I138" s="17" t="s">
        <v>21</v>
      </c>
      <c r="J138" s="23"/>
      <c r="K138" s="2" t="s">
        <v>542</v>
      </c>
      <c r="L138" s="3"/>
    </row>
    <row r="139" spans="2:12" ht="27">
      <c r="B139" s="15">
        <f t="shared" si="4"/>
        <v>134</v>
      </c>
      <c r="C139" s="68"/>
      <c r="D139" s="68"/>
      <c r="E139" s="16" t="s">
        <v>240</v>
      </c>
      <c r="F139" s="21" t="s">
        <v>680</v>
      </c>
      <c r="G139" s="17"/>
      <c r="H139" s="17" t="s">
        <v>666</v>
      </c>
      <c r="I139" s="17" t="s">
        <v>21</v>
      </c>
      <c r="J139" s="23" t="s">
        <v>679</v>
      </c>
      <c r="K139" s="2" t="s">
        <v>542</v>
      </c>
      <c r="L139" s="3"/>
    </row>
    <row r="140" spans="2:12" ht="27">
      <c r="B140" s="15">
        <f t="shared" si="4"/>
        <v>135</v>
      </c>
      <c r="C140" s="68"/>
      <c r="D140" s="68"/>
      <c r="E140" s="68"/>
      <c r="F140" s="21" t="s">
        <v>678</v>
      </c>
      <c r="G140" s="17"/>
      <c r="H140" s="17" t="s">
        <v>666</v>
      </c>
      <c r="I140" s="17" t="s">
        <v>21</v>
      </c>
      <c r="J140" s="23" t="s">
        <v>677</v>
      </c>
      <c r="K140" s="2" t="s">
        <v>542</v>
      </c>
      <c r="L140" s="3"/>
    </row>
    <row r="141" spans="2:12" ht="27">
      <c r="B141" s="15">
        <f t="shared" si="4"/>
        <v>136</v>
      </c>
      <c r="C141" s="68"/>
      <c r="D141" s="68"/>
      <c r="E141" s="68"/>
      <c r="F141" s="21" t="s">
        <v>676</v>
      </c>
      <c r="G141" s="17"/>
      <c r="H141" s="17" t="s">
        <v>666</v>
      </c>
      <c r="I141" s="17" t="s">
        <v>21</v>
      </c>
      <c r="J141" s="23" t="s">
        <v>675</v>
      </c>
      <c r="K141" s="2" t="s">
        <v>542</v>
      </c>
      <c r="L141" s="3"/>
    </row>
    <row r="142" spans="2:12" ht="27">
      <c r="B142" s="15">
        <f t="shared" si="4"/>
        <v>137</v>
      </c>
      <c r="C142" s="68"/>
      <c r="D142" s="68"/>
      <c r="E142" s="68"/>
      <c r="F142" s="21" t="s">
        <v>674</v>
      </c>
      <c r="G142" s="17"/>
      <c r="H142" s="17" t="s">
        <v>666</v>
      </c>
      <c r="I142" s="17" t="s">
        <v>21</v>
      </c>
      <c r="J142" s="23" t="s">
        <v>673</v>
      </c>
      <c r="K142" s="2" t="s">
        <v>542</v>
      </c>
      <c r="L142" s="3"/>
    </row>
    <row r="143" spans="2:12" ht="27">
      <c r="B143" s="15">
        <f t="shared" si="4"/>
        <v>138</v>
      </c>
      <c r="C143" s="68"/>
      <c r="D143" s="68"/>
      <c r="E143" s="68"/>
      <c r="F143" s="21" t="s">
        <v>672</v>
      </c>
      <c r="G143" s="17"/>
      <c r="H143" s="17" t="s">
        <v>671</v>
      </c>
      <c r="I143" s="17" t="s">
        <v>21</v>
      </c>
      <c r="J143" s="23"/>
      <c r="K143" s="2" t="s">
        <v>542</v>
      </c>
      <c r="L143" s="3"/>
    </row>
    <row r="144" spans="2:12" ht="27">
      <c r="B144" s="15">
        <f t="shared" si="4"/>
        <v>139</v>
      </c>
      <c r="C144" s="68"/>
      <c r="D144" s="68"/>
      <c r="E144" s="68"/>
      <c r="F144" s="21" t="s">
        <v>670</v>
      </c>
      <c r="G144" s="17"/>
      <c r="H144" s="17" t="s">
        <v>669</v>
      </c>
      <c r="I144" s="17" t="s">
        <v>21</v>
      </c>
      <c r="J144" s="23" t="s">
        <v>668</v>
      </c>
      <c r="K144" s="2" t="s">
        <v>542</v>
      </c>
      <c r="L144" s="3"/>
    </row>
    <row r="145" spans="2:12">
      <c r="B145" s="15">
        <f t="shared" si="4"/>
        <v>140</v>
      </c>
      <c r="C145" s="68"/>
      <c r="D145" s="68"/>
      <c r="E145" s="16" t="s">
        <v>196</v>
      </c>
      <c r="F145" s="21" t="s">
        <v>667</v>
      </c>
      <c r="G145" s="17"/>
      <c r="H145" s="17" t="s">
        <v>666</v>
      </c>
      <c r="I145" s="17" t="s">
        <v>21</v>
      </c>
      <c r="J145" s="23"/>
      <c r="K145" s="2" t="s">
        <v>542</v>
      </c>
      <c r="L145" s="3"/>
    </row>
    <row r="146" spans="2:12">
      <c r="B146" s="15">
        <f t="shared" si="4"/>
        <v>141</v>
      </c>
      <c r="C146" s="68"/>
      <c r="D146" s="68"/>
      <c r="E146" s="68"/>
      <c r="F146" s="21" t="s">
        <v>665</v>
      </c>
      <c r="G146" s="17"/>
      <c r="H146" s="17" t="s">
        <v>664</v>
      </c>
      <c r="I146" s="17" t="s">
        <v>21</v>
      </c>
      <c r="J146" s="23"/>
      <c r="K146" s="2" t="s">
        <v>542</v>
      </c>
      <c r="L146" s="3"/>
    </row>
    <row r="147" spans="2:12">
      <c r="B147" s="15">
        <f t="shared" si="4"/>
        <v>142</v>
      </c>
      <c r="C147" s="68"/>
      <c r="D147" s="68"/>
      <c r="E147" s="68"/>
      <c r="F147" s="21" t="s">
        <v>663</v>
      </c>
      <c r="G147" s="17"/>
      <c r="H147" s="17" t="s">
        <v>27</v>
      </c>
      <c r="I147" s="17" t="s">
        <v>28</v>
      </c>
      <c r="J147" s="23"/>
      <c r="K147" s="2" t="s">
        <v>542</v>
      </c>
      <c r="L147" s="3"/>
    </row>
    <row r="148" spans="2:12" ht="150" customHeight="1">
      <c r="B148" s="15">
        <f t="shared" si="4"/>
        <v>143</v>
      </c>
      <c r="C148" s="68"/>
      <c r="D148" s="68"/>
      <c r="E148" s="16" t="s">
        <v>662</v>
      </c>
      <c r="F148" s="21" t="s">
        <v>661</v>
      </c>
      <c r="G148" s="17"/>
      <c r="H148" s="17" t="s">
        <v>660</v>
      </c>
      <c r="I148" s="23" t="s">
        <v>659</v>
      </c>
      <c r="J148" s="23"/>
      <c r="K148" s="2" t="s">
        <v>542</v>
      </c>
      <c r="L148" s="3"/>
    </row>
    <row r="149" spans="2:12">
      <c r="B149" s="15">
        <f t="shared" si="4"/>
        <v>144</v>
      </c>
      <c r="C149" s="68"/>
      <c r="D149" s="68"/>
      <c r="E149" s="16" t="s">
        <v>658</v>
      </c>
      <c r="F149" s="21" t="s">
        <v>657</v>
      </c>
      <c r="G149" s="17"/>
      <c r="H149" s="17" t="s">
        <v>656</v>
      </c>
      <c r="I149" s="17" t="s">
        <v>21</v>
      </c>
      <c r="J149" s="23"/>
      <c r="K149" s="2" t="s">
        <v>542</v>
      </c>
      <c r="L149" s="3"/>
    </row>
    <row r="150" spans="2:12">
      <c r="B150" s="15">
        <f t="shared" si="4"/>
        <v>145</v>
      </c>
      <c r="C150" s="16" t="s">
        <v>655</v>
      </c>
      <c r="D150" s="16"/>
      <c r="E150" s="16" t="s">
        <v>654</v>
      </c>
      <c r="F150" s="21" t="s">
        <v>653</v>
      </c>
      <c r="G150" s="17"/>
      <c r="H150" s="17" t="s">
        <v>652</v>
      </c>
      <c r="I150" s="17" t="s">
        <v>21</v>
      </c>
      <c r="J150" s="23"/>
      <c r="K150" s="2" t="s">
        <v>542</v>
      </c>
      <c r="L150" s="3"/>
    </row>
    <row r="151" spans="2:12">
      <c r="B151" s="15">
        <f t="shared" si="4"/>
        <v>146</v>
      </c>
      <c r="C151" s="68"/>
      <c r="D151" s="68"/>
      <c r="E151" s="68"/>
      <c r="F151" s="21" t="s">
        <v>651</v>
      </c>
      <c r="G151" s="17"/>
      <c r="H151" s="17" t="s">
        <v>650</v>
      </c>
      <c r="I151" s="17" t="s">
        <v>21</v>
      </c>
      <c r="J151" s="23"/>
      <c r="K151" s="2" t="s">
        <v>542</v>
      </c>
      <c r="L151" s="3"/>
    </row>
    <row r="152" spans="2:12">
      <c r="B152" s="15">
        <f t="shared" si="4"/>
        <v>147</v>
      </c>
      <c r="C152" s="68"/>
      <c r="D152" s="68"/>
      <c r="E152" s="68"/>
      <c r="F152" s="21" t="s">
        <v>649</v>
      </c>
      <c r="G152" s="17"/>
      <c r="H152" s="17" t="s">
        <v>648</v>
      </c>
      <c r="I152" s="17" t="s">
        <v>21</v>
      </c>
      <c r="J152" s="23"/>
      <c r="K152" s="2" t="s">
        <v>542</v>
      </c>
      <c r="L152" s="3"/>
    </row>
    <row r="153" spans="2:12">
      <c r="B153" s="15">
        <f t="shared" si="4"/>
        <v>148</v>
      </c>
      <c r="C153" s="68"/>
      <c r="D153" s="68"/>
      <c r="E153" s="68"/>
      <c r="F153" s="21" t="s">
        <v>647</v>
      </c>
      <c r="G153" s="17"/>
      <c r="H153" s="17" t="s">
        <v>646</v>
      </c>
      <c r="I153" s="17" t="s">
        <v>21</v>
      </c>
      <c r="J153" s="23"/>
      <c r="K153" s="2" t="s">
        <v>542</v>
      </c>
      <c r="L153" s="3"/>
    </row>
    <row r="154" spans="2:12">
      <c r="B154" s="15">
        <f t="shared" si="4"/>
        <v>149</v>
      </c>
      <c r="C154" s="68"/>
      <c r="D154" s="68"/>
      <c r="E154" s="68"/>
      <c r="F154" s="21" t="s">
        <v>645</v>
      </c>
      <c r="G154" s="17"/>
      <c r="H154" s="17" t="s">
        <v>644</v>
      </c>
      <c r="I154" s="17" t="s">
        <v>21</v>
      </c>
      <c r="J154" s="23"/>
      <c r="K154" s="2" t="s">
        <v>542</v>
      </c>
      <c r="L154" s="3"/>
    </row>
    <row r="155" spans="2:12">
      <c r="B155" s="15">
        <f t="shared" si="4"/>
        <v>150</v>
      </c>
      <c r="C155" s="68"/>
      <c r="D155" s="68"/>
      <c r="E155" s="68"/>
      <c r="F155" s="21" t="s">
        <v>643</v>
      </c>
      <c r="G155" s="17"/>
      <c r="H155" s="17" t="s">
        <v>642</v>
      </c>
      <c r="I155" s="17" t="s">
        <v>21</v>
      </c>
      <c r="J155" s="23"/>
      <c r="K155" s="2" t="s">
        <v>542</v>
      </c>
      <c r="L155" s="3"/>
    </row>
    <row r="156" spans="2:12">
      <c r="B156" s="15">
        <f t="shared" si="4"/>
        <v>151</v>
      </c>
      <c r="C156" s="68"/>
      <c r="D156" s="68"/>
      <c r="E156" s="68"/>
      <c r="F156" s="21" t="s">
        <v>641</v>
      </c>
      <c r="G156" s="17"/>
      <c r="H156" s="17" t="s">
        <v>50</v>
      </c>
      <c r="I156" s="17" t="s">
        <v>21</v>
      </c>
      <c r="J156" s="23"/>
      <c r="K156" s="2" t="s">
        <v>542</v>
      </c>
      <c r="L156" s="3"/>
    </row>
    <row r="157" spans="2:12">
      <c r="B157" s="15">
        <f t="shared" si="4"/>
        <v>152</v>
      </c>
      <c r="C157" s="68"/>
      <c r="D157" s="68"/>
      <c r="E157" s="68"/>
      <c r="F157" s="21" t="s">
        <v>569</v>
      </c>
      <c r="G157" s="17"/>
      <c r="H157" s="17" t="s">
        <v>640</v>
      </c>
      <c r="I157" s="17" t="s">
        <v>21</v>
      </c>
      <c r="J157" s="23"/>
      <c r="K157" s="2" t="s">
        <v>542</v>
      </c>
      <c r="L157" s="3"/>
    </row>
    <row r="158" spans="2:12">
      <c r="B158" s="15">
        <f t="shared" si="4"/>
        <v>153</v>
      </c>
      <c r="C158" s="68"/>
      <c r="D158" s="68"/>
      <c r="E158" s="68"/>
      <c r="F158" s="21" t="s">
        <v>639</v>
      </c>
      <c r="G158" s="17"/>
      <c r="H158" s="17" t="s">
        <v>27</v>
      </c>
      <c r="I158" s="17" t="s">
        <v>28</v>
      </c>
      <c r="J158" s="23"/>
      <c r="K158" s="2" t="s">
        <v>542</v>
      </c>
      <c r="L158" s="3"/>
    </row>
    <row r="159" spans="2:12">
      <c r="B159" s="15">
        <f t="shared" si="4"/>
        <v>154</v>
      </c>
      <c r="C159" s="68"/>
      <c r="D159" s="68"/>
      <c r="E159" s="68"/>
      <c r="F159" s="21" t="s">
        <v>638</v>
      </c>
      <c r="G159" s="17"/>
      <c r="H159" s="17" t="s">
        <v>27</v>
      </c>
      <c r="I159" s="17" t="s">
        <v>28</v>
      </c>
      <c r="J159" s="23"/>
      <c r="K159" s="2" t="s">
        <v>542</v>
      </c>
      <c r="L159" s="3"/>
    </row>
    <row r="160" spans="2:12">
      <c r="B160" s="15">
        <f t="shared" si="4"/>
        <v>155</v>
      </c>
      <c r="C160" s="68"/>
      <c r="D160" s="68"/>
      <c r="E160" s="68"/>
      <c r="F160" s="21" t="s">
        <v>637</v>
      </c>
      <c r="G160" s="17"/>
      <c r="H160" s="17" t="s">
        <v>27</v>
      </c>
      <c r="I160" s="17" t="s">
        <v>28</v>
      </c>
      <c r="J160" s="23"/>
      <c r="K160" s="2" t="s">
        <v>542</v>
      </c>
      <c r="L160" s="3"/>
    </row>
    <row r="161" spans="2:12">
      <c r="B161" s="15">
        <f t="shared" si="4"/>
        <v>156</v>
      </c>
      <c r="C161" s="68"/>
      <c r="D161" s="68"/>
      <c r="E161" s="68"/>
      <c r="F161" s="21" t="s">
        <v>636</v>
      </c>
      <c r="G161" s="17"/>
      <c r="H161" s="17" t="s">
        <v>635</v>
      </c>
      <c r="I161" s="17" t="s">
        <v>21</v>
      </c>
      <c r="J161" s="23"/>
      <c r="K161" s="2" t="s">
        <v>542</v>
      </c>
      <c r="L161" s="3"/>
    </row>
    <row r="162" spans="2:12">
      <c r="B162" s="15">
        <f t="shared" si="4"/>
        <v>157</v>
      </c>
      <c r="C162" s="68"/>
      <c r="D162" s="68"/>
      <c r="E162" s="68"/>
      <c r="F162" s="21" t="s">
        <v>634</v>
      </c>
      <c r="G162" s="17"/>
      <c r="H162" s="17" t="s">
        <v>583</v>
      </c>
      <c r="I162" s="17" t="s">
        <v>21</v>
      </c>
      <c r="J162" s="23" t="s">
        <v>633</v>
      </c>
      <c r="K162" s="2" t="s">
        <v>542</v>
      </c>
      <c r="L162" s="3"/>
    </row>
    <row r="163" spans="2:12" ht="40.5">
      <c r="B163" s="15">
        <f t="shared" ref="B163:B193" si="5">ROW() - 5</f>
        <v>158</v>
      </c>
      <c r="C163" s="68"/>
      <c r="D163" s="68"/>
      <c r="E163" s="68"/>
      <c r="F163" s="21" t="s">
        <v>632</v>
      </c>
      <c r="G163" s="17"/>
      <c r="H163" s="17" t="s">
        <v>631</v>
      </c>
      <c r="I163" s="17" t="s">
        <v>221</v>
      </c>
      <c r="J163" s="23"/>
      <c r="K163" s="2"/>
      <c r="L163" s="3"/>
    </row>
    <row r="164" spans="2:12">
      <c r="B164" s="15">
        <f t="shared" si="5"/>
        <v>159</v>
      </c>
      <c r="C164" s="68"/>
      <c r="D164" s="68"/>
      <c r="E164" s="16" t="s">
        <v>630</v>
      </c>
      <c r="F164" s="21" t="s">
        <v>629</v>
      </c>
      <c r="G164" s="17"/>
      <c r="H164" s="17" t="s">
        <v>628</v>
      </c>
      <c r="I164" s="17" t="s">
        <v>21</v>
      </c>
      <c r="J164" s="23"/>
      <c r="K164" s="2" t="s">
        <v>542</v>
      </c>
      <c r="L164" s="3"/>
    </row>
    <row r="165" spans="2:12">
      <c r="B165" s="15">
        <f t="shared" si="5"/>
        <v>160</v>
      </c>
      <c r="C165" s="68"/>
      <c r="D165" s="68"/>
      <c r="E165" s="68"/>
      <c r="F165" s="21" t="s">
        <v>24</v>
      </c>
      <c r="G165" s="17"/>
      <c r="H165" s="17" t="s">
        <v>583</v>
      </c>
      <c r="I165" s="17" t="s">
        <v>21</v>
      </c>
      <c r="J165" s="23"/>
      <c r="K165" s="2" t="s">
        <v>542</v>
      </c>
      <c r="L165" s="3"/>
    </row>
    <row r="166" spans="2:12">
      <c r="B166" s="15">
        <f t="shared" si="5"/>
        <v>161</v>
      </c>
      <c r="C166" s="68"/>
      <c r="D166" s="68"/>
      <c r="E166" s="16" t="s">
        <v>627</v>
      </c>
      <c r="F166" s="21" t="s">
        <v>626</v>
      </c>
      <c r="G166" s="17"/>
      <c r="H166" s="23" t="s">
        <v>50</v>
      </c>
      <c r="I166" s="111">
        <v>0</v>
      </c>
      <c r="J166" s="23"/>
      <c r="K166" s="2" t="s">
        <v>542</v>
      </c>
      <c r="L166" s="3"/>
    </row>
    <row r="167" spans="2:12">
      <c r="B167" s="15">
        <f t="shared" si="5"/>
        <v>162</v>
      </c>
      <c r="C167" s="68"/>
      <c r="D167" s="68"/>
      <c r="E167" s="19"/>
      <c r="F167" s="21" t="s">
        <v>625</v>
      </c>
      <c r="G167" s="17"/>
      <c r="H167" s="23" t="s">
        <v>50</v>
      </c>
      <c r="I167" s="23">
        <v>0</v>
      </c>
      <c r="J167" s="23"/>
      <c r="K167" s="2" t="s">
        <v>542</v>
      </c>
      <c r="L167" s="3"/>
    </row>
    <row r="168" spans="2:12">
      <c r="B168" s="15">
        <f t="shared" si="5"/>
        <v>163</v>
      </c>
      <c r="C168" s="68"/>
      <c r="D168" s="68"/>
      <c r="E168" s="68" t="s">
        <v>624</v>
      </c>
      <c r="F168" s="21" t="s">
        <v>623</v>
      </c>
      <c r="G168" s="17"/>
      <c r="H168" s="23" t="s">
        <v>50</v>
      </c>
      <c r="I168" s="17" t="s">
        <v>21</v>
      </c>
      <c r="J168" s="23"/>
      <c r="K168" s="2" t="s">
        <v>542</v>
      </c>
      <c r="L168" s="3"/>
    </row>
    <row r="169" spans="2:12" ht="40.5">
      <c r="B169" s="15">
        <f t="shared" si="5"/>
        <v>164</v>
      </c>
      <c r="C169" s="16" t="s">
        <v>622</v>
      </c>
      <c r="D169" s="16"/>
      <c r="E169" s="16" t="s">
        <v>621</v>
      </c>
      <c r="F169" s="16" t="s">
        <v>2768</v>
      </c>
      <c r="G169" s="16"/>
      <c r="H169" s="17" t="s">
        <v>21</v>
      </c>
      <c r="I169" s="17" t="s">
        <v>21</v>
      </c>
      <c r="J169" s="23" t="s">
        <v>2769</v>
      </c>
      <c r="K169" s="2" t="s">
        <v>542</v>
      </c>
      <c r="L169" s="3"/>
    </row>
    <row r="170" spans="2:12">
      <c r="B170" s="15">
        <f t="shared" si="5"/>
        <v>165</v>
      </c>
      <c r="C170" s="16" t="s">
        <v>389</v>
      </c>
      <c r="D170" s="16"/>
      <c r="E170" s="16" t="s">
        <v>620</v>
      </c>
      <c r="F170" s="21" t="s">
        <v>619</v>
      </c>
      <c r="G170" s="17"/>
      <c r="H170" s="17" t="s">
        <v>27</v>
      </c>
      <c r="I170" s="17" t="s">
        <v>28</v>
      </c>
      <c r="J170" s="23"/>
      <c r="K170" s="2" t="s">
        <v>542</v>
      </c>
      <c r="L170" s="3"/>
    </row>
    <row r="171" spans="2:12" ht="27">
      <c r="B171" s="15">
        <f t="shared" si="5"/>
        <v>166</v>
      </c>
      <c r="C171" s="68"/>
      <c r="D171" s="68"/>
      <c r="E171" s="16" t="s">
        <v>618</v>
      </c>
      <c r="F171" s="21" t="s">
        <v>617</v>
      </c>
      <c r="G171" s="17"/>
      <c r="H171" s="17" t="s">
        <v>616</v>
      </c>
      <c r="I171" s="17" t="s">
        <v>21</v>
      </c>
      <c r="J171" s="23"/>
      <c r="K171" s="2" t="s">
        <v>542</v>
      </c>
      <c r="L171" s="3"/>
    </row>
    <row r="172" spans="2:12" ht="16.5" customHeight="1">
      <c r="B172" s="15">
        <f t="shared" si="5"/>
        <v>167</v>
      </c>
      <c r="C172" s="68"/>
      <c r="D172" s="68"/>
      <c r="E172" s="16" t="s">
        <v>615</v>
      </c>
      <c r="F172" s="21" t="s">
        <v>614</v>
      </c>
      <c r="G172" s="17"/>
      <c r="H172" s="17" t="s">
        <v>27</v>
      </c>
      <c r="I172" s="17" t="s">
        <v>28</v>
      </c>
      <c r="J172" s="23"/>
      <c r="K172" s="2" t="s">
        <v>542</v>
      </c>
      <c r="L172" s="3"/>
    </row>
    <row r="173" spans="2:12" ht="16.5" customHeight="1">
      <c r="B173" s="15">
        <f t="shared" si="5"/>
        <v>168</v>
      </c>
      <c r="C173" s="68"/>
      <c r="D173" s="68"/>
      <c r="E173" s="68"/>
      <c r="F173" s="21" t="s">
        <v>613</v>
      </c>
      <c r="G173" s="17"/>
      <c r="H173" s="17" t="s">
        <v>612</v>
      </c>
      <c r="I173" s="17" t="s">
        <v>21</v>
      </c>
      <c r="J173" s="23"/>
      <c r="K173" s="2" t="s">
        <v>542</v>
      </c>
      <c r="L173" s="3"/>
    </row>
    <row r="174" spans="2:12">
      <c r="B174" s="15">
        <f t="shared" si="5"/>
        <v>169</v>
      </c>
      <c r="C174" s="16" t="s">
        <v>611</v>
      </c>
      <c r="D174" s="16"/>
      <c r="E174" s="16" t="s">
        <v>275</v>
      </c>
      <c r="F174" s="21" t="s">
        <v>610</v>
      </c>
      <c r="G174" s="17"/>
      <c r="H174" s="17" t="s">
        <v>609</v>
      </c>
      <c r="I174" s="17" t="s">
        <v>21</v>
      </c>
      <c r="J174" s="23" t="s">
        <v>2771</v>
      </c>
      <c r="K174" s="2" t="s">
        <v>542</v>
      </c>
      <c r="L174" s="3"/>
    </row>
    <row r="175" spans="2:12" ht="27">
      <c r="B175" s="15">
        <f t="shared" si="5"/>
        <v>170</v>
      </c>
      <c r="C175" s="68"/>
      <c r="D175" s="68"/>
      <c r="E175" s="68"/>
      <c r="F175" s="21" t="s">
        <v>245</v>
      </c>
      <c r="G175" s="17"/>
      <c r="H175" s="17" t="s">
        <v>608</v>
      </c>
      <c r="I175" s="17" t="s">
        <v>607</v>
      </c>
      <c r="J175" s="23"/>
      <c r="K175" s="2" t="s">
        <v>542</v>
      </c>
      <c r="L175" s="3"/>
    </row>
    <row r="176" spans="2:12">
      <c r="B176" s="15">
        <f t="shared" si="5"/>
        <v>171</v>
      </c>
      <c r="C176" s="68"/>
      <c r="D176" s="68"/>
      <c r="E176" s="68"/>
      <c r="F176" s="21" t="s">
        <v>606</v>
      </c>
      <c r="G176" s="17"/>
      <c r="H176" s="17" t="s">
        <v>605</v>
      </c>
      <c r="I176" s="17" t="s">
        <v>21</v>
      </c>
      <c r="J176" s="23"/>
      <c r="K176" s="2" t="s">
        <v>542</v>
      </c>
      <c r="L176" s="3"/>
    </row>
    <row r="177" spans="2:12" ht="27">
      <c r="B177" s="15">
        <f t="shared" si="5"/>
        <v>172</v>
      </c>
      <c r="C177" s="68"/>
      <c r="D177" s="68"/>
      <c r="E177" s="68"/>
      <c r="F177" s="21" t="s">
        <v>604</v>
      </c>
      <c r="G177" s="17"/>
      <c r="H177" s="17" t="s">
        <v>603</v>
      </c>
      <c r="I177" s="17" t="s">
        <v>21</v>
      </c>
      <c r="J177" s="23" t="s">
        <v>602</v>
      </c>
      <c r="K177" s="2" t="s">
        <v>542</v>
      </c>
      <c r="L177" s="3"/>
    </row>
    <row r="178" spans="2:12">
      <c r="B178" s="15">
        <f t="shared" si="5"/>
        <v>173</v>
      </c>
      <c r="C178" s="68"/>
      <c r="D178" s="68"/>
      <c r="E178" s="16" t="s">
        <v>601</v>
      </c>
      <c r="F178" s="21" t="s">
        <v>600</v>
      </c>
      <c r="G178" s="17"/>
      <c r="H178" s="17" t="s">
        <v>20</v>
      </c>
      <c r="I178" s="17" t="s">
        <v>21</v>
      </c>
      <c r="J178" s="23"/>
      <c r="K178" s="2" t="s">
        <v>542</v>
      </c>
      <c r="L178" s="3"/>
    </row>
    <row r="179" spans="2:12">
      <c r="B179" s="15">
        <f t="shared" si="5"/>
        <v>174</v>
      </c>
      <c r="C179" s="68"/>
      <c r="D179" s="68"/>
      <c r="E179" s="68"/>
      <c r="F179" s="21" t="s">
        <v>599</v>
      </c>
      <c r="G179" s="17"/>
      <c r="H179" s="17" t="s">
        <v>598</v>
      </c>
      <c r="I179" s="17" t="s">
        <v>21</v>
      </c>
      <c r="J179" s="23"/>
      <c r="K179" s="2" t="s">
        <v>542</v>
      </c>
      <c r="L179" s="3"/>
    </row>
    <row r="180" spans="2:12">
      <c r="B180" s="15">
        <f t="shared" si="5"/>
        <v>175</v>
      </c>
      <c r="C180" s="68"/>
      <c r="D180" s="68"/>
      <c r="E180" s="68"/>
      <c r="F180" s="21" t="s">
        <v>597</v>
      </c>
      <c r="G180" s="17"/>
      <c r="H180" s="17" t="s">
        <v>596</v>
      </c>
      <c r="I180" s="17" t="s">
        <v>21</v>
      </c>
      <c r="J180" s="23"/>
      <c r="K180" s="2" t="s">
        <v>542</v>
      </c>
      <c r="L180" s="3"/>
    </row>
    <row r="181" spans="2:12">
      <c r="B181" s="15">
        <f t="shared" si="5"/>
        <v>176</v>
      </c>
      <c r="C181" s="68"/>
      <c r="D181" s="68"/>
      <c r="E181" s="68"/>
      <c r="F181" s="21" t="s">
        <v>595</v>
      </c>
      <c r="G181" s="17"/>
      <c r="H181" s="17" t="s">
        <v>594</v>
      </c>
      <c r="I181" s="17" t="s">
        <v>21</v>
      </c>
      <c r="J181" s="23"/>
      <c r="K181" s="2" t="s">
        <v>542</v>
      </c>
      <c r="L181" s="3"/>
    </row>
    <row r="182" spans="2:12">
      <c r="B182" s="15">
        <f t="shared" si="5"/>
        <v>177</v>
      </c>
      <c r="C182" s="68"/>
      <c r="D182" s="68"/>
      <c r="E182" s="68"/>
      <c r="F182" s="21" t="s">
        <v>593</v>
      </c>
      <c r="G182" s="17"/>
      <c r="H182" s="17" t="s">
        <v>592</v>
      </c>
      <c r="I182" s="17" t="s">
        <v>21</v>
      </c>
      <c r="J182" s="23"/>
      <c r="K182" s="2" t="s">
        <v>542</v>
      </c>
      <c r="L182" s="3"/>
    </row>
    <row r="183" spans="2:12">
      <c r="B183" s="15">
        <f t="shared" si="5"/>
        <v>178</v>
      </c>
      <c r="C183" s="68"/>
      <c r="D183" s="68"/>
      <c r="E183" s="19"/>
      <c r="F183" s="21" t="s">
        <v>591</v>
      </c>
      <c r="G183" s="17"/>
      <c r="H183" s="17" t="s">
        <v>590</v>
      </c>
      <c r="I183" s="17" t="s">
        <v>21</v>
      </c>
      <c r="J183" s="23"/>
      <c r="K183" s="2" t="s">
        <v>542</v>
      </c>
      <c r="L183" s="3"/>
    </row>
    <row r="184" spans="2:12">
      <c r="B184" s="15">
        <f t="shared" si="5"/>
        <v>179</v>
      </c>
      <c r="C184" s="68"/>
      <c r="D184" s="68"/>
      <c r="E184" s="16" t="s">
        <v>589</v>
      </c>
      <c r="F184" s="21" t="s">
        <v>249</v>
      </c>
      <c r="G184" s="17"/>
      <c r="H184" s="17" t="s">
        <v>588</v>
      </c>
      <c r="I184" s="17" t="s">
        <v>21</v>
      </c>
      <c r="J184" s="23"/>
      <c r="K184" s="2" t="s">
        <v>542</v>
      </c>
      <c r="L184" s="3"/>
    </row>
    <row r="185" spans="2:12">
      <c r="B185" s="15">
        <f t="shared" si="5"/>
        <v>180</v>
      </c>
      <c r="C185" s="68"/>
      <c r="D185" s="68"/>
      <c r="E185" s="68"/>
      <c r="F185" s="21" t="s">
        <v>587</v>
      </c>
      <c r="G185" s="17"/>
      <c r="H185" s="17" t="s">
        <v>586</v>
      </c>
      <c r="I185" s="17" t="s">
        <v>21</v>
      </c>
      <c r="J185" s="23"/>
      <c r="K185" s="2" t="s">
        <v>542</v>
      </c>
      <c r="L185" s="3"/>
    </row>
    <row r="186" spans="2:12">
      <c r="B186" s="15">
        <f t="shared" si="5"/>
        <v>181</v>
      </c>
      <c r="C186" s="68"/>
      <c r="D186" s="68"/>
      <c r="E186" s="68"/>
      <c r="F186" s="21" t="s">
        <v>585</v>
      </c>
      <c r="G186" s="17"/>
      <c r="H186" s="17" t="s">
        <v>27</v>
      </c>
      <c r="I186" s="17" t="s">
        <v>28</v>
      </c>
      <c r="J186" s="23"/>
      <c r="K186" s="2" t="s">
        <v>542</v>
      </c>
      <c r="L186" s="3"/>
    </row>
    <row r="187" spans="2:12">
      <c r="B187" s="15">
        <f t="shared" si="5"/>
        <v>182</v>
      </c>
      <c r="C187" s="68"/>
      <c r="D187" s="68"/>
      <c r="E187" s="68"/>
      <c r="F187" s="21" t="s">
        <v>584</v>
      </c>
      <c r="G187" s="17"/>
      <c r="H187" s="17" t="s">
        <v>583</v>
      </c>
      <c r="I187" s="17" t="s">
        <v>21</v>
      </c>
      <c r="J187" s="23"/>
      <c r="K187" s="2" t="s">
        <v>542</v>
      </c>
      <c r="L187" s="3"/>
    </row>
    <row r="188" spans="2:12">
      <c r="B188" s="15">
        <f t="shared" si="5"/>
        <v>183</v>
      </c>
      <c r="C188" s="68"/>
      <c r="D188" s="68"/>
      <c r="E188" s="17" t="s">
        <v>582</v>
      </c>
      <c r="F188" s="177" t="s">
        <v>581</v>
      </c>
      <c r="H188" s="17" t="s">
        <v>580</v>
      </c>
      <c r="I188" s="177" t="s">
        <v>21</v>
      </c>
      <c r="J188" s="23"/>
      <c r="K188" s="2" t="s">
        <v>542</v>
      </c>
      <c r="L188" s="3"/>
    </row>
    <row r="189" spans="2:12">
      <c r="B189" s="15">
        <f t="shared" si="5"/>
        <v>184</v>
      </c>
      <c r="C189" s="68"/>
      <c r="D189" s="68"/>
      <c r="E189" s="16" t="s">
        <v>579</v>
      </c>
      <c r="F189" s="21" t="s">
        <v>578</v>
      </c>
      <c r="G189" s="17"/>
      <c r="H189" s="17" t="s">
        <v>27</v>
      </c>
      <c r="I189" s="17" t="s">
        <v>28</v>
      </c>
      <c r="J189" s="23"/>
      <c r="K189" s="2" t="s">
        <v>542</v>
      </c>
      <c r="L189" s="3"/>
    </row>
    <row r="190" spans="2:12">
      <c r="B190" s="15">
        <f t="shared" si="5"/>
        <v>185</v>
      </c>
      <c r="C190" s="68"/>
      <c r="D190" s="68"/>
      <c r="E190" s="68"/>
      <c r="F190" s="21" t="s">
        <v>577</v>
      </c>
      <c r="G190" s="17"/>
      <c r="H190" s="17" t="s">
        <v>27</v>
      </c>
      <c r="I190" s="17" t="s">
        <v>28</v>
      </c>
      <c r="J190" s="23"/>
      <c r="K190" s="2" t="s">
        <v>542</v>
      </c>
      <c r="L190" s="3"/>
    </row>
    <row r="191" spans="2:12">
      <c r="B191" s="15">
        <f t="shared" si="5"/>
        <v>186</v>
      </c>
      <c r="C191" s="19"/>
      <c r="D191" s="19"/>
      <c r="E191" s="17" t="s">
        <v>576</v>
      </c>
      <c r="F191" s="177" t="s">
        <v>575</v>
      </c>
      <c r="H191" s="17" t="s">
        <v>27</v>
      </c>
      <c r="I191" s="177" t="s">
        <v>28</v>
      </c>
      <c r="J191" s="23"/>
      <c r="K191" s="2" t="s">
        <v>542</v>
      </c>
      <c r="L191" s="3"/>
    </row>
    <row r="192" spans="2:12">
      <c r="B192" s="15">
        <f t="shared" si="5"/>
        <v>187</v>
      </c>
      <c r="C192" s="16" t="s">
        <v>574</v>
      </c>
      <c r="D192" s="16"/>
      <c r="E192" s="16" t="s">
        <v>573</v>
      </c>
      <c r="F192" s="21" t="s">
        <v>572</v>
      </c>
      <c r="G192" s="17"/>
      <c r="H192" s="17" t="s">
        <v>27</v>
      </c>
      <c r="I192" s="17" t="s">
        <v>28</v>
      </c>
      <c r="J192" s="23"/>
      <c r="K192" s="2" t="s">
        <v>542</v>
      </c>
      <c r="L192" s="3"/>
    </row>
    <row r="193" spans="2:12">
      <c r="B193" s="15">
        <f t="shared" si="5"/>
        <v>188</v>
      </c>
      <c r="C193" s="16" t="s">
        <v>571</v>
      </c>
      <c r="D193" s="16"/>
      <c r="E193" s="16"/>
      <c r="F193" s="21" t="s">
        <v>570</v>
      </c>
      <c r="G193" s="17"/>
      <c r="H193" s="17" t="s">
        <v>442</v>
      </c>
      <c r="I193" s="17" t="s">
        <v>21</v>
      </c>
      <c r="J193" s="23"/>
      <c r="K193" s="2" t="s">
        <v>542</v>
      </c>
      <c r="L193" s="3"/>
    </row>
    <row r="194" spans="2:12">
      <c r="B194" s="15">
        <f t="shared" ref="B194:B209" si="6">ROW() - 5</f>
        <v>189</v>
      </c>
      <c r="C194" s="68"/>
      <c r="D194" s="68"/>
      <c r="E194" s="68"/>
      <c r="F194" s="21" t="s">
        <v>569</v>
      </c>
      <c r="G194" s="17"/>
      <c r="H194" s="17" t="s">
        <v>568</v>
      </c>
      <c r="I194" s="17" t="s">
        <v>21</v>
      </c>
      <c r="J194" s="23"/>
      <c r="K194" s="2" t="s">
        <v>542</v>
      </c>
      <c r="L194" s="3"/>
    </row>
    <row r="195" spans="2:12">
      <c r="B195" s="15">
        <f t="shared" si="6"/>
        <v>190</v>
      </c>
      <c r="C195" s="68"/>
      <c r="D195" s="68"/>
      <c r="E195" s="68"/>
      <c r="F195" s="21" t="s">
        <v>567</v>
      </c>
      <c r="G195" s="17"/>
      <c r="H195" s="17" t="s">
        <v>561</v>
      </c>
      <c r="I195" s="17" t="s">
        <v>21</v>
      </c>
      <c r="J195" s="23"/>
      <c r="K195" s="2" t="s">
        <v>542</v>
      </c>
      <c r="L195" s="3"/>
    </row>
    <row r="196" spans="2:12">
      <c r="B196" s="15">
        <f t="shared" si="6"/>
        <v>191</v>
      </c>
      <c r="C196" s="68"/>
      <c r="D196" s="68"/>
      <c r="E196" s="68"/>
      <c r="F196" s="21" t="s">
        <v>566</v>
      </c>
      <c r="G196" s="17"/>
      <c r="H196" s="17" t="s">
        <v>20</v>
      </c>
      <c r="I196" s="17" t="s">
        <v>21</v>
      </c>
      <c r="J196" s="23"/>
      <c r="K196" s="2" t="s">
        <v>542</v>
      </c>
      <c r="L196" s="3"/>
    </row>
    <row r="197" spans="2:12" ht="27">
      <c r="B197" s="15">
        <f t="shared" si="6"/>
        <v>192</v>
      </c>
      <c r="C197" s="68"/>
      <c r="D197" s="68"/>
      <c r="E197" s="68"/>
      <c r="F197" s="21" t="s">
        <v>246</v>
      </c>
      <c r="G197" s="17"/>
      <c r="H197" s="17" t="s">
        <v>565</v>
      </c>
      <c r="I197" s="17" t="s">
        <v>564</v>
      </c>
      <c r="J197" s="23"/>
      <c r="K197" s="2" t="s">
        <v>542</v>
      </c>
      <c r="L197" s="3"/>
    </row>
    <row r="198" spans="2:12">
      <c r="B198" s="15">
        <f t="shared" si="6"/>
        <v>193</v>
      </c>
      <c r="C198" s="68"/>
      <c r="D198" s="68"/>
      <c r="E198" s="68"/>
      <c r="F198" s="21" t="s">
        <v>563</v>
      </c>
      <c r="G198" s="17"/>
      <c r="H198" s="17" t="s">
        <v>20</v>
      </c>
      <c r="I198" s="17" t="s">
        <v>21</v>
      </c>
      <c r="J198" s="23"/>
      <c r="K198" s="2" t="s">
        <v>542</v>
      </c>
      <c r="L198" s="3"/>
    </row>
    <row r="199" spans="2:12">
      <c r="B199" s="15">
        <f t="shared" si="6"/>
        <v>194</v>
      </c>
      <c r="C199" s="68"/>
      <c r="D199" s="68"/>
      <c r="E199" s="68"/>
      <c r="F199" s="21" t="s">
        <v>562</v>
      </c>
      <c r="G199" s="17"/>
      <c r="H199" s="17" t="s">
        <v>561</v>
      </c>
      <c r="I199" s="111" t="s">
        <v>21</v>
      </c>
      <c r="J199" s="23"/>
      <c r="K199" s="2" t="s">
        <v>542</v>
      </c>
      <c r="L199" s="3"/>
    </row>
    <row r="200" spans="2:12">
      <c r="B200" s="15">
        <f t="shared" si="6"/>
        <v>195</v>
      </c>
      <c r="C200" s="16" t="s">
        <v>560</v>
      </c>
      <c r="D200" s="16"/>
      <c r="E200" s="16" t="s">
        <v>559</v>
      </c>
      <c r="F200" s="21" t="s">
        <v>558</v>
      </c>
      <c r="G200" s="17"/>
      <c r="H200" s="111">
        <v>0</v>
      </c>
      <c r="I200" s="111">
        <v>0</v>
      </c>
      <c r="J200" s="23"/>
      <c r="K200" s="2" t="s">
        <v>542</v>
      </c>
      <c r="L200" s="3"/>
    </row>
    <row r="201" spans="2:12">
      <c r="B201" s="15">
        <f t="shared" si="6"/>
        <v>196</v>
      </c>
      <c r="C201" s="68"/>
      <c r="D201" s="68"/>
      <c r="E201" s="68"/>
      <c r="F201" s="21" t="s">
        <v>557</v>
      </c>
      <c r="G201" s="17"/>
      <c r="H201" s="17" t="s">
        <v>27</v>
      </c>
      <c r="I201" s="17" t="s">
        <v>28</v>
      </c>
      <c r="J201" s="23"/>
      <c r="K201" s="2" t="s">
        <v>542</v>
      </c>
      <c r="L201" s="3"/>
    </row>
    <row r="202" spans="2:12">
      <c r="B202" s="15">
        <f t="shared" si="6"/>
        <v>197</v>
      </c>
      <c r="C202" s="68"/>
      <c r="D202" s="68"/>
      <c r="E202" s="68"/>
      <c r="F202" s="21" t="s">
        <v>556</v>
      </c>
      <c r="G202" s="17"/>
      <c r="H202" s="17" t="s">
        <v>27</v>
      </c>
      <c r="I202" s="17" t="s">
        <v>28</v>
      </c>
      <c r="J202" s="23"/>
      <c r="K202" s="2" t="s">
        <v>542</v>
      </c>
      <c r="L202" s="3"/>
    </row>
    <row r="203" spans="2:12" ht="40.5">
      <c r="B203" s="15">
        <f t="shared" si="6"/>
        <v>198</v>
      </c>
      <c r="C203" s="68"/>
      <c r="D203" s="68"/>
      <c r="E203" s="16" t="s">
        <v>555</v>
      </c>
      <c r="F203" s="21" t="s">
        <v>554</v>
      </c>
      <c r="G203" s="17"/>
      <c r="H203" s="17" t="s">
        <v>553</v>
      </c>
      <c r="I203" s="17" t="s">
        <v>552</v>
      </c>
      <c r="J203" s="23"/>
      <c r="K203" s="2" t="s">
        <v>542</v>
      </c>
      <c r="L203" s="3"/>
    </row>
    <row r="204" spans="2:12">
      <c r="B204" s="15">
        <f t="shared" si="6"/>
        <v>199</v>
      </c>
      <c r="C204" s="68"/>
      <c r="D204" s="68"/>
      <c r="E204" s="68"/>
      <c r="F204" s="21" t="s">
        <v>551</v>
      </c>
      <c r="G204" s="17"/>
      <c r="H204" s="17" t="s">
        <v>20</v>
      </c>
      <c r="I204" s="17" t="s">
        <v>21</v>
      </c>
      <c r="J204" s="23"/>
      <c r="K204" s="2" t="s">
        <v>542</v>
      </c>
      <c r="L204" s="3"/>
    </row>
    <row r="205" spans="2:12" ht="16.5" customHeight="1">
      <c r="B205" s="15">
        <f t="shared" si="6"/>
        <v>200</v>
      </c>
      <c r="C205" s="68"/>
      <c r="D205" s="68"/>
      <c r="E205" s="17" t="s">
        <v>550</v>
      </c>
      <c r="F205" s="21" t="s">
        <v>549</v>
      </c>
      <c r="G205" s="17"/>
      <c r="H205" s="17" t="s">
        <v>27</v>
      </c>
      <c r="I205" s="17" t="s">
        <v>28</v>
      </c>
      <c r="J205" s="23"/>
      <c r="K205" s="2" t="s">
        <v>542</v>
      </c>
      <c r="L205" s="3"/>
    </row>
    <row r="206" spans="2:12" ht="16.5" customHeight="1">
      <c r="B206" s="15">
        <f t="shared" si="6"/>
        <v>201</v>
      </c>
      <c r="C206" s="68"/>
      <c r="D206" s="68"/>
      <c r="E206" s="16" t="s">
        <v>548</v>
      </c>
      <c r="F206" s="21" t="s">
        <v>547</v>
      </c>
      <c r="G206" s="17"/>
      <c r="H206" s="17" t="s">
        <v>27</v>
      </c>
      <c r="I206" s="17" t="s">
        <v>28</v>
      </c>
      <c r="J206" s="23"/>
      <c r="K206" s="2" t="s">
        <v>542</v>
      </c>
      <c r="L206" s="3"/>
    </row>
    <row r="207" spans="2:12" ht="16.5" customHeight="1">
      <c r="B207" s="15">
        <f t="shared" si="6"/>
        <v>202</v>
      </c>
      <c r="C207" s="68"/>
      <c r="D207" s="68"/>
      <c r="E207" s="19"/>
      <c r="F207" s="21" t="s">
        <v>546</v>
      </c>
      <c r="G207" s="17"/>
      <c r="H207" s="17" t="s">
        <v>27</v>
      </c>
      <c r="I207" s="17" t="s">
        <v>28</v>
      </c>
      <c r="J207" s="23"/>
      <c r="K207" s="2" t="s">
        <v>542</v>
      </c>
      <c r="L207" s="3"/>
    </row>
    <row r="208" spans="2:12" ht="16.5" customHeight="1">
      <c r="B208" s="15">
        <f t="shared" si="6"/>
        <v>203</v>
      </c>
      <c r="C208" s="68"/>
      <c r="D208" s="68"/>
      <c r="E208" s="16" t="s">
        <v>545</v>
      </c>
      <c r="F208" s="21" t="s">
        <v>544</v>
      </c>
      <c r="G208" s="17"/>
      <c r="H208" s="17" t="s">
        <v>179</v>
      </c>
      <c r="I208" s="17" t="s">
        <v>21</v>
      </c>
      <c r="J208" s="23"/>
      <c r="K208" s="2" t="s">
        <v>542</v>
      </c>
      <c r="L208" s="3"/>
    </row>
    <row r="209" spans="2:12" ht="16.5" customHeight="1">
      <c r="B209" s="15">
        <f t="shared" si="6"/>
        <v>204</v>
      </c>
      <c r="C209" s="19"/>
      <c r="D209" s="19"/>
      <c r="E209" s="19"/>
      <c r="F209" s="21" t="s">
        <v>543</v>
      </c>
      <c r="G209" s="17"/>
      <c r="H209" s="17" t="s">
        <v>27</v>
      </c>
      <c r="I209" s="17" t="s">
        <v>28</v>
      </c>
      <c r="J209" s="23"/>
      <c r="K209" s="2" t="s">
        <v>542</v>
      </c>
      <c r="L209" s="3"/>
    </row>
  </sheetData>
  <mergeCells count="1">
    <mergeCell ref="D27:D33"/>
  </mergeCells>
  <phoneticPr fontId="14"/>
  <hyperlinks>
    <hyperlink ref="A4" location="パラメータ設定一覧!A1" display="パラメータ設定一覧へ" xr:uid="{74BD60ED-1F25-446B-8EB3-618B0DE74F84}"/>
  </hyperlinks>
  <pageMargins left="0.70866141732283472" right="0.70866141732283472" top="0.74803149606299213" bottom="0.74803149606299213" header="0.31496062992125984" footer="0.31496062992125984"/>
  <pageSetup paperSize="9" scale="18" orientation="portrait" r:id="rId1"/>
  <headerFooter>
    <oddFooter>&amp;RCopyright  SATO HOLDINGS CORPORATION All rights reserved</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4DC8B-DDF1-4421-9508-A51AF4BEF137}">
  <sheetPr codeName="Sheet28">
    <pageSetUpPr fitToPage="1"/>
  </sheetPr>
  <dimension ref="A1:AA29"/>
  <sheetViews>
    <sheetView showGridLines="0" zoomScaleNormal="100" zoomScaleSheetLayoutView="70" workbookViewId="0">
      <pane xSplit="5" ySplit="8" topLeftCell="F9" activePane="bottomRight" state="frozen"/>
      <selection activeCell="J42" sqref="J42"/>
      <selection pane="topRight" activeCell="J42" sqref="J42"/>
      <selection pane="bottomLeft" activeCell="J42" sqref="J42"/>
      <selection pane="bottomRight" activeCell="F9" sqref="F9"/>
    </sheetView>
  </sheetViews>
  <sheetFormatPr defaultColWidth="8.78515625" defaultRowHeight="13.5"/>
  <cols>
    <col min="1" max="1" width="2.78515625" style="260" customWidth="1"/>
    <col min="2" max="2" width="3.5703125" style="260" bestFit="1" customWidth="1"/>
    <col min="3" max="3" width="17.2109375" style="260" customWidth="1"/>
    <col min="4" max="4" width="9.640625" style="260" customWidth="1"/>
    <col min="5" max="5" width="18.2109375" style="260" customWidth="1"/>
    <col min="6" max="9" width="13.85546875" style="260" customWidth="1"/>
    <col min="10" max="10" width="17" style="260" customWidth="1"/>
    <col min="11" max="11" width="17.5703125" style="260" customWidth="1"/>
    <col min="12" max="12" width="17.640625" style="260" customWidth="1"/>
    <col min="13" max="14" width="15.2109375" style="260" customWidth="1"/>
    <col min="15" max="15" width="16.7109375" style="260" bestFit="1" customWidth="1"/>
    <col min="16" max="16" width="15.2109375" style="260" customWidth="1"/>
    <col min="17" max="17" width="16.2109375" style="260" customWidth="1"/>
    <col min="18" max="19" width="18.2109375" style="260" customWidth="1"/>
    <col min="20" max="20" width="22.78515625" style="260" customWidth="1"/>
    <col min="21" max="22" width="18.2109375" style="260" customWidth="1"/>
    <col min="23" max="23" width="15.2109375" style="260" customWidth="1"/>
    <col min="24" max="24" width="9.640625" style="260" customWidth="1"/>
    <col min="25" max="25" width="8.78515625" style="260" customWidth="1"/>
    <col min="26" max="26" width="9.2109375" style="260" customWidth="1"/>
    <col min="27" max="27" width="12.78515625" style="260" customWidth="1"/>
    <col min="28" max="16384" width="8.78515625" style="260"/>
  </cols>
  <sheetData>
    <row r="1" spans="1:27" s="116" customFormat="1" ht="19.5">
      <c r="A1" s="262" t="s">
        <v>2692</v>
      </c>
    </row>
    <row r="2" spans="1:27" s="116" customFormat="1" ht="15">
      <c r="A2" s="308" t="s">
        <v>2668</v>
      </c>
    </row>
    <row r="3" spans="1:27" s="116" customFormat="1" ht="15">
      <c r="A3" s="179" t="s">
        <v>363</v>
      </c>
    </row>
    <row r="4" spans="1:27" ht="15.75" customHeight="1">
      <c r="B4" s="448" t="s">
        <v>1</v>
      </c>
      <c r="C4" s="257" t="s">
        <v>832</v>
      </c>
      <c r="D4" s="258"/>
      <c r="E4" s="258"/>
      <c r="F4" s="258"/>
      <c r="G4" s="258"/>
      <c r="H4" s="258"/>
      <c r="I4" s="258"/>
      <c r="J4" s="258"/>
      <c r="K4" s="258"/>
      <c r="L4" s="258"/>
      <c r="M4" s="258"/>
      <c r="N4" s="258"/>
      <c r="O4" s="258"/>
      <c r="P4" s="258"/>
      <c r="Q4" s="258"/>
      <c r="R4" s="258"/>
      <c r="S4" s="258"/>
      <c r="T4" s="258"/>
      <c r="U4" s="258"/>
      <c r="V4" s="258"/>
      <c r="W4" s="258"/>
      <c r="X4" s="258"/>
      <c r="Y4" s="258"/>
      <c r="Z4" s="258"/>
      <c r="AA4" s="259"/>
    </row>
    <row r="5" spans="1:27">
      <c r="B5" s="448"/>
      <c r="C5" s="257" t="s">
        <v>49</v>
      </c>
      <c r="D5" s="258"/>
      <c r="E5" s="258"/>
      <c r="F5" s="258"/>
      <c r="G5" s="258"/>
      <c r="H5" s="258"/>
      <c r="I5" s="258"/>
      <c r="J5" s="258"/>
      <c r="K5" s="258"/>
      <c r="L5" s="258"/>
      <c r="M5" s="258"/>
      <c r="N5" s="258"/>
      <c r="O5" s="258"/>
      <c r="P5" s="258"/>
      <c r="Q5" s="259"/>
      <c r="R5" s="257" t="s">
        <v>31</v>
      </c>
      <c r="S5" s="258"/>
      <c r="T5" s="258"/>
      <c r="U5" s="258"/>
      <c r="V5" s="258"/>
      <c r="W5" s="259"/>
      <c r="X5" s="257" t="s">
        <v>787</v>
      </c>
      <c r="Y5" s="258"/>
      <c r="Z5" s="258"/>
      <c r="AA5" s="259"/>
    </row>
    <row r="6" spans="1:27" ht="33.75" customHeight="1">
      <c r="B6" s="448"/>
      <c r="C6" s="119" t="s">
        <v>815</v>
      </c>
      <c r="D6" s="118" t="s">
        <v>46</v>
      </c>
      <c r="E6" s="117" t="s">
        <v>831</v>
      </c>
      <c r="F6" s="69" t="s">
        <v>830</v>
      </c>
      <c r="G6" s="69" t="s">
        <v>829</v>
      </c>
      <c r="H6" s="69" t="s">
        <v>828</v>
      </c>
      <c r="I6" s="69" t="s">
        <v>827</v>
      </c>
      <c r="J6" s="69" t="s">
        <v>806</v>
      </c>
      <c r="K6" s="69" t="s">
        <v>230</v>
      </c>
      <c r="L6" s="69" t="s">
        <v>811</v>
      </c>
      <c r="M6" s="69" t="s">
        <v>599</v>
      </c>
      <c r="N6" s="69" t="s">
        <v>534</v>
      </c>
      <c r="O6" s="69" t="s">
        <v>249</v>
      </c>
      <c r="P6" s="69" t="s">
        <v>826</v>
      </c>
      <c r="Q6" s="69" t="s">
        <v>746</v>
      </c>
      <c r="R6" s="69" t="s">
        <v>35</v>
      </c>
      <c r="S6" s="69" t="s">
        <v>38</v>
      </c>
      <c r="T6" s="69" t="s">
        <v>31</v>
      </c>
      <c r="U6" s="69" t="s">
        <v>70</v>
      </c>
      <c r="V6" s="69" t="s">
        <v>42</v>
      </c>
      <c r="W6" s="69" t="s">
        <v>61</v>
      </c>
      <c r="X6" s="69" t="s">
        <v>220</v>
      </c>
      <c r="Y6" s="69" t="s">
        <v>48</v>
      </c>
      <c r="Z6" s="69" t="s">
        <v>192</v>
      </c>
      <c r="AA6" s="69" t="s">
        <v>825</v>
      </c>
    </row>
    <row r="7" spans="1:27" ht="40.5">
      <c r="B7" s="448"/>
      <c r="C7" s="8" t="s">
        <v>2861</v>
      </c>
      <c r="D7" s="8" t="s">
        <v>824</v>
      </c>
      <c r="E7" s="8" t="s">
        <v>20</v>
      </c>
      <c r="F7" s="8" t="s">
        <v>20</v>
      </c>
      <c r="G7" s="8" t="s">
        <v>20</v>
      </c>
      <c r="H7" s="8" t="s">
        <v>20</v>
      </c>
      <c r="I7" s="8" t="s">
        <v>20</v>
      </c>
      <c r="J7" s="8" t="s">
        <v>805</v>
      </c>
      <c r="K7" s="8" t="s">
        <v>480</v>
      </c>
      <c r="L7" s="8" t="s">
        <v>652</v>
      </c>
      <c r="M7" s="8" t="s">
        <v>598</v>
      </c>
      <c r="N7" s="8" t="s">
        <v>596</v>
      </c>
      <c r="O7" s="8" t="s">
        <v>819</v>
      </c>
      <c r="P7" s="8" t="s">
        <v>818</v>
      </c>
      <c r="Q7" s="8" t="s">
        <v>817</v>
      </c>
      <c r="R7" s="8" t="s">
        <v>771</v>
      </c>
      <c r="S7" s="8" t="s">
        <v>20</v>
      </c>
      <c r="T7" s="8" t="s">
        <v>20</v>
      </c>
      <c r="U7" s="8" t="s">
        <v>20</v>
      </c>
      <c r="V7" s="8" t="s">
        <v>20</v>
      </c>
      <c r="W7" s="8" t="s">
        <v>795</v>
      </c>
      <c r="X7" s="8" t="s">
        <v>20</v>
      </c>
      <c r="Y7" s="8" t="s">
        <v>20</v>
      </c>
      <c r="Z7" s="8" t="s">
        <v>20</v>
      </c>
      <c r="AA7" s="8" t="s">
        <v>20</v>
      </c>
    </row>
    <row r="8" spans="1:27">
      <c r="B8" s="448"/>
      <c r="C8" s="8" t="s">
        <v>2667</v>
      </c>
      <c r="D8" s="8" t="s">
        <v>2667</v>
      </c>
      <c r="E8" s="8" t="s">
        <v>2758</v>
      </c>
      <c r="F8" s="8" t="s">
        <v>2759</v>
      </c>
      <c r="G8" s="8" t="s">
        <v>2759</v>
      </c>
      <c r="H8" s="8" t="s">
        <v>2759</v>
      </c>
      <c r="I8" s="8" t="s">
        <v>2759</v>
      </c>
      <c r="J8" s="8" t="s">
        <v>2667</v>
      </c>
      <c r="K8" s="8" t="s">
        <v>2667</v>
      </c>
      <c r="L8" s="8" t="s">
        <v>2752</v>
      </c>
      <c r="M8" s="8"/>
      <c r="N8" s="8"/>
      <c r="O8" s="8" t="s">
        <v>2752</v>
      </c>
      <c r="P8" s="8"/>
      <c r="Q8" s="8"/>
      <c r="R8" s="8" t="s">
        <v>2667</v>
      </c>
      <c r="S8" s="8"/>
      <c r="T8" s="8"/>
      <c r="U8" s="8"/>
      <c r="V8" s="8"/>
      <c r="W8" s="8"/>
      <c r="X8" s="8"/>
      <c r="Y8" s="8"/>
      <c r="Z8" s="8"/>
      <c r="AA8" s="8"/>
    </row>
    <row r="9" spans="1:27" ht="26">
      <c r="B9" s="316" t="s">
        <v>1226</v>
      </c>
      <c r="C9" s="317" t="s">
        <v>2852</v>
      </c>
      <c r="D9" s="317" t="s">
        <v>58</v>
      </c>
      <c r="E9" s="317" t="s">
        <v>2853</v>
      </c>
      <c r="F9" s="344"/>
      <c r="G9" s="345"/>
      <c r="H9" s="346"/>
      <c r="I9" s="345"/>
      <c r="J9" s="320" t="s">
        <v>2855</v>
      </c>
      <c r="K9" s="316" t="s">
        <v>748</v>
      </c>
      <c r="L9" s="316" t="s">
        <v>2854</v>
      </c>
      <c r="M9" s="316"/>
      <c r="N9" s="316"/>
      <c r="O9" s="320" t="s">
        <v>2864</v>
      </c>
      <c r="P9" s="316"/>
      <c r="Q9" s="316"/>
      <c r="R9" s="316" t="s">
        <v>90</v>
      </c>
      <c r="S9" s="347"/>
      <c r="T9" s="316"/>
      <c r="U9" s="316"/>
      <c r="V9" s="316"/>
      <c r="W9" s="316"/>
      <c r="X9" s="316"/>
      <c r="Y9" s="316"/>
      <c r="Z9" s="316"/>
      <c r="AA9" s="316"/>
    </row>
    <row r="10" spans="1:27">
      <c r="B10" s="203">
        <f>ROW() - 9</f>
        <v>1</v>
      </c>
      <c r="C10" s="204"/>
      <c r="D10" s="204"/>
      <c r="E10" s="204"/>
      <c r="F10" s="344"/>
      <c r="G10" s="345"/>
      <c r="H10" s="346"/>
      <c r="I10" s="345"/>
      <c r="J10" s="348"/>
      <c r="K10" s="348"/>
      <c r="L10" s="348"/>
      <c r="M10" s="348"/>
      <c r="N10" s="348"/>
      <c r="O10" s="348"/>
      <c r="P10" s="348"/>
      <c r="Q10" s="348"/>
      <c r="R10" s="348"/>
      <c r="S10" s="349"/>
      <c r="T10" s="348"/>
      <c r="U10" s="348"/>
      <c r="V10" s="348"/>
      <c r="W10" s="348"/>
      <c r="X10" s="348"/>
      <c r="Y10" s="348"/>
      <c r="Z10" s="348"/>
      <c r="AA10" s="348"/>
    </row>
    <row r="11" spans="1:27">
      <c r="B11" s="203">
        <f t="shared" ref="B11:B19" si="0">ROW() - 9</f>
        <v>2</v>
      </c>
      <c r="C11" s="204"/>
      <c r="D11" s="204"/>
      <c r="E11" s="204"/>
      <c r="F11" s="344"/>
      <c r="G11" s="345"/>
      <c r="H11" s="346"/>
      <c r="I11" s="345"/>
      <c r="J11" s="348"/>
      <c r="K11" s="348"/>
      <c r="L11" s="348"/>
      <c r="M11" s="348"/>
      <c r="N11" s="348"/>
      <c r="O11" s="348"/>
      <c r="P11" s="348"/>
      <c r="Q11" s="348"/>
      <c r="R11" s="348"/>
      <c r="S11" s="349"/>
      <c r="T11" s="348"/>
      <c r="U11" s="348"/>
      <c r="V11" s="348"/>
      <c r="W11" s="348"/>
      <c r="X11" s="348"/>
      <c r="Y11" s="348"/>
      <c r="Z11" s="348"/>
      <c r="AA11" s="348"/>
    </row>
    <row r="12" spans="1:27">
      <c r="B12" s="203">
        <f t="shared" si="0"/>
        <v>3</v>
      </c>
      <c r="C12" s="204"/>
      <c r="D12" s="204"/>
      <c r="E12" s="204"/>
      <c r="F12" s="344"/>
      <c r="G12" s="345"/>
      <c r="H12" s="346"/>
      <c r="I12" s="345"/>
      <c r="J12" s="348"/>
      <c r="K12" s="348"/>
      <c r="L12" s="348"/>
      <c r="M12" s="348"/>
      <c r="N12" s="348"/>
      <c r="O12" s="348"/>
      <c r="P12" s="348"/>
      <c r="Q12" s="348"/>
      <c r="R12" s="348"/>
      <c r="S12" s="349"/>
      <c r="T12" s="348"/>
      <c r="U12" s="348"/>
      <c r="V12" s="348"/>
      <c r="W12" s="348"/>
      <c r="X12" s="348"/>
      <c r="Y12" s="348"/>
      <c r="Z12" s="348"/>
      <c r="AA12" s="348"/>
    </row>
    <row r="13" spans="1:27">
      <c r="B13" s="203">
        <f t="shared" si="0"/>
        <v>4</v>
      </c>
      <c r="C13" s="204"/>
      <c r="D13" s="204"/>
      <c r="E13" s="204"/>
      <c r="F13" s="344"/>
      <c r="G13" s="345"/>
      <c r="H13" s="346"/>
      <c r="I13" s="345"/>
      <c r="J13" s="348"/>
      <c r="K13" s="348"/>
      <c r="L13" s="348"/>
      <c r="M13" s="348"/>
      <c r="N13" s="348"/>
      <c r="O13" s="348"/>
      <c r="P13" s="348"/>
      <c r="Q13" s="348"/>
      <c r="R13" s="348"/>
      <c r="S13" s="349"/>
      <c r="T13" s="348"/>
      <c r="U13" s="348"/>
      <c r="V13" s="348"/>
      <c r="W13" s="348"/>
      <c r="X13" s="348"/>
      <c r="Y13" s="348"/>
      <c r="Z13" s="348"/>
      <c r="AA13" s="348"/>
    </row>
    <row r="14" spans="1:27">
      <c r="B14" s="203">
        <f t="shared" si="0"/>
        <v>5</v>
      </c>
      <c r="C14" s="204"/>
      <c r="D14" s="204"/>
      <c r="E14" s="204"/>
      <c r="F14" s="344"/>
      <c r="G14" s="345"/>
      <c r="H14" s="346"/>
      <c r="I14" s="345"/>
      <c r="J14" s="348"/>
      <c r="K14" s="348"/>
      <c r="L14" s="348"/>
      <c r="M14" s="348"/>
      <c r="N14" s="348"/>
      <c r="O14" s="348"/>
      <c r="P14" s="348"/>
      <c r="Q14" s="348"/>
      <c r="R14" s="348"/>
      <c r="S14" s="349"/>
      <c r="T14" s="348"/>
      <c r="U14" s="348"/>
      <c r="V14" s="348"/>
      <c r="W14" s="348"/>
      <c r="X14" s="348"/>
      <c r="Y14" s="348"/>
      <c r="Z14" s="348"/>
      <c r="AA14" s="348"/>
    </row>
    <row r="15" spans="1:27">
      <c r="B15" s="203">
        <f t="shared" si="0"/>
        <v>6</v>
      </c>
      <c r="C15" s="204"/>
      <c r="D15" s="204"/>
      <c r="E15" s="204"/>
      <c r="F15" s="344"/>
      <c r="G15" s="345"/>
      <c r="H15" s="346"/>
      <c r="I15" s="345"/>
      <c r="J15" s="348"/>
      <c r="K15" s="348"/>
      <c r="L15" s="348"/>
      <c r="M15" s="348"/>
      <c r="N15" s="348"/>
      <c r="O15" s="348"/>
      <c r="P15" s="348"/>
      <c r="Q15" s="348"/>
      <c r="R15" s="348"/>
      <c r="S15" s="349"/>
      <c r="T15" s="348"/>
      <c r="U15" s="348"/>
      <c r="V15" s="348"/>
      <c r="W15" s="348"/>
      <c r="X15" s="348"/>
      <c r="Y15" s="348"/>
      <c r="Z15" s="348"/>
      <c r="AA15" s="348"/>
    </row>
    <row r="16" spans="1:27">
      <c r="B16" s="203">
        <f t="shared" si="0"/>
        <v>7</v>
      </c>
      <c r="C16" s="204"/>
      <c r="D16" s="204"/>
      <c r="E16" s="204"/>
      <c r="F16" s="344"/>
      <c r="G16" s="345"/>
      <c r="H16" s="346"/>
      <c r="I16" s="345"/>
      <c r="J16" s="348"/>
      <c r="K16" s="348"/>
      <c r="L16" s="348"/>
      <c r="M16" s="348"/>
      <c r="N16" s="348"/>
      <c r="O16" s="348"/>
      <c r="P16" s="348"/>
      <c r="Q16" s="348"/>
      <c r="R16" s="348"/>
      <c r="S16" s="349"/>
      <c r="T16" s="348"/>
      <c r="U16" s="348"/>
      <c r="V16" s="348"/>
      <c r="W16" s="348"/>
      <c r="X16" s="348"/>
      <c r="Y16" s="348"/>
      <c r="Z16" s="348"/>
      <c r="AA16" s="348"/>
    </row>
    <row r="17" spans="2:27">
      <c r="B17" s="203">
        <f t="shared" si="0"/>
        <v>8</v>
      </c>
      <c r="C17" s="204"/>
      <c r="D17" s="204"/>
      <c r="E17" s="204"/>
      <c r="F17" s="344"/>
      <c r="G17" s="345"/>
      <c r="H17" s="346"/>
      <c r="I17" s="345"/>
      <c r="J17" s="348"/>
      <c r="K17" s="348"/>
      <c r="L17" s="348"/>
      <c r="M17" s="348"/>
      <c r="N17" s="348"/>
      <c r="O17" s="348"/>
      <c r="P17" s="348"/>
      <c r="Q17" s="348"/>
      <c r="R17" s="348"/>
      <c r="S17" s="349"/>
      <c r="T17" s="348"/>
      <c r="U17" s="348"/>
      <c r="V17" s="348"/>
      <c r="W17" s="348"/>
      <c r="X17" s="348"/>
      <c r="Y17" s="348"/>
      <c r="Z17" s="348"/>
      <c r="AA17" s="348"/>
    </row>
    <row r="18" spans="2:27">
      <c r="B18" s="203">
        <f t="shared" si="0"/>
        <v>9</v>
      </c>
      <c r="C18" s="204"/>
      <c r="D18" s="204"/>
      <c r="E18" s="204"/>
      <c r="F18" s="344"/>
      <c r="G18" s="345"/>
      <c r="H18" s="346"/>
      <c r="I18" s="345"/>
      <c r="J18" s="348"/>
      <c r="K18" s="348"/>
      <c r="L18" s="348"/>
      <c r="M18" s="348"/>
      <c r="N18" s="348"/>
      <c r="O18" s="348"/>
      <c r="P18" s="348"/>
      <c r="Q18" s="348"/>
      <c r="R18" s="348"/>
      <c r="S18" s="349"/>
      <c r="T18" s="348"/>
      <c r="U18" s="348"/>
      <c r="V18" s="348"/>
      <c r="W18" s="348"/>
      <c r="X18" s="348"/>
      <c r="Y18" s="348"/>
      <c r="Z18" s="348"/>
      <c r="AA18" s="348"/>
    </row>
    <row r="19" spans="2:27">
      <c r="B19" s="203">
        <f t="shared" si="0"/>
        <v>10</v>
      </c>
      <c r="C19" s="204"/>
      <c r="D19" s="204"/>
      <c r="E19" s="204"/>
      <c r="F19" s="344"/>
      <c r="G19" s="345"/>
      <c r="H19" s="346"/>
      <c r="I19" s="345"/>
      <c r="J19" s="348"/>
      <c r="K19" s="348"/>
      <c r="L19" s="348"/>
      <c r="M19" s="348"/>
      <c r="N19" s="348"/>
      <c r="O19" s="348"/>
      <c r="P19" s="348"/>
      <c r="Q19" s="348"/>
      <c r="R19" s="348"/>
      <c r="S19" s="349"/>
      <c r="T19" s="348"/>
      <c r="U19" s="348"/>
      <c r="V19" s="348"/>
      <c r="W19" s="348"/>
      <c r="X19" s="348"/>
      <c r="Y19" s="348"/>
      <c r="Z19" s="348"/>
      <c r="AA19" s="348"/>
    </row>
    <row r="20" spans="2:27">
      <c r="B20" s="203">
        <f>ROW() - 9</f>
        <v>11</v>
      </c>
      <c r="C20" s="204"/>
      <c r="D20" s="204"/>
      <c r="E20" s="204"/>
      <c r="F20" s="344"/>
      <c r="G20" s="345"/>
      <c r="H20" s="346"/>
      <c r="I20" s="345"/>
      <c r="J20" s="348"/>
      <c r="K20" s="348"/>
      <c r="L20" s="348"/>
      <c r="M20" s="348"/>
      <c r="N20" s="348"/>
      <c r="O20" s="348"/>
      <c r="P20" s="348"/>
      <c r="Q20" s="348"/>
      <c r="R20" s="348"/>
      <c r="S20" s="349"/>
      <c r="T20" s="348"/>
      <c r="U20" s="348"/>
      <c r="V20" s="348"/>
      <c r="W20" s="348"/>
      <c r="X20" s="348"/>
      <c r="Y20" s="348"/>
      <c r="Z20" s="348"/>
      <c r="AA20" s="348"/>
    </row>
    <row r="21" spans="2:27">
      <c r="B21" s="203">
        <f t="shared" ref="B21:B29" si="1">ROW() - 9</f>
        <v>12</v>
      </c>
      <c r="C21" s="204"/>
      <c r="D21" s="204"/>
      <c r="E21" s="204"/>
      <c r="F21" s="344"/>
      <c r="G21" s="345"/>
      <c r="H21" s="346"/>
      <c r="I21" s="345"/>
      <c r="J21" s="348"/>
      <c r="K21" s="348"/>
      <c r="L21" s="348"/>
      <c r="M21" s="348"/>
      <c r="N21" s="348"/>
      <c r="O21" s="348"/>
      <c r="P21" s="348"/>
      <c r="Q21" s="348"/>
      <c r="R21" s="348"/>
      <c r="S21" s="349"/>
      <c r="T21" s="348"/>
      <c r="U21" s="348"/>
      <c r="V21" s="348"/>
      <c r="W21" s="348"/>
      <c r="X21" s="348"/>
      <c r="Y21" s="348"/>
      <c r="Z21" s="348"/>
      <c r="AA21" s="348"/>
    </row>
    <row r="22" spans="2:27">
      <c r="B22" s="203">
        <f t="shared" si="1"/>
        <v>13</v>
      </c>
      <c r="C22" s="204"/>
      <c r="D22" s="204"/>
      <c r="E22" s="204"/>
      <c r="F22" s="344"/>
      <c r="G22" s="345"/>
      <c r="H22" s="346"/>
      <c r="I22" s="345"/>
      <c r="J22" s="348"/>
      <c r="K22" s="348"/>
      <c r="L22" s="348"/>
      <c r="M22" s="348"/>
      <c r="N22" s="348"/>
      <c r="O22" s="348"/>
      <c r="P22" s="348"/>
      <c r="Q22" s="348"/>
      <c r="R22" s="348"/>
      <c r="S22" s="349"/>
      <c r="T22" s="348"/>
      <c r="U22" s="348"/>
      <c r="V22" s="348"/>
      <c r="W22" s="348"/>
      <c r="X22" s="348"/>
      <c r="Y22" s="348"/>
      <c r="Z22" s="348"/>
      <c r="AA22" s="348"/>
    </row>
    <row r="23" spans="2:27">
      <c r="B23" s="203">
        <f t="shared" si="1"/>
        <v>14</v>
      </c>
      <c r="C23" s="204"/>
      <c r="D23" s="204"/>
      <c r="E23" s="204"/>
      <c r="F23" s="344"/>
      <c r="G23" s="345"/>
      <c r="H23" s="346"/>
      <c r="I23" s="345"/>
      <c r="J23" s="348"/>
      <c r="K23" s="348"/>
      <c r="L23" s="348"/>
      <c r="M23" s="348"/>
      <c r="N23" s="348"/>
      <c r="O23" s="348"/>
      <c r="P23" s="348"/>
      <c r="Q23" s="348"/>
      <c r="R23" s="348"/>
      <c r="S23" s="349"/>
      <c r="T23" s="348"/>
      <c r="U23" s="348"/>
      <c r="V23" s="348"/>
      <c r="W23" s="348"/>
      <c r="X23" s="348"/>
      <c r="Y23" s="348"/>
      <c r="Z23" s="348"/>
      <c r="AA23" s="348"/>
    </row>
    <row r="24" spans="2:27">
      <c r="B24" s="203">
        <f t="shared" si="1"/>
        <v>15</v>
      </c>
      <c r="C24" s="204"/>
      <c r="D24" s="204"/>
      <c r="E24" s="204"/>
      <c r="F24" s="344"/>
      <c r="G24" s="345"/>
      <c r="H24" s="346"/>
      <c r="I24" s="345"/>
      <c r="J24" s="348"/>
      <c r="K24" s="348"/>
      <c r="L24" s="348"/>
      <c r="M24" s="348"/>
      <c r="N24" s="348"/>
      <c r="O24" s="348"/>
      <c r="P24" s="348"/>
      <c r="Q24" s="348"/>
      <c r="R24" s="348"/>
      <c r="S24" s="349"/>
      <c r="T24" s="348"/>
      <c r="U24" s="348"/>
      <c r="V24" s="348"/>
      <c r="W24" s="348"/>
      <c r="X24" s="348"/>
      <c r="Y24" s="348"/>
      <c r="Z24" s="348"/>
      <c r="AA24" s="348"/>
    </row>
    <row r="25" spans="2:27">
      <c r="B25" s="203">
        <f t="shared" si="1"/>
        <v>16</v>
      </c>
      <c r="C25" s="204"/>
      <c r="D25" s="204"/>
      <c r="E25" s="204"/>
      <c r="F25" s="344"/>
      <c r="G25" s="345"/>
      <c r="H25" s="346"/>
      <c r="I25" s="345"/>
      <c r="J25" s="348"/>
      <c r="K25" s="348"/>
      <c r="L25" s="348"/>
      <c r="M25" s="348"/>
      <c r="N25" s="348"/>
      <c r="O25" s="348"/>
      <c r="P25" s="348"/>
      <c r="Q25" s="348"/>
      <c r="R25" s="348"/>
      <c r="S25" s="349"/>
      <c r="T25" s="348"/>
      <c r="U25" s="348"/>
      <c r="V25" s="348"/>
      <c r="W25" s="348"/>
      <c r="X25" s="348"/>
      <c r="Y25" s="348"/>
      <c r="Z25" s="348"/>
      <c r="AA25" s="348"/>
    </row>
    <row r="26" spans="2:27">
      <c r="B26" s="203">
        <f t="shared" si="1"/>
        <v>17</v>
      </c>
      <c r="C26" s="204"/>
      <c r="D26" s="204"/>
      <c r="E26" s="204"/>
      <c r="F26" s="344"/>
      <c r="G26" s="345"/>
      <c r="H26" s="346"/>
      <c r="I26" s="345"/>
      <c r="J26" s="348"/>
      <c r="K26" s="348"/>
      <c r="L26" s="348"/>
      <c r="M26" s="348"/>
      <c r="N26" s="348"/>
      <c r="O26" s="348"/>
      <c r="P26" s="348"/>
      <c r="Q26" s="348"/>
      <c r="R26" s="348"/>
      <c r="S26" s="349"/>
      <c r="T26" s="348"/>
      <c r="U26" s="348"/>
      <c r="V26" s="348"/>
      <c r="W26" s="348"/>
      <c r="X26" s="348"/>
      <c r="Y26" s="348"/>
      <c r="Z26" s="348"/>
      <c r="AA26" s="348"/>
    </row>
    <row r="27" spans="2:27">
      <c r="B27" s="203">
        <f t="shared" si="1"/>
        <v>18</v>
      </c>
      <c r="C27" s="204"/>
      <c r="D27" s="204"/>
      <c r="E27" s="204"/>
      <c r="F27" s="344"/>
      <c r="G27" s="345"/>
      <c r="H27" s="346"/>
      <c r="I27" s="345"/>
      <c r="J27" s="348"/>
      <c r="K27" s="348"/>
      <c r="L27" s="348"/>
      <c r="M27" s="348"/>
      <c r="N27" s="348"/>
      <c r="O27" s="348"/>
      <c r="P27" s="348"/>
      <c r="Q27" s="348"/>
      <c r="R27" s="348"/>
      <c r="S27" s="349"/>
      <c r="T27" s="348"/>
      <c r="U27" s="348"/>
      <c r="V27" s="348"/>
      <c r="W27" s="348"/>
      <c r="X27" s="348"/>
      <c r="Y27" s="348"/>
      <c r="Z27" s="348"/>
      <c r="AA27" s="348"/>
    </row>
    <row r="28" spans="2:27">
      <c r="B28" s="203">
        <f t="shared" si="1"/>
        <v>19</v>
      </c>
      <c r="C28" s="204"/>
      <c r="D28" s="204"/>
      <c r="E28" s="204"/>
      <c r="F28" s="344"/>
      <c r="G28" s="345"/>
      <c r="H28" s="346"/>
      <c r="I28" s="345"/>
      <c r="J28" s="348"/>
      <c r="K28" s="348"/>
      <c r="L28" s="348"/>
      <c r="M28" s="348"/>
      <c r="N28" s="348"/>
      <c r="O28" s="348"/>
      <c r="P28" s="348"/>
      <c r="Q28" s="348"/>
      <c r="R28" s="348"/>
      <c r="S28" s="349"/>
      <c r="T28" s="348"/>
      <c r="U28" s="348"/>
      <c r="V28" s="348"/>
      <c r="W28" s="348"/>
      <c r="X28" s="348"/>
      <c r="Y28" s="348"/>
      <c r="Z28" s="348"/>
      <c r="AA28" s="348"/>
    </row>
    <row r="29" spans="2:27">
      <c r="B29" s="203">
        <f t="shared" si="1"/>
        <v>20</v>
      </c>
      <c r="C29" s="204"/>
      <c r="D29" s="204"/>
      <c r="E29" s="204"/>
      <c r="F29" s="344"/>
      <c r="G29" s="345"/>
      <c r="H29" s="346"/>
      <c r="I29" s="345"/>
      <c r="J29" s="348"/>
      <c r="K29" s="348"/>
      <c r="L29" s="348"/>
      <c r="M29" s="348"/>
      <c r="N29" s="348"/>
      <c r="O29" s="348"/>
      <c r="P29" s="348"/>
      <c r="Q29" s="348"/>
      <c r="R29" s="348"/>
      <c r="S29" s="349"/>
      <c r="T29" s="348"/>
      <c r="U29" s="348"/>
      <c r="V29" s="348"/>
      <c r="W29" s="348"/>
      <c r="X29" s="348"/>
      <c r="Y29" s="348"/>
      <c r="Z29" s="348"/>
      <c r="AA29" s="348"/>
    </row>
  </sheetData>
  <sheetProtection insertRows="0" deleteRows="0" sort="0" autoFilter="0"/>
  <mergeCells count="1">
    <mergeCell ref="B4:B8"/>
  </mergeCells>
  <phoneticPr fontId="14"/>
  <hyperlinks>
    <hyperlink ref="A3" location="パラメータ設定一覧!A1" display="パラメータ設定一覧へ" xr:uid="{C3C95801-D382-47F2-A532-C5581A71790D}"/>
  </hyperlinks>
  <pageMargins left="0.70866141732283472" right="0.70866141732283472" top="0.74803149606299213" bottom="0.74803149606299213" header="0.31496062992125984" footer="0.31496062992125984"/>
  <pageSetup paperSize="9" scale="19" orientation="portrait" r:id="rId1"/>
  <headerFooter>
    <oddFooter>&amp;RCopyright  SATO HOLDINGS CORPORATION All rights reserved</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24D6D-AB16-4EC1-80BB-CBB98EBD27B7}">
  <sheetPr codeName="Sheet29">
    <pageSetUpPr fitToPage="1"/>
  </sheetPr>
  <dimension ref="A1:FP29"/>
  <sheetViews>
    <sheetView showGridLines="0" zoomScaleNormal="100" zoomScaleSheetLayoutView="70" workbookViewId="0">
      <pane xSplit="4" ySplit="8" topLeftCell="E9" activePane="bottomRight" state="frozen"/>
      <selection pane="topRight" activeCell="E1" sqref="E1"/>
      <selection pane="bottomLeft" activeCell="A9" sqref="A9"/>
      <selection pane="bottomRight" activeCell="E9" sqref="E9"/>
    </sheetView>
  </sheetViews>
  <sheetFormatPr defaultColWidth="8.78515625" defaultRowHeight="13.5"/>
  <cols>
    <col min="1" max="1" width="2.78515625" style="260" customWidth="1"/>
    <col min="2" max="2" width="3.5703125" style="260" bestFit="1" customWidth="1"/>
    <col min="3" max="3" width="12.140625" style="260" customWidth="1"/>
    <col min="4" max="4" width="9.2109375" style="260" customWidth="1"/>
    <col min="5" max="5" width="17" style="260" customWidth="1"/>
    <col min="6" max="6" width="18.2109375" style="260" customWidth="1"/>
    <col min="7" max="7" width="18.35546875" style="260" customWidth="1"/>
    <col min="8" max="8" width="20.78515625" style="260" customWidth="1"/>
    <col min="9" max="9" width="10.35546875" style="260" bestFit="1" customWidth="1"/>
    <col min="10" max="13" width="12.78515625" style="260" customWidth="1"/>
    <col min="14" max="14" width="14.640625" style="260" customWidth="1"/>
    <col min="15" max="15" width="15.2109375" style="260" bestFit="1" customWidth="1"/>
    <col min="16" max="17" width="15.2109375" style="260" customWidth="1"/>
    <col min="18" max="21" width="12.78515625" style="260" customWidth="1"/>
    <col min="22" max="22" width="16" style="260" customWidth="1"/>
    <col min="23" max="23" width="12.78515625" style="260" customWidth="1"/>
    <col min="24" max="24" width="23.640625" style="260" customWidth="1"/>
    <col min="25" max="25" width="10.2109375" style="260" customWidth="1"/>
    <col min="26" max="28" width="9.640625" style="260" customWidth="1"/>
    <col min="29" max="29" width="17.35546875" style="260" customWidth="1"/>
    <col min="30" max="31" width="12.78515625" style="260" customWidth="1"/>
    <col min="32" max="32" width="15.78515625" style="260" customWidth="1"/>
    <col min="33" max="35" width="12.78515625" style="260" customWidth="1"/>
    <col min="36" max="36" width="15.78515625" style="260" customWidth="1"/>
    <col min="37" max="37" width="12.78515625" style="260" customWidth="1"/>
    <col min="38" max="38" width="17.640625" style="260" bestFit="1" customWidth="1"/>
    <col min="39" max="39" width="12.78515625" style="260" customWidth="1"/>
    <col min="40" max="40" width="16.35546875" style="260" customWidth="1"/>
    <col min="41" max="41" width="12.78515625" style="260" customWidth="1"/>
    <col min="42" max="42" width="16.35546875" style="260" customWidth="1"/>
    <col min="43" max="43" width="21.35546875" style="260" bestFit="1" customWidth="1"/>
    <col min="44" max="49" width="12.78515625" style="260" customWidth="1"/>
    <col min="50" max="50" width="14.640625" style="260" customWidth="1"/>
    <col min="51" max="51" width="16.2109375" style="260" customWidth="1"/>
    <col min="52" max="52" width="15" style="260" customWidth="1"/>
    <col min="53" max="53" width="15.35546875" style="260" customWidth="1"/>
    <col min="54" max="54" width="15.640625" style="260" customWidth="1"/>
    <col min="55" max="55" width="15.5703125" style="260" customWidth="1"/>
    <col min="56" max="56" width="14.640625" style="260" customWidth="1"/>
    <col min="57" max="58" width="12.78515625" style="260" customWidth="1"/>
    <col min="59" max="59" width="16.640625" style="260" customWidth="1"/>
    <col min="60" max="60" width="16.2109375" style="260" customWidth="1"/>
    <col min="61" max="62" width="19.2109375" style="260" bestFit="1" customWidth="1"/>
    <col min="63" max="90" width="19.2109375" style="260" customWidth="1"/>
    <col min="91" max="91" width="15.78515625" style="260" bestFit="1" customWidth="1"/>
    <col min="92" max="92" width="14.78515625" style="260" bestFit="1" customWidth="1"/>
    <col min="93" max="93" width="12.78515625" style="260" customWidth="1"/>
    <col min="94" max="94" width="14.640625" style="260" customWidth="1"/>
    <col min="95" max="95" width="15.78515625" style="260" customWidth="1"/>
    <col min="96" max="96" width="15" style="260" customWidth="1"/>
    <col min="97" max="97" width="15.78515625" style="260" customWidth="1"/>
    <col min="98" max="99" width="12.78515625" style="260" customWidth="1"/>
    <col min="100" max="100" width="15" style="260" customWidth="1"/>
    <col min="101" max="101" width="14.5703125" style="260" customWidth="1"/>
    <col min="102" max="102" width="15" style="260" customWidth="1"/>
    <col min="103" max="103" width="14.2109375" style="260" customWidth="1"/>
    <col min="104" max="104" width="15.78515625" style="260" customWidth="1"/>
    <col min="105" max="105" width="15.2109375" style="260" customWidth="1"/>
    <col min="106" max="106" width="14.2109375" style="260" customWidth="1"/>
    <col min="107" max="107" width="14.78515625" style="260" customWidth="1"/>
    <col min="108" max="108" width="15.2109375" style="260" customWidth="1"/>
    <col min="109" max="111" width="12.78515625" style="260" customWidth="1"/>
    <col min="112" max="112" width="15.78515625" style="260" customWidth="1"/>
    <col min="113" max="113" width="16" style="260" customWidth="1"/>
    <col min="114" max="114" width="15.2109375" style="260" customWidth="1"/>
    <col min="115" max="115" width="20.42578125" style="260" customWidth="1"/>
    <col min="116" max="116" width="15.640625" style="260" customWidth="1"/>
    <col min="117" max="117" width="15.78515625" style="260" customWidth="1"/>
    <col min="118" max="119" width="15.640625" style="260" customWidth="1"/>
    <col min="120" max="122" width="12.78515625" style="260" customWidth="1"/>
    <col min="123" max="123" width="16.2109375" style="260" customWidth="1"/>
    <col min="124" max="124" width="12.78515625" style="260" customWidth="1"/>
    <col min="125" max="125" width="15.78515625" style="260" customWidth="1"/>
    <col min="126" max="129" width="12.78515625" style="260" customWidth="1"/>
    <col min="130" max="132" width="14.640625" style="260" customWidth="1"/>
    <col min="133" max="133" width="12.78515625" style="260" customWidth="1"/>
    <col min="134" max="134" width="14.640625" style="260" customWidth="1"/>
    <col min="135" max="135" width="12.78515625" style="260" customWidth="1"/>
    <col min="136" max="136" width="15.35546875" style="260" customWidth="1"/>
    <col min="137" max="137" width="14.640625" style="260" customWidth="1"/>
    <col min="138" max="138" width="18.5703125" style="260" bestFit="1" customWidth="1"/>
    <col min="139" max="139" width="14.35546875" style="260" customWidth="1"/>
    <col min="140" max="140" width="16.2109375" style="260" customWidth="1"/>
    <col min="141" max="141" width="12.78515625" style="260" customWidth="1"/>
    <col min="142" max="142" width="16.2109375" style="260" customWidth="1"/>
    <col min="143" max="143" width="15.2109375" style="260" customWidth="1"/>
    <col min="144" max="144" width="15.78515625" style="260" bestFit="1" customWidth="1"/>
    <col min="145" max="145" width="16.35546875" style="260" customWidth="1"/>
    <col min="146" max="146" width="15.5703125" style="260" customWidth="1"/>
    <col min="147" max="147" width="21" style="260" customWidth="1"/>
    <col min="148" max="148" width="16.640625" style="260" customWidth="1"/>
    <col min="149" max="149" width="12.78515625" style="260" customWidth="1"/>
    <col min="150" max="150" width="15.640625" style="260" customWidth="1"/>
    <col min="151" max="151" width="16.35546875" style="260" customWidth="1"/>
    <col min="152" max="152" width="12.78515625" style="260" customWidth="1"/>
    <col min="153" max="153" width="15" style="260" bestFit="1" customWidth="1"/>
    <col min="154" max="154" width="12.78515625" style="260" customWidth="1"/>
    <col min="155" max="155" width="16.78515625" style="260" bestFit="1" customWidth="1"/>
    <col min="156" max="156" width="12.78515625" style="260" customWidth="1"/>
    <col min="157" max="157" width="15.2109375" style="260" customWidth="1"/>
    <col min="158" max="172" width="12.78515625" style="260" customWidth="1"/>
    <col min="173" max="16384" width="8.78515625" style="260"/>
  </cols>
  <sheetData>
    <row r="1" spans="1:172" s="116" customFormat="1" ht="19.5">
      <c r="A1" s="262" t="s">
        <v>2693</v>
      </c>
    </row>
    <row r="2" spans="1:172" s="116" customFormat="1" ht="15">
      <c r="A2" s="308" t="s">
        <v>2668</v>
      </c>
    </row>
    <row r="3" spans="1:172" s="116" customFormat="1" ht="15">
      <c r="A3" s="179" t="s">
        <v>363</v>
      </c>
    </row>
    <row r="4" spans="1:172" ht="15.75" customHeight="1">
      <c r="B4" s="448" t="s">
        <v>1</v>
      </c>
      <c r="C4" s="258" t="s">
        <v>863</v>
      </c>
      <c r="D4" s="258"/>
      <c r="E4" s="258"/>
      <c r="F4" s="258"/>
      <c r="G4" s="258"/>
      <c r="H4" s="258"/>
      <c r="I4" s="258"/>
      <c r="J4" s="258"/>
      <c r="K4" s="258"/>
      <c r="L4" s="258"/>
      <c r="M4" s="258"/>
      <c r="N4" s="258"/>
      <c r="O4" s="258"/>
      <c r="P4" s="258"/>
      <c r="Q4" s="258"/>
      <c r="R4" s="350" t="s">
        <v>31</v>
      </c>
      <c r="S4" s="351"/>
      <c r="T4" s="351"/>
      <c r="U4" s="351"/>
      <c r="V4" s="351"/>
      <c r="W4" s="351"/>
      <c r="X4" s="351"/>
      <c r="Y4" s="351"/>
      <c r="Z4" s="351"/>
      <c r="AA4" s="351"/>
      <c r="AB4" s="351"/>
      <c r="AC4" s="352"/>
      <c r="AD4" s="350" t="s">
        <v>862</v>
      </c>
      <c r="AE4" s="351"/>
      <c r="AF4" s="351"/>
      <c r="AG4" s="351"/>
      <c r="AH4" s="352"/>
      <c r="AI4" s="37" t="s">
        <v>782</v>
      </c>
      <c r="AJ4" s="38"/>
      <c r="AK4" s="38"/>
      <c r="AL4" s="38"/>
      <c r="AM4" s="38"/>
      <c r="AN4" s="38"/>
      <c r="AO4" s="38"/>
      <c r="AP4" s="38"/>
      <c r="AQ4" s="38"/>
      <c r="AR4" s="38"/>
      <c r="AS4" s="38"/>
      <c r="AT4" s="38"/>
      <c r="AU4" s="38"/>
      <c r="AV4" s="38"/>
      <c r="AW4" s="39"/>
      <c r="AX4" s="37" t="s">
        <v>762</v>
      </c>
      <c r="AY4" s="38"/>
      <c r="AZ4" s="38"/>
      <c r="BA4" s="38"/>
      <c r="BB4" s="38"/>
      <c r="BC4" s="38"/>
      <c r="BD4" s="38"/>
      <c r="BE4" s="38"/>
      <c r="BF4" s="38"/>
      <c r="BG4" s="38"/>
      <c r="BH4" s="38"/>
      <c r="BI4" s="39"/>
      <c r="BJ4" s="37" t="s">
        <v>742</v>
      </c>
      <c r="BK4" s="38"/>
      <c r="BL4" s="38"/>
      <c r="BM4" s="38"/>
      <c r="BN4" s="38"/>
      <c r="BO4" s="38"/>
      <c r="BP4" s="38"/>
      <c r="BQ4" s="38"/>
      <c r="BR4" s="38"/>
      <c r="BS4" s="38"/>
      <c r="BT4" s="38"/>
      <c r="BU4" s="38"/>
      <c r="BV4" s="38"/>
      <c r="BW4" s="38"/>
      <c r="BX4" s="38"/>
      <c r="BY4" s="38"/>
      <c r="BZ4" s="38"/>
      <c r="CA4" s="38"/>
      <c r="CB4" s="38"/>
      <c r="CC4" s="38"/>
      <c r="CD4" s="38"/>
      <c r="CE4" s="38"/>
      <c r="CF4" s="38"/>
      <c r="CG4" s="38"/>
      <c r="CH4" s="38"/>
      <c r="CI4" s="38"/>
      <c r="CJ4" s="38"/>
      <c r="CK4" s="38"/>
      <c r="CL4" s="38"/>
      <c r="CM4" s="37" t="s">
        <v>699</v>
      </c>
      <c r="CN4" s="38"/>
      <c r="CO4" s="38"/>
      <c r="CP4" s="38"/>
      <c r="CQ4" s="38"/>
      <c r="CR4" s="38"/>
      <c r="CS4" s="38"/>
      <c r="CT4" s="38"/>
      <c r="CU4" s="38"/>
      <c r="CV4" s="38"/>
      <c r="CW4" s="38"/>
      <c r="CX4" s="38"/>
      <c r="CY4" s="38"/>
      <c r="CZ4" s="38"/>
      <c r="DA4" s="38"/>
      <c r="DB4" s="38"/>
      <c r="DC4" s="38"/>
      <c r="DD4" s="38"/>
      <c r="DE4" s="38"/>
      <c r="DF4" s="38"/>
      <c r="DG4" s="38"/>
      <c r="DH4" s="37" t="s">
        <v>655</v>
      </c>
      <c r="DI4" s="38"/>
      <c r="DJ4" s="38"/>
      <c r="DK4" s="38"/>
      <c r="DL4" s="38"/>
      <c r="DM4" s="38"/>
      <c r="DN4" s="38"/>
      <c r="DO4" s="38"/>
      <c r="DP4" s="38"/>
      <c r="DQ4" s="38"/>
      <c r="DR4" s="38"/>
      <c r="DS4" s="38"/>
      <c r="DT4" s="38"/>
      <c r="DU4" s="38"/>
      <c r="DV4" s="38"/>
      <c r="DW4" s="38"/>
      <c r="DX4" s="38"/>
      <c r="DY4" s="38"/>
      <c r="DZ4" s="45" t="s">
        <v>622</v>
      </c>
      <c r="EA4" s="35"/>
      <c r="EB4" s="36"/>
      <c r="EC4" s="38" t="s">
        <v>389</v>
      </c>
      <c r="ED4" s="38"/>
      <c r="EE4" s="38"/>
      <c r="EF4" s="39"/>
      <c r="EG4" s="37" t="s">
        <v>611</v>
      </c>
      <c r="EH4" s="38"/>
      <c r="EI4" s="38"/>
      <c r="EJ4" s="38"/>
      <c r="EK4" s="38"/>
      <c r="EL4" s="38"/>
      <c r="EM4" s="38"/>
      <c r="EN4" s="38"/>
      <c r="EO4" s="38"/>
      <c r="EP4" s="38"/>
      <c r="EQ4" s="38"/>
      <c r="ER4" s="38"/>
      <c r="ES4" s="38"/>
      <c r="ET4" s="38"/>
      <c r="EU4" s="38"/>
      <c r="EV4" s="38"/>
      <c r="EW4" s="38"/>
      <c r="EX4" s="39"/>
      <c r="EY4" s="124" t="s">
        <v>574</v>
      </c>
      <c r="EZ4" s="37" t="s">
        <v>571</v>
      </c>
      <c r="FA4" s="38"/>
      <c r="FB4" s="38"/>
      <c r="FC4" s="38"/>
      <c r="FD4" s="38"/>
      <c r="FE4" s="38"/>
      <c r="FF4" s="39"/>
      <c r="FG4" s="37" t="s">
        <v>560</v>
      </c>
      <c r="FH4" s="38"/>
      <c r="FI4" s="38"/>
      <c r="FJ4" s="38"/>
      <c r="FK4" s="38"/>
      <c r="FL4" s="38"/>
      <c r="FM4" s="38"/>
      <c r="FN4" s="38"/>
      <c r="FO4" s="38"/>
      <c r="FP4" s="39"/>
    </row>
    <row r="5" spans="1:172">
      <c r="B5" s="448"/>
      <c r="C5" s="258" t="s">
        <v>861</v>
      </c>
      <c r="D5" s="258"/>
      <c r="E5" s="258"/>
      <c r="F5" s="258"/>
      <c r="G5" s="258"/>
      <c r="H5" s="258"/>
      <c r="I5" s="258"/>
      <c r="J5" s="257" t="s">
        <v>860</v>
      </c>
      <c r="K5" s="258"/>
      <c r="L5" s="258"/>
      <c r="M5" s="258"/>
      <c r="N5" s="257" t="s">
        <v>859</v>
      </c>
      <c r="O5" s="258"/>
      <c r="P5" s="353"/>
      <c r="Q5" s="353"/>
      <c r="R5" s="354"/>
      <c r="S5" s="353"/>
      <c r="T5" s="353"/>
      <c r="U5" s="353"/>
      <c r="V5" s="353"/>
      <c r="W5" s="353"/>
      <c r="X5" s="353"/>
      <c r="Y5" s="353"/>
      <c r="Z5" s="353"/>
      <c r="AA5" s="353"/>
      <c r="AB5" s="353"/>
      <c r="AC5" s="355"/>
      <c r="AD5" s="354"/>
      <c r="AE5" s="353"/>
      <c r="AF5" s="353"/>
      <c r="AG5" s="353"/>
      <c r="AH5" s="355"/>
      <c r="AI5" s="37"/>
      <c r="AJ5" s="38"/>
      <c r="AK5" s="39"/>
      <c r="AL5" s="126" t="s">
        <v>777</v>
      </c>
      <c r="AM5" s="37" t="s">
        <v>774</v>
      </c>
      <c r="AN5" s="38"/>
      <c r="AO5" s="39"/>
      <c r="AP5" s="125" t="s">
        <v>770</v>
      </c>
      <c r="AQ5" s="125" t="s">
        <v>768</v>
      </c>
      <c r="AR5" s="37" t="s">
        <v>683</v>
      </c>
      <c r="AS5" s="38"/>
      <c r="AT5" s="38"/>
      <c r="AU5" s="38"/>
      <c r="AV5" s="38"/>
      <c r="AW5" s="39"/>
      <c r="AX5" s="37"/>
      <c r="AY5" s="38"/>
      <c r="AZ5" s="38"/>
      <c r="BA5" s="38"/>
      <c r="BB5" s="38"/>
      <c r="BC5" s="38"/>
      <c r="BD5" s="38"/>
      <c r="BE5" s="38"/>
      <c r="BF5" s="39"/>
      <c r="BG5" s="37" t="s">
        <v>747</v>
      </c>
      <c r="BH5" s="38"/>
      <c r="BI5" s="39"/>
      <c r="BJ5" s="37" t="s">
        <v>23</v>
      </c>
      <c r="BK5" s="38"/>
      <c r="BL5" s="38"/>
      <c r="BM5" s="38"/>
      <c r="BN5" s="39"/>
      <c r="BO5" s="37" t="s">
        <v>734</v>
      </c>
      <c r="BP5" s="38"/>
      <c r="BQ5" s="38"/>
      <c r="BR5" s="38"/>
      <c r="BS5" s="38"/>
      <c r="BT5" s="38"/>
      <c r="BU5" s="39"/>
      <c r="BV5" s="37" t="s">
        <v>726</v>
      </c>
      <c r="BW5" s="39"/>
      <c r="BX5" s="37" t="s">
        <v>847</v>
      </c>
      <c r="BY5" s="38"/>
      <c r="BZ5" s="39"/>
      <c r="CA5" s="37" t="s">
        <v>720</v>
      </c>
      <c r="CB5" s="38"/>
      <c r="CC5" s="38"/>
      <c r="CD5" s="39"/>
      <c r="CE5" s="37" t="s">
        <v>858</v>
      </c>
      <c r="CF5" s="39"/>
      <c r="CG5" s="123" t="s">
        <v>333</v>
      </c>
      <c r="CH5" s="37" t="s">
        <v>708</v>
      </c>
      <c r="CI5" s="38"/>
      <c r="CJ5" s="38"/>
      <c r="CK5" s="38"/>
      <c r="CL5" s="39"/>
      <c r="CM5" s="37" t="s">
        <v>698</v>
      </c>
      <c r="CN5" s="38"/>
      <c r="CO5" s="38"/>
      <c r="CP5" s="38"/>
      <c r="CQ5" s="38"/>
      <c r="CR5" s="38"/>
      <c r="CS5" s="38"/>
      <c r="CT5" s="38"/>
      <c r="CU5" s="38"/>
      <c r="CV5" s="39"/>
      <c r="CW5" s="37" t="s">
        <v>240</v>
      </c>
      <c r="CX5" s="38"/>
      <c r="CY5" s="38"/>
      <c r="CZ5" s="38"/>
      <c r="DA5" s="38"/>
      <c r="DB5" s="39"/>
      <c r="DC5" s="37" t="s">
        <v>196</v>
      </c>
      <c r="DD5" s="38"/>
      <c r="DE5" s="39"/>
      <c r="DF5" s="126" t="s">
        <v>662</v>
      </c>
      <c r="DG5" s="123" t="s">
        <v>658</v>
      </c>
      <c r="DH5" s="37" t="s">
        <v>654</v>
      </c>
      <c r="DI5" s="38"/>
      <c r="DJ5" s="38"/>
      <c r="DK5" s="38"/>
      <c r="DL5" s="38"/>
      <c r="DM5" s="38"/>
      <c r="DN5" s="38"/>
      <c r="DO5" s="38"/>
      <c r="DP5" s="38"/>
      <c r="DQ5" s="38"/>
      <c r="DR5" s="38"/>
      <c r="DS5" s="38"/>
      <c r="DT5" s="39"/>
      <c r="DU5" s="37" t="s">
        <v>630</v>
      </c>
      <c r="DV5" s="39"/>
      <c r="DW5" s="37" t="s">
        <v>627</v>
      </c>
      <c r="DX5" s="39"/>
      <c r="DY5" s="35" t="s">
        <v>624</v>
      </c>
      <c r="DZ5" s="200" t="s">
        <v>2770</v>
      </c>
      <c r="EA5" s="38"/>
      <c r="EB5" s="39"/>
      <c r="EC5" s="265" t="s">
        <v>620</v>
      </c>
      <c r="ED5" s="126" t="s">
        <v>618</v>
      </c>
      <c r="EE5" s="126" t="s">
        <v>615</v>
      </c>
      <c r="EF5" s="126"/>
      <c r="EG5" s="37" t="s">
        <v>275</v>
      </c>
      <c r="EH5" s="38"/>
      <c r="EI5" s="38"/>
      <c r="EJ5" s="39"/>
      <c r="EK5" s="37" t="s">
        <v>601</v>
      </c>
      <c r="EL5" s="38"/>
      <c r="EM5" s="38"/>
      <c r="EN5" s="38"/>
      <c r="EO5" s="38"/>
      <c r="EP5" s="39"/>
      <c r="EQ5" s="126" t="s">
        <v>589</v>
      </c>
      <c r="ER5" s="126"/>
      <c r="ES5" s="126"/>
      <c r="ET5" s="126"/>
      <c r="EU5" s="125" t="s">
        <v>582</v>
      </c>
      <c r="EV5" s="37" t="s">
        <v>579</v>
      </c>
      <c r="EW5" s="39"/>
      <c r="EX5" s="125" t="s">
        <v>576</v>
      </c>
      <c r="EY5" s="124" t="s">
        <v>573</v>
      </c>
      <c r="EZ5" s="37"/>
      <c r="FA5" s="38"/>
      <c r="FB5" s="38"/>
      <c r="FC5" s="38"/>
      <c r="FD5" s="38"/>
      <c r="FE5" s="38"/>
      <c r="FF5" s="39"/>
      <c r="FG5" s="37" t="s">
        <v>559</v>
      </c>
      <c r="FH5" s="38"/>
      <c r="FI5" s="39"/>
      <c r="FJ5" s="37" t="s">
        <v>555</v>
      </c>
      <c r="FK5" s="39"/>
      <c r="FL5" s="37" t="s">
        <v>550</v>
      </c>
      <c r="FM5" s="37" t="s">
        <v>857</v>
      </c>
      <c r="FN5" s="39"/>
      <c r="FO5" s="37" t="s">
        <v>856</v>
      </c>
      <c r="FP5" s="39"/>
    </row>
    <row r="6" spans="1:172" ht="27">
      <c r="B6" s="448"/>
      <c r="C6" s="69" t="s">
        <v>807</v>
      </c>
      <c r="D6" s="69" t="s">
        <v>46</v>
      </c>
      <c r="E6" s="69" t="s">
        <v>19</v>
      </c>
      <c r="F6" s="69" t="s">
        <v>25</v>
      </c>
      <c r="G6" s="69" t="s">
        <v>806</v>
      </c>
      <c r="H6" s="69" t="s">
        <v>804</v>
      </c>
      <c r="I6" s="69" t="s">
        <v>855</v>
      </c>
      <c r="J6" s="69" t="s">
        <v>800</v>
      </c>
      <c r="K6" s="69" t="s">
        <v>799</v>
      </c>
      <c r="L6" s="69" t="s">
        <v>798</v>
      </c>
      <c r="M6" s="69" t="s">
        <v>185</v>
      </c>
      <c r="N6" s="69" t="s">
        <v>61</v>
      </c>
      <c r="O6" s="69" t="s">
        <v>794</v>
      </c>
      <c r="P6" s="69" t="s">
        <v>792</v>
      </c>
      <c r="Q6" s="69" t="s">
        <v>791</v>
      </c>
      <c r="R6" s="40" t="s">
        <v>790</v>
      </c>
      <c r="S6" s="40" t="s">
        <v>31</v>
      </c>
      <c r="T6" s="40" t="s">
        <v>32</v>
      </c>
      <c r="U6" s="40" t="s">
        <v>33</v>
      </c>
      <c r="V6" s="181" t="s">
        <v>35</v>
      </c>
      <c r="W6" s="181" t="s">
        <v>38</v>
      </c>
      <c r="X6" s="181" t="s">
        <v>31</v>
      </c>
      <c r="Y6" s="181" t="s">
        <v>40</v>
      </c>
      <c r="Z6" s="181" t="s">
        <v>42</v>
      </c>
      <c r="AA6" s="181" t="s">
        <v>33</v>
      </c>
      <c r="AB6" s="181" t="s">
        <v>788</v>
      </c>
      <c r="AC6" s="181" t="s">
        <v>43</v>
      </c>
      <c r="AD6" s="119" t="s">
        <v>45</v>
      </c>
      <c r="AE6" s="118" t="s">
        <v>46</v>
      </c>
      <c r="AF6" s="118" t="s">
        <v>785</v>
      </c>
      <c r="AG6" s="118" t="s">
        <v>48</v>
      </c>
      <c r="AH6" s="118" t="s">
        <v>33</v>
      </c>
      <c r="AI6" s="119" t="s">
        <v>781</v>
      </c>
      <c r="AJ6" s="119" t="s">
        <v>780</v>
      </c>
      <c r="AK6" s="119" t="s">
        <v>243</v>
      </c>
      <c r="AL6" s="119" t="s">
        <v>244</v>
      </c>
      <c r="AM6" s="119" t="s">
        <v>773</v>
      </c>
      <c r="AN6" s="119" t="s">
        <v>772</v>
      </c>
      <c r="AO6" s="119" t="s">
        <v>42</v>
      </c>
      <c r="AP6" s="119" t="s">
        <v>60</v>
      </c>
      <c r="AQ6" s="119" t="s">
        <v>767</v>
      </c>
      <c r="AR6" s="119" t="s">
        <v>766</v>
      </c>
      <c r="AS6" s="119" t="s">
        <v>22</v>
      </c>
      <c r="AT6" s="119" t="s">
        <v>60</v>
      </c>
      <c r="AU6" s="119" t="s">
        <v>765</v>
      </c>
      <c r="AV6" s="119" t="s">
        <v>764</v>
      </c>
      <c r="AW6" s="119" t="s">
        <v>763</v>
      </c>
      <c r="AX6" s="119" t="s">
        <v>761</v>
      </c>
      <c r="AY6" s="119" t="s">
        <v>759</v>
      </c>
      <c r="AZ6" s="119" t="s">
        <v>757</v>
      </c>
      <c r="BA6" s="119" t="s">
        <v>175</v>
      </c>
      <c r="BB6" s="119" t="s">
        <v>754</v>
      </c>
      <c r="BC6" s="119" t="s">
        <v>752</v>
      </c>
      <c r="BD6" s="119" t="s">
        <v>750</v>
      </c>
      <c r="BE6" s="119" t="s">
        <v>230</v>
      </c>
      <c r="BF6" s="119" t="s">
        <v>24</v>
      </c>
      <c r="BG6" s="119" t="s">
        <v>746</v>
      </c>
      <c r="BH6" s="119" t="s">
        <v>745</v>
      </c>
      <c r="BI6" s="119" t="s">
        <v>744</v>
      </c>
      <c r="BJ6" s="119" t="s">
        <v>740</v>
      </c>
      <c r="BK6" s="119" t="s">
        <v>739</v>
      </c>
      <c r="BL6" s="119" t="s">
        <v>738</v>
      </c>
      <c r="BM6" s="119" t="s">
        <v>737</v>
      </c>
      <c r="BN6" s="119" t="s">
        <v>736</v>
      </c>
      <c r="BO6" s="123" t="s">
        <v>733</v>
      </c>
      <c r="BP6" s="123" t="s">
        <v>854</v>
      </c>
      <c r="BQ6" s="123" t="s">
        <v>853</v>
      </c>
      <c r="BR6" s="123" t="s">
        <v>734</v>
      </c>
      <c r="BS6" s="123" t="s">
        <v>852</v>
      </c>
      <c r="BT6" s="123" t="s">
        <v>851</v>
      </c>
      <c r="BU6" s="123" t="s">
        <v>850</v>
      </c>
      <c r="BV6" s="119" t="s">
        <v>849</v>
      </c>
      <c r="BW6" s="119" t="s">
        <v>848</v>
      </c>
      <c r="BX6" s="119" t="s">
        <v>847</v>
      </c>
      <c r="BY6" s="119" t="s">
        <v>722</v>
      </c>
      <c r="BZ6" s="119" t="s">
        <v>846</v>
      </c>
      <c r="CA6" s="119" t="s">
        <v>719</v>
      </c>
      <c r="CB6" s="119" t="s">
        <v>717</v>
      </c>
      <c r="CC6" s="119" t="s">
        <v>845</v>
      </c>
      <c r="CD6" s="119" t="s">
        <v>844</v>
      </c>
      <c r="CE6" s="119" t="s">
        <v>711</v>
      </c>
      <c r="CF6" s="119" t="s">
        <v>710</v>
      </c>
      <c r="CG6" s="119" t="s">
        <v>709</v>
      </c>
      <c r="CH6" s="119" t="s">
        <v>707</v>
      </c>
      <c r="CI6" s="119" t="s">
        <v>705</v>
      </c>
      <c r="CJ6" s="119" t="s">
        <v>703</v>
      </c>
      <c r="CK6" s="119" t="s">
        <v>701</v>
      </c>
      <c r="CL6" s="119" t="s">
        <v>700</v>
      </c>
      <c r="CM6" s="119" t="s">
        <v>528</v>
      </c>
      <c r="CN6" s="119" t="s">
        <v>695</v>
      </c>
      <c r="CO6" s="119" t="s">
        <v>389</v>
      </c>
      <c r="CP6" s="119" t="s">
        <v>692</v>
      </c>
      <c r="CQ6" s="119" t="s">
        <v>690</v>
      </c>
      <c r="CR6" s="119" t="s">
        <v>688</v>
      </c>
      <c r="CS6" s="119" t="s">
        <v>686</v>
      </c>
      <c r="CT6" s="119" t="s">
        <v>684</v>
      </c>
      <c r="CU6" s="119" t="s">
        <v>683</v>
      </c>
      <c r="CV6" s="119" t="s">
        <v>682</v>
      </c>
      <c r="CW6" s="119" t="s">
        <v>680</v>
      </c>
      <c r="CX6" s="119" t="s">
        <v>678</v>
      </c>
      <c r="CY6" s="119" t="s">
        <v>676</v>
      </c>
      <c r="CZ6" s="119" t="s">
        <v>674</v>
      </c>
      <c r="DA6" s="119" t="s">
        <v>672</v>
      </c>
      <c r="DB6" s="119" t="s">
        <v>670</v>
      </c>
      <c r="DC6" s="119" t="s">
        <v>667</v>
      </c>
      <c r="DD6" s="119" t="s">
        <v>665</v>
      </c>
      <c r="DE6" s="119" t="s">
        <v>663</v>
      </c>
      <c r="DF6" s="119" t="s">
        <v>661</v>
      </c>
      <c r="DG6" s="119" t="s">
        <v>657</v>
      </c>
      <c r="DH6" s="119" t="s">
        <v>653</v>
      </c>
      <c r="DI6" s="119" t="s">
        <v>651</v>
      </c>
      <c r="DJ6" s="119" t="s">
        <v>649</v>
      </c>
      <c r="DK6" s="119" t="s">
        <v>647</v>
      </c>
      <c r="DL6" s="119" t="s">
        <v>645</v>
      </c>
      <c r="DM6" s="119" t="s">
        <v>643</v>
      </c>
      <c r="DN6" s="119" t="s">
        <v>641</v>
      </c>
      <c r="DO6" s="119" t="s">
        <v>569</v>
      </c>
      <c r="DP6" s="119" t="s">
        <v>639</v>
      </c>
      <c r="DQ6" s="119" t="s">
        <v>638</v>
      </c>
      <c r="DR6" s="119" t="s">
        <v>637</v>
      </c>
      <c r="DS6" s="119" t="s">
        <v>634</v>
      </c>
      <c r="DT6" s="119" t="s">
        <v>632</v>
      </c>
      <c r="DU6" s="119" t="s">
        <v>629</v>
      </c>
      <c r="DV6" s="119" t="s">
        <v>24</v>
      </c>
      <c r="DW6" s="119" t="s">
        <v>626</v>
      </c>
      <c r="DX6" s="119" t="s">
        <v>625</v>
      </c>
      <c r="DY6" s="257" t="s">
        <v>623</v>
      </c>
      <c r="DZ6" s="119" t="s">
        <v>2325</v>
      </c>
      <c r="EA6" s="119" t="s">
        <v>2325</v>
      </c>
      <c r="EB6" s="119" t="s">
        <v>2325</v>
      </c>
      <c r="EC6" s="119" t="s">
        <v>619</v>
      </c>
      <c r="ED6" s="119" t="s">
        <v>617</v>
      </c>
      <c r="EE6" s="119" t="s">
        <v>614</v>
      </c>
      <c r="EF6" s="119" t="s">
        <v>613</v>
      </c>
      <c r="EG6" s="119" t="s">
        <v>610</v>
      </c>
      <c r="EH6" s="119" t="s">
        <v>245</v>
      </c>
      <c r="EI6" s="119" t="s">
        <v>606</v>
      </c>
      <c r="EJ6" s="119" t="s">
        <v>604</v>
      </c>
      <c r="EK6" s="119" t="s">
        <v>600</v>
      </c>
      <c r="EL6" s="119" t="s">
        <v>599</v>
      </c>
      <c r="EM6" s="119" t="s">
        <v>597</v>
      </c>
      <c r="EN6" s="119" t="s">
        <v>595</v>
      </c>
      <c r="EO6" s="119" t="s">
        <v>593</v>
      </c>
      <c r="EP6" s="119" t="s">
        <v>591</v>
      </c>
      <c r="EQ6" s="119" t="s">
        <v>249</v>
      </c>
      <c r="ER6" s="119" t="s">
        <v>587</v>
      </c>
      <c r="ES6" s="119" t="s">
        <v>585</v>
      </c>
      <c r="ET6" s="119" t="s">
        <v>584</v>
      </c>
      <c r="EU6" s="261" t="s">
        <v>581</v>
      </c>
      <c r="EV6" s="119" t="s">
        <v>578</v>
      </c>
      <c r="EW6" s="119" t="s">
        <v>577</v>
      </c>
      <c r="EX6" s="261" t="s">
        <v>575</v>
      </c>
      <c r="EY6" s="119" t="s">
        <v>572</v>
      </c>
      <c r="EZ6" s="119" t="s">
        <v>570</v>
      </c>
      <c r="FA6" s="119" t="s">
        <v>569</v>
      </c>
      <c r="FB6" s="119" t="s">
        <v>567</v>
      </c>
      <c r="FC6" s="119" t="s">
        <v>566</v>
      </c>
      <c r="FD6" s="119" t="s">
        <v>246</v>
      </c>
      <c r="FE6" s="119" t="s">
        <v>563</v>
      </c>
      <c r="FF6" s="119" t="s">
        <v>562</v>
      </c>
      <c r="FG6" s="119" t="s">
        <v>558</v>
      </c>
      <c r="FH6" s="119" t="s">
        <v>557</v>
      </c>
      <c r="FI6" s="119" t="s">
        <v>556</v>
      </c>
      <c r="FJ6" s="119" t="s">
        <v>554</v>
      </c>
      <c r="FK6" s="119" t="s">
        <v>843</v>
      </c>
      <c r="FL6" s="119" t="s">
        <v>549</v>
      </c>
      <c r="FM6" s="119" t="s">
        <v>547</v>
      </c>
      <c r="FN6" s="69" t="s">
        <v>546</v>
      </c>
      <c r="FO6" s="119" t="s">
        <v>544</v>
      </c>
      <c r="FP6" s="69" t="s">
        <v>543</v>
      </c>
    </row>
    <row r="7" spans="1:172" ht="56" customHeight="1">
      <c r="B7" s="448"/>
      <c r="C7" s="24" t="s">
        <v>2760</v>
      </c>
      <c r="D7" s="24" t="s">
        <v>2761</v>
      </c>
      <c r="E7" s="24" t="s">
        <v>2762</v>
      </c>
      <c r="F7" s="24" t="s">
        <v>20</v>
      </c>
      <c r="G7" s="24" t="s">
        <v>2764</v>
      </c>
      <c r="H7" s="24" t="s">
        <v>842</v>
      </c>
      <c r="I7" s="24" t="s">
        <v>179</v>
      </c>
      <c r="J7" s="18" t="s">
        <v>50</v>
      </c>
      <c r="K7" s="18" t="s">
        <v>20</v>
      </c>
      <c r="L7" s="24" t="s">
        <v>797</v>
      </c>
      <c r="M7" s="24" t="s">
        <v>50</v>
      </c>
      <c r="N7" s="24" t="s">
        <v>795</v>
      </c>
      <c r="O7" s="24" t="s">
        <v>793</v>
      </c>
      <c r="P7" s="24" t="s">
        <v>20</v>
      </c>
      <c r="Q7" s="24" t="s">
        <v>20</v>
      </c>
      <c r="R7" s="27" t="s">
        <v>20</v>
      </c>
      <c r="S7" s="27" t="s">
        <v>20</v>
      </c>
      <c r="T7" s="18" t="s">
        <v>841</v>
      </c>
      <c r="U7" s="18" t="s">
        <v>840</v>
      </c>
      <c r="V7" s="18" t="s">
        <v>36</v>
      </c>
      <c r="W7" s="18" t="s">
        <v>50</v>
      </c>
      <c r="X7" s="18" t="s">
        <v>20</v>
      </c>
      <c r="Y7" s="18" t="s">
        <v>20</v>
      </c>
      <c r="Z7" s="18" t="s">
        <v>20</v>
      </c>
      <c r="AA7" s="18" t="s">
        <v>27</v>
      </c>
      <c r="AB7" s="18" t="s">
        <v>27</v>
      </c>
      <c r="AC7" s="18" t="s">
        <v>27</v>
      </c>
      <c r="AD7" s="18" t="s">
        <v>20</v>
      </c>
      <c r="AE7" s="27" t="s">
        <v>786</v>
      </c>
      <c r="AF7" s="27" t="s">
        <v>20</v>
      </c>
      <c r="AG7" s="18" t="s">
        <v>20</v>
      </c>
      <c r="AH7" s="18" t="s">
        <v>840</v>
      </c>
      <c r="AI7" s="24" t="s">
        <v>27</v>
      </c>
      <c r="AJ7" s="24" t="s">
        <v>779</v>
      </c>
      <c r="AK7" s="24" t="s">
        <v>778</v>
      </c>
      <c r="AL7" s="24" t="s">
        <v>839</v>
      </c>
      <c r="AM7" s="24" t="s">
        <v>20</v>
      </c>
      <c r="AN7" s="24" t="s">
        <v>771</v>
      </c>
      <c r="AO7" s="24" t="s">
        <v>20</v>
      </c>
      <c r="AP7" s="24" t="s">
        <v>769</v>
      </c>
      <c r="AQ7" s="24" t="s">
        <v>27</v>
      </c>
      <c r="AR7" s="24" t="s">
        <v>27</v>
      </c>
      <c r="AS7" s="24" t="s">
        <v>179</v>
      </c>
      <c r="AT7" s="24" t="s">
        <v>179</v>
      </c>
      <c r="AU7" s="24" t="s">
        <v>27</v>
      </c>
      <c r="AV7" s="24" t="s">
        <v>27</v>
      </c>
      <c r="AW7" s="24" t="s">
        <v>27</v>
      </c>
      <c r="AX7" s="24" t="s">
        <v>760</v>
      </c>
      <c r="AY7" s="24" t="s">
        <v>758</v>
      </c>
      <c r="AZ7" s="24" t="s">
        <v>756</v>
      </c>
      <c r="BA7" s="24" t="s">
        <v>755</v>
      </c>
      <c r="BB7" s="24" t="s">
        <v>753</v>
      </c>
      <c r="BC7" s="24" t="s">
        <v>751</v>
      </c>
      <c r="BD7" s="24" t="s">
        <v>749</v>
      </c>
      <c r="BE7" s="24" t="s">
        <v>2765</v>
      </c>
      <c r="BF7" s="24" t="s">
        <v>20</v>
      </c>
      <c r="BG7" s="24" t="s">
        <v>743</v>
      </c>
      <c r="BH7" s="24" t="s">
        <v>743</v>
      </c>
      <c r="BI7" s="24" t="s">
        <v>743</v>
      </c>
      <c r="BJ7" s="24" t="s">
        <v>20</v>
      </c>
      <c r="BK7" s="24" t="s">
        <v>833</v>
      </c>
      <c r="BL7" s="24" t="s">
        <v>833</v>
      </c>
      <c r="BM7" s="24" t="s">
        <v>833</v>
      </c>
      <c r="BN7" s="24" t="s">
        <v>838</v>
      </c>
      <c r="BO7" s="24" t="s">
        <v>179</v>
      </c>
      <c r="BP7" s="24" t="s">
        <v>179</v>
      </c>
      <c r="BQ7" s="24" t="s">
        <v>179</v>
      </c>
      <c r="BR7" s="24" t="s">
        <v>179</v>
      </c>
      <c r="BS7" s="24" t="s">
        <v>277</v>
      </c>
      <c r="BT7" s="24" t="s">
        <v>179</v>
      </c>
      <c r="BU7" s="24" t="s">
        <v>179</v>
      </c>
      <c r="BV7" s="24" t="s">
        <v>277</v>
      </c>
      <c r="BW7" s="24" t="s">
        <v>277</v>
      </c>
      <c r="BX7" s="24" t="s">
        <v>50</v>
      </c>
      <c r="BY7" s="24" t="s">
        <v>480</v>
      </c>
      <c r="BZ7" s="24" t="s">
        <v>179</v>
      </c>
      <c r="CA7" s="24" t="s">
        <v>718</v>
      </c>
      <c r="CB7" s="24" t="s">
        <v>716</v>
      </c>
      <c r="CC7" s="24" t="s">
        <v>833</v>
      </c>
      <c r="CD7" s="24" t="s">
        <v>833</v>
      </c>
      <c r="CE7" s="24" t="s">
        <v>277</v>
      </c>
      <c r="CF7" s="24" t="s">
        <v>277</v>
      </c>
      <c r="CG7" s="24" t="s">
        <v>20</v>
      </c>
      <c r="CH7" s="24" t="s">
        <v>706</v>
      </c>
      <c r="CI7" s="24" t="s">
        <v>704</v>
      </c>
      <c r="CJ7" s="24" t="s">
        <v>702</v>
      </c>
      <c r="CK7" s="24" t="s">
        <v>833</v>
      </c>
      <c r="CL7" s="24" t="s">
        <v>833</v>
      </c>
      <c r="CM7" s="24" t="s">
        <v>696</v>
      </c>
      <c r="CN7" s="24" t="s">
        <v>694</v>
      </c>
      <c r="CO7" s="24" t="s">
        <v>693</v>
      </c>
      <c r="CP7" s="24" t="s">
        <v>691</v>
      </c>
      <c r="CQ7" s="24" t="s">
        <v>689</v>
      </c>
      <c r="CR7" s="24" t="s">
        <v>687</v>
      </c>
      <c r="CS7" s="24" t="s">
        <v>685</v>
      </c>
      <c r="CT7" s="24" t="s">
        <v>583</v>
      </c>
      <c r="CU7" s="24" t="s">
        <v>583</v>
      </c>
      <c r="CV7" s="24" t="s">
        <v>681</v>
      </c>
      <c r="CW7" s="24" t="s">
        <v>666</v>
      </c>
      <c r="CX7" s="24" t="s">
        <v>666</v>
      </c>
      <c r="CY7" s="24" t="s">
        <v>666</v>
      </c>
      <c r="CZ7" s="24" t="s">
        <v>666</v>
      </c>
      <c r="DA7" s="24" t="s">
        <v>671</v>
      </c>
      <c r="DB7" s="24" t="s">
        <v>669</v>
      </c>
      <c r="DC7" s="24" t="s">
        <v>666</v>
      </c>
      <c r="DD7" s="24" t="s">
        <v>664</v>
      </c>
      <c r="DE7" s="24" t="s">
        <v>27</v>
      </c>
      <c r="DF7" s="24" t="s">
        <v>837</v>
      </c>
      <c r="DG7" s="24" t="s">
        <v>656</v>
      </c>
      <c r="DH7" s="24" t="s">
        <v>2767</v>
      </c>
      <c r="DI7" s="24" t="s">
        <v>650</v>
      </c>
      <c r="DJ7" s="24" t="s">
        <v>648</v>
      </c>
      <c r="DK7" s="24" t="s">
        <v>646</v>
      </c>
      <c r="DL7" s="24" t="s">
        <v>644</v>
      </c>
      <c r="DM7" s="24" t="s">
        <v>642</v>
      </c>
      <c r="DN7" s="24" t="s">
        <v>50</v>
      </c>
      <c r="DO7" s="24" t="s">
        <v>640</v>
      </c>
      <c r="DP7" s="24" t="s">
        <v>27</v>
      </c>
      <c r="DQ7" s="24" t="s">
        <v>27</v>
      </c>
      <c r="DR7" s="24" t="s">
        <v>27</v>
      </c>
      <c r="DS7" s="24" t="s">
        <v>20</v>
      </c>
      <c r="DT7" s="24" t="s">
        <v>631</v>
      </c>
      <c r="DU7" s="24" t="s">
        <v>628</v>
      </c>
      <c r="DV7" s="24" t="s">
        <v>583</v>
      </c>
      <c r="DW7" s="122" t="s">
        <v>50</v>
      </c>
      <c r="DX7" s="18" t="s">
        <v>50</v>
      </c>
      <c r="DY7" s="18" t="s">
        <v>50</v>
      </c>
      <c r="DZ7" s="24"/>
      <c r="EA7" s="24"/>
      <c r="EB7" s="24"/>
      <c r="EC7" s="24" t="s">
        <v>27</v>
      </c>
      <c r="ED7" s="24" t="s">
        <v>616</v>
      </c>
      <c r="EE7" s="24" t="s">
        <v>833</v>
      </c>
      <c r="EF7" s="24" t="s">
        <v>612</v>
      </c>
      <c r="EG7" s="24" t="s">
        <v>609</v>
      </c>
      <c r="EH7" s="24" t="s">
        <v>836</v>
      </c>
      <c r="EI7" s="24" t="s">
        <v>835</v>
      </c>
      <c r="EJ7" s="24" t="s">
        <v>603</v>
      </c>
      <c r="EK7" s="24" t="s">
        <v>20</v>
      </c>
      <c r="EL7" s="24" t="s">
        <v>598</v>
      </c>
      <c r="EM7" s="24" t="s">
        <v>596</v>
      </c>
      <c r="EN7" s="24" t="s">
        <v>594</v>
      </c>
      <c r="EO7" s="24" t="s">
        <v>592</v>
      </c>
      <c r="EP7" s="24" t="s">
        <v>590</v>
      </c>
      <c r="EQ7" s="24" t="s">
        <v>588</v>
      </c>
      <c r="ER7" s="24" t="s">
        <v>818</v>
      </c>
      <c r="ES7" s="24" t="s">
        <v>27</v>
      </c>
      <c r="ET7" s="24" t="s">
        <v>583</v>
      </c>
      <c r="EU7" s="24" t="s">
        <v>583</v>
      </c>
      <c r="EV7" s="24" t="s">
        <v>27</v>
      </c>
      <c r="EW7" s="24" t="s">
        <v>27</v>
      </c>
      <c r="EX7" s="24" t="s">
        <v>27</v>
      </c>
      <c r="EY7" s="24" t="s">
        <v>27</v>
      </c>
      <c r="EZ7" s="24" t="s">
        <v>442</v>
      </c>
      <c r="FA7" s="24" t="s">
        <v>568</v>
      </c>
      <c r="FB7" s="24" t="s">
        <v>561</v>
      </c>
      <c r="FC7" s="24" t="s">
        <v>20</v>
      </c>
      <c r="FD7" s="24" t="s">
        <v>834</v>
      </c>
      <c r="FE7" s="24" t="s">
        <v>20</v>
      </c>
      <c r="FF7" s="24" t="s">
        <v>561</v>
      </c>
      <c r="FG7" s="122" t="s">
        <v>50</v>
      </c>
      <c r="FH7" s="24" t="s">
        <v>27</v>
      </c>
      <c r="FI7" s="24" t="s">
        <v>27</v>
      </c>
      <c r="FJ7" s="24" t="s">
        <v>553</v>
      </c>
      <c r="FK7" s="24" t="s">
        <v>20</v>
      </c>
      <c r="FL7" s="24" t="s">
        <v>27</v>
      </c>
      <c r="FM7" s="24" t="s">
        <v>833</v>
      </c>
      <c r="FN7" s="8" t="s">
        <v>833</v>
      </c>
      <c r="FO7" s="24" t="s">
        <v>179</v>
      </c>
      <c r="FP7" s="8" t="s">
        <v>833</v>
      </c>
    </row>
    <row r="8" spans="1:172">
      <c r="B8" s="448"/>
      <c r="C8" s="24" t="s">
        <v>2667</v>
      </c>
      <c r="D8" s="24" t="s">
        <v>2667</v>
      </c>
      <c r="E8" s="24" t="s">
        <v>2667</v>
      </c>
      <c r="F8" s="24"/>
      <c r="G8" s="24" t="s">
        <v>2667</v>
      </c>
      <c r="H8" s="24"/>
      <c r="I8" s="24"/>
      <c r="J8" s="18"/>
      <c r="K8" s="18"/>
      <c r="L8" s="24"/>
      <c r="M8" s="24"/>
      <c r="N8" s="24"/>
      <c r="O8" s="24" t="s">
        <v>2667</v>
      </c>
      <c r="P8" s="24"/>
      <c r="Q8" s="24"/>
      <c r="R8" s="27"/>
      <c r="S8" s="27"/>
      <c r="T8" s="18"/>
      <c r="U8" s="18"/>
      <c r="V8" s="18"/>
      <c r="W8" s="18"/>
      <c r="X8" s="18"/>
      <c r="Y8" s="18"/>
      <c r="Z8" s="18"/>
      <c r="AA8" s="18"/>
      <c r="AB8" s="18"/>
      <c r="AC8" s="18"/>
      <c r="AD8" s="18"/>
      <c r="AE8" s="27"/>
      <c r="AF8" s="27"/>
      <c r="AG8" s="18"/>
      <c r="AH8" s="18"/>
      <c r="AI8" s="24"/>
      <c r="AJ8" s="24"/>
      <c r="AK8" s="24"/>
      <c r="AL8" s="24"/>
      <c r="AM8" s="24"/>
      <c r="AN8" s="24"/>
      <c r="AO8" s="24"/>
      <c r="AP8" s="24"/>
      <c r="AQ8" s="24"/>
      <c r="AR8" s="24"/>
      <c r="AS8" s="24"/>
      <c r="AT8" s="24"/>
      <c r="AU8" s="24"/>
      <c r="AV8" s="24"/>
      <c r="AW8" s="24"/>
      <c r="AX8" s="24"/>
      <c r="AY8" s="24"/>
      <c r="AZ8" s="24"/>
      <c r="BA8" s="24"/>
      <c r="BB8" s="24"/>
      <c r="BC8" s="24"/>
      <c r="BD8" s="24"/>
      <c r="BE8" s="24" t="s">
        <v>2667</v>
      </c>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c r="CJ8" s="24"/>
      <c r="CK8" s="24"/>
      <c r="CL8" s="24"/>
      <c r="CM8" s="24"/>
      <c r="CN8" s="24"/>
      <c r="CO8" s="24"/>
      <c r="CP8" s="24"/>
      <c r="CQ8" s="24"/>
      <c r="CR8" s="24"/>
      <c r="CS8" s="24"/>
      <c r="CT8" s="24"/>
      <c r="CU8" s="24"/>
      <c r="CV8" s="24"/>
      <c r="CW8" s="24"/>
      <c r="CX8" s="24"/>
      <c r="CY8" s="24"/>
      <c r="CZ8" s="24"/>
      <c r="DA8" s="24"/>
      <c r="DB8" s="24"/>
      <c r="DC8" s="24"/>
      <c r="DD8" s="24"/>
      <c r="DE8" s="24"/>
      <c r="DF8" s="24"/>
      <c r="DG8" s="24"/>
      <c r="DH8" s="24" t="s">
        <v>2766</v>
      </c>
      <c r="DI8" s="24" t="s">
        <v>2766</v>
      </c>
      <c r="DJ8" s="24"/>
      <c r="DK8" s="24"/>
      <c r="DL8" s="24"/>
      <c r="DM8" s="24"/>
      <c r="DN8" s="24"/>
      <c r="DO8" s="24"/>
      <c r="DP8" s="24"/>
      <c r="DQ8" s="24"/>
      <c r="DR8" s="24"/>
      <c r="DS8" s="24"/>
      <c r="DT8" s="24"/>
      <c r="DU8" s="24"/>
      <c r="DV8" s="24"/>
      <c r="DW8" s="122"/>
      <c r="DX8" s="18"/>
      <c r="DY8" s="18"/>
      <c r="DZ8" s="24"/>
      <c r="EA8" s="24"/>
      <c r="EB8" s="24"/>
      <c r="EC8" s="24"/>
      <c r="ED8" s="24"/>
      <c r="EE8" s="24"/>
      <c r="EF8" s="24"/>
      <c r="EG8" s="24"/>
      <c r="EH8" s="24"/>
      <c r="EI8" s="24"/>
      <c r="EJ8" s="24"/>
      <c r="EK8" s="24"/>
      <c r="EL8" s="24"/>
      <c r="EM8" s="24"/>
      <c r="EN8" s="24"/>
      <c r="EO8" s="24"/>
      <c r="EP8" s="24"/>
      <c r="EQ8" s="24"/>
      <c r="ER8" s="24"/>
      <c r="ES8" s="24"/>
      <c r="ET8" s="24"/>
      <c r="EU8" s="24"/>
      <c r="EV8" s="24"/>
      <c r="EW8" s="24"/>
      <c r="EX8" s="24"/>
      <c r="EY8" s="24"/>
      <c r="EZ8" s="24"/>
      <c r="FA8" s="24"/>
      <c r="FB8" s="24"/>
      <c r="FC8" s="24"/>
      <c r="FD8" s="24"/>
      <c r="FE8" s="24"/>
      <c r="FF8" s="24"/>
      <c r="FG8" s="122"/>
      <c r="FH8" s="24"/>
      <c r="FI8" s="24"/>
      <c r="FJ8" s="24"/>
      <c r="FK8" s="24"/>
      <c r="FL8" s="24"/>
      <c r="FM8" s="24"/>
      <c r="FN8" s="8"/>
      <c r="FO8" s="24"/>
      <c r="FP8" s="8"/>
    </row>
    <row r="9" spans="1:172" ht="27">
      <c r="B9" s="316" t="s">
        <v>1226</v>
      </c>
      <c r="C9" s="317" t="str">
        <f>'顧客-顧客の作成'!C9</f>
        <v>TEST_CUST-001</v>
      </c>
      <c r="D9" s="317" t="str">
        <f>'顧客-顧客の作成'!D9</f>
        <v>組織</v>
      </c>
      <c r="E9" s="317" t="str">
        <f>'顧客-顧客の作成'!E9</f>
        <v>テスト顧客株式会社</v>
      </c>
      <c r="F9" s="316" t="s">
        <v>2857</v>
      </c>
      <c r="G9" s="356" t="str">
        <f>'顧客-顧客の作成'!J9</f>
        <v>CG01
※グループの設定は別途検討</v>
      </c>
      <c r="H9" s="317"/>
      <c r="I9" s="357"/>
      <c r="J9" s="74"/>
      <c r="K9" s="316"/>
      <c r="L9" s="316"/>
      <c r="M9" s="316"/>
      <c r="N9" s="316"/>
      <c r="O9" s="316" t="s">
        <v>2856</v>
      </c>
      <c r="P9" s="316"/>
      <c r="Q9" s="316"/>
      <c r="R9" s="316"/>
      <c r="S9" s="316"/>
      <c r="T9" s="316"/>
      <c r="U9" s="316"/>
      <c r="V9" s="316"/>
      <c r="W9" s="347"/>
      <c r="X9" s="316"/>
      <c r="Y9" s="316"/>
      <c r="Z9" s="316"/>
      <c r="AA9" s="316"/>
      <c r="AB9" s="316"/>
      <c r="AC9" s="316"/>
      <c r="AD9" s="316"/>
      <c r="AE9" s="316"/>
      <c r="AF9" s="316"/>
      <c r="AG9" s="316"/>
      <c r="AH9" s="316"/>
      <c r="AI9" s="75"/>
      <c r="AJ9" s="316"/>
      <c r="AK9" s="316"/>
      <c r="AL9" s="75"/>
      <c r="AM9" s="316"/>
      <c r="AN9" s="316"/>
      <c r="AO9" s="316"/>
      <c r="AP9" s="316"/>
      <c r="AQ9" s="75"/>
      <c r="AR9" s="75"/>
      <c r="AS9" s="316"/>
      <c r="AT9" s="316"/>
      <c r="AU9" s="75"/>
      <c r="AV9" s="75"/>
      <c r="AW9" s="75"/>
      <c r="AX9" s="316"/>
      <c r="AY9" s="316"/>
      <c r="AZ9" s="316"/>
      <c r="BA9" s="316"/>
      <c r="BB9" s="316"/>
      <c r="BC9" s="316"/>
      <c r="BD9" s="316"/>
      <c r="BE9" s="316" t="str">
        <f>'顧客-顧客の作成'!K9</f>
        <v>JPY</v>
      </c>
      <c r="BF9" s="316"/>
      <c r="BG9" s="316"/>
      <c r="BH9" s="316"/>
      <c r="BI9" s="316"/>
      <c r="BJ9" s="75"/>
      <c r="BK9" s="75"/>
      <c r="BL9" s="75"/>
      <c r="BM9" s="75"/>
      <c r="BN9" s="75"/>
      <c r="BO9" s="75"/>
      <c r="BP9" s="75"/>
      <c r="BQ9" s="75"/>
      <c r="BR9" s="75"/>
      <c r="BS9" s="75"/>
      <c r="BT9" s="75"/>
      <c r="BU9" s="75"/>
      <c r="BV9" s="75"/>
      <c r="BW9" s="75"/>
      <c r="BX9" s="75"/>
      <c r="BY9" s="75"/>
      <c r="BZ9" s="75"/>
      <c r="CA9" s="75"/>
      <c r="CB9" s="75"/>
      <c r="CC9" s="75"/>
      <c r="CD9" s="75"/>
      <c r="CE9" s="75"/>
      <c r="CF9" s="75"/>
      <c r="CG9" s="75"/>
      <c r="CH9" s="75"/>
      <c r="CI9" s="75"/>
      <c r="CJ9" s="75"/>
      <c r="CK9" s="75"/>
      <c r="CL9" s="75"/>
      <c r="CM9" s="316"/>
      <c r="CN9" s="316"/>
      <c r="CO9" s="316"/>
      <c r="CP9" s="316"/>
      <c r="CQ9" s="316"/>
      <c r="CR9" s="316"/>
      <c r="CS9" s="316"/>
      <c r="CT9" s="316"/>
      <c r="CU9" s="316"/>
      <c r="CV9" s="316"/>
      <c r="CW9" s="316"/>
      <c r="CX9" s="316"/>
      <c r="CY9" s="316"/>
      <c r="CZ9" s="316"/>
      <c r="DA9" s="316"/>
      <c r="DB9" s="316"/>
      <c r="DC9" s="316"/>
      <c r="DD9" s="316"/>
      <c r="DE9" s="75"/>
      <c r="DF9" s="316"/>
      <c r="DG9" s="316"/>
      <c r="DH9" s="316" t="str">
        <f>'顧客-顧客の作成'!L9</f>
        <v>月末締翌月末払い</v>
      </c>
      <c r="DI9" s="316" t="s">
        <v>2858</v>
      </c>
      <c r="DJ9" s="316"/>
      <c r="DK9" s="316"/>
      <c r="DL9" s="316"/>
      <c r="DM9" s="316"/>
      <c r="DN9" s="316"/>
      <c r="DO9" s="316"/>
      <c r="DP9" s="75"/>
      <c r="DQ9" s="75"/>
      <c r="DR9" s="75"/>
      <c r="DS9" s="316"/>
      <c r="DT9" s="75"/>
      <c r="DU9" s="316"/>
      <c r="DV9" s="316"/>
      <c r="DW9" s="316"/>
      <c r="DX9" s="316"/>
      <c r="DY9" s="316"/>
      <c r="DZ9" s="316"/>
      <c r="EA9" s="316"/>
      <c r="EB9" s="316"/>
      <c r="EC9" s="75"/>
      <c r="ED9" s="316"/>
      <c r="EE9" s="316"/>
      <c r="EF9" s="316"/>
      <c r="EG9" s="316"/>
      <c r="EH9" s="75"/>
      <c r="EI9" s="316"/>
      <c r="EJ9" s="316"/>
      <c r="EK9" s="316"/>
      <c r="EL9" s="316"/>
      <c r="EM9" s="316"/>
      <c r="EN9" s="316"/>
      <c r="EO9" s="316"/>
      <c r="EP9" s="316"/>
      <c r="EQ9" s="316"/>
      <c r="ER9" s="316"/>
      <c r="ES9" s="75"/>
      <c r="ET9" s="316"/>
      <c r="EU9" s="316"/>
      <c r="EV9" s="75"/>
      <c r="EW9" s="75"/>
      <c r="EX9" s="316"/>
      <c r="EY9" s="75"/>
      <c r="EZ9" s="316"/>
      <c r="FA9" s="316"/>
      <c r="FB9" s="316"/>
      <c r="FC9" s="316"/>
      <c r="FD9" s="75"/>
      <c r="FE9" s="316"/>
      <c r="FF9" s="316"/>
      <c r="FG9" s="316"/>
      <c r="FH9" s="75"/>
      <c r="FI9" s="75"/>
      <c r="FJ9" s="75"/>
      <c r="FK9" s="316"/>
      <c r="FL9" s="75"/>
      <c r="FM9" s="75"/>
      <c r="FN9" s="316"/>
      <c r="FO9" s="75"/>
      <c r="FP9" s="316"/>
    </row>
    <row r="10" spans="1:172">
      <c r="B10" s="203">
        <f>ROW() - 9</f>
        <v>1</v>
      </c>
      <c r="C10" s="358">
        <f>'顧客-顧客の作成'!C10</f>
        <v>0</v>
      </c>
      <c r="D10" s="358">
        <f>'顧客-顧客の作成'!D10</f>
        <v>0</v>
      </c>
      <c r="E10" s="358">
        <f>'顧客-顧客の作成'!E10</f>
        <v>0</v>
      </c>
      <c r="F10" s="204"/>
      <c r="G10" s="359">
        <f>'顧客-顧客の作成'!J10</f>
        <v>0</v>
      </c>
      <c r="H10" s="360"/>
      <c r="I10" s="359"/>
      <c r="J10" s="121"/>
      <c r="K10" s="348"/>
      <c r="L10" s="348"/>
      <c r="M10" s="348"/>
      <c r="N10" s="348"/>
      <c r="O10" s="348"/>
      <c r="P10" s="348"/>
      <c r="Q10" s="348"/>
      <c r="R10" s="348"/>
      <c r="S10" s="348"/>
      <c r="T10" s="348"/>
      <c r="U10" s="348"/>
      <c r="V10" s="348"/>
      <c r="W10" s="349"/>
      <c r="X10" s="348"/>
      <c r="Y10" s="348"/>
      <c r="Z10" s="348"/>
      <c r="AA10" s="348"/>
      <c r="AB10" s="348"/>
      <c r="AC10" s="348"/>
      <c r="AD10" s="348"/>
      <c r="AE10" s="348"/>
      <c r="AF10" s="348"/>
      <c r="AG10" s="348"/>
      <c r="AH10" s="348"/>
      <c r="AI10" s="120"/>
      <c r="AJ10" s="348"/>
      <c r="AK10" s="348"/>
      <c r="AL10" s="120"/>
      <c r="AM10" s="348"/>
      <c r="AN10" s="348"/>
      <c r="AO10" s="348"/>
      <c r="AP10" s="348"/>
      <c r="AQ10" s="120"/>
      <c r="AR10" s="120"/>
      <c r="AS10" s="348"/>
      <c r="AT10" s="348"/>
      <c r="AU10" s="120"/>
      <c r="AV10" s="120"/>
      <c r="AW10" s="120"/>
      <c r="AX10" s="348"/>
      <c r="AY10" s="348"/>
      <c r="AZ10" s="348"/>
      <c r="BA10" s="348"/>
      <c r="BB10" s="348"/>
      <c r="BC10" s="348"/>
      <c r="BD10" s="348"/>
      <c r="BE10" s="348">
        <f>'顧客-顧客の作成'!K10</f>
        <v>0</v>
      </c>
      <c r="BF10" s="348"/>
      <c r="BG10" s="348"/>
      <c r="BH10" s="348"/>
      <c r="BI10" s="348"/>
      <c r="BJ10" s="120"/>
      <c r="BK10" s="120"/>
      <c r="BL10" s="120"/>
      <c r="BM10" s="120"/>
      <c r="BN10" s="120"/>
      <c r="BO10" s="120"/>
      <c r="BP10" s="120"/>
      <c r="BQ10" s="120"/>
      <c r="BR10" s="120"/>
      <c r="BS10" s="120"/>
      <c r="BT10" s="120"/>
      <c r="BU10" s="120"/>
      <c r="BV10" s="120"/>
      <c r="BW10" s="120"/>
      <c r="BX10" s="120"/>
      <c r="BY10" s="120"/>
      <c r="BZ10" s="120"/>
      <c r="CA10" s="120"/>
      <c r="CB10" s="120"/>
      <c r="CC10" s="120"/>
      <c r="CD10" s="120"/>
      <c r="CE10" s="120"/>
      <c r="CF10" s="120"/>
      <c r="CG10" s="120"/>
      <c r="CH10" s="120"/>
      <c r="CI10" s="120"/>
      <c r="CJ10" s="120"/>
      <c r="CK10" s="120"/>
      <c r="CL10" s="120"/>
      <c r="CM10" s="348"/>
      <c r="CN10" s="348"/>
      <c r="CO10" s="348"/>
      <c r="CP10" s="348"/>
      <c r="CQ10" s="348"/>
      <c r="CR10" s="348"/>
      <c r="CS10" s="348"/>
      <c r="CT10" s="348"/>
      <c r="CU10" s="348"/>
      <c r="CV10" s="348"/>
      <c r="CW10" s="348"/>
      <c r="CX10" s="348"/>
      <c r="CY10" s="348"/>
      <c r="CZ10" s="348"/>
      <c r="DA10" s="348"/>
      <c r="DB10" s="348"/>
      <c r="DC10" s="348"/>
      <c r="DD10" s="348"/>
      <c r="DE10" s="120"/>
      <c r="DF10" s="348"/>
      <c r="DG10" s="348"/>
      <c r="DH10" s="348">
        <f>'顧客-顧客の作成'!L10</f>
        <v>0</v>
      </c>
      <c r="DI10" s="348"/>
      <c r="DJ10" s="348"/>
      <c r="DK10" s="348"/>
      <c r="DL10" s="348"/>
      <c r="DM10" s="348"/>
      <c r="DN10" s="348"/>
      <c r="DO10" s="348"/>
      <c r="DP10" s="120"/>
      <c r="DQ10" s="120"/>
      <c r="DR10" s="120"/>
      <c r="DS10" s="348"/>
      <c r="DT10" s="120"/>
      <c r="DU10" s="348"/>
      <c r="DV10" s="348"/>
      <c r="DW10" s="348"/>
      <c r="DX10" s="348"/>
      <c r="DY10" s="348"/>
      <c r="DZ10" s="348"/>
      <c r="EA10" s="348"/>
      <c r="EB10" s="348"/>
      <c r="EC10" s="120"/>
      <c r="ED10" s="348"/>
      <c r="EE10" s="348"/>
      <c r="EF10" s="348"/>
      <c r="EG10" s="348"/>
      <c r="EH10" s="120"/>
      <c r="EI10" s="348"/>
      <c r="EJ10" s="348"/>
      <c r="EK10" s="348"/>
      <c r="EL10" s="348"/>
      <c r="EM10" s="348"/>
      <c r="EN10" s="348"/>
      <c r="EO10" s="348"/>
      <c r="EP10" s="348"/>
      <c r="EQ10" s="348"/>
      <c r="ER10" s="348"/>
      <c r="ES10" s="120"/>
      <c r="ET10" s="348"/>
      <c r="EU10" s="348"/>
      <c r="EV10" s="120"/>
      <c r="EW10" s="120"/>
      <c r="EX10" s="348"/>
      <c r="EY10" s="120"/>
      <c r="EZ10" s="348"/>
      <c r="FA10" s="348"/>
      <c r="FB10" s="348"/>
      <c r="FC10" s="348"/>
      <c r="FD10" s="120"/>
      <c r="FE10" s="348"/>
      <c r="FF10" s="348"/>
      <c r="FG10" s="348"/>
      <c r="FH10" s="120"/>
      <c r="FI10" s="120"/>
      <c r="FJ10" s="120"/>
      <c r="FK10" s="348"/>
      <c r="FL10" s="120"/>
      <c r="FM10" s="120"/>
      <c r="FN10" s="348"/>
      <c r="FO10" s="120"/>
      <c r="FP10" s="348"/>
    </row>
    <row r="11" spans="1:172">
      <c r="B11" s="203">
        <f t="shared" ref="B11:B29" si="0">ROW() - 9</f>
        <v>2</v>
      </c>
      <c r="C11" s="358">
        <f>'顧客-顧客の作成'!C11</f>
        <v>0</v>
      </c>
      <c r="D11" s="358">
        <f>'顧客-顧客の作成'!D11</f>
        <v>0</v>
      </c>
      <c r="E11" s="358">
        <f>'顧客-顧客の作成'!E11</f>
        <v>0</v>
      </c>
      <c r="F11" s="204"/>
      <c r="G11" s="359">
        <f>'顧客-顧客の作成'!J11</f>
        <v>0</v>
      </c>
      <c r="H11" s="360"/>
      <c r="I11" s="359"/>
      <c r="J11" s="121"/>
      <c r="K11" s="348"/>
      <c r="L11" s="348"/>
      <c r="M11" s="348"/>
      <c r="N11" s="348"/>
      <c r="O11" s="348"/>
      <c r="P11" s="348"/>
      <c r="Q11" s="348"/>
      <c r="R11" s="348"/>
      <c r="S11" s="348"/>
      <c r="T11" s="348"/>
      <c r="U11" s="348"/>
      <c r="V11" s="348"/>
      <c r="W11" s="349"/>
      <c r="X11" s="348"/>
      <c r="Y11" s="348"/>
      <c r="Z11" s="348"/>
      <c r="AA11" s="348"/>
      <c r="AB11" s="348"/>
      <c r="AC11" s="348"/>
      <c r="AD11" s="348"/>
      <c r="AE11" s="348"/>
      <c r="AF11" s="348"/>
      <c r="AG11" s="348"/>
      <c r="AH11" s="348"/>
      <c r="AI11" s="120"/>
      <c r="AJ11" s="348"/>
      <c r="AK11" s="348"/>
      <c r="AL11" s="120"/>
      <c r="AM11" s="348"/>
      <c r="AN11" s="348"/>
      <c r="AO11" s="348"/>
      <c r="AP11" s="348"/>
      <c r="AQ11" s="120"/>
      <c r="AR11" s="120"/>
      <c r="AS11" s="348"/>
      <c r="AT11" s="348"/>
      <c r="AU11" s="120"/>
      <c r="AV11" s="120"/>
      <c r="AW11" s="120"/>
      <c r="AX11" s="348"/>
      <c r="AY11" s="348"/>
      <c r="AZ11" s="348"/>
      <c r="BA11" s="348"/>
      <c r="BB11" s="348"/>
      <c r="BC11" s="348"/>
      <c r="BD11" s="348"/>
      <c r="BE11" s="348">
        <f>'顧客-顧客の作成'!K11</f>
        <v>0</v>
      </c>
      <c r="BF11" s="348"/>
      <c r="BG11" s="348"/>
      <c r="BH11" s="348"/>
      <c r="BI11" s="348"/>
      <c r="BJ11" s="120"/>
      <c r="BK11" s="120"/>
      <c r="BL11" s="120"/>
      <c r="BM11" s="120"/>
      <c r="BN11" s="120"/>
      <c r="BO11" s="120"/>
      <c r="BP11" s="120"/>
      <c r="BQ11" s="120"/>
      <c r="BR11" s="120"/>
      <c r="BS11" s="120"/>
      <c r="BT11" s="120"/>
      <c r="BU11" s="120"/>
      <c r="BV11" s="120"/>
      <c r="BW11" s="120"/>
      <c r="BX11" s="120"/>
      <c r="BY11" s="120"/>
      <c r="BZ11" s="120"/>
      <c r="CA11" s="120"/>
      <c r="CB11" s="120"/>
      <c r="CC11" s="120"/>
      <c r="CD11" s="120"/>
      <c r="CE11" s="120"/>
      <c r="CF11" s="120"/>
      <c r="CG11" s="120"/>
      <c r="CH11" s="120"/>
      <c r="CI11" s="120"/>
      <c r="CJ11" s="120"/>
      <c r="CK11" s="120"/>
      <c r="CL11" s="120"/>
      <c r="CM11" s="348"/>
      <c r="CN11" s="348"/>
      <c r="CO11" s="348"/>
      <c r="CP11" s="348"/>
      <c r="CQ11" s="348"/>
      <c r="CR11" s="348"/>
      <c r="CS11" s="348"/>
      <c r="CT11" s="348"/>
      <c r="CU11" s="348"/>
      <c r="CV11" s="348"/>
      <c r="CW11" s="348"/>
      <c r="CX11" s="348"/>
      <c r="CY11" s="348"/>
      <c r="CZ11" s="348"/>
      <c r="DA11" s="348"/>
      <c r="DB11" s="348"/>
      <c r="DC11" s="348"/>
      <c r="DD11" s="348"/>
      <c r="DE11" s="120"/>
      <c r="DF11" s="348"/>
      <c r="DG11" s="348"/>
      <c r="DH11" s="348">
        <f>'顧客-顧客の作成'!L11</f>
        <v>0</v>
      </c>
      <c r="DI11" s="348"/>
      <c r="DJ11" s="348"/>
      <c r="DK11" s="348"/>
      <c r="DL11" s="348"/>
      <c r="DM11" s="348"/>
      <c r="DN11" s="348"/>
      <c r="DO11" s="348"/>
      <c r="DP11" s="120"/>
      <c r="DQ11" s="120"/>
      <c r="DR11" s="120"/>
      <c r="DS11" s="348"/>
      <c r="DT11" s="120"/>
      <c r="DU11" s="348"/>
      <c r="DV11" s="348"/>
      <c r="DW11" s="348"/>
      <c r="DX11" s="348"/>
      <c r="DY11" s="348"/>
      <c r="DZ11" s="348"/>
      <c r="EA11" s="348"/>
      <c r="EB11" s="348"/>
      <c r="EC11" s="120"/>
      <c r="ED11" s="348"/>
      <c r="EE11" s="348"/>
      <c r="EF11" s="348"/>
      <c r="EG11" s="348"/>
      <c r="EH11" s="120"/>
      <c r="EI11" s="348"/>
      <c r="EJ11" s="348"/>
      <c r="EK11" s="348"/>
      <c r="EL11" s="348"/>
      <c r="EM11" s="348"/>
      <c r="EN11" s="348"/>
      <c r="EO11" s="348"/>
      <c r="EP11" s="348"/>
      <c r="EQ11" s="348"/>
      <c r="ER11" s="348"/>
      <c r="ES11" s="120"/>
      <c r="ET11" s="348"/>
      <c r="EU11" s="348"/>
      <c r="EV11" s="120"/>
      <c r="EW11" s="120"/>
      <c r="EX11" s="348"/>
      <c r="EY11" s="120"/>
      <c r="EZ11" s="348"/>
      <c r="FA11" s="348"/>
      <c r="FB11" s="348"/>
      <c r="FC11" s="348"/>
      <c r="FD11" s="120"/>
      <c r="FE11" s="348"/>
      <c r="FF11" s="348"/>
      <c r="FG11" s="348"/>
      <c r="FH11" s="120"/>
      <c r="FI11" s="120"/>
      <c r="FJ11" s="120"/>
      <c r="FK11" s="348"/>
      <c r="FL11" s="120"/>
      <c r="FM11" s="120"/>
      <c r="FN11" s="348"/>
      <c r="FO11" s="120"/>
      <c r="FP11" s="348"/>
    </row>
    <row r="12" spans="1:172">
      <c r="B12" s="203">
        <f t="shared" si="0"/>
        <v>3</v>
      </c>
      <c r="C12" s="358">
        <f>'顧客-顧客の作成'!C12</f>
        <v>0</v>
      </c>
      <c r="D12" s="358">
        <f>'顧客-顧客の作成'!D12</f>
        <v>0</v>
      </c>
      <c r="E12" s="358">
        <f>'顧客-顧客の作成'!E12</f>
        <v>0</v>
      </c>
      <c r="F12" s="204"/>
      <c r="G12" s="359">
        <f>'顧客-顧客の作成'!J12</f>
        <v>0</v>
      </c>
      <c r="H12" s="360"/>
      <c r="I12" s="359"/>
      <c r="J12" s="121"/>
      <c r="K12" s="348"/>
      <c r="L12" s="348"/>
      <c r="M12" s="348"/>
      <c r="N12" s="348"/>
      <c r="O12" s="348"/>
      <c r="P12" s="348"/>
      <c r="Q12" s="348"/>
      <c r="R12" s="348"/>
      <c r="S12" s="348"/>
      <c r="T12" s="348"/>
      <c r="U12" s="348"/>
      <c r="V12" s="348"/>
      <c r="W12" s="349"/>
      <c r="X12" s="348"/>
      <c r="Y12" s="348"/>
      <c r="Z12" s="348"/>
      <c r="AA12" s="348"/>
      <c r="AB12" s="348"/>
      <c r="AC12" s="348"/>
      <c r="AD12" s="348"/>
      <c r="AE12" s="348"/>
      <c r="AF12" s="348"/>
      <c r="AG12" s="348"/>
      <c r="AH12" s="348"/>
      <c r="AI12" s="120"/>
      <c r="AJ12" s="348"/>
      <c r="AK12" s="348"/>
      <c r="AL12" s="120"/>
      <c r="AM12" s="348"/>
      <c r="AN12" s="348"/>
      <c r="AO12" s="348"/>
      <c r="AP12" s="348"/>
      <c r="AQ12" s="120"/>
      <c r="AR12" s="120"/>
      <c r="AS12" s="348"/>
      <c r="AT12" s="348"/>
      <c r="AU12" s="120"/>
      <c r="AV12" s="120"/>
      <c r="AW12" s="120"/>
      <c r="AX12" s="348"/>
      <c r="AY12" s="348"/>
      <c r="AZ12" s="348"/>
      <c r="BA12" s="348"/>
      <c r="BB12" s="348"/>
      <c r="BC12" s="348"/>
      <c r="BD12" s="348"/>
      <c r="BE12" s="348">
        <f>'顧客-顧客の作成'!K12</f>
        <v>0</v>
      </c>
      <c r="BF12" s="348"/>
      <c r="BG12" s="348"/>
      <c r="BH12" s="348"/>
      <c r="BI12" s="348"/>
      <c r="BJ12" s="120"/>
      <c r="BK12" s="120"/>
      <c r="BL12" s="120"/>
      <c r="BM12" s="120"/>
      <c r="BN12" s="120"/>
      <c r="BO12" s="120"/>
      <c r="BP12" s="120"/>
      <c r="BQ12" s="120"/>
      <c r="BR12" s="120"/>
      <c r="BS12" s="120"/>
      <c r="BT12" s="120"/>
      <c r="BU12" s="120"/>
      <c r="BV12" s="120"/>
      <c r="BW12" s="120"/>
      <c r="BX12" s="120"/>
      <c r="BY12" s="120"/>
      <c r="BZ12" s="120"/>
      <c r="CA12" s="120"/>
      <c r="CB12" s="120"/>
      <c r="CC12" s="120"/>
      <c r="CD12" s="120"/>
      <c r="CE12" s="120"/>
      <c r="CF12" s="120"/>
      <c r="CG12" s="120"/>
      <c r="CH12" s="120"/>
      <c r="CI12" s="120"/>
      <c r="CJ12" s="120"/>
      <c r="CK12" s="120"/>
      <c r="CL12" s="120"/>
      <c r="CM12" s="348"/>
      <c r="CN12" s="348"/>
      <c r="CO12" s="348"/>
      <c r="CP12" s="348"/>
      <c r="CQ12" s="348"/>
      <c r="CR12" s="348"/>
      <c r="CS12" s="348"/>
      <c r="CT12" s="348"/>
      <c r="CU12" s="348"/>
      <c r="CV12" s="348"/>
      <c r="CW12" s="348"/>
      <c r="CX12" s="348"/>
      <c r="CY12" s="348"/>
      <c r="CZ12" s="348"/>
      <c r="DA12" s="348"/>
      <c r="DB12" s="348"/>
      <c r="DC12" s="348"/>
      <c r="DD12" s="348"/>
      <c r="DE12" s="120"/>
      <c r="DF12" s="348"/>
      <c r="DG12" s="348"/>
      <c r="DH12" s="348">
        <f>'顧客-顧客の作成'!L12</f>
        <v>0</v>
      </c>
      <c r="DI12" s="348"/>
      <c r="DJ12" s="348"/>
      <c r="DK12" s="348"/>
      <c r="DL12" s="348"/>
      <c r="DM12" s="348"/>
      <c r="DN12" s="348"/>
      <c r="DO12" s="348"/>
      <c r="DP12" s="120"/>
      <c r="DQ12" s="120"/>
      <c r="DR12" s="120"/>
      <c r="DS12" s="348"/>
      <c r="DT12" s="120"/>
      <c r="DU12" s="348"/>
      <c r="DV12" s="348"/>
      <c r="DW12" s="348"/>
      <c r="DX12" s="348"/>
      <c r="DY12" s="348"/>
      <c r="DZ12" s="348"/>
      <c r="EA12" s="348"/>
      <c r="EB12" s="348"/>
      <c r="EC12" s="120"/>
      <c r="ED12" s="348"/>
      <c r="EE12" s="348"/>
      <c r="EF12" s="348"/>
      <c r="EG12" s="348"/>
      <c r="EH12" s="120"/>
      <c r="EI12" s="348"/>
      <c r="EJ12" s="348"/>
      <c r="EK12" s="348"/>
      <c r="EL12" s="348"/>
      <c r="EM12" s="348"/>
      <c r="EN12" s="348"/>
      <c r="EO12" s="348"/>
      <c r="EP12" s="348"/>
      <c r="EQ12" s="348"/>
      <c r="ER12" s="348"/>
      <c r="ES12" s="120"/>
      <c r="ET12" s="348"/>
      <c r="EU12" s="348"/>
      <c r="EV12" s="120"/>
      <c r="EW12" s="120"/>
      <c r="EX12" s="348"/>
      <c r="EY12" s="120"/>
      <c r="EZ12" s="348"/>
      <c r="FA12" s="348"/>
      <c r="FB12" s="348"/>
      <c r="FC12" s="348"/>
      <c r="FD12" s="120"/>
      <c r="FE12" s="348"/>
      <c r="FF12" s="348"/>
      <c r="FG12" s="348"/>
      <c r="FH12" s="120"/>
      <c r="FI12" s="120"/>
      <c r="FJ12" s="120"/>
      <c r="FK12" s="348"/>
      <c r="FL12" s="120"/>
      <c r="FM12" s="120"/>
      <c r="FN12" s="348"/>
      <c r="FO12" s="120"/>
      <c r="FP12" s="348"/>
    </row>
    <row r="13" spans="1:172">
      <c r="B13" s="203">
        <f t="shared" si="0"/>
        <v>4</v>
      </c>
      <c r="C13" s="358">
        <f>'顧客-顧客の作成'!C13</f>
        <v>0</v>
      </c>
      <c r="D13" s="358">
        <f>'顧客-顧客の作成'!D13</f>
        <v>0</v>
      </c>
      <c r="E13" s="358">
        <f>'顧客-顧客の作成'!E13</f>
        <v>0</v>
      </c>
      <c r="F13" s="204"/>
      <c r="G13" s="359">
        <f>'顧客-顧客の作成'!J13</f>
        <v>0</v>
      </c>
      <c r="H13" s="360"/>
      <c r="I13" s="359"/>
      <c r="J13" s="121"/>
      <c r="K13" s="348"/>
      <c r="L13" s="348"/>
      <c r="M13" s="348"/>
      <c r="N13" s="348"/>
      <c r="O13" s="348"/>
      <c r="P13" s="348"/>
      <c r="Q13" s="348"/>
      <c r="R13" s="348"/>
      <c r="S13" s="348"/>
      <c r="T13" s="348"/>
      <c r="U13" s="348"/>
      <c r="V13" s="348"/>
      <c r="W13" s="349"/>
      <c r="X13" s="348"/>
      <c r="Y13" s="348"/>
      <c r="Z13" s="348"/>
      <c r="AA13" s="348"/>
      <c r="AB13" s="348"/>
      <c r="AC13" s="348"/>
      <c r="AD13" s="348"/>
      <c r="AE13" s="348"/>
      <c r="AF13" s="348"/>
      <c r="AG13" s="348"/>
      <c r="AH13" s="348"/>
      <c r="AI13" s="120"/>
      <c r="AJ13" s="348"/>
      <c r="AK13" s="348"/>
      <c r="AL13" s="120"/>
      <c r="AM13" s="348"/>
      <c r="AN13" s="348"/>
      <c r="AO13" s="348"/>
      <c r="AP13" s="348"/>
      <c r="AQ13" s="120"/>
      <c r="AR13" s="120"/>
      <c r="AS13" s="348"/>
      <c r="AT13" s="348"/>
      <c r="AU13" s="120"/>
      <c r="AV13" s="120"/>
      <c r="AW13" s="120"/>
      <c r="AX13" s="348"/>
      <c r="AY13" s="348"/>
      <c r="AZ13" s="348"/>
      <c r="BA13" s="348"/>
      <c r="BB13" s="348"/>
      <c r="BC13" s="348"/>
      <c r="BD13" s="348"/>
      <c r="BE13" s="348">
        <f>'顧客-顧客の作成'!K13</f>
        <v>0</v>
      </c>
      <c r="BF13" s="348"/>
      <c r="BG13" s="348"/>
      <c r="BH13" s="348"/>
      <c r="BI13" s="348"/>
      <c r="BJ13" s="120"/>
      <c r="BK13" s="120"/>
      <c r="BL13" s="120"/>
      <c r="BM13" s="120"/>
      <c r="BN13" s="120"/>
      <c r="BO13" s="120"/>
      <c r="BP13" s="120"/>
      <c r="BQ13" s="120"/>
      <c r="BR13" s="120"/>
      <c r="BS13" s="120"/>
      <c r="BT13" s="120"/>
      <c r="BU13" s="120"/>
      <c r="BV13" s="120"/>
      <c r="BW13" s="120"/>
      <c r="BX13" s="120"/>
      <c r="BY13" s="120"/>
      <c r="BZ13" s="120"/>
      <c r="CA13" s="120"/>
      <c r="CB13" s="120"/>
      <c r="CC13" s="120"/>
      <c r="CD13" s="120"/>
      <c r="CE13" s="120"/>
      <c r="CF13" s="120"/>
      <c r="CG13" s="120"/>
      <c r="CH13" s="120"/>
      <c r="CI13" s="120"/>
      <c r="CJ13" s="120"/>
      <c r="CK13" s="120"/>
      <c r="CL13" s="120"/>
      <c r="CM13" s="348"/>
      <c r="CN13" s="348"/>
      <c r="CO13" s="348"/>
      <c r="CP13" s="348"/>
      <c r="CQ13" s="348"/>
      <c r="CR13" s="348"/>
      <c r="CS13" s="348"/>
      <c r="CT13" s="348"/>
      <c r="CU13" s="348"/>
      <c r="CV13" s="348"/>
      <c r="CW13" s="348"/>
      <c r="CX13" s="348"/>
      <c r="CY13" s="348"/>
      <c r="CZ13" s="348"/>
      <c r="DA13" s="348"/>
      <c r="DB13" s="348"/>
      <c r="DC13" s="348"/>
      <c r="DD13" s="348"/>
      <c r="DE13" s="120"/>
      <c r="DF13" s="348"/>
      <c r="DG13" s="348"/>
      <c r="DH13" s="348">
        <f>'顧客-顧客の作成'!L13</f>
        <v>0</v>
      </c>
      <c r="DI13" s="348"/>
      <c r="DJ13" s="348"/>
      <c r="DK13" s="348"/>
      <c r="DL13" s="348"/>
      <c r="DM13" s="348"/>
      <c r="DN13" s="348"/>
      <c r="DO13" s="348"/>
      <c r="DP13" s="120"/>
      <c r="DQ13" s="120"/>
      <c r="DR13" s="120"/>
      <c r="DS13" s="348"/>
      <c r="DT13" s="120"/>
      <c r="DU13" s="348"/>
      <c r="DV13" s="348"/>
      <c r="DW13" s="348"/>
      <c r="DX13" s="348"/>
      <c r="DY13" s="348"/>
      <c r="DZ13" s="348"/>
      <c r="EA13" s="348"/>
      <c r="EB13" s="348"/>
      <c r="EC13" s="120"/>
      <c r="ED13" s="348"/>
      <c r="EE13" s="348"/>
      <c r="EF13" s="348"/>
      <c r="EG13" s="348"/>
      <c r="EH13" s="120"/>
      <c r="EI13" s="348"/>
      <c r="EJ13" s="348"/>
      <c r="EK13" s="348"/>
      <c r="EL13" s="348"/>
      <c r="EM13" s="348"/>
      <c r="EN13" s="348"/>
      <c r="EO13" s="348"/>
      <c r="EP13" s="348"/>
      <c r="EQ13" s="348"/>
      <c r="ER13" s="348"/>
      <c r="ES13" s="120"/>
      <c r="ET13" s="348"/>
      <c r="EU13" s="348"/>
      <c r="EV13" s="120"/>
      <c r="EW13" s="120"/>
      <c r="EX13" s="348"/>
      <c r="EY13" s="120"/>
      <c r="EZ13" s="348"/>
      <c r="FA13" s="348"/>
      <c r="FB13" s="348"/>
      <c r="FC13" s="348"/>
      <c r="FD13" s="120"/>
      <c r="FE13" s="348"/>
      <c r="FF13" s="348"/>
      <c r="FG13" s="348"/>
      <c r="FH13" s="120"/>
      <c r="FI13" s="120"/>
      <c r="FJ13" s="120"/>
      <c r="FK13" s="348"/>
      <c r="FL13" s="120"/>
      <c r="FM13" s="120"/>
      <c r="FN13" s="348"/>
      <c r="FO13" s="120"/>
      <c r="FP13" s="348"/>
    </row>
    <row r="14" spans="1:172">
      <c r="B14" s="203">
        <f t="shared" si="0"/>
        <v>5</v>
      </c>
      <c r="C14" s="358">
        <f>'顧客-顧客の作成'!C14</f>
        <v>0</v>
      </c>
      <c r="D14" s="358">
        <f>'顧客-顧客の作成'!D14</f>
        <v>0</v>
      </c>
      <c r="E14" s="358">
        <f>'顧客-顧客の作成'!E14</f>
        <v>0</v>
      </c>
      <c r="F14" s="204"/>
      <c r="G14" s="359">
        <f>'顧客-顧客の作成'!J14</f>
        <v>0</v>
      </c>
      <c r="H14" s="360"/>
      <c r="I14" s="359"/>
      <c r="J14" s="121"/>
      <c r="K14" s="348"/>
      <c r="L14" s="348"/>
      <c r="M14" s="348"/>
      <c r="N14" s="348"/>
      <c r="O14" s="348"/>
      <c r="P14" s="348"/>
      <c r="Q14" s="348"/>
      <c r="R14" s="348"/>
      <c r="S14" s="348"/>
      <c r="T14" s="348"/>
      <c r="U14" s="348"/>
      <c r="V14" s="348"/>
      <c r="W14" s="349"/>
      <c r="X14" s="348"/>
      <c r="Y14" s="348"/>
      <c r="Z14" s="348"/>
      <c r="AA14" s="348"/>
      <c r="AB14" s="348"/>
      <c r="AC14" s="348"/>
      <c r="AD14" s="348"/>
      <c r="AE14" s="348"/>
      <c r="AF14" s="348"/>
      <c r="AG14" s="348"/>
      <c r="AH14" s="348"/>
      <c r="AI14" s="120"/>
      <c r="AJ14" s="348"/>
      <c r="AK14" s="348"/>
      <c r="AL14" s="120"/>
      <c r="AM14" s="348"/>
      <c r="AN14" s="348"/>
      <c r="AO14" s="348"/>
      <c r="AP14" s="348"/>
      <c r="AQ14" s="120"/>
      <c r="AR14" s="120"/>
      <c r="AS14" s="348"/>
      <c r="AT14" s="348"/>
      <c r="AU14" s="120"/>
      <c r="AV14" s="120"/>
      <c r="AW14" s="120"/>
      <c r="AX14" s="348"/>
      <c r="AY14" s="348"/>
      <c r="AZ14" s="348"/>
      <c r="BA14" s="348"/>
      <c r="BB14" s="348"/>
      <c r="BC14" s="348"/>
      <c r="BD14" s="348"/>
      <c r="BE14" s="348">
        <f>'顧客-顧客の作成'!K14</f>
        <v>0</v>
      </c>
      <c r="BF14" s="348"/>
      <c r="BG14" s="348"/>
      <c r="BH14" s="348"/>
      <c r="BI14" s="348"/>
      <c r="BJ14" s="120"/>
      <c r="BK14" s="120"/>
      <c r="BL14" s="120"/>
      <c r="BM14" s="120"/>
      <c r="BN14" s="120"/>
      <c r="BO14" s="120"/>
      <c r="BP14" s="120"/>
      <c r="BQ14" s="120"/>
      <c r="BR14" s="120"/>
      <c r="BS14" s="120"/>
      <c r="BT14" s="120"/>
      <c r="BU14" s="120"/>
      <c r="BV14" s="120"/>
      <c r="BW14" s="120"/>
      <c r="BX14" s="120"/>
      <c r="BY14" s="120"/>
      <c r="BZ14" s="120"/>
      <c r="CA14" s="120"/>
      <c r="CB14" s="120"/>
      <c r="CC14" s="120"/>
      <c r="CD14" s="120"/>
      <c r="CE14" s="120"/>
      <c r="CF14" s="120"/>
      <c r="CG14" s="120"/>
      <c r="CH14" s="120"/>
      <c r="CI14" s="120"/>
      <c r="CJ14" s="120"/>
      <c r="CK14" s="120"/>
      <c r="CL14" s="120"/>
      <c r="CM14" s="348"/>
      <c r="CN14" s="348"/>
      <c r="CO14" s="348"/>
      <c r="CP14" s="348"/>
      <c r="CQ14" s="348"/>
      <c r="CR14" s="348"/>
      <c r="CS14" s="348"/>
      <c r="CT14" s="348"/>
      <c r="CU14" s="348"/>
      <c r="CV14" s="348"/>
      <c r="CW14" s="348"/>
      <c r="CX14" s="348"/>
      <c r="CY14" s="348"/>
      <c r="CZ14" s="348"/>
      <c r="DA14" s="348"/>
      <c r="DB14" s="348"/>
      <c r="DC14" s="348"/>
      <c r="DD14" s="348"/>
      <c r="DE14" s="120"/>
      <c r="DF14" s="348"/>
      <c r="DG14" s="348"/>
      <c r="DH14" s="348">
        <f>'顧客-顧客の作成'!L14</f>
        <v>0</v>
      </c>
      <c r="DI14" s="348"/>
      <c r="DJ14" s="348"/>
      <c r="DK14" s="348"/>
      <c r="DL14" s="348"/>
      <c r="DM14" s="348"/>
      <c r="DN14" s="348"/>
      <c r="DO14" s="348"/>
      <c r="DP14" s="120"/>
      <c r="DQ14" s="120"/>
      <c r="DR14" s="120"/>
      <c r="DS14" s="348"/>
      <c r="DT14" s="120"/>
      <c r="DU14" s="348"/>
      <c r="DV14" s="348"/>
      <c r="DW14" s="348"/>
      <c r="DX14" s="348"/>
      <c r="DY14" s="348"/>
      <c r="DZ14" s="348"/>
      <c r="EA14" s="348"/>
      <c r="EB14" s="348"/>
      <c r="EC14" s="120"/>
      <c r="ED14" s="348"/>
      <c r="EE14" s="348"/>
      <c r="EF14" s="348"/>
      <c r="EG14" s="348"/>
      <c r="EH14" s="120"/>
      <c r="EI14" s="348"/>
      <c r="EJ14" s="348"/>
      <c r="EK14" s="348"/>
      <c r="EL14" s="348"/>
      <c r="EM14" s="348"/>
      <c r="EN14" s="348"/>
      <c r="EO14" s="348"/>
      <c r="EP14" s="348"/>
      <c r="EQ14" s="348"/>
      <c r="ER14" s="348"/>
      <c r="ES14" s="120"/>
      <c r="ET14" s="348"/>
      <c r="EU14" s="348"/>
      <c r="EV14" s="120"/>
      <c r="EW14" s="120"/>
      <c r="EX14" s="348"/>
      <c r="EY14" s="120"/>
      <c r="EZ14" s="348"/>
      <c r="FA14" s="348"/>
      <c r="FB14" s="348"/>
      <c r="FC14" s="348"/>
      <c r="FD14" s="120"/>
      <c r="FE14" s="348"/>
      <c r="FF14" s="348"/>
      <c r="FG14" s="348"/>
      <c r="FH14" s="120"/>
      <c r="FI14" s="120"/>
      <c r="FJ14" s="120"/>
      <c r="FK14" s="348"/>
      <c r="FL14" s="120"/>
      <c r="FM14" s="120"/>
      <c r="FN14" s="348"/>
      <c r="FO14" s="120"/>
      <c r="FP14" s="348"/>
    </row>
    <row r="15" spans="1:172">
      <c r="B15" s="203">
        <f t="shared" si="0"/>
        <v>6</v>
      </c>
      <c r="C15" s="358">
        <f>'顧客-顧客の作成'!C15</f>
        <v>0</v>
      </c>
      <c r="D15" s="358">
        <f>'顧客-顧客の作成'!D15</f>
        <v>0</v>
      </c>
      <c r="E15" s="358">
        <f>'顧客-顧客の作成'!E15</f>
        <v>0</v>
      </c>
      <c r="F15" s="204"/>
      <c r="G15" s="359">
        <f>'顧客-顧客の作成'!J15</f>
        <v>0</v>
      </c>
      <c r="H15" s="360"/>
      <c r="I15" s="359"/>
      <c r="J15" s="121"/>
      <c r="K15" s="348"/>
      <c r="L15" s="348"/>
      <c r="M15" s="348"/>
      <c r="N15" s="348"/>
      <c r="O15" s="348"/>
      <c r="P15" s="348"/>
      <c r="Q15" s="348"/>
      <c r="R15" s="348"/>
      <c r="S15" s="348"/>
      <c r="T15" s="348"/>
      <c r="U15" s="348"/>
      <c r="V15" s="348"/>
      <c r="W15" s="349"/>
      <c r="X15" s="348"/>
      <c r="Y15" s="348"/>
      <c r="Z15" s="348"/>
      <c r="AA15" s="348"/>
      <c r="AB15" s="348"/>
      <c r="AC15" s="348"/>
      <c r="AD15" s="348"/>
      <c r="AE15" s="348"/>
      <c r="AF15" s="348"/>
      <c r="AG15" s="348"/>
      <c r="AH15" s="348"/>
      <c r="AI15" s="120"/>
      <c r="AJ15" s="348"/>
      <c r="AK15" s="348"/>
      <c r="AL15" s="120"/>
      <c r="AM15" s="348"/>
      <c r="AN15" s="348"/>
      <c r="AO15" s="348"/>
      <c r="AP15" s="348"/>
      <c r="AQ15" s="120"/>
      <c r="AR15" s="120"/>
      <c r="AS15" s="348"/>
      <c r="AT15" s="348"/>
      <c r="AU15" s="120"/>
      <c r="AV15" s="120"/>
      <c r="AW15" s="120"/>
      <c r="AX15" s="348"/>
      <c r="AY15" s="348"/>
      <c r="AZ15" s="348"/>
      <c r="BA15" s="348"/>
      <c r="BB15" s="348"/>
      <c r="BC15" s="348"/>
      <c r="BD15" s="348"/>
      <c r="BE15" s="348">
        <f>'顧客-顧客の作成'!K15</f>
        <v>0</v>
      </c>
      <c r="BF15" s="348"/>
      <c r="BG15" s="348"/>
      <c r="BH15" s="348"/>
      <c r="BI15" s="348"/>
      <c r="BJ15" s="120"/>
      <c r="BK15" s="120"/>
      <c r="BL15" s="120"/>
      <c r="BM15" s="120"/>
      <c r="BN15" s="120"/>
      <c r="BO15" s="120"/>
      <c r="BP15" s="120"/>
      <c r="BQ15" s="120"/>
      <c r="BR15" s="120"/>
      <c r="BS15" s="120"/>
      <c r="BT15" s="120"/>
      <c r="BU15" s="120"/>
      <c r="BV15" s="120"/>
      <c r="BW15" s="120"/>
      <c r="BX15" s="120"/>
      <c r="BY15" s="120"/>
      <c r="BZ15" s="120"/>
      <c r="CA15" s="120"/>
      <c r="CB15" s="120"/>
      <c r="CC15" s="120"/>
      <c r="CD15" s="120"/>
      <c r="CE15" s="120"/>
      <c r="CF15" s="120"/>
      <c r="CG15" s="120"/>
      <c r="CH15" s="120"/>
      <c r="CI15" s="120"/>
      <c r="CJ15" s="120"/>
      <c r="CK15" s="120"/>
      <c r="CL15" s="120"/>
      <c r="CM15" s="348"/>
      <c r="CN15" s="348"/>
      <c r="CO15" s="348"/>
      <c r="CP15" s="348"/>
      <c r="CQ15" s="348"/>
      <c r="CR15" s="348"/>
      <c r="CS15" s="348"/>
      <c r="CT15" s="348"/>
      <c r="CU15" s="348"/>
      <c r="CV15" s="348"/>
      <c r="CW15" s="348"/>
      <c r="CX15" s="348"/>
      <c r="CY15" s="348"/>
      <c r="CZ15" s="348"/>
      <c r="DA15" s="348"/>
      <c r="DB15" s="348"/>
      <c r="DC15" s="348"/>
      <c r="DD15" s="348"/>
      <c r="DE15" s="120"/>
      <c r="DF15" s="348"/>
      <c r="DG15" s="348"/>
      <c r="DH15" s="348">
        <f>'顧客-顧客の作成'!L15</f>
        <v>0</v>
      </c>
      <c r="DI15" s="348"/>
      <c r="DJ15" s="348"/>
      <c r="DK15" s="348"/>
      <c r="DL15" s="348"/>
      <c r="DM15" s="348"/>
      <c r="DN15" s="348"/>
      <c r="DO15" s="348"/>
      <c r="DP15" s="120"/>
      <c r="DQ15" s="120"/>
      <c r="DR15" s="120"/>
      <c r="DS15" s="348"/>
      <c r="DT15" s="120"/>
      <c r="DU15" s="348"/>
      <c r="DV15" s="348"/>
      <c r="DW15" s="348"/>
      <c r="DX15" s="348"/>
      <c r="DY15" s="348"/>
      <c r="DZ15" s="348"/>
      <c r="EA15" s="348"/>
      <c r="EB15" s="348"/>
      <c r="EC15" s="120"/>
      <c r="ED15" s="348"/>
      <c r="EE15" s="348"/>
      <c r="EF15" s="348"/>
      <c r="EG15" s="348"/>
      <c r="EH15" s="120"/>
      <c r="EI15" s="348"/>
      <c r="EJ15" s="348"/>
      <c r="EK15" s="348"/>
      <c r="EL15" s="348"/>
      <c r="EM15" s="348"/>
      <c r="EN15" s="348"/>
      <c r="EO15" s="348"/>
      <c r="EP15" s="348"/>
      <c r="EQ15" s="348"/>
      <c r="ER15" s="348"/>
      <c r="ES15" s="120"/>
      <c r="ET15" s="348"/>
      <c r="EU15" s="348"/>
      <c r="EV15" s="120"/>
      <c r="EW15" s="120"/>
      <c r="EX15" s="348"/>
      <c r="EY15" s="120"/>
      <c r="EZ15" s="348"/>
      <c r="FA15" s="348"/>
      <c r="FB15" s="348"/>
      <c r="FC15" s="348"/>
      <c r="FD15" s="120"/>
      <c r="FE15" s="348"/>
      <c r="FF15" s="348"/>
      <c r="FG15" s="348"/>
      <c r="FH15" s="120"/>
      <c r="FI15" s="120"/>
      <c r="FJ15" s="120"/>
      <c r="FK15" s="348"/>
      <c r="FL15" s="120"/>
      <c r="FM15" s="120"/>
      <c r="FN15" s="348"/>
      <c r="FO15" s="120"/>
      <c r="FP15" s="348"/>
    </row>
    <row r="16" spans="1:172">
      <c r="B16" s="203">
        <f t="shared" si="0"/>
        <v>7</v>
      </c>
      <c r="C16" s="358">
        <f>'顧客-顧客の作成'!C16</f>
        <v>0</v>
      </c>
      <c r="D16" s="358">
        <f>'顧客-顧客の作成'!D16</f>
        <v>0</v>
      </c>
      <c r="E16" s="358">
        <f>'顧客-顧客の作成'!E16</f>
        <v>0</v>
      </c>
      <c r="F16" s="204"/>
      <c r="G16" s="359">
        <f>'顧客-顧客の作成'!J16</f>
        <v>0</v>
      </c>
      <c r="H16" s="360"/>
      <c r="I16" s="359"/>
      <c r="J16" s="121"/>
      <c r="K16" s="348"/>
      <c r="L16" s="348"/>
      <c r="M16" s="348"/>
      <c r="N16" s="348"/>
      <c r="O16" s="348"/>
      <c r="P16" s="348"/>
      <c r="Q16" s="348"/>
      <c r="R16" s="348"/>
      <c r="S16" s="348"/>
      <c r="T16" s="348"/>
      <c r="U16" s="348"/>
      <c r="V16" s="348"/>
      <c r="W16" s="349"/>
      <c r="X16" s="348"/>
      <c r="Y16" s="348"/>
      <c r="Z16" s="348"/>
      <c r="AA16" s="348"/>
      <c r="AB16" s="348"/>
      <c r="AC16" s="348"/>
      <c r="AD16" s="348"/>
      <c r="AE16" s="348"/>
      <c r="AF16" s="348"/>
      <c r="AG16" s="348"/>
      <c r="AH16" s="348"/>
      <c r="AI16" s="120"/>
      <c r="AJ16" s="348"/>
      <c r="AK16" s="348"/>
      <c r="AL16" s="120"/>
      <c r="AM16" s="348"/>
      <c r="AN16" s="348"/>
      <c r="AO16" s="348"/>
      <c r="AP16" s="348"/>
      <c r="AQ16" s="120"/>
      <c r="AR16" s="120"/>
      <c r="AS16" s="348"/>
      <c r="AT16" s="348"/>
      <c r="AU16" s="120"/>
      <c r="AV16" s="120"/>
      <c r="AW16" s="120"/>
      <c r="AX16" s="348"/>
      <c r="AY16" s="348"/>
      <c r="AZ16" s="348"/>
      <c r="BA16" s="348"/>
      <c r="BB16" s="348"/>
      <c r="BC16" s="348"/>
      <c r="BD16" s="348"/>
      <c r="BE16" s="348">
        <f>'顧客-顧客の作成'!K16</f>
        <v>0</v>
      </c>
      <c r="BF16" s="348"/>
      <c r="BG16" s="348"/>
      <c r="BH16" s="348"/>
      <c r="BI16" s="348"/>
      <c r="BJ16" s="120"/>
      <c r="BK16" s="120"/>
      <c r="BL16" s="120"/>
      <c r="BM16" s="120"/>
      <c r="BN16" s="120"/>
      <c r="BO16" s="120"/>
      <c r="BP16" s="120"/>
      <c r="BQ16" s="120"/>
      <c r="BR16" s="120"/>
      <c r="BS16" s="120"/>
      <c r="BT16" s="120"/>
      <c r="BU16" s="120"/>
      <c r="BV16" s="120"/>
      <c r="BW16" s="120"/>
      <c r="BX16" s="120"/>
      <c r="BY16" s="120"/>
      <c r="BZ16" s="120"/>
      <c r="CA16" s="120"/>
      <c r="CB16" s="120"/>
      <c r="CC16" s="120"/>
      <c r="CD16" s="120"/>
      <c r="CE16" s="120"/>
      <c r="CF16" s="120"/>
      <c r="CG16" s="120"/>
      <c r="CH16" s="120"/>
      <c r="CI16" s="120"/>
      <c r="CJ16" s="120"/>
      <c r="CK16" s="120"/>
      <c r="CL16" s="120"/>
      <c r="CM16" s="348"/>
      <c r="CN16" s="348"/>
      <c r="CO16" s="348"/>
      <c r="CP16" s="348"/>
      <c r="CQ16" s="348"/>
      <c r="CR16" s="348"/>
      <c r="CS16" s="348"/>
      <c r="CT16" s="348"/>
      <c r="CU16" s="348"/>
      <c r="CV16" s="348"/>
      <c r="CW16" s="348"/>
      <c r="CX16" s="348"/>
      <c r="CY16" s="348"/>
      <c r="CZ16" s="348"/>
      <c r="DA16" s="348"/>
      <c r="DB16" s="348"/>
      <c r="DC16" s="348"/>
      <c r="DD16" s="348"/>
      <c r="DE16" s="120"/>
      <c r="DF16" s="348"/>
      <c r="DG16" s="348"/>
      <c r="DH16" s="348">
        <f>'顧客-顧客の作成'!L16</f>
        <v>0</v>
      </c>
      <c r="DI16" s="348"/>
      <c r="DJ16" s="348"/>
      <c r="DK16" s="348"/>
      <c r="DL16" s="348"/>
      <c r="DM16" s="348"/>
      <c r="DN16" s="348"/>
      <c r="DO16" s="348"/>
      <c r="DP16" s="120"/>
      <c r="DQ16" s="120"/>
      <c r="DR16" s="120"/>
      <c r="DS16" s="348"/>
      <c r="DT16" s="120"/>
      <c r="DU16" s="348"/>
      <c r="DV16" s="348"/>
      <c r="DW16" s="348"/>
      <c r="DX16" s="348"/>
      <c r="DY16" s="348"/>
      <c r="DZ16" s="348"/>
      <c r="EA16" s="348"/>
      <c r="EB16" s="348"/>
      <c r="EC16" s="120"/>
      <c r="ED16" s="348"/>
      <c r="EE16" s="348"/>
      <c r="EF16" s="348"/>
      <c r="EG16" s="348"/>
      <c r="EH16" s="120"/>
      <c r="EI16" s="348"/>
      <c r="EJ16" s="348"/>
      <c r="EK16" s="348"/>
      <c r="EL16" s="348"/>
      <c r="EM16" s="348"/>
      <c r="EN16" s="348"/>
      <c r="EO16" s="348"/>
      <c r="EP16" s="348"/>
      <c r="EQ16" s="348"/>
      <c r="ER16" s="348"/>
      <c r="ES16" s="120"/>
      <c r="ET16" s="348"/>
      <c r="EU16" s="348"/>
      <c r="EV16" s="120"/>
      <c r="EW16" s="120"/>
      <c r="EX16" s="348"/>
      <c r="EY16" s="120"/>
      <c r="EZ16" s="348"/>
      <c r="FA16" s="348"/>
      <c r="FB16" s="348"/>
      <c r="FC16" s="348"/>
      <c r="FD16" s="120"/>
      <c r="FE16" s="348"/>
      <c r="FF16" s="348"/>
      <c r="FG16" s="348"/>
      <c r="FH16" s="120"/>
      <c r="FI16" s="120"/>
      <c r="FJ16" s="120"/>
      <c r="FK16" s="348"/>
      <c r="FL16" s="120"/>
      <c r="FM16" s="120"/>
      <c r="FN16" s="348"/>
      <c r="FO16" s="120"/>
      <c r="FP16" s="348"/>
    </row>
    <row r="17" spans="2:172">
      <c r="B17" s="203">
        <f t="shared" si="0"/>
        <v>8</v>
      </c>
      <c r="C17" s="358">
        <f>'顧客-顧客の作成'!C17</f>
        <v>0</v>
      </c>
      <c r="D17" s="358">
        <f>'顧客-顧客の作成'!D17</f>
        <v>0</v>
      </c>
      <c r="E17" s="358">
        <f>'顧客-顧客の作成'!E17</f>
        <v>0</v>
      </c>
      <c r="F17" s="204"/>
      <c r="G17" s="359">
        <f>'顧客-顧客の作成'!J17</f>
        <v>0</v>
      </c>
      <c r="H17" s="360"/>
      <c r="I17" s="359"/>
      <c r="J17" s="121"/>
      <c r="K17" s="348"/>
      <c r="L17" s="348"/>
      <c r="M17" s="348"/>
      <c r="N17" s="348"/>
      <c r="O17" s="348"/>
      <c r="P17" s="348"/>
      <c r="Q17" s="348"/>
      <c r="R17" s="348"/>
      <c r="S17" s="348"/>
      <c r="T17" s="348"/>
      <c r="U17" s="348"/>
      <c r="V17" s="348"/>
      <c r="W17" s="349"/>
      <c r="X17" s="348"/>
      <c r="Y17" s="348"/>
      <c r="Z17" s="348"/>
      <c r="AA17" s="348"/>
      <c r="AB17" s="348"/>
      <c r="AC17" s="348"/>
      <c r="AD17" s="348"/>
      <c r="AE17" s="348"/>
      <c r="AF17" s="348"/>
      <c r="AG17" s="348"/>
      <c r="AH17" s="348"/>
      <c r="AI17" s="120"/>
      <c r="AJ17" s="348"/>
      <c r="AK17" s="348"/>
      <c r="AL17" s="120"/>
      <c r="AM17" s="348"/>
      <c r="AN17" s="348"/>
      <c r="AO17" s="348"/>
      <c r="AP17" s="348"/>
      <c r="AQ17" s="120"/>
      <c r="AR17" s="120"/>
      <c r="AS17" s="348"/>
      <c r="AT17" s="348"/>
      <c r="AU17" s="120"/>
      <c r="AV17" s="120"/>
      <c r="AW17" s="120"/>
      <c r="AX17" s="348"/>
      <c r="AY17" s="348"/>
      <c r="AZ17" s="348"/>
      <c r="BA17" s="348"/>
      <c r="BB17" s="348"/>
      <c r="BC17" s="348"/>
      <c r="BD17" s="348"/>
      <c r="BE17" s="348">
        <f>'顧客-顧客の作成'!K17</f>
        <v>0</v>
      </c>
      <c r="BF17" s="348"/>
      <c r="BG17" s="348"/>
      <c r="BH17" s="348"/>
      <c r="BI17" s="348"/>
      <c r="BJ17" s="120"/>
      <c r="BK17" s="120"/>
      <c r="BL17" s="120"/>
      <c r="BM17" s="120"/>
      <c r="BN17" s="120"/>
      <c r="BO17" s="120"/>
      <c r="BP17" s="120"/>
      <c r="BQ17" s="120"/>
      <c r="BR17" s="120"/>
      <c r="BS17" s="120"/>
      <c r="BT17" s="120"/>
      <c r="BU17" s="120"/>
      <c r="BV17" s="120"/>
      <c r="BW17" s="120"/>
      <c r="BX17" s="120"/>
      <c r="BY17" s="120"/>
      <c r="BZ17" s="120"/>
      <c r="CA17" s="120"/>
      <c r="CB17" s="120"/>
      <c r="CC17" s="120"/>
      <c r="CD17" s="120"/>
      <c r="CE17" s="120"/>
      <c r="CF17" s="120"/>
      <c r="CG17" s="120"/>
      <c r="CH17" s="120"/>
      <c r="CI17" s="120"/>
      <c r="CJ17" s="120"/>
      <c r="CK17" s="120"/>
      <c r="CL17" s="120"/>
      <c r="CM17" s="348"/>
      <c r="CN17" s="348"/>
      <c r="CO17" s="348"/>
      <c r="CP17" s="348"/>
      <c r="CQ17" s="348"/>
      <c r="CR17" s="348"/>
      <c r="CS17" s="348"/>
      <c r="CT17" s="348"/>
      <c r="CU17" s="348"/>
      <c r="CV17" s="348"/>
      <c r="CW17" s="348"/>
      <c r="CX17" s="348"/>
      <c r="CY17" s="348"/>
      <c r="CZ17" s="348"/>
      <c r="DA17" s="348"/>
      <c r="DB17" s="348"/>
      <c r="DC17" s="348"/>
      <c r="DD17" s="348"/>
      <c r="DE17" s="120"/>
      <c r="DF17" s="348"/>
      <c r="DG17" s="348"/>
      <c r="DH17" s="348">
        <f>'顧客-顧客の作成'!L17</f>
        <v>0</v>
      </c>
      <c r="DI17" s="348"/>
      <c r="DJ17" s="348"/>
      <c r="DK17" s="348"/>
      <c r="DL17" s="348"/>
      <c r="DM17" s="348"/>
      <c r="DN17" s="348"/>
      <c r="DO17" s="348"/>
      <c r="DP17" s="120"/>
      <c r="DQ17" s="120"/>
      <c r="DR17" s="120"/>
      <c r="DS17" s="348"/>
      <c r="DT17" s="120"/>
      <c r="DU17" s="348"/>
      <c r="DV17" s="348"/>
      <c r="DW17" s="348"/>
      <c r="DX17" s="348"/>
      <c r="DY17" s="348"/>
      <c r="DZ17" s="348"/>
      <c r="EA17" s="348"/>
      <c r="EB17" s="348"/>
      <c r="EC17" s="120"/>
      <c r="ED17" s="348"/>
      <c r="EE17" s="348"/>
      <c r="EF17" s="348"/>
      <c r="EG17" s="348"/>
      <c r="EH17" s="120"/>
      <c r="EI17" s="348"/>
      <c r="EJ17" s="348"/>
      <c r="EK17" s="348"/>
      <c r="EL17" s="348"/>
      <c r="EM17" s="348"/>
      <c r="EN17" s="348"/>
      <c r="EO17" s="348"/>
      <c r="EP17" s="348"/>
      <c r="EQ17" s="348"/>
      <c r="ER17" s="348"/>
      <c r="ES17" s="120"/>
      <c r="ET17" s="348"/>
      <c r="EU17" s="348"/>
      <c r="EV17" s="120"/>
      <c r="EW17" s="120"/>
      <c r="EX17" s="348"/>
      <c r="EY17" s="120"/>
      <c r="EZ17" s="348"/>
      <c r="FA17" s="348"/>
      <c r="FB17" s="348"/>
      <c r="FC17" s="348"/>
      <c r="FD17" s="120"/>
      <c r="FE17" s="348"/>
      <c r="FF17" s="348"/>
      <c r="FG17" s="348"/>
      <c r="FH17" s="120"/>
      <c r="FI17" s="120"/>
      <c r="FJ17" s="120"/>
      <c r="FK17" s="348"/>
      <c r="FL17" s="120"/>
      <c r="FM17" s="120"/>
      <c r="FN17" s="348"/>
      <c r="FO17" s="120"/>
      <c r="FP17" s="348"/>
    </row>
    <row r="18" spans="2:172">
      <c r="B18" s="203">
        <f t="shared" si="0"/>
        <v>9</v>
      </c>
      <c r="C18" s="358">
        <f>'顧客-顧客の作成'!C18</f>
        <v>0</v>
      </c>
      <c r="D18" s="358">
        <f>'顧客-顧客の作成'!D18</f>
        <v>0</v>
      </c>
      <c r="E18" s="358">
        <f>'顧客-顧客の作成'!E18</f>
        <v>0</v>
      </c>
      <c r="F18" s="204"/>
      <c r="G18" s="359">
        <f>'顧客-顧客の作成'!J18</f>
        <v>0</v>
      </c>
      <c r="H18" s="360"/>
      <c r="I18" s="359"/>
      <c r="J18" s="121"/>
      <c r="K18" s="348"/>
      <c r="L18" s="348"/>
      <c r="M18" s="348"/>
      <c r="N18" s="348"/>
      <c r="O18" s="348"/>
      <c r="P18" s="348"/>
      <c r="Q18" s="348"/>
      <c r="R18" s="348"/>
      <c r="S18" s="348"/>
      <c r="T18" s="348"/>
      <c r="U18" s="348"/>
      <c r="V18" s="348"/>
      <c r="W18" s="349"/>
      <c r="X18" s="348"/>
      <c r="Y18" s="348"/>
      <c r="Z18" s="348"/>
      <c r="AA18" s="348"/>
      <c r="AB18" s="348"/>
      <c r="AC18" s="348"/>
      <c r="AD18" s="348"/>
      <c r="AE18" s="348"/>
      <c r="AF18" s="348"/>
      <c r="AG18" s="348"/>
      <c r="AH18" s="348"/>
      <c r="AI18" s="120"/>
      <c r="AJ18" s="348"/>
      <c r="AK18" s="348"/>
      <c r="AL18" s="120"/>
      <c r="AM18" s="348"/>
      <c r="AN18" s="348"/>
      <c r="AO18" s="348"/>
      <c r="AP18" s="348"/>
      <c r="AQ18" s="120"/>
      <c r="AR18" s="120"/>
      <c r="AS18" s="348"/>
      <c r="AT18" s="348"/>
      <c r="AU18" s="120"/>
      <c r="AV18" s="120"/>
      <c r="AW18" s="120"/>
      <c r="AX18" s="348"/>
      <c r="AY18" s="348"/>
      <c r="AZ18" s="348"/>
      <c r="BA18" s="348"/>
      <c r="BB18" s="348"/>
      <c r="BC18" s="348"/>
      <c r="BD18" s="348"/>
      <c r="BE18" s="348">
        <f>'顧客-顧客の作成'!K18</f>
        <v>0</v>
      </c>
      <c r="BF18" s="348"/>
      <c r="BG18" s="348"/>
      <c r="BH18" s="348"/>
      <c r="BI18" s="348"/>
      <c r="BJ18" s="120"/>
      <c r="BK18" s="120"/>
      <c r="BL18" s="120"/>
      <c r="BM18" s="120"/>
      <c r="BN18" s="120"/>
      <c r="BO18" s="120"/>
      <c r="BP18" s="120"/>
      <c r="BQ18" s="120"/>
      <c r="BR18" s="120"/>
      <c r="BS18" s="120"/>
      <c r="BT18" s="120"/>
      <c r="BU18" s="120"/>
      <c r="BV18" s="120"/>
      <c r="BW18" s="120"/>
      <c r="BX18" s="120"/>
      <c r="BY18" s="120"/>
      <c r="BZ18" s="120"/>
      <c r="CA18" s="120"/>
      <c r="CB18" s="120"/>
      <c r="CC18" s="120"/>
      <c r="CD18" s="120"/>
      <c r="CE18" s="120"/>
      <c r="CF18" s="120"/>
      <c r="CG18" s="120"/>
      <c r="CH18" s="120"/>
      <c r="CI18" s="120"/>
      <c r="CJ18" s="120"/>
      <c r="CK18" s="120"/>
      <c r="CL18" s="120"/>
      <c r="CM18" s="348"/>
      <c r="CN18" s="348"/>
      <c r="CO18" s="348"/>
      <c r="CP18" s="348"/>
      <c r="CQ18" s="348"/>
      <c r="CR18" s="348"/>
      <c r="CS18" s="348"/>
      <c r="CT18" s="348"/>
      <c r="CU18" s="348"/>
      <c r="CV18" s="348"/>
      <c r="CW18" s="348"/>
      <c r="CX18" s="348"/>
      <c r="CY18" s="348"/>
      <c r="CZ18" s="348"/>
      <c r="DA18" s="348"/>
      <c r="DB18" s="348"/>
      <c r="DC18" s="348"/>
      <c r="DD18" s="348"/>
      <c r="DE18" s="120"/>
      <c r="DF18" s="348"/>
      <c r="DG18" s="348"/>
      <c r="DH18" s="348">
        <f>'顧客-顧客の作成'!L18</f>
        <v>0</v>
      </c>
      <c r="DI18" s="348"/>
      <c r="DJ18" s="348"/>
      <c r="DK18" s="348"/>
      <c r="DL18" s="348"/>
      <c r="DM18" s="348"/>
      <c r="DN18" s="348"/>
      <c r="DO18" s="348"/>
      <c r="DP18" s="120"/>
      <c r="DQ18" s="120"/>
      <c r="DR18" s="120"/>
      <c r="DS18" s="348"/>
      <c r="DT18" s="120"/>
      <c r="DU18" s="348"/>
      <c r="DV18" s="348"/>
      <c r="DW18" s="348"/>
      <c r="DX18" s="348"/>
      <c r="DY18" s="348"/>
      <c r="DZ18" s="348"/>
      <c r="EA18" s="348"/>
      <c r="EB18" s="348"/>
      <c r="EC18" s="120"/>
      <c r="ED18" s="348"/>
      <c r="EE18" s="348"/>
      <c r="EF18" s="348"/>
      <c r="EG18" s="348"/>
      <c r="EH18" s="120"/>
      <c r="EI18" s="348"/>
      <c r="EJ18" s="348"/>
      <c r="EK18" s="348"/>
      <c r="EL18" s="348"/>
      <c r="EM18" s="348"/>
      <c r="EN18" s="348"/>
      <c r="EO18" s="348"/>
      <c r="EP18" s="348"/>
      <c r="EQ18" s="348"/>
      <c r="ER18" s="348"/>
      <c r="ES18" s="120"/>
      <c r="ET18" s="348"/>
      <c r="EU18" s="348"/>
      <c r="EV18" s="120"/>
      <c r="EW18" s="120"/>
      <c r="EX18" s="348"/>
      <c r="EY18" s="120"/>
      <c r="EZ18" s="348"/>
      <c r="FA18" s="348"/>
      <c r="FB18" s="348"/>
      <c r="FC18" s="348"/>
      <c r="FD18" s="120"/>
      <c r="FE18" s="348"/>
      <c r="FF18" s="348"/>
      <c r="FG18" s="348"/>
      <c r="FH18" s="120"/>
      <c r="FI18" s="120"/>
      <c r="FJ18" s="120"/>
      <c r="FK18" s="348"/>
      <c r="FL18" s="120"/>
      <c r="FM18" s="120"/>
      <c r="FN18" s="348"/>
      <c r="FO18" s="120"/>
      <c r="FP18" s="348"/>
    </row>
    <row r="19" spans="2:172">
      <c r="B19" s="203">
        <f t="shared" si="0"/>
        <v>10</v>
      </c>
      <c r="C19" s="358">
        <f>'顧客-顧客の作成'!C19</f>
        <v>0</v>
      </c>
      <c r="D19" s="358">
        <f>'顧客-顧客の作成'!D19</f>
        <v>0</v>
      </c>
      <c r="E19" s="358">
        <f>'顧客-顧客の作成'!E19</f>
        <v>0</v>
      </c>
      <c r="F19" s="204"/>
      <c r="G19" s="359">
        <f>'顧客-顧客の作成'!J19</f>
        <v>0</v>
      </c>
      <c r="H19" s="360"/>
      <c r="I19" s="359"/>
      <c r="J19" s="121"/>
      <c r="K19" s="348"/>
      <c r="L19" s="348"/>
      <c r="M19" s="348"/>
      <c r="N19" s="348"/>
      <c r="O19" s="348"/>
      <c r="P19" s="348"/>
      <c r="Q19" s="348"/>
      <c r="R19" s="348"/>
      <c r="S19" s="348"/>
      <c r="T19" s="348"/>
      <c r="U19" s="348"/>
      <c r="V19" s="348"/>
      <c r="W19" s="349"/>
      <c r="X19" s="348"/>
      <c r="Y19" s="348"/>
      <c r="Z19" s="348"/>
      <c r="AA19" s="348"/>
      <c r="AB19" s="348"/>
      <c r="AC19" s="348"/>
      <c r="AD19" s="348"/>
      <c r="AE19" s="348"/>
      <c r="AF19" s="348"/>
      <c r="AG19" s="348"/>
      <c r="AH19" s="348"/>
      <c r="AI19" s="120"/>
      <c r="AJ19" s="348"/>
      <c r="AK19" s="348"/>
      <c r="AL19" s="120"/>
      <c r="AM19" s="348"/>
      <c r="AN19" s="348"/>
      <c r="AO19" s="348"/>
      <c r="AP19" s="348"/>
      <c r="AQ19" s="120"/>
      <c r="AR19" s="120"/>
      <c r="AS19" s="348"/>
      <c r="AT19" s="348"/>
      <c r="AU19" s="120"/>
      <c r="AV19" s="120"/>
      <c r="AW19" s="120"/>
      <c r="AX19" s="348"/>
      <c r="AY19" s="348"/>
      <c r="AZ19" s="348"/>
      <c r="BA19" s="348"/>
      <c r="BB19" s="348"/>
      <c r="BC19" s="348"/>
      <c r="BD19" s="348"/>
      <c r="BE19" s="348">
        <f>'顧客-顧客の作成'!K19</f>
        <v>0</v>
      </c>
      <c r="BF19" s="348"/>
      <c r="BG19" s="348"/>
      <c r="BH19" s="348"/>
      <c r="BI19" s="348"/>
      <c r="BJ19" s="120"/>
      <c r="BK19" s="120"/>
      <c r="BL19" s="120"/>
      <c r="BM19" s="120"/>
      <c r="BN19" s="120"/>
      <c r="BO19" s="120"/>
      <c r="BP19" s="120"/>
      <c r="BQ19" s="120"/>
      <c r="BR19" s="120"/>
      <c r="BS19" s="120"/>
      <c r="BT19" s="120"/>
      <c r="BU19" s="120"/>
      <c r="BV19" s="120"/>
      <c r="BW19" s="120"/>
      <c r="BX19" s="120"/>
      <c r="BY19" s="120"/>
      <c r="BZ19" s="120"/>
      <c r="CA19" s="120"/>
      <c r="CB19" s="120"/>
      <c r="CC19" s="120"/>
      <c r="CD19" s="120"/>
      <c r="CE19" s="120"/>
      <c r="CF19" s="120"/>
      <c r="CG19" s="120"/>
      <c r="CH19" s="120"/>
      <c r="CI19" s="120"/>
      <c r="CJ19" s="120"/>
      <c r="CK19" s="120"/>
      <c r="CL19" s="120"/>
      <c r="CM19" s="348"/>
      <c r="CN19" s="348"/>
      <c r="CO19" s="348"/>
      <c r="CP19" s="348"/>
      <c r="CQ19" s="348"/>
      <c r="CR19" s="348"/>
      <c r="CS19" s="348"/>
      <c r="CT19" s="348"/>
      <c r="CU19" s="348"/>
      <c r="CV19" s="348"/>
      <c r="CW19" s="348"/>
      <c r="CX19" s="348"/>
      <c r="CY19" s="348"/>
      <c r="CZ19" s="348"/>
      <c r="DA19" s="348"/>
      <c r="DB19" s="348"/>
      <c r="DC19" s="348"/>
      <c r="DD19" s="348"/>
      <c r="DE19" s="120"/>
      <c r="DF19" s="348"/>
      <c r="DG19" s="348"/>
      <c r="DH19" s="348">
        <f>'顧客-顧客の作成'!L19</f>
        <v>0</v>
      </c>
      <c r="DI19" s="348"/>
      <c r="DJ19" s="348"/>
      <c r="DK19" s="348"/>
      <c r="DL19" s="348"/>
      <c r="DM19" s="348"/>
      <c r="DN19" s="348"/>
      <c r="DO19" s="348"/>
      <c r="DP19" s="120"/>
      <c r="DQ19" s="120"/>
      <c r="DR19" s="120"/>
      <c r="DS19" s="348"/>
      <c r="DT19" s="120"/>
      <c r="DU19" s="348"/>
      <c r="DV19" s="348"/>
      <c r="DW19" s="348"/>
      <c r="DX19" s="348"/>
      <c r="DY19" s="348"/>
      <c r="DZ19" s="348"/>
      <c r="EA19" s="348"/>
      <c r="EB19" s="348"/>
      <c r="EC19" s="120"/>
      <c r="ED19" s="348"/>
      <c r="EE19" s="348"/>
      <c r="EF19" s="348"/>
      <c r="EG19" s="348"/>
      <c r="EH19" s="120"/>
      <c r="EI19" s="348"/>
      <c r="EJ19" s="348"/>
      <c r="EK19" s="348"/>
      <c r="EL19" s="348"/>
      <c r="EM19" s="348"/>
      <c r="EN19" s="348"/>
      <c r="EO19" s="348"/>
      <c r="EP19" s="348"/>
      <c r="EQ19" s="348"/>
      <c r="ER19" s="348"/>
      <c r="ES19" s="120"/>
      <c r="ET19" s="348"/>
      <c r="EU19" s="348"/>
      <c r="EV19" s="120"/>
      <c r="EW19" s="120"/>
      <c r="EX19" s="348"/>
      <c r="EY19" s="120"/>
      <c r="EZ19" s="348"/>
      <c r="FA19" s="348"/>
      <c r="FB19" s="348"/>
      <c r="FC19" s="348"/>
      <c r="FD19" s="120"/>
      <c r="FE19" s="348"/>
      <c r="FF19" s="348"/>
      <c r="FG19" s="348"/>
      <c r="FH19" s="120"/>
      <c r="FI19" s="120"/>
      <c r="FJ19" s="120"/>
      <c r="FK19" s="348"/>
      <c r="FL19" s="120"/>
      <c r="FM19" s="120"/>
      <c r="FN19" s="348"/>
      <c r="FO19" s="120"/>
      <c r="FP19" s="348"/>
    </row>
    <row r="20" spans="2:172">
      <c r="B20" s="203">
        <f t="shared" si="0"/>
        <v>11</v>
      </c>
      <c r="C20" s="358">
        <f>'顧客-顧客の作成'!C20</f>
        <v>0</v>
      </c>
      <c r="D20" s="358">
        <f>'顧客-顧客の作成'!D20</f>
        <v>0</v>
      </c>
      <c r="E20" s="358">
        <f>'顧客-顧客の作成'!E20</f>
        <v>0</v>
      </c>
      <c r="F20" s="204"/>
      <c r="G20" s="359">
        <f>'顧客-顧客の作成'!J20</f>
        <v>0</v>
      </c>
      <c r="H20" s="360"/>
      <c r="I20" s="359"/>
      <c r="J20" s="121"/>
      <c r="K20" s="348"/>
      <c r="L20" s="348"/>
      <c r="M20" s="348"/>
      <c r="N20" s="348"/>
      <c r="O20" s="348"/>
      <c r="P20" s="348"/>
      <c r="Q20" s="348"/>
      <c r="R20" s="348"/>
      <c r="S20" s="348"/>
      <c r="T20" s="348"/>
      <c r="U20" s="348"/>
      <c r="V20" s="348"/>
      <c r="W20" s="349"/>
      <c r="X20" s="348"/>
      <c r="Y20" s="348"/>
      <c r="Z20" s="348"/>
      <c r="AA20" s="348"/>
      <c r="AB20" s="348"/>
      <c r="AC20" s="348"/>
      <c r="AD20" s="348"/>
      <c r="AE20" s="348"/>
      <c r="AF20" s="348"/>
      <c r="AG20" s="348"/>
      <c r="AH20" s="348"/>
      <c r="AI20" s="120"/>
      <c r="AJ20" s="348"/>
      <c r="AK20" s="348"/>
      <c r="AL20" s="120"/>
      <c r="AM20" s="348"/>
      <c r="AN20" s="348"/>
      <c r="AO20" s="348"/>
      <c r="AP20" s="348"/>
      <c r="AQ20" s="120"/>
      <c r="AR20" s="120"/>
      <c r="AS20" s="348"/>
      <c r="AT20" s="348"/>
      <c r="AU20" s="120"/>
      <c r="AV20" s="120"/>
      <c r="AW20" s="120"/>
      <c r="AX20" s="348"/>
      <c r="AY20" s="348"/>
      <c r="AZ20" s="348"/>
      <c r="BA20" s="348"/>
      <c r="BB20" s="348"/>
      <c r="BC20" s="348"/>
      <c r="BD20" s="348"/>
      <c r="BE20" s="348">
        <f>'顧客-顧客の作成'!K20</f>
        <v>0</v>
      </c>
      <c r="BF20" s="348"/>
      <c r="BG20" s="348"/>
      <c r="BH20" s="348"/>
      <c r="BI20" s="348"/>
      <c r="BJ20" s="120"/>
      <c r="BK20" s="120"/>
      <c r="BL20" s="120"/>
      <c r="BM20" s="120"/>
      <c r="BN20" s="120"/>
      <c r="BO20" s="120"/>
      <c r="BP20" s="120"/>
      <c r="BQ20" s="120"/>
      <c r="BR20" s="120"/>
      <c r="BS20" s="120"/>
      <c r="BT20" s="120"/>
      <c r="BU20" s="120"/>
      <c r="BV20" s="120"/>
      <c r="BW20" s="120"/>
      <c r="BX20" s="120"/>
      <c r="BY20" s="120"/>
      <c r="BZ20" s="120"/>
      <c r="CA20" s="120"/>
      <c r="CB20" s="120"/>
      <c r="CC20" s="120"/>
      <c r="CD20" s="120"/>
      <c r="CE20" s="120"/>
      <c r="CF20" s="120"/>
      <c r="CG20" s="120"/>
      <c r="CH20" s="120"/>
      <c r="CI20" s="120"/>
      <c r="CJ20" s="120"/>
      <c r="CK20" s="120"/>
      <c r="CL20" s="120"/>
      <c r="CM20" s="348"/>
      <c r="CN20" s="348"/>
      <c r="CO20" s="348"/>
      <c r="CP20" s="348"/>
      <c r="CQ20" s="348"/>
      <c r="CR20" s="348"/>
      <c r="CS20" s="348"/>
      <c r="CT20" s="348"/>
      <c r="CU20" s="348"/>
      <c r="CV20" s="348"/>
      <c r="CW20" s="348"/>
      <c r="CX20" s="348"/>
      <c r="CY20" s="348"/>
      <c r="CZ20" s="348"/>
      <c r="DA20" s="348"/>
      <c r="DB20" s="348"/>
      <c r="DC20" s="348"/>
      <c r="DD20" s="348"/>
      <c r="DE20" s="120"/>
      <c r="DF20" s="348"/>
      <c r="DG20" s="348"/>
      <c r="DH20" s="348">
        <f>'顧客-顧客の作成'!L20</f>
        <v>0</v>
      </c>
      <c r="DI20" s="348"/>
      <c r="DJ20" s="348"/>
      <c r="DK20" s="348"/>
      <c r="DL20" s="348"/>
      <c r="DM20" s="348"/>
      <c r="DN20" s="348"/>
      <c r="DO20" s="348"/>
      <c r="DP20" s="120"/>
      <c r="DQ20" s="120"/>
      <c r="DR20" s="120"/>
      <c r="DS20" s="348"/>
      <c r="DT20" s="120"/>
      <c r="DU20" s="348"/>
      <c r="DV20" s="348"/>
      <c r="DW20" s="348"/>
      <c r="DX20" s="348"/>
      <c r="DY20" s="348"/>
      <c r="DZ20" s="348"/>
      <c r="EA20" s="348"/>
      <c r="EB20" s="348"/>
      <c r="EC20" s="120"/>
      <c r="ED20" s="348"/>
      <c r="EE20" s="348"/>
      <c r="EF20" s="348"/>
      <c r="EG20" s="348"/>
      <c r="EH20" s="120"/>
      <c r="EI20" s="348"/>
      <c r="EJ20" s="348"/>
      <c r="EK20" s="348"/>
      <c r="EL20" s="348"/>
      <c r="EM20" s="348"/>
      <c r="EN20" s="348"/>
      <c r="EO20" s="348"/>
      <c r="EP20" s="348"/>
      <c r="EQ20" s="348"/>
      <c r="ER20" s="348"/>
      <c r="ES20" s="120"/>
      <c r="ET20" s="348"/>
      <c r="EU20" s="348"/>
      <c r="EV20" s="120"/>
      <c r="EW20" s="120"/>
      <c r="EX20" s="348"/>
      <c r="EY20" s="120"/>
      <c r="EZ20" s="348"/>
      <c r="FA20" s="348"/>
      <c r="FB20" s="348"/>
      <c r="FC20" s="348"/>
      <c r="FD20" s="120"/>
      <c r="FE20" s="348"/>
      <c r="FF20" s="348"/>
      <c r="FG20" s="348"/>
      <c r="FH20" s="120"/>
      <c r="FI20" s="120"/>
      <c r="FJ20" s="120"/>
      <c r="FK20" s="348"/>
      <c r="FL20" s="120"/>
      <c r="FM20" s="120"/>
      <c r="FN20" s="348"/>
      <c r="FO20" s="120"/>
      <c r="FP20" s="348"/>
    </row>
    <row r="21" spans="2:172">
      <c r="B21" s="203">
        <f t="shared" si="0"/>
        <v>12</v>
      </c>
      <c r="C21" s="358">
        <f>'顧客-顧客の作成'!C21</f>
        <v>0</v>
      </c>
      <c r="D21" s="358">
        <f>'顧客-顧客の作成'!D21</f>
        <v>0</v>
      </c>
      <c r="E21" s="358">
        <f>'顧客-顧客の作成'!E21</f>
        <v>0</v>
      </c>
      <c r="F21" s="204"/>
      <c r="G21" s="359">
        <f>'顧客-顧客の作成'!J21</f>
        <v>0</v>
      </c>
      <c r="H21" s="360"/>
      <c r="I21" s="359"/>
      <c r="J21" s="121"/>
      <c r="K21" s="348"/>
      <c r="L21" s="348"/>
      <c r="M21" s="348"/>
      <c r="N21" s="348"/>
      <c r="O21" s="348"/>
      <c r="P21" s="348"/>
      <c r="Q21" s="348"/>
      <c r="R21" s="348"/>
      <c r="S21" s="348"/>
      <c r="T21" s="348"/>
      <c r="U21" s="348"/>
      <c r="V21" s="348"/>
      <c r="W21" s="349"/>
      <c r="X21" s="348"/>
      <c r="Y21" s="348"/>
      <c r="Z21" s="348"/>
      <c r="AA21" s="348"/>
      <c r="AB21" s="348"/>
      <c r="AC21" s="348"/>
      <c r="AD21" s="348"/>
      <c r="AE21" s="348"/>
      <c r="AF21" s="348"/>
      <c r="AG21" s="348"/>
      <c r="AH21" s="348"/>
      <c r="AI21" s="120"/>
      <c r="AJ21" s="348"/>
      <c r="AK21" s="348"/>
      <c r="AL21" s="120"/>
      <c r="AM21" s="348"/>
      <c r="AN21" s="348"/>
      <c r="AO21" s="348"/>
      <c r="AP21" s="348"/>
      <c r="AQ21" s="120"/>
      <c r="AR21" s="120"/>
      <c r="AS21" s="348"/>
      <c r="AT21" s="348"/>
      <c r="AU21" s="120"/>
      <c r="AV21" s="120"/>
      <c r="AW21" s="120"/>
      <c r="AX21" s="348"/>
      <c r="AY21" s="348"/>
      <c r="AZ21" s="348"/>
      <c r="BA21" s="348"/>
      <c r="BB21" s="348"/>
      <c r="BC21" s="348"/>
      <c r="BD21" s="348"/>
      <c r="BE21" s="348">
        <f>'顧客-顧客の作成'!K21</f>
        <v>0</v>
      </c>
      <c r="BF21" s="348"/>
      <c r="BG21" s="348"/>
      <c r="BH21" s="348"/>
      <c r="BI21" s="348"/>
      <c r="BJ21" s="120"/>
      <c r="BK21" s="120"/>
      <c r="BL21" s="120"/>
      <c r="BM21" s="120"/>
      <c r="BN21" s="120"/>
      <c r="BO21" s="120"/>
      <c r="BP21" s="120"/>
      <c r="BQ21" s="120"/>
      <c r="BR21" s="120"/>
      <c r="BS21" s="120"/>
      <c r="BT21" s="120"/>
      <c r="BU21" s="120"/>
      <c r="BV21" s="120"/>
      <c r="BW21" s="120"/>
      <c r="BX21" s="120"/>
      <c r="BY21" s="120"/>
      <c r="BZ21" s="120"/>
      <c r="CA21" s="120"/>
      <c r="CB21" s="120"/>
      <c r="CC21" s="120"/>
      <c r="CD21" s="120"/>
      <c r="CE21" s="120"/>
      <c r="CF21" s="120"/>
      <c r="CG21" s="120"/>
      <c r="CH21" s="120"/>
      <c r="CI21" s="120"/>
      <c r="CJ21" s="120"/>
      <c r="CK21" s="120"/>
      <c r="CL21" s="120"/>
      <c r="CM21" s="348"/>
      <c r="CN21" s="348"/>
      <c r="CO21" s="348"/>
      <c r="CP21" s="348"/>
      <c r="CQ21" s="348"/>
      <c r="CR21" s="348"/>
      <c r="CS21" s="348"/>
      <c r="CT21" s="348"/>
      <c r="CU21" s="348"/>
      <c r="CV21" s="348"/>
      <c r="CW21" s="348"/>
      <c r="CX21" s="348"/>
      <c r="CY21" s="348"/>
      <c r="CZ21" s="348"/>
      <c r="DA21" s="348"/>
      <c r="DB21" s="348"/>
      <c r="DC21" s="348"/>
      <c r="DD21" s="348"/>
      <c r="DE21" s="120"/>
      <c r="DF21" s="348"/>
      <c r="DG21" s="348"/>
      <c r="DH21" s="348">
        <f>'顧客-顧客の作成'!L21</f>
        <v>0</v>
      </c>
      <c r="DI21" s="348"/>
      <c r="DJ21" s="348"/>
      <c r="DK21" s="348"/>
      <c r="DL21" s="348"/>
      <c r="DM21" s="348"/>
      <c r="DN21" s="348"/>
      <c r="DO21" s="348"/>
      <c r="DP21" s="120"/>
      <c r="DQ21" s="120"/>
      <c r="DR21" s="120"/>
      <c r="DS21" s="348"/>
      <c r="DT21" s="120"/>
      <c r="DU21" s="348"/>
      <c r="DV21" s="348"/>
      <c r="DW21" s="348"/>
      <c r="DX21" s="348"/>
      <c r="DY21" s="348"/>
      <c r="DZ21" s="348"/>
      <c r="EA21" s="348"/>
      <c r="EB21" s="348"/>
      <c r="EC21" s="120"/>
      <c r="ED21" s="348"/>
      <c r="EE21" s="348"/>
      <c r="EF21" s="348"/>
      <c r="EG21" s="348"/>
      <c r="EH21" s="120"/>
      <c r="EI21" s="348"/>
      <c r="EJ21" s="348"/>
      <c r="EK21" s="348"/>
      <c r="EL21" s="348"/>
      <c r="EM21" s="348"/>
      <c r="EN21" s="348"/>
      <c r="EO21" s="348"/>
      <c r="EP21" s="348"/>
      <c r="EQ21" s="348"/>
      <c r="ER21" s="348"/>
      <c r="ES21" s="120"/>
      <c r="ET21" s="348"/>
      <c r="EU21" s="348"/>
      <c r="EV21" s="120"/>
      <c r="EW21" s="120"/>
      <c r="EX21" s="348"/>
      <c r="EY21" s="120"/>
      <c r="EZ21" s="348"/>
      <c r="FA21" s="348"/>
      <c r="FB21" s="348"/>
      <c r="FC21" s="348"/>
      <c r="FD21" s="120"/>
      <c r="FE21" s="348"/>
      <c r="FF21" s="348"/>
      <c r="FG21" s="348"/>
      <c r="FH21" s="120"/>
      <c r="FI21" s="120"/>
      <c r="FJ21" s="120"/>
      <c r="FK21" s="348"/>
      <c r="FL21" s="120"/>
      <c r="FM21" s="120"/>
      <c r="FN21" s="348"/>
      <c r="FO21" s="120"/>
      <c r="FP21" s="348"/>
    </row>
    <row r="22" spans="2:172">
      <c r="B22" s="203">
        <f t="shared" si="0"/>
        <v>13</v>
      </c>
      <c r="C22" s="358">
        <f>'顧客-顧客の作成'!C22</f>
        <v>0</v>
      </c>
      <c r="D22" s="358">
        <f>'顧客-顧客の作成'!D22</f>
        <v>0</v>
      </c>
      <c r="E22" s="358">
        <f>'顧客-顧客の作成'!E22</f>
        <v>0</v>
      </c>
      <c r="F22" s="204"/>
      <c r="G22" s="359">
        <f>'顧客-顧客の作成'!J22</f>
        <v>0</v>
      </c>
      <c r="H22" s="360"/>
      <c r="I22" s="359"/>
      <c r="J22" s="121"/>
      <c r="K22" s="348"/>
      <c r="L22" s="348"/>
      <c r="M22" s="348"/>
      <c r="N22" s="348"/>
      <c r="O22" s="348"/>
      <c r="P22" s="348"/>
      <c r="Q22" s="348"/>
      <c r="R22" s="348"/>
      <c r="S22" s="348"/>
      <c r="T22" s="348"/>
      <c r="U22" s="348"/>
      <c r="V22" s="348"/>
      <c r="W22" s="349"/>
      <c r="X22" s="348"/>
      <c r="Y22" s="348"/>
      <c r="Z22" s="348"/>
      <c r="AA22" s="348"/>
      <c r="AB22" s="348"/>
      <c r="AC22" s="348"/>
      <c r="AD22" s="348"/>
      <c r="AE22" s="348"/>
      <c r="AF22" s="348"/>
      <c r="AG22" s="348"/>
      <c r="AH22" s="348"/>
      <c r="AI22" s="120"/>
      <c r="AJ22" s="348"/>
      <c r="AK22" s="348"/>
      <c r="AL22" s="120"/>
      <c r="AM22" s="348"/>
      <c r="AN22" s="348"/>
      <c r="AO22" s="348"/>
      <c r="AP22" s="348"/>
      <c r="AQ22" s="120"/>
      <c r="AR22" s="120"/>
      <c r="AS22" s="348"/>
      <c r="AT22" s="348"/>
      <c r="AU22" s="120"/>
      <c r="AV22" s="120"/>
      <c r="AW22" s="120"/>
      <c r="AX22" s="348"/>
      <c r="AY22" s="348"/>
      <c r="AZ22" s="348"/>
      <c r="BA22" s="348"/>
      <c r="BB22" s="348"/>
      <c r="BC22" s="348"/>
      <c r="BD22" s="348"/>
      <c r="BE22" s="348">
        <f>'顧客-顧客の作成'!K22</f>
        <v>0</v>
      </c>
      <c r="BF22" s="348"/>
      <c r="BG22" s="348"/>
      <c r="BH22" s="348"/>
      <c r="BI22" s="348"/>
      <c r="BJ22" s="120"/>
      <c r="BK22" s="120"/>
      <c r="BL22" s="120"/>
      <c r="BM22" s="120"/>
      <c r="BN22" s="120"/>
      <c r="BO22" s="120"/>
      <c r="BP22" s="120"/>
      <c r="BQ22" s="120"/>
      <c r="BR22" s="120"/>
      <c r="BS22" s="120"/>
      <c r="BT22" s="120"/>
      <c r="BU22" s="120"/>
      <c r="BV22" s="120"/>
      <c r="BW22" s="120"/>
      <c r="BX22" s="120"/>
      <c r="BY22" s="120"/>
      <c r="BZ22" s="120"/>
      <c r="CA22" s="120"/>
      <c r="CB22" s="120"/>
      <c r="CC22" s="120"/>
      <c r="CD22" s="120"/>
      <c r="CE22" s="120"/>
      <c r="CF22" s="120"/>
      <c r="CG22" s="120"/>
      <c r="CH22" s="120"/>
      <c r="CI22" s="120"/>
      <c r="CJ22" s="120"/>
      <c r="CK22" s="120"/>
      <c r="CL22" s="120"/>
      <c r="CM22" s="348"/>
      <c r="CN22" s="348"/>
      <c r="CO22" s="348"/>
      <c r="CP22" s="348"/>
      <c r="CQ22" s="348"/>
      <c r="CR22" s="348"/>
      <c r="CS22" s="348"/>
      <c r="CT22" s="348"/>
      <c r="CU22" s="348"/>
      <c r="CV22" s="348"/>
      <c r="CW22" s="348"/>
      <c r="CX22" s="348"/>
      <c r="CY22" s="348"/>
      <c r="CZ22" s="348"/>
      <c r="DA22" s="348"/>
      <c r="DB22" s="348"/>
      <c r="DC22" s="348"/>
      <c r="DD22" s="348"/>
      <c r="DE22" s="120"/>
      <c r="DF22" s="348"/>
      <c r="DG22" s="348"/>
      <c r="DH22" s="348">
        <f>'顧客-顧客の作成'!L22</f>
        <v>0</v>
      </c>
      <c r="DI22" s="348"/>
      <c r="DJ22" s="348"/>
      <c r="DK22" s="348"/>
      <c r="DL22" s="348"/>
      <c r="DM22" s="348"/>
      <c r="DN22" s="348"/>
      <c r="DO22" s="348"/>
      <c r="DP22" s="120"/>
      <c r="DQ22" s="120"/>
      <c r="DR22" s="120"/>
      <c r="DS22" s="348"/>
      <c r="DT22" s="120"/>
      <c r="DU22" s="348"/>
      <c r="DV22" s="348"/>
      <c r="DW22" s="348"/>
      <c r="DX22" s="348"/>
      <c r="DY22" s="348"/>
      <c r="DZ22" s="348"/>
      <c r="EA22" s="348"/>
      <c r="EB22" s="348"/>
      <c r="EC22" s="120"/>
      <c r="ED22" s="348"/>
      <c r="EE22" s="348"/>
      <c r="EF22" s="348"/>
      <c r="EG22" s="348"/>
      <c r="EH22" s="120"/>
      <c r="EI22" s="348"/>
      <c r="EJ22" s="348"/>
      <c r="EK22" s="348"/>
      <c r="EL22" s="348"/>
      <c r="EM22" s="348"/>
      <c r="EN22" s="348"/>
      <c r="EO22" s="348"/>
      <c r="EP22" s="348"/>
      <c r="EQ22" s="348"/>
      <c r="ER22" s="348"/>
      <c r="ES22" s="120"/>
      <c r="ET22" s="348"/>
      <c r="EU22" s="348"/>
      <c r="EV22" s="120"/>
      <c r="EW22" s="120"/>
      <c r="EX22" s="348"/>
      <c r="EY22" s="120"/>
      <c r="EZ22" s="348"/>
      <c r="FA22" s="348"/>
      <c r="FB22" s="348"/>
      <c r="FC22" s="348"/>
      <c r="FD22" s="120"/>
      <c r="FE22" s="348"/>
      <c r="FF22" s="348"/>
      <c r="FG22" s="348"/>
      <c r="FH22" s="120"/>
      <c r="FI22" s="120"/>
      <c r="FJ22" s="120"/>
      <c r="FK22" s="348"/>
      <c r="FL22" s="120"/>
      <c r="FM22" s="120"/>
      <c r="FN22" s="348"/>
      <c r="FO22" s="120"/>
      <c r="FP22" s="348"/>
    </row>
    <row r="23" spans="2:172">
      <c r="B23" s="203">
        <f t="shared" si="0"/>
        <v>14</v>
      </c>
      <c r="C23" s="358">
        <f>'顧客-顧客の作成'!C23</f>
        <v>0</v>
      </c>
      <c r="D23" s="358">
        <f>'顧客-顧客の作成'!D23</f>
        <v>0</v>
      </c>
      <c r="E23" s="358">
        <f>'顧客-顧客の作成'!E23</f>
        <v>0</v>
      </c>
      <c r="F23" s="204"/>
      <c r="G23" s="359">
        <f>'顧客-顧客の作成'!J23</f>
        <v>0</v>
      </c>
      <c r="H23" s="360"/>
      <c r="I23" s="359"/>
      <c r="J23" s="121"/>
      <c r="K23" s="348"/>
      <c r="L23" s="348"/>
      <c r="M23" s="348"/>
      <c r="N23" s="348"/>
      <c r="O23" s="348"/>
      <c r="P23" s="348"/>
      <c r="Q23" s="348"/>
      <c r="R23" s="348"/>
      <c r="S23" s="348"/>
      <c r="T23" s="348"/>
      <c r="U23" s="348"/>
      <c r="V23" s="348"/>
      <c r="W23" s="349"/>
      <c r="X23" s="348"/>
      <c r="Y23" s="348"/>
      <c r="Z23" s="348"/>
      <c r="AA23" s="348"/>
      <c r="AB23" s="348"/>
      <c r="AC23" s="348"/>
      <c r="AD23" s="348"/>
      <c r="AE23" s="348"/>
      <c r="AF23" s="348"/>
      <c r="AG23" s="348"/>
      <c r="AH23" s="348"/>
      <c r="AI23" s="120"/>
      <c r="AJ23" s="348"/>
      <c r="AK23" s="348"/>
      <c r="AL23" s="120"/>
      <c r="AM23" s="348"/>
      <c r="AN23" s="348"/>
      <c r="AO23" s="348"/>
      <c r="AP23" s="348"/>
      <c r="AQ23" s="120"/>
      <c r="AR23" s="120"/>
      <c r="AS23" s="348"/>
      <c r="AT23" s="348"/>
      <c r="AU23" s="120"/>
      <c r="AV23" s="120"/>
      <c r="AW23" s="120"/>
      <c r="AX23" s="348"/>
      <c r="AY23" s="348"/>
      <c r="AZ23" s="348"/>
      <c r="BA23" s="348"/>
      <c r="BB23" s="348"/>
      <c r="BC23" s="348"/>
      <c r="BD23" s="348"/>
      <c r="BE23" s="348">
        <f>'顧客-顧客の作成'!K23</f>
        <v>0</v>
      </c>
      <c r="BF23" s="348"/>
      <c r="BG23" s="348"/>
      <c r="BH23" s="348"/>
      <c r="BI23" s="348"/>
      <c r="BJ23" s="120"/>
      <c r="BK23" s="120"/>
      <c r="BL23" s="120"/>
      <c r="BM23" s="120"/>
      <c r="BN23" s="120"/>
      <c r="BO23" s="120"/>
      <c r="BP23" s="120"/>
      <c r="BQ23" s="120"/>
      <c r="BR23" s="120"/>
      <c r="BS23" s="120"/>
      <c r="BT23" s="120"/>
      <c r="BU23" s="120"/>
      <c r="BV23" s="120"/>
      <c r="BW23" s="120"/>
      <c r="BX23" s="120"/>
      <c r="BY23" s="120"/>
      <c r="BZ23" s="120"/>
      <c r="CA23" s="120"/>
      <c r="CB23" s="120"/>
      <c r="CC23" s="120"/>
      <c r="CD23" s="120"/>
      <c r="CE23" s="120"/>
      <c r="CF23" s="120"/>
      <c r="CG23" s="120"/>
      <c r="CH23" s="120"/>
      <c r="CI23" s="120"/>
      <c r="CJ23" s="120"/>
      <c r="CK23" s="120"/>
      <c r="CL23" s="120"/>
      <c r="CM23" s="348"/>
      <c r="CN23" s="348"/>
      <c r="CO23" s="348"/>
      <c r="CP23" s="348"/>
      <c r="CQ23" s="348"/>
      <c r="CR23" s="348"/>
      <c r="CS23" s="348"/>
      <c r="CT23" s="348"/>
      <c r="CU23" s="348"/>
      <c r="CV23" s="348"/>
      <c r="CW23" s="348"/>
      <c r="CX23" s="348"/>
      <c r="CY23" s="348"/>
      <c r="CZ23" s="348"/>
      <c r="DA23" s="348"/>
      <c r="DB23" s="348"/>
      <c r="DC23" s="348"/>
      <c r="DD23" s="348"/>
      <c r="DE23" s="120"/>
      <c r="DF23" s="348"/>
      <c r="DG23" s="348"/>
      <c r="DH23" s="348">
        <f>'顧客-顧客の作成'!L23</f>
        <v>0</v>
      </c>
      <c r="DI23" s="348"/>
      <c r="DJ23" s="348"/>
      <c r="DK23" s="348"/>
      <c r="DL23" s="348"/>
      <c r="DM23" s="348"/>
      <c r="DN23" s="348"/>
      <c r="DO23" s="348"/>
      <c r="DP23" s="120"/>
      <c r="DQ23" s="120"/>
      <c r="DR23" s="120"/>
      <c r="DS23" s="348"/>
      <c r="DT23" s="120"/>
      <c r="DU23" s="348"/>
      <c r="DV23" s="348"/>
      <c r="DW23" s="348"/>
      <c r="DX23" s="348"/>
      <c r="DY23" s="348"/>
      <c r="DZ23" s="348"/>
      <c r="EA23" s="348"/>
      <c r="EB23" s="348"/>
      <c r="EC23" s="120"/>
      <c r="ED23" s="348"/>
      <c r="EE23" s="348"/>
      <c r="EF23" s="348"/>
      <c r="EG23" s="348"/>
      <c r="EH23" s="120"/>
      <c r="EI23" s="348"/>
      <c r="EJ23" s="348"/>
      <c r="EK23" s="348"/>
      <c r="EL23" s="348"/>
      <c r="EM23" s="348"/>
      <c r="EN23" s="348"/>
      <c r="EO23" s="348"/>
      <c r="EP23" s="348"/>
      <c r="EQ23" s="348"/>
      <c r="ER23" s="348"/>
      <c r="ES23" s="120"/>
      <c r="ET23" s="348"/>
      <c r="EU23" s="348"/>
      <c r="EV23" s="120"/>
      <c r="EW23" s="120"/>
      <c r="EX23" s="348"/>
      <c r="EY23" s="120"/>
      <c r="EZ23" s="348"/>
      <c r="FA23" s="348"/>
      <c r="FB23" s="348"/>
      <c r="FC23" s="348"/>
      <c r="FD23" s="120"/>
      <c r="FE23" s="348"/>
      <c r="FF23" s="348"/>
      <c r="FG23" s="348"/>
      <c r="FH23" s="120"/>
      <c r="FI23" s="120"/>
      <c r="FJ23" s="120"/>
      <c r="FK23" s="348"/>
      <c r="FL23" s="120"/>
      <c r="FM23" s="120"/>
      <c r="FN23" s="348"/>
      <c r="FO23" s="120"/>
      <c r="FP23" s="348"/>
    </row>
    <row r="24" spans="2:172">
      <c r="B24" s="203">
        <f t="shared" si="0"/>
        <v>15</v>
      </c>
      <c r="C24" s="358">
        <f>'顧客-顧客の作成'!C24</f>
        <v>0</v>
      </c>
      <c r="D24" s="358">
        <f>'顧客-顧客の作成'!D24</f>
        <v>0</v>
      </c>
      <c r="E24" s="358">
        <f>'顧客-顧客の作成'!E24</f>
        <v>0</v>
      </c>
      <c r="F24" s="204"/>
      <c r="G24" s="359">
        <f>'顧客-顧客の作成'!J24</f>
        <v>0</v>
      </c>
      <c r="H24" s="360"/>
      <c r="I24" s="359"/>
      <c r="J24" s="121"/>
      <c r="K24" s="348"/>
      <c r="L24" s="348"/>
      <c r="M24" s="348"/>
      <c r="N24" s="348"/>
      <c r="O24" s="348"/>
      <c r="P24" s="348"/>
      <c r="Q24" s="348"/>
      <c r="R24" s="348"/>
      <c r="S24" s="348"/>
      <c r="T24" s="348"/>
      <c r="U24" s="348"/>
      <c r="V24" s="348"/>
      <c r="W24" s="349"/>
      <c r="X24" s="348"/>
      <c r="Y24" s="348"/>
      <c r="Z24" s="348"/>
      <c r="AA24" s="348"/>
      <c r="AB24" s="348"/>
      <c r="AC24" s="348"/>
      <c r="AD24" s="348"/>
      <c r="AE24" s="348"/>
      <c r="AF24" s="348"/>
      <c r="AG24" s="348"/>
      <c r="AH24" s="348"/>
      <c r="AI24" s="120"/>
      <c r="AJ24" s="348"/>
      <c r="AK24" s="348"/>
      <c r="AL24" s="120"/>
      <c r="AM24" s="348"/>
      <c r="AN24" s="348"/>
      <c r="AO24" s="348"/>
      <c r="AP24" s="348"/>
      <c r="AQ24" s="120"/>
      <c r="AR24" s="120"/>
      <c r="AS24" s="348"/>
      <c r="AT24" s="348"/>
      <c r="AU24" s="120"/>
      <c r="AV24" s="120"/>
      <c r="AW24" s="120"/>
      <c r="AX24" s="348"/>
      <c r="AY24" s="348"/>
      <c r="AZ24" s="348"/>
      <c r="BA24" s="348"/>
      <c r="BB24" s="348"/>
      <c r="BC24" s="348"/>
      <c r="BD24" s="348"/>
      <c r="BE24" s="348">
        <f>'顧客-顧客の作成'!K24</f>
        <v>0</v>
      </c>
      <c r="BF24" s="348"/>
      <c r="BG24" s="348"/>
      <c r="BH24" s="348"/>
      <c r="BI24" s="348"/>
      <c r="BJ24" s="120"/>
      <c r="BK24" s="120"/>
      <c r="BL24" s="120"/>
      <c r="BM24" s="120"/>
      <c r="BN24" s="120"/>
      <c r="BO24" s="120"/>
      <c r="BP24" s="120"/>
      <c r="BQ24" s="120"/>
      <c r="BR24" s="120"/>
      <c r="BS24" s="120"/>
      <c r="BT24" s="120"/>
      <c r="BU24" s="120"/>
      <c r="BV24" s="120"/>
      <c r="BW24" s="120"/>
      <c r="BX24" s="120"/>
      <c r="BY24" s="120"/>
      <c r="BZ24" s="120"/>
      <c r="CA24" s="120"/>
      <c r="CB24" s="120"/>
      <c r="CC24" s="120"/>
      <c r="CD24" s="120"/>
      <c r="CE24" s="120"/>
      <c r="CF24" s="120"/>
      <c r="CG24" s="120"/>
      <c r="CH24" s="120"/>
      <c r="CI24" s="120"/>
      <c r="CJ24" s="120"/>
      <c r="CK24" s="120"/>
      <c r="CL24" s="120"/>
      <c r="CM24" s="348"/>
      <c r="CN24" s="348"/>
      <c r="CO24" s="348"/>
      <c r="CP24" s="348"/>
      <c r="CQ24" s="348"/>
      <c r="CR24" s="348"/>
      <c r="CS24" s="348"/>
      <c r="CT24" s="348"/>
      <c r="CU24" s="348"/>
      <c r="CV24" s="348"/>
      <c r="CW24" s="348"/>
      <c r="CX24" s="348"/>
      <c r="CY24" s="348"/>
      <c r="CZ24" s="348"/>
      <c r="DA24" s="348"/>
      <c r="DB24" s="348"/>
      <c r="DC24" s="348"/>
      <c r="DD24" s="348"/>
      <c r="DE24" s="120"/>
      <c r="DF24" s="348"/>
      <c r="DG24" s="348"/>
      <c r="DH24" s="348">
        <f>'顧客-顧客の作成'!L24</f>
        <v>0</v>
      </c>
      <c r="DI24" s="348"/>
      <c r="DJ24" s="348"/>
      <c r="DK24" s="348"/>
      <c r="DL24" s="348"/>
      <c r="DM24" s="348"/>
      <c r="DN24" s="348"/>
      <c r="DO24" s="348"/>
      <c r="DP24" s="120"/>
      <c r="DQ24" s="120"/>
      <c r="DR24" s="120"/>
      <c r="DS24" s="348"/>
      <c r="DT24" s="120"/>
      <c r="DU24" s="348"/>
      <c r="DV24" s="348"/>
      <c r="DW24" s="348"/>
      <c r="DX24" s="348"/>
      <c r="DY24" s="348"/>
      <c r="DZ24" s="348"/>
      <c r="EA24" s="348"/>
      <c r="EB24" s="348"/>
      <c r="EC24" s="120"/>
      <c r="ED24" s="348"/>
      <c r="EE24" s="348"/>
      <c r="EF24" s="348"/>
      <c r="EG24" s="348"/>
      <c r="EH24" s="120"/>
      <c r="EI24" s="348"/>
      <c r="EJ24" s="348"/>
      <c r="EK24" s="348"/>
      <c r="EL24" s="348"/>
      <c r="EM24" s="348"/>
      <c r="EN24" s="348"/>
      <c r="EO24" s="348"/>
      <c r="EP24" s="348"/>
      <c r="EQ24" s="348"/>
      <c r="ER24" s="348"/>
      <c r="ES24" s="120"/>
      <c r="ET24" s="348"/>
      <c r="EU24" s="348"/>
      <c r="EV24" s="120"/>
      <c r="EW24" s="120"/>
      <c r="EX24" s="348"/>
      <c r="EY24" s="120"/>
      <c r="EZ24" s="348"/>
      <c r="FA24" s="348"/>
      <c r="FB24" s="348"/>
      <c r="FC24" s="348"/>
      <c r="FD24" s="120"/>
      <c r="FE24" s="348"/>
      <c r="FF24" s="348"/>
      <c r="FG24" s="348"/>
      <c r="FH24" s="120"/>
      <c r="FI24" s="120"/>
      <c r="FJ24" s="120"/>
      <c r="FK24" s="348"/>
      <c r="FL24" s="120"/>
      <c r="FM24" s="120"/>
      <c r="FN24" s="348"/>
      <c r="FO24" s="120"/>
      <c r="FP24" s="348"/>
    </row>
    <row r="25" spans="2:172">
      <c r="B25" s="203">
        <f t="shared" si="0"/>
        <v>16</v>
      </c>
      <c r="C25" s="358">
        <f>'顧客-顧客の作成'!C25</f>
        <v>0</v>
      </c>
      <c r="D25" s="358">
        <f>'顧客-顧客の作成'!D25</f>
        <v>0</v>
      </c>
      <c r="E25" s="358">
        <f>'顧客-顧客の作成'!E25</f>
        <v>0</v>
      </c>
      <c r="F25" s="204"/>
      <c r="G25" s="359">
        <f>'顧客-顧客の作成'!J25</f>
        <v>0</v>
      </c>
      <c r="H25" s="360"/>
      <c r="I25" s="359"/>
      <c r="J25" s="121"/>
      <c r="K25" s="348"/>
      <c r="L25" s="348"/>
      <c r="M25" s="348"/>
      <c r="N25" s="348"/>
      <c r="O25" s="348"/>
      <c r="P25" s="348"/>
      <c r="Q25" s="348"/>
      <c r="R25" s="348"/>
      <c r="S25" s="348"/>
      <c r="T25" s="348"/>
      <c r="U25" s="348"/>
      <c r="V25" s="348"/>
      <c r="W25" s="349"/>
      <c r="X25" s="348"/>
      <c r="Y25" s="348"/>
      <c r="Z25" s="348"/>
      <c r="AA25" s="348"/>
      <c r="AB25" s="348"/>
      <c r="AC25" s="348"/>
      <c r="AD25" s="348"/>
      <c r="AE25" s="348"/>
      <c r="AF25" s="348"/>
      <c r="AG25" s="348"/>
      <c r="AH25" s="348"/>
      <c r="AI25" s="120"/>
      <c r="AJ25" s="348"/>
      <c r="AK25" s="348"/>
      <c r="AL25" s="120"/>
      <c r="AM25" s="348"/>
      <c r="AN25" s="348"/>
      <c r="AO25" s="348"/>
      <c r="AP25" s="348"/>
      <c r="AQ25" s="120"/>
      <c r="AR25" s="120"/>
      <c r="AS25" s="348"/>
      <c r="AT25" s="348"/>
      <c r="AU25" s="120"/>
      <c r="AV25" s="120"/>
      <c r="AW25" s="120"/>
      <c r="AX25" s="348"/>
      <c r="AY25" s="348"/>
      <c r="AZ25" s="348"/>
      <c r="BA25" s="348"/>
      <c r="BB25" s="348"/>
      <c r="BC25" s="348"/>
      <c r="BD25" s="348"/>
      <c r="BE25" s="348">
        <f>'顧客-顧客の作成'!K25</f>
        <v>0</v>
      </c>
      <c r="BF25" s="348"/>
      <c r="BG25" s="348"/>
      <c r="BH25" s="348"/>
      <c r="BI25" s="348"/>
      <c r="BJ25" s="120"/>
      <c r="BK25" s="120"/>
      <c r="BL25" s="120"/>
      <c r="BM25" s="120"/>
      <c r="BN25" s="120"/>
      <c r="BO25" s="120"/>
      <c r="BP25" s="120"/>
      <c r="BQ25" s="120"/>
      <c r="BR25" s="120"/>
      <c r="BS25" s="120"/>
      <c r="BT25" s="120"/>
      <c r="BU25" s="120"/>
      <c r="BV25" s="120"/>
      <c r="BW25" s="120"/>
      <c r="BX25" s="120"/>
      <c r="BY25" s="120"/>
      <c r="BZ25" s="120"/>
      <c r="CA25" s="120"/>
      <c r="CB25" s="120"/>
      <c r="CC25" s="120"/>
      <c r="CD25" s="120"/>
      <c r="CE25" s="120"/>
      <c r="CF25" s="120"/>
      <c r="CG25" s="120"/>
      <c r="CH25" s="120"/>
      <c r="CI25" s="120"/>
      <c r="CJ25" s="120"/>
      <c r="CK25" s="120"/>
      <c r="CL25" s="120"/>
      <c r="CM25" s="348"/>
      <c r="CN25" s="348"/>
      <c r="CO25" s="348"/>
      <c r="CP25" s="348"/>
      <c r="CQ25" s="348"/>
      <c r="CR25" s="348"/>
      <c r="CS25" s="348"/>
      <c r="CT25" s="348"/>
      <c r="CU25" s="348"/>
      <c r="CV25" s="348"/>
      <c r="CW25" s="348"/>
      <c r="CX25" s="348"/>
      <c r="CY25" s="348"/>
      <c r="CZ25" s="348"/>
      <c r="DA25" s="348"/>
      <c r="DB25" s="348"/>
      <c r="DC25" s="348"/>
      <c r="DD25" s="348"/>
      <c r="DE25" s="120"/>
      <c r="DF25" s="348"/>
      <c r="DG25" s="348"/>
      <c r="DH25" s="348">
        <f>'顧客-顧客の作成'!L25</f>
        <v>0</v>
      </c>
      <c r="DI25" s="348"/>
      <c r="DJ25" s="348"/>
      <c r="DK25" s="348"/>
      <c r="DL25" s="348"/>
      <c r="DM25" s="348"/>
      <c r="DN25" s="348"/>
      <c r="DO25" s="348"/>
      <c r="DP25" s="120"/>
      <c r="DQ25" s="120"/>
      <c r="DR25" s="120"/>
      <c r="DS25" s="348"/>
      <c r="DT25" s="120"/>
      <c r="DU25" s="348"/>
      <c r="DV25" s="348"/>
      <c r="DW25" s="348"/>
      <c r="DX25" s="348"/>
      <c r="DY25" s="348"/>
      <c r="DZ25" s="348"/>
      <c r="EA25" s="348"/>
      <c r="EB25" s="348"/>
      <c r="EC25" s="120"/>
      <c r="ED25" s="348"/>
      <c r="EE25" s="348"/>
      <c r="EF25" s="348"/>
      <c r="EG25" s="348"/>
      <c r="EH25" s="120"/>
      <c r="EI25" s="348"/>
      <c r="EJ25" s="348"/>
      <c r="EK25" s="348"/>
      <c r="EL25" s="348"/>
      <c r="EM25" s="348"/>
      <c r="EN25" s="348"/>
      <c r="EO25" s="348"/>
      <c r="EP25" s="348"/>
      <c r="EQ25" s="348"/>
      <c r="ER25" s="348"/>
      <c r="ES25" s="120"/>
      <c r="ET25" s="348"/>
      <c r="EU25" s="348"/>
      <c r="EV25" s="120"/>
      <c r="EW25" s="120"/>
      <c r="EX25" s="348"/>
      <c r="EY25" s="120"/>
      <c r="EZ25" s="348"/>
      <c r="FA25" s="348"/>
      <c r="FB25" s="348"/>
      <c r="FC25" s="348"/>
      <c r="FD25" s="120"/>
      <c r="FE25" s="348"/>
      <c r="FF25" s="348"/>
      <c r="FG25" s="348"/>
      <c r="FH25" s="120"/>
      <c r="FI25" s="120"/>
      <c r="FJ25" s="120"/>
      <c r="FK25" s="348"/>
      <c r="FL25" s="120"/>
      <c r="FM25" s="120"/>
      <c r="FN25" s="348"/>
      <c r="FO25" s="120"/>
      <c r="FP25" s="348"/>
    </row>
    <row r="26" spans="2:172">
      <c r="B26" s="203">
        <f t="shared" si="0"/>
        <v>17</v>
      </c>
      <c r="C26" s="358">
        <f>'顧客-顧客の作成'!C26</f>
        <v>0</v>
      </c>
      <c r="D26" s="358">
        <f>'顧客-顧客の作成'!D26</f>
        <v>0</v>
      </c>
      <c r="E26" s="358">
        <f>'顧客-顧客の作成'!E26</f>
        <v>0</v>
      </c>
      <c r="F26" s="204"/>
      <c r="G26" s="359">
        <f>'顧客-顧客の作成'!J26</f>
        <v>0</v>
      </c>
      <c r="H26" s="360"/>
      <c r="I26" s="359"/>
      <c r="J26" s="121"/>
      <c r="K26" s="348"/>
      <c r="L26" s="348"/>
      <c r="M26" s="348"/>
      <c r="N26" s="348"/>
      <c r="O26" s="348"/>
      <c r="P26" s="348"/>
      <c r="Q26" s="348"/>
      <c r="R26" s="348"/>
      <c r="S26" s="348"/>
      <c r="T26" s="348"/>
      <c r="U26" s="348"/>
      <c r="V26" s="348"/>
      <c r="W26" s="349"/>
      <c r="X26" s="348"/>
      <c r="Y26" s="348"/>
      <c r="Z26" s="348"/>
      <c r="AA26" s="348"/>
      <c r="AB26" s="348"/>
      <c r="AC26" s="348"/>
      <c r="AD26" s="348"/>
      <c r="AE26" s="348"/>
      <c r="AF26" s="348"/>
      <c r="AG26" s="348"/>
      <c r="AH26" s="348"/>
      <c r="AI26" s="120"/>
      <c r="AJ26" s="348"/>
      <c r="AK26" s="348"/>
      <c r="AL26" s="120"/>
      <c r="AM26" s="348"/>
      <c r="AN26" s="348"/>
      <c r="AO26" s="348"/>
      <c r="AP26" s="348"/>
      <c r="AQ26" s="120"/>
      <c r="AR26" s="120"/>
      <c r="AS26" s="348"/>
      <c r="AT26" s="348"/>
      <c r="AU26" s="120"/>
      <c r="AV26" s="120"/>
      <c r="AW26" s="120"/>
      <c r="AX26" s="348"/>
      <c r="AY26" s="348"/>
      <c r="AZ26" s="348"/>
      <c r="BA26" s="348"/>
      <c r="BB26" s="348"/>
      <c r="BC26" s="348"/>
      <c r="BD26" s="348"/>
      <c r="BE26" s="348">
        <f>'顧客-顧客の作成'!K26</f>
        <v>0</v>
      </c>
      <c r="BF26" s="348"/>
      <c r="BG26" s="348"/>
      <c r="BH26" s="348"/>
      <c r="BI26" s="348"/>
      <c r="BJ26" s="120"/>
      <c r="BK26" s="120"/>
      <c r="BL26" s="120"/>
      <c r="BM26" s="120"/>
      <c r="BN26" s="120"/>
      <c r="BO26" s="120"/>
      <c r="BP26" s="120"/>
      <c r="BQ26" s="120"/>
      <c r="BR26" s="120"/>
      <c r="BS26" s="120"/>
      <c r="BT26" s="120"/>
      <c r="BU26" s="120"/>
      <c r="BV26" s="120"/>
      <c r="BW26" s="120"/>
      <c r="BX26" s="120"/>
      <c r="BY26" s="120"/>
      <c r="BZ26" s="120"/>
      <c r="CA26" s="120"/>
      <c r="CB26" s="120"/>
      <c r="CC26" s="120"/>
      <c r="CD26" s="120"/>
      <c r="CE26" s="120"/>
      <c r="CF26" s="120"/>
      <c r="CG26" s="120"/>
      <c r="CH26" s="120"/>
      <c r="CI26" s="120"/>
      <c r="CJ26" s="120"/>
      <c r="CK26" s="120"/>
      <c r="CL26" s="120"/>
      <c r="CM26" s="348"/>
      <c r="CN26" s="348"/>
      <c r="CO26" s="348"/>
      <c r="CP26" s="348"/>
      <c r="CQ26" s="348"/>
      <c r="CR26" s="348"/>
      <c r="CS26" s="348"/>
      <c r="CT26" s="348"/>
      <c r="CU26" s="348"/>
      <c r="CV26" s="348"/>
      <c r="CW26" s="348"/>
      <c r="CX26" s="348"/>
      <c r="CY26" s="348"/>
      <c r="CZ26" s="348"/>
      <c r="DA26" s="348"/>
      <c r="DB26" s="348"/>
      <c r="DC26" s="348"/>
      <c r="DD26" s="348"/>
      <c r="DE26" s="120"/>
      <c r="DF26" s="348"/>
      <c r="DG26" s="348"/>
      <c r="DH26" s="348">
        <f>'顧客-顧客の作成'!L26</f>
        <v>0</v>
      </c>
      <c r="DI26" s="348"/>
      <c r="DJ26" s="348"/>
      <c r="DK26" s="348"/>
      <c r="DL26" s="348"/>
      <c r="DM26" s="348"/>
      <c r="DN26" s="348"/>
      <c r="DO26" s="348"/>
      <c r="DP26" s="120"/>
      <c r="DQ26" s="120"/>
      <c r="DR26" s="120"/>
      <c r="DS26" s="348"/>
      <c r="DT26" s="120"/>
      <c r="DU26" s="348"/>
      <c r="DV26" s="348"/>
      <c r="DW26" s="348"/>
      <c r="DX26" s="348"/>
      <c r="DY26" s="348"/>
      <c r="DZ26" s="348"/>
      <c r="EA26" s="348"/>
      <c r="EB26" s="348"/>
      <c r="EC26" s="120"/>
      <c r="ED26" s="348"/>
      <c r="EE26" s="348"/>
      <c r="EF26" s="348"/>
      <c r="EG26" s="348"/>
      <c r="EH26" s="120"/>
      <c r="EI26" s="348"/>
      <c r="EJ26" s="348"/>
      <c r="EK26" s="348"/>
      <c r="EL26" s="348"/>
      <c r="EM26" s="348"/>
      <c r="EN26" s="348"/>
      <c r="EO26" s="348"/>
      <c r="EP26" s="348"/>
      <c r="EQ26" s="348"/>
      <c r="ER26" s="348"/>
      <c r="ES26" s="120"/>
      <c r="ET26" s="348"/>
      <c r="EU26" s="348"/>
      <c r="EV26" s="120"/>
      <c r="EW26" s="120"/>
      <c r="EX26" s="348"/>
      <c r="EY26" s="120"/>
      <c r="EZ26" s="348"/>
      <c r="FA26" s="348"/>
      <c r="FB26" s="348"/>
      <c r="FC26" s="348"/>
      <c r="FD26" s="120"/>
      <c r="FE26" s="348"/>
      <c r="FF26" s="348"/>
      <c r="FG26" s="348"/>
      <c r="FH26" s="120"/>
      <c r="FI26" s="120"/>
      <c r="FJ26" s="120"/>
      <c r="FK26" s="348"/>
      <c r="FL26" s="120"/>
      <c r="FM26" s="120"/>
      <c r="FN26" s="348"/>
      <c r="FO26" s="120"/>
      <c r="FP26" s="348"/>
    </row>
    <row r="27" spans="2:172">
      <c r="B27" s="203">
        <f t="shared" si="0"/>
        <v>18</v>
      </c>
      <c r="C27" s="358">
        <f>'顧客-顧客の作成'!C27</f>
        <v>0</v>
      </c>
      <c r="D27" s="358">
        <f>'顧客-顧客の作成'!D27</f>
        <v>0</v>
      </c>
      <c r="E27" s="358">
        <f>'顧客-顧客の作成'!E27</f>
        <v>0</v>
      </c>
      <c r="F27" s="204"/>
      <c r="G27" s="359">
        <f>'顧客-顧客の作成'!J27</f>
        <v>0</v>
      </c>
      <c r="H27" s="360"/>
      <c r="I27" s="359"/>
      <c r="J27" s="121"/>
      <c r="K27" s="348"/>
      <c r="L27" s="348"/>
      <c r="M27" s="348"/>
      <c r="N27" s="348"/>
      <c r="O27" s="348"/>
      <c r="P27" s="348"/>
      <c r="Q27" s="348"/>
      <c r="R27" s="348"/>
      <c r="S27" s="348"/>
      <c r="T27" s="348"/>
      <c r="U27" s="348"/>
      <c r="V27" s="348"/>
      <c r="W27" s="349"/>
      <c r="X27" s="348"/>
      <c r="Y27" s="348"/>
      <c r="Z27" s="348"/>
      <c r="AA27" s="348"/>
      <c r="AB27" s="348"/>
      <c r="AC27" s="348"/>
      <c r="AD27" s="348"/>
      <c r="AE27" s="348"/>
      <c r="AF27" s="348"/>
      <c r="AG27" s="348"/>
      <c r="AH27" s="348"/>
      <c r="AI27" s="120"/>
      <c r="AJ27" s="348"/>
      <c r="AK27" s="348"/>
      <c r="AL27" s="120"/>
      <c r="AM27" s="348"/>
      <c r="AN27" s="348"/>
      <c r="AO27" s="348"/>
      <c r="AP27" s="348"/>
      <c r="AQ27" s="120"/>
      <c r="AR27" s="120"/>
      <c r="AS27" s="348"/>
      <c r="AT27" s="348"/>
      <c r="AU27" s="120"/>
      <c r="AV27" s="120"/>
      <c r="AW27" s="120"/>
      <c r="AX27" s="348"/>
      <c r="AY27" s="348"/>
      <c r="AZ27" s="348"/>
      <c r="BA27" s="348"/>
      <c r="BB27" s="348"/>
      <c r="BC27" s="348"/>
      <c r="BD27" s="348"/>
      <c r="BE27" s="348">
        <f>'顧客-顧客の作成'!K27</f>
        <v>0</v>
      </c>
      <c r="BF27" s="348"/>
      <c r="BG27" s="348"/>
      <c r="BH27" s="348"/>
      <c r="BI27" s="348"/>
      <c r="BJ27" s="120"/>
      <c r="BK27" s="120"/>
      <c r="BL27" s="120"/>
      <c r="BM27" s="120"/>
      <c r="BN27" s="120"/>
      <c r="BO27" s="120"/>
      <c r="BP27" s="120"/>
      <c r="BQ27" s="120"/>
      <c r="BR27" s="120"/>
      <c r="BS27" s="120"/>
      <c r="BT27" s="120"/>
      <c r="BU27" s="120"/>
      <c r="BV27" s="120"/>
      <c r="BW27" s="120"/>
      <c r="BX27" s="120"/>
      <c r="BY27" s="120"/>
      <c r="BZ27" s="120"/>
      <c r="CA27" s="120"/>
      <c r="CB27" s="120"/>
      <c r="CC27" s="120"/>
      <c r="CD27" s="120"/>
      <c r="CE27" s="120"/>
      <c r="CF27" s="120"/>
      <c r="CG27" s="120"/>
      <c r="CH27" s="120"/>
      <c r="CI27" s="120"/>
      <c r="CJ27" s="120"/>
      <c r="CK27" s="120"/>
      <c r="CL27" s="120"/>
      <c r="CM27" s="348"/>
      <c r="CN27" s="348"/>
      <c r="CO27" s="348"/>
      <c r="CP27" s="348"/>
      <c r="CQ27" s="348"/>
      <c r="CR27" s="348"/>
      <c r="CS27" s="348"/>
      <c r="CT27" s="348"/>
      <c r="CU27" s="348"/>
      <c r="CV27" s="348"/>
      <c r="CW27" s="348"/>
      <c r="CX27" s="348"/>
      <c r="CY27" s="348"/>
      <c r="CZ27" s="348"/>
      <c r="DA27" s="348"/>
      <c r="DB27" s="348"/>
      <c r="DC27" s="348"/>
      <c r="DD27" s="348"/>
      <c r="DE27" s="120"/>
      <c r="DF27" s="348"/>
      <c r="DG27" s="348"/>
      <c r="DH27" s="348">
        <f>'顧客-顧客の作成'!L27</f>
        <v>0</v>
      </c>
      <c r="DI27" s="348"/>
      <c r="DJ27" s="348"/>
      <c r="DK27" s="348"/>
      <c r="DL27" s="348"/>
      <c r="DM27" s="348"/>
      <c r="DN27" s="348"/>
      <c r="DO27" s="348"/>
      <c r="DP27" s="120"/>
      <c r="DQ27" s="120"/>
      <c r="DR27" s="120"/>
      <c r="DS27" s="348"/>
      <c r="DT27" s="120"/>
      <c r="DU27" s="348"/>
      <c r="DV27" s="348"/>
      <c r="DW27" s="348"/>
      <c r="DX27" s="348"/>
      <c r="DY27" s="348"/>
      <c r="DZ27" s="348"/>
      <c r="EA27" s="348"/>
      <c r="EB27" s="348"/>
      <c r="EC27" s="120"/>
      <c r="ED27" s="348"/>
      <c r="EE27" s="348"/>
      <c r="EF27" s="348"/>
      <c r="EG27" s="348"/>
      <c r="EH27" s="120"/>
      <c r="EI27" s="348"/>
      <c r="EJ27" s="348"/>
      <c r="EK27" s="348"/>
      <c r="EL27" s="348"/>
      <c r="EM27" s="348"/>
      <c r="EN27" s="348"/>
      <c r="EO27" s="348"/>
      <c r="EP27" s="348"/>
      <c r="EQ27" s="348"/>
      <c r="ER27" s="348"/>
      <c r="ES27" s="120"/>
      <c r="ET27" s="348"/>
      <c r="EU27" s="348"/>
      <c r="EV27" s="120"/>
      <c r="EW27" s="120"/>
      <c r="EX27" s="348"/>
      <c r="EY27" s="120"/>
      <c r="EZ27" s="348"/>
      <c r="FA27" s="348"/>
      <c r="FB27" s="348"/>
      <c r="FC27" s="348"/>
      <c r="FD27" s="120"/>
      <c r="FE27" s="348"/>
      <c r="FF27" s="348"/>
      <c r="FG27" s="348"/>
      <c r="FH27" s="120"/>
      <c r="FI27" s="120"/>
      <c r="FJ27" s="120"/>
      <c r="FK27" s="348"/>
      <c r="FL27" s="120"/>
      <c r="FM27" s="120"/>
      <c r="FN27" s="348"/>
      <c r="FO27" s="120"/>
      <c r="FP27" s="348"/>
    </row>
    <row r="28" spans="2:172">
      <c r="B28" s="203">
        <f t="shared" si="0"/>
        <v>19</v>
      </c>
      <c r="C28" s="358">
        <f>'顧客-顧客の作成'!C28</f>
        <v>0</v>
      </c>
      <c r="D28" s="358">
        <f>'顧客-顧客の作成'!D28</f>
        <v>0</v>
      </c>
      <c r="E28" s="358">
        <f>'顧客-顧客の作成'!E28</f>
        <v>0</v>
      </c>
      <c r="F28" s="204"/>
      <c r="G28" s="359">
        <f>'顧客-顧客の作成'!J28</f>
        <v>0</v>
      </c>
      <c r="H28" s="360"/>
      <c r="I28" s="359"/>
      <c r="J28" s="121"/>
      <c r="K28" s="348"/>
      <c r="L28" s="348"/>
      <c r="M28" s="348"/>
      <c r="N28" s="348"/>
      <c r="O28" s="348"/>
      <c r="P28" s="348"/>
      <c r="Q28" s="348"/>
      <c r="R28" s="348"/>
      <c r="S28" s="348"/>
      <c r="T28" s="348"/>
      <c r="U28" s="348"/>
      <c r="V28" s="348"/>
      <c r="W28" s="349"/>
      <c r="X28" s="348"/>
      <c r="Y28" s="348"/>
      <c r="Z28" s="348"/>
      <c r="AA28" s="348"/>
      <c r="AB28" s="348"/>
      <c r="AC28" s="348"/>
      <c r="AD28" s="348"/>
      <c r="AE28" s="348"/>
      <c r="AF28" s="348"/>
      <c r="AG28" s="348"/>
      <c r="AH28" s="348"/>
      <c r="AI28" s="120"/>
      <c r="AJ28" s="348"/>
      <c r="AK28" s="348"/>
      <c r="AL28" s="120"/>
      <c r="AM28" s="348"/>
      <c r="AN28" s="348"/>
      <c r="AO28" s="348"/>
      <c r="AP28" s="348"/>
      <c r="AQ28" s="120"/>
      <c r="AR28" s="120"/>
      <c r="AS28" s="348"/>
      <c r="AT28" s="348"/>
      <c r="AU28" s="120"/>
      <c r="AV28" s="120"/>
      <c r="AW28" s="120"/>
      <c r="AX28" s="348"/>
      <c r="AY28" s="348"/>
      <c r="AZ28" s="348"/>
      <c r="BA28" s="348"/>
      <c r="BB28" s="348"/>
      <c r="BC28" s="348"/>
      <c r="BD28" s="348"/>
      <c r="BE28" s="348">
        <f>'顧客-顧客の作成'!K28</f>
        <v>0</v>
      </c>
      <c r="BF28" s="348"/>
      <c r="BG28" s="348"/>
      <c r="BH28" s="348"/>
      <c r="BI28" s="348"/>
      <c r="BJ28" s="120"/>
      <c r="BK28" s="120"/>
      <c r="BL28" s="120"/>
      <c r="BM28" s="120"/>
      <c r="BN28" s="120"/>
      <c r="BO28" s="120"/>
      <c r="BP28" s="120"/>
      <c r="BQ28" s="120"/>
      <c r="BR28" s="120"/>
      <c r="BS28" s="120"/>
      <c r="BT28" s="120"/>
      <c r="BU28" s="120"/>
      <c r="BV28" s="120"/>
      <c r="BW28" s="120"/>
      <c r="BX28" s="120"/>
      <c r="BY28" s="120"/>
      <c r="BZ28" s="120"/>
      <c r="CA28" s="120"/>
      <c r="CB28" s="120"/>
      <c r="CC28" s="120"/>
      <c r="CD28" s="120"/>
      <c r="CE28" s="120"/>
      <c r="CF28" s="120"/>
      <c r="CG28" s="120"/>
      <c r="CH28" s="120"/>
      <c r="CI28" s="120"/>
      <c r="CJ28" s="120"/>
      <c r="CK28" s="120"/>
      <c r="CL28" s="120"/>
      <c r="CM28" s="348"/>
      <c r="CN28" s="348"/>
      <c r="CO28" s="348"/>
      <c r="CP28" s="348"/>
      <c r="CQ28" s="348"/>
      <c r="CR28" s="348"/>
      <c r="CS28" s="348"/>
      <c r="CT28" s="348"/>
      <c r="CU28" s="348"/>
      <c r="CV28" s="348"/>
      <c r="CW28" s="348"/>
      <c r="CX28" s="348"/>
      <c r="CY28" s="348"/>
      <c r="CZ28" s="348"/>
      <c r="DA28" s="348"/>
      <c r="DB28" s="348"/>
      <c r="DC28" s="348"/>
      <c r="DD28" s="348"/>
      <c r="DE28" s="120"/>
      <c r="DF28" s="348"/>
      <c r="DG28" s="348"/>
      <c r="DH28" s="348">
        <f>'顧客-顧客の作成'!L28</f>
        <v>0</v>
      </c>
      <c r="DI28" s="348"/>
      <c r="DJ28" s="348"/>
      <c r="DK28" s="348"/>
      <c r="DL28" s="348"/>
      <c r="DM28" s="348"/>
      <c r="DN28" s="348"/>
      <c r="DO28" s="348"/>
      <c r="DP28" s="120"/>
      <c r="DQ28" s="120"/>
      <c r="DR28" s="120"/>
      <c r="DS28" s="348"/>
      <c r="DT28" s="120"/>
      <c r="DU28" s="348"/>
      <c r="DV28" s="348"/>
      <c r="DW28" s="348"/>
      <c r="DX28" s="348"/>
      <c r="DY28" s="348"/>
      <c r="DZ28" s="348"/>
      <c r="EA28" s="348"/>
      <c r="EB28" s="348"/>
      <c r="EC28" s="120"/>
      <c r="ED28" s="348"/>
      <c r="EE28" s="348"/>
      <c r="EF28" s="348"/>
      <c r="EG28" s="348"/>
      <c r="EH28" s="120"/>
      <c r="EI28" s="348"/>
      <c r="EJ28" s="348"/>
      <c r="EK28" s="348"/>
      <c r="EL28" s="348"/>
      <c r="EM28" s="348"/>
      <c r="EN28" s="348"/>
      <c r="EO28" s="348"/>
      <c r="EP28" s="348"/>
      <c r="EQ28" s="348"/>
      <c r="ER28" s="348"/>
      <c r="ES28" s="120"/>
      <c r="ET28" s="348"/>
      <c r="EU28" s="348"/>
      <c r="EV28" s="120"/>
      <c r="EW28" s="120"/>
      <c r="EX28" s="348"/>
      <c r="EY28" s="120"/>
      <c r="EZ28" s="348"/>
      <c r="FA28" s="348"/>
      <c r="FB28" s="348"/>
      <c r="FC28" s="348"/>
      <c r="FD28" s="120"/>
      <c r="FE28" s="348"/>
      <c r="FF28" s="348"/>
      <c r="FG28" s="348"/>
      <c r="FH28" s="120"/>
      <c r="FI28" s="120"/>
      <c r="FJ28" s="120"/>
      <c r="FK28" s="348"/>
      <c r="FL28" s="120"/>
      <c r="FM28" s="120"/>
      <c r="FN28" s="348"/>
      <c r="FO28" s="120"/>
      <c r="FP28" s="348"/>
    </row>
    <row r="29" spans="2:172">
      <c r="B29" s="203">
        <f t="shared" si="0"/>
        <v>20</v>
      </c>
      <c r="C29" s="358">
        <f>'顧客-顧客の作成'!C29</f>
        <v>0</v>
      </c>
      <c r="D29" s="358">
        <f>'顧客-顧客の作成'!D29</f>
        <v>0</v>
      </c>
      <c r="E29" s="358">
        <f>'顧客-顧客の作成'!E29</f>
        <v>0</v>
      </c>
      <c r="F29" s="204"/>
      <c r="G29" s="359">
        <f>'顧客-顧客の作成'!J29</f>
        <v>0</v>
      </c>
      <c r="H29" s="360"/>
      <c r="I29" s="359"/>
      <c r="J29" s="121"/>
      <c r="K29" s="348"/>
      <c r="L29" s="348"/>
      <c r="M29" s="348"/>
      <c r="N29" s="348"/>
      <c r="O29" s="348"/>
      <c r="P29" s="348"/>
      <c r="Q29" s="348"/>
      <c r="R29" s="348"/>
      <c r="S29" s="348"/>
      <c r="T29" s="348"/>
      <c r="U29" s="348"/>
      <c r="V29" s="348"/>
      <c r="W29" s="349"/>
      <c r="X29" s="348"/>
      <c r="Y29" s="348"/>
      <c r="Z29" s="348"/>
      <c r="AA29" s="348"/>
      <c r="AB29" s="348"/>
      <c r="AC29" s="348"/>
      <c r="AD29" s="348"/>
      <c r="AE29" s="348"/>
      <c r="AF29" s="348"/>
      <c r="AG29" s="348"/>
      <c r="AH29" s="348"/>
      <c r="AI29" s="120"/>
      <c r="AJ29" s="348"/>
      <c r="AK29" s="348"/>
      <c r="AL29" s="120"/>
      <c r="AM29" s="348"/>
      <c r="AN29" s="348"/>
      <c r="AO29" s="348"/>
      <c r="AP29" s="348"/>
      <c r="AQ29" s="120"/>
      <c r="AR29" s="120"/>
      <c r="AS29" s="348"/>
      <c r="AT29" s="348"/>
      <c r="AU29" s="120"/>
      <c r="AV29" s="120"/>
      <c r="AW29" s="120"/>
      <c r="AX29" s="348"/>
      <c r="AY29" s="348"/>
      <c r="AZ29" s="348"/>
      <c r="BA29" s="348"/>
      <c r="BB29" s="348"/>
      <c r="BC29" s="348"/>
      <c r="BD29" s="348"/>
      <c r="BE29" s="348">
        <f>'顧客-顧客の作成'!K29</f>
        <v>0</v>
      </c>
      <c r="BF29" s="348"/>
      <c r="BG29" s="348"/>
      <c r="BH29" s="348"/>
      <c r="BI29" s="348"/>
      <c r="BJ29" s="120"/>
      <c r="BK29" s="120"/>
      <c r="BL29" s="120"/>
      <c r="BM29" s="120"/>
      <c r="BN29" s="120"/>
      <c r="BO29" s="120"/>
      <c r="BP29" s="120"/>
      <c r="BQ29" s="120"/>
      <c r="BR29" s="120"/>
      <c r="BS29" s="120"/>
      <c r="BT29" s="120"/>
      <c r="BU29" s="120"/>
      <c r="BV29" s="120"/>
      <c r="BW29" s="120"/>
      <c r="BX29" s="120"/>
      <c r="BY29" s="120"/>
      <c r="BZ29" s="120"/>
      <c r="CA29" s="120"/>
      <c r="CB29" s="120"/>
      <c r="CC29" s="120"/>
      <c r="CD29" s="120"/>
      <c r="CE29" s="120"/>
      <c r="CF29" s="120"/>
      <c r="CG29" s="120"/>
      <c r="CH29" s="120"/>
      <c r="CI29" s="120"/>
      <c r="CJ29" s="120"/>
      <c r="CK29" s="120"/>
      <c r="CL29" s="120"/>
      <c r="CM29" s="348"/>
      <c r="CN29" s="348"/>
      <c r="CO29" s="348"/>
      <c r="CP29" s="348"/>
      <c r="CQ29" s="348"/>
      <c r="CR29" s="348"/>
      <c r="CS29" s="348"/>
      <c r="CT29" s="348"/>
      <c r="CU29" s="348"/>
      <c r="CV29" s="348"/>
      <c r="CW29" s="348"/>
      <c r="CX29" s="348"/>
      <c r="CY29" s="348"/>
      <c r="CZ29" s="348"/>
      <c r="DA29" s="348"/>
      <c r="DB29" s="348"/>
      <c r="DC29" s="348"/>
      <c r="DD29" s="348"/>
      <c r="DE29" s="120"/>
      <c r="DF29" s="348"/>
      <c r="DG29" s="348"/>
      <c r="DH29" s="348">
        <f>'顧客-顧客の作成'!L29</f>
        <v>0</v>
      </c>
      <c r="DI29" s="348"/>
      <c r="DJ29" s="348"/>
      <c r="DK29" s="348"/>
      <c r="DL29" s="348"/>
      <c r="DM29" s="348"/>
      <c r="DN29" s="348"/>
      <c r="DO29" s="348"/>
      <c r="DP29" s="120"/>
      <c r="DQ29" s="120"/>
      <c r="DR29" s="120"/>
      <c r="DS29" s="348"/>
      <c r="DT29" s="120"/>
      <c r="DU29" s="348"/>
      <c r="DV29" s="348"/>
      <c r="DW29" s="348"/>
      <c r="DX29" s="348"/>
      <c r="DY29" s="348"/>
      <c r="DZ29" s="348"/>
      <c r="EA29" s="348"/>
      <c r="EB29" s="348"/>
      <c r="EC29" s="120"/>
      <c r="ED29" s="348"/>
      <c r="EE29" s="348"/>
      <c r="EF29" s="348"/>
      <c r="EG29" s="348"/>
      <c r="EH29" s="120"/>
      <c r="EI29" s="348"/>
      <c r="EJ29" s="348"/>
      <c r="EK29" s="348"/>
      <c r="EL29" s="348"/>
      <c r="EM29" s="348"/>
      <c r="EN29" s="348"/>
      <c r="EO29" s="348"/>
      <c r="EP29" s="348"/>
      <c r="EQ29" s="348"/>
      <c r="ER29" s="348"/>
      <c r="ES29" s="120"/>
      <c r="ET29" s="348"/>
      <c r="EU29" s="348"/>
      <c r="EV29" s="120"/>
      <c r="EW29" s="120"/>
      <c r="EX29" s="348"/>
      <c r="EY29" s="120"/>
      <c r="EZ29" s="348"/>
      <c r="FA29" s="348"/>
      <c r="FB29" s="348"/>
      <c r="FC29" s="348"/>
      <c r="FD29" s="120"/>
      <c r="FE29" s="348"/>
      <c r="FF29" s="348"/>
      <c r="FG29" s="348"/>
      <c r="FH29" s="120"/>
      <c r="FI29" s="120"/>
      <c r="FJ29" s="120"/>
      <c r="FK29" s="348"/>
      <c r="FL29" s="120"/>
      <c r="FM29" s="120"/>
      <c r="FN29" s="348"/>
      <c r="FO29" s="120"/>
      <c r="FP29" s="348"/>
    </row>
  </sheetData>
  <sheetProtection insertRows="0" deleteRows="0" sort="0" autoFilter="0"/>
  <mergeCells count="1">
    <mergeCell ref="B4:B8"/>
  </mergeCells>
  <phoneticPr fontId="14"/>
  <hyperlinks>
    <hyperlink ref="A3" location="パラメータ設定一覧!A1" display="パラメータ設定一覧へ" xr:uid="{28636E55-7DE7-4B65-B792-E91F9B64D8D0}"/>
  </hyperlinks>
  <pageMargins left="0.70866141732283472" right="0.70866141732283472" top="0.74803149606299213" bottom="0.74803149606299213" header="0.31496062992125984" footer="0.31496062992125984"/>
  <pageSetup paperSize="9" scale="10" orientation="portrait" r:id="rId1"/>
  <headerFooter>
    <oddFooter>&amp;RCopyright  SATO HOLDINGS CORPORATION All rights reserved</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9A3F2-6BCF-4466-9330-8D44D98BF897}">
  <sheetPr codeName="Sheet30"/>
  <dimension ref="A1:L7"/>
  <sheetViews>
    <sheetView showGridLines="0" zoomScaleNormal="100" workbookViewId="0">
      <pane xSplit="6" ySplit="5" topLeftCell="G6" activePane="bottomRight" state="frozen"/>
      <selection pane="topRight"/>
      <selection pane="bottomLeft"/>
      <selection pane="bottomRight" activeCell="G6" sqref="G6"/>
    </sheetView>
  </sheetViews>
  <sheetFormatPr defaultColWidth="8.78515625" defaultRowHeight="13.5"/>
  <cols>
    <col min="1" max="1" width="2.78515625" style="46" customWidth="1"/>
    <col min="2" max="2" width="3.35546875" style="46" bestFit="1" customWidth="1"/>
    <col min="3" max="3" width="16.78515625" style="46" customWidth="1"/>
    <col min="4" max="4" width="19.2109375" style="46" customWidth="1"/>
    <col min="5" max="5" width="8.78515625" style="46" bestFit="1" customWidth="1"/>
    <col min="6" max="6" width="21" style="46" customWidth="1"/>
    <col min="7" max="7" width="44.640625" style="46" customWidth="1"/>
    <col min="8" max="8" width="27.5703125" style="46" customWidth="1"/>
    <col min="9" max="9" width="17.42578125" style="46" customWidth="1"/>
    <col min="10" max="10" width="22.42578125" style="46" customWidth="1"/>
    <col min="11" max="11" width="18.2109375" style="46" customWidth="1"/>
    <col min="12" max="12" width="13.2109375" style="46" customWidth="1"/>
    <col min="13" max="16384" width="8.78515625" style="46"/>
  </cols>
  <sheetData>
    <row r="1" spans="1:12" s="86" customFormat="1" ht="19.5">
      <c r="A1" s="99" t="s">
        <v>736</v>
      </c>
    </row>
    <row r="2" spans="1:12" s="86" customFormat="1" ht="15">
      <c r="B2" s="86" t="s">
        <v>868</v>
      </c>
    </row>
    <row r="3" spans="1:12" s="86" customFormat="1" ht="15">
      <c r="B3" s="86" t="s">
        <v>867</v>
      </c>
    </row>
    <row r="4" spans="1:12" s="86" customFormat="1" ht="15">
      <c r="A4" s="10" t="s">
        <v>363</v>
      </c>
    </row>
    <row r="5" spans="1:12">
      <c r="B5" s="11" t="s">
        <v>1</v>
      </c>
      <c r="C5" s="11" t="s">
        <v>9</v>
      </c>
      <c r="D5" s="11" t="s">
        <v>10</v>
      </c>
      <c r="E5" s="11" t="s">
        <v>11</v>
      </c>
      <c r="F5" s="20" t="s">
        <v>12</v>
      </c>
      <c r="G5" s="20" t="s">
        <v>498</v>
      </c>
      <c r="H5" s="11" t="s">
        <v>14</v>
      </c>
      <c r="I5" s="11" t="s">
        <v>15</v>
      </c>
      <c r="J5" s="11" t="s">
        <v>16</v>
      </c>
      <c r="K5" s="14" t="s">
        <v>17</v>
      </c>
      <c r="L5" s="14" t="s">
        <v>18</v>
      </c>
    </row>
    <row r="6" spans="1:12" ht="27">
      <c r="B6" s="21">
        <f>ROW() - 5</f>
        <v>1</v>
      </c>
      <c r="C6" s="16" t="s">
        <v>866</v>
      </c>
      <c r="D6" s="16"/>
      <c r="E6" s="16"/>
      <c r="F6" s="22" t="s">
        <v>865</v>
      </c>
      <c r="G6" s="22"/>
      <c r="H6" s="22" t="s">
        <v>20</v>
      </c>
      <c r="I6" s="23" t="s">
        <v>21</v>
      </c>
      <c r="J6" s="23"/>
      <c r="K6" s="2" t="s">
        <v>864</v>
      </c>
      <c r="L6" s="3"/>
    </row>
    <row r="7" spans="1:12" ht="27">
      <c r="B7" s="21">
        <f>ROW() - 5</f>
        <v>2</v>
      </c>
      <c r="C7" s="19"/>
      <c r="D7" s="128"/>
      <c r="E7" s="50"/>
      <c r="F7" s="127" t="s">
        <v>45</v>
      </c>
      <c r="G7" s="22"/>
      <c r="H7" s="22" t="s">
        <v>20</v>
      </c>
      <c r="I7" s="48" t="s">
        <v>21</v>
      </c>
      <c r="J7" s="23"/>
      <c r="K7" s="2" t="s">
        <v>864</v>
      </c>
      <c r="L7" s="3"/>
    </row>
  </sheetData>
  <phoneticPr fontId="14"/>
  <hyperlinks>
    <hyperlink ref="A4" location="パラメータ設定一覧!A1" display="パラメータ設定一覧へ" xr:uid="{D9AFC5E0-9972-4B5A-9BF4-253C613D30FB}"/>
  </hyperlinks>
  <pageMargins left="0.7" right="0.7" top="0.75" bottom="0.75" header="0.3" footer="0.3"/>
  <pageSetup paperSize="9" orientation="portrait" horizontalDpi="1200" verticalDpi="1200"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45E38-2B56-47AE-8612-C56DA53F2543}">
  <sheetPr codeName="Sheet31"/>
  <dimension ref="A1:D13"/>
  <sheetViews>
    <sheetView showGridLines="0" zoomScaleNormal="100" workbookViewId="0">
      <pane ySplit="8" topLeftCell="A9" activePane="bottomLeft" state="frozen"/>
      <selection pane="bottomLeft" activeCell="A9" sqref="A9"/>
    </sheetView>
  </sheetViews>
  <sheetFormatPr defaultColWidth="8.78515625" defaultRowHeight="13.5"/>
  <cols>
    <col min="1" max="1" width="2.78515625" style="46" customWidth="1"/>
    <col min="2" max="2" width="3.5703125" style="46" bestFit="1" customWidth="1"/>
    <col min="3" max="3" width="17.2109375" style="46" customWidth="1"/>
    <col min="4" max="4" width="73.0703125" style="46" customWidth="1"/>
    <col min="5" max="5" width="16.78515625" style="46" customWidth="1"/>
    <col min="6" max="6" width="16.42578125" style="46" bestFit="1" customWidth="1"/>
    <col min="7" max="7" width="19.78515625" style="46" customWidth="1"/>
    <col min="8" max="8" width="19.640625" style="46" bestFit="1" customWidth="1"/>
    <col min="9" max="9" width="15.2109375" style="46" bestFit="1" customWidth="1"/>
    <col min="10" max="11" width="15.2109375" style="46" customWidth="1"/>
    <col min="12" max="12" width="20.640625" style="46" bestFit="1" customWidth="1"/>
    <col min="13" max="13" width="14.42578125" style="46" bestFit="1" customWidth="1"/>
    <col min="14" max="14" width="11.78515625" style="46" customWidth="1"/>
    <col min="15" max="15" width="8.2109375" style="46" bestFit="1" customWidth="1"/>
    <col min="16" max="16384" width="8.78515625" style="46"/>
  </cols>
  <sheetData>
    <row r="1" spans="1:4" s="86" customFormat="1" ht="19.5">
      <c r="A1" s="99" t="s">
        <v>2694</v>
      </c>
    </row>
    <row r="2" spans="1:4" s="86" customFormat="1" ht="15">
      <c r="A2" s="196" t="s">
        <v>2668</v>
      </c>
    </row>
    <row r="3" spans="1:4" s="86" customFormat="1" ht="15">
      <c r="A3" s="10" t="s">
        <v>363</v>
      </c>
    </row>
    <row r="4" spans="1:4" ht="15.75" customHeight="1">
      <c r="B4" s="440" t="s">
        <v>1</v>
      </c>
      <c r="C4" s="449" t="s">
        <v>869</v>
      </c>
      <c r="D4" s="449"/>
    </row>
    <row r="5" spans="1:4">
      <c r="B5" s="440"/>
      <c r="C5" s="449"/>
      <c r="D5" s="449"/>
    </row>
    <row r="6" spans="1:4">
      <c r="B6" s="440"/>
      <c r="C6" s="69" t="s">
        <v>865</v>
      </c>
      <c r="D6" s="69" t="s">
        <v>45</v>
      </c>
    </row>
    <row r="7" spans="1:4">
      <c r="B7" s="440"/>
      <c r="C7" s="8" t="s">
        <v>20</v>
      </c>
      <c r="D7" s="8" t="s">
        <v>20</v>
      </c>
    </row>
    <row r="8" spans="1:4">
      <c r="B8" s="440"/>
      <c r="C8" s="8" t="s">
        <v>2667</v>
      </c>
      <c r="D8" s="8"/>
    </row>
    <row r="9" spans="1:4">
      <c r="B9" s="217">
        <f>ROW() - 8</f>
        <v>1</v>
      </c>
      <c r="C9" s="266"/>
      <c r="D9" s="266"/>
    </row>
    <row r="10" spans="1:4">
      <c r="B10" s="217">
        <f t="shared" ref="B10:B13" si="0">ROW() - 8</f>
        <v>2</v>
      </c>
      <c r="C10" s="267"/>
      <c r="D10" s="266"/>
    </row>
    <row r="11" spans="1:4">
      <c r="B11" s="217">
        <f t="shared" si="0"/>
        <v>3</v>
      </c>
      <c r="C11" s="268"/>
      <c r="D11" s="269"/>
    </row>
    <row r="12" spans="1:4">
      <c r="B12" s="217">
        <f t="shared" si="0"/>
        <v>4</v>
      </c>
      <c r="C12" s="268"/>
      <c r="D12" s="269"/>
    </row>
    <row r="13" spans="1:4">
      <c r="B13" s="217">
        <f t="shared" si="0"/>
        <v>5</v>
      </c>
      <c r="C13" s="268"/>
      <c r="D13" s="217"/>
    </row>
  </sheetData>
  <sheetProtection insertRows="0" deleteRows="0" sort="0" autoFilter="0"/>
  <mergeCells count="2">
    <mergeCell ref="B4:B8"/>
    <mergeCell ref="C4:D5"/>
  </mergeCells>
  <phoneticPr fontId="14"/>
  <hyperlinks>
    <hyperlink ref="A3" location="パラメータ設定一覧!A1" display="パラメータ設定一覧へ" xr:uid="{F6E95A63-B415-445F-B48E-02265F66CCD3}"/>
  </hyperlinks>
  <pageMargins left="0.7" right="0.7" top="0.75" bottom="0.75" header="0.3" footer="0.3"/>
  <pageSetup paperSize="9" orientation="portrait" horizontalDpi="1200" verticalDpi="1200"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591DF-23B4-4D7C-8B04-CAE8860186BE}">
  <sheetPr codeName="Sheet34"/>
  <dimension ref="A1:L179"/>
  <sheetViews>
    <sheetView showGridLines="0" zoomScaleNormal="100" workbookViewId="0">
      <pane xSplit="6" ySplit="5" topLeftCell="G6" activePane="bottomRight" state="frozen"/>
      <selection activeCell="A3" sqref="A3"/>
      <selection pane="topRight" activeCell="A3" sqref="A3"/>
      <selection pane="bottomLeft" activeCell="A3" sqref="A3"/>
      <selection pane="bottomRight" activeCell="G6" sqref="G6"/>
    </sheetView>
  </sheetViews>
  <sheetFormatPr defaultColWidth="8.78515625" defaultRowHeight="13.5"/>
  <cols>
    <col min="1" max="1" width="2.78515625" style="46" customWidth="1"/>
    <col min="2" max="2" width="3.78515625" style="46" customWidth="1"/>
    <col min="3" max="3" width="16.78515625" style="46" customWidth="1"/>
    <col min="4" max="4" width="19.2109375" style="46" customWidth="1"/>
    <col min="5" max="5" width="16.5703125" style="46" customWidth="1"/>
    <col min="6" max="6" width="22.5703125" style="46" customWidth="1"/>
    <col min="7" max="7" width="19" style="46" customWidth="1"/>
    <col min="8" max="8" width="23.2109375" style="46" customWidth="1"/>
    <col min="9" max="9" width="17.42578125" style="53" customWidth="1"/>
    <col min="10" max="10" width="22.42578125" style="46" customWidth="1"/>
    <col min="11" max="11" width="18.2109375" style="46" customWidth="1"/>
    <col min="12" max="12" width="13.2109375" style="46" customWidth="1"/>
    <col min="13" max="16384" width="8.78515625" style="46"/>
  </cols>
  <sheetData>
    <row r="1" spans="1:12" s="86" customFormat="1" ht="19.5">
      <c r="A1" s="99" t="s">
        <v>887</v>
      </c>
      <c r="C1" s="46"/>
      <c r="D1" s="46"/>
      <c r="E1" s="46"/>
      <c r="F1" s="46"/>
      <c r="G1" s="46"/>
      <c r="H1" s="46"/>
      <c r="I1" s="53"/>
    </row>
    <row r="2" spans="1:12" s="86" customFormat="1" ht="15">
      <c r="B2" s="86" t="s">
        <v>889</v>
      </c>
      <c r="C2" s="46"/>
      <c r="D2" s="46"/>
      <c r="E2" s="46"/>
      <c r="F2" s="46"/>
      <c r="G2" s="46"/>
      <c r="H2" s="46"/>
      <c r="I2" s="53"/>
    </row>
    <row r="3" spans="1:12" s="86" customFormat="1" ht="15">
      <c r="B3" s="86" t="s">
        <v>888</v>
      </c>
      <c r="C3" s="46"/>
      <c r="D3" s="46"/>
      <c r="E3" s="46"/>
      <c r="F3" s="46"/>
      <c r="G3" s="46"/>
      <c r="H3" s="46"/>
      <c r="I3" s="53"/>
    </row>
    <row r="4" spans="1:12" s="86" customFormat="1" ht="15">
      <c r="A4" s="10" t="s">
        <v>363</v>
      </c>
      <c r="C4" s="46"/>
      <c r="D4" s="46"/>
      <c r="E4" s="46"/>
      <c r="F4" s="46"/>
      <c r="G4" s="46"/>
      <c r="H4" s="46"/>
      <c r="I4" s="53"/>
    </row>
    <row r="5" spans="1:12">
      <c r="B5" s="11" t="s">
        <v>1</v>
      </c>
      <c r="C5" s="11" t="s">
        <v>9</v>
      </c>
      <c r="D5" s="11" t="s">
        <v>10</v>
      </c>
      <c r="E5" s="11" t="s">
        <v>11</v>
      </c>
      <c r="F5" s="20" t="s">
        <v>12</v>
      </c>
      <c r="G5" s="20" t="s">
        <v>498</v>
      </c>
      <c r="H5" s="11" t="s">
        <v>14</v>
      </c>
      <c r="I5" s="54" t="s">
        <v>15</v>
      </c>
      <c r="J5" s="11" t="s">
        <v>16</v>
      </c>
      <c r="K5" s="14" t="s">
        <v>17</v>
      </c>
      <c r="L5" s="14" t="s">
        <v>18</v>
      </c>
    </row>
    <row r="6" spans="1:12" ht="27">
      <c r="B6" s="21">
        <f>ROW() - 5</f>
        <v>1</v>
      </c>
      <c r="C6" s="16" t="s">
        <v>887</v>
      </c>
      <c r="D6" s="16"/>
      <c r="E6" s="104"/>
      <c r="F6" s="22" t="s">
        <v>251</v>
      </c>
      <c r="G6" s="22"/>
      <c r="H6" s="44" t="s">
        <v>20</v>
      </c>
      <c r="I6" s="44" t="s">
        <v>331</v>
      </c>
      <c r="J6" s="17"/>
      <c r="K6" s="2" t="s">
        <v>886</v>
      </c>
      <c r="L6" s="3"/>
    </row>
    <row r="7" spans="1:12" ht="27">
      <c r="B7" s="21">
        <f>ROW() - 5</f>
        <v>2</v>
      </c>
      <c r="C7" s="68"/>
      <c r="D7" s="68"/>
      <c r="E7" s="68"/>
      <c r="F7" s="22" t="s">
        <v>19</v>
      </c>
      <c r="G7" s="22"/>
      <c r="H7" s="44" t="s">
        <v>20</v>
      </c>
      <c r="I7" s="44" t="s">
        <v>331</v>
      </c>
      <c r="J7" s="23"/>
      <c r="K7" s="2" t="s">
        <v>886</v>
      </c>
      <c r="L7" s="3"/>
    </row>
    <row r="8" spans="1:12" ht="54">
      <c r="B8" s="21">
        <f>ROW() - 5</f>
        <v>3</v>
      </c>
      <c r="C8" s="19"/>
      <c r="D8" s="19"/>
      <c r="E8" s="19"/>
      <c r="F8" s="22" t="s">
        <v>496</v>
      </c>
      <c r="G8" s="103"/>
      <c r="H8" s="44" t="s">
        <v>495</v>
      </c>
      <c r="I8" s="44" t="s">
        <v>251</v>
      </c>
      <c r="J8" s="23"/>
      <c r="K8" s="2" t="s">
        <v>886</v>
      </c>
      <c r="L8" s="3"/>
    </row>
    <row r="9" spans="1:12">
      <c r="I9" s="46"/>
    </row>
    <row r="10" spans="1:12">
      <c r="I10" s="46"/>
    </row>
    <row r="11" spans="1:12">
      <c r="I11" s="46"/>
    </row>
    <row r="12" spans="1:12">
      <c r="I12" s="46"/>
    </row>
    <row r="13" spans="1:12">
      <c r="I13" s="46"/>
    </row>
    <row r="14" spans="1:12">
      <c r="I14" s="46"/>
    </row>
    <row r="15" spans="1:12">
      <c r="I15" s="46"/>
    </row>
    <row r="16" spans="1:12">
      <c r="I16" s="46"/>
    </row>
    <row r="17" s="46" customFormat="1"/>
    <row r="18" s="46" customFormat="1"/>
    <row r="19" s="46" customFormat="1"/>
    <row r="20" s="46" customFormat="1"/>
    <row r="21" s="46" customFormat="1"/>
    <row r="22" s="46" customFormat="1"/>
    <row r="23" s="46" customFormat="1"/>
    <row r="24" s="46" customFormat="1"/>
    <row r="25" s="46" customFormat="1"/>
    <row r="26" s="46" customFormat="1"/>
    <row r="27" s="46" customFormat="1" ht="33" customHeight="1"/>
    <row r="28" s="46" customFormat="1"/>
    <row r="29" s="46" customFormat="1"/>
    <row r="30" s="46" customFormat="1"/>
    <row r="31" s="46" customFormat="1"/>
    <row r="32" s="46" customFormat="1" ht="31.5" customHeight="1"/>
    <row r="33" s="46" customFormat="1"/>
    <row r="34" s="46" customFormat="1"/>
    <row r="35" s="46" customFormat="1"/>
    <row r="36" s="46" customFormat="1"/>
    <row r="37" s="46" customFormat="1"/>
    <row r="38" s="46" customFormat="1"/>
    <row r="39" s="46" customFormat="1"/>
    <row r="40" s="46" customFormat="1"/>
    <row r="41" s="46" customFormat="1"/>
    <row r="42" s="46" customFormat="1" ht="30.75" customHeight="1"/>
    <row r="43" s="46" customFormat="1" ht="33" customHeight="1"/>
    <row r="44" s="46" customFormat="1"/>
    <row r="45" s="46" customFormat="1"/>
    <row r="46" s="46" customFormat="1"/>
    <row r="47" s="46" customFormat="1"/>
    <row r="48" s="46" customFormat="1" ht="31.5" customHeight="1"/>
    <row r="49" s="46" customFormat="1"/>
    <row r="50" s="46" customFormat="1" ht="30.75" customHeight="1"/>
    <row r="51" s="46" customFormat="1"/>
    <row r="52" s="46" customFormat="1" ht="31.5" customHeight="1"/>
    <row r="53" s="46" customFormat="1"/>
    <row r="54" s="46" customFormat="1"/>
    <row r="55" s="46" customFormat="1"/>
    <row r="56" s="46" customFormat="1" ht="33" customHeight="1"/>
    <row r="57" s="46" customFormat="1"/>
    <row r="58" s="46" customFormat="1" ht="30.75" customHeight="1"/>
    <row r="59" s="46" customFormat="1" ht="27" customHeigh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ht="409" customHeigh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ht="2.25" customHeight="1"/>
    <row r="168" s="46" customFormat="1" ht="409.5" customHeight="1"/>
    <row r="169" s="46" customFormat="1"/>
    <row r="170" s="46" customFormat="1"/>
    <row r="171" s="46" customFormat="1"/>
    <row r="172" s="46" customFormat="1"/>
    <row r="173" s="46" customFormat="1"/>
    <row r="174" s="46" customFormat="1"/>
    <row r="175" s="46" customFormat="1"/>
    <row r="176" s="46" customFormat="1"/>
    <row r="177" spans="9:9">
      <c r="I177" s="46"/>
    </row>
    <row r="178" spans="9:9">
      <c r="I178" s="46"/>
    </row>
    <row r="179" spans="9:9">
      <c r="I179" s="46"/>
    </row>
  </sheetData>
  <phoneticPr fontId="14"/>
  <hyperlinks>
    <hyperlink ref="A4" location="パラメータ設定一覧!A1" display="パラメータ設定一覧へ" xr:uid="{A67E6482-C7E0-46C8-BF0B-721429640AE9}"/>
  </hyperlinks>
  <pageMargins left="0.7" right="0.7" top="0.75" bottom="0.75" header="0.3" footer="0.3"/>
  <pageSetup paperSize="9" orientation="portrait" verticalDpi="0"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14A30-1695-4A72-B062-841E2ACCEA96}">
  <sheetPr codeName="Sheet35"/>
  <dimension ref="A1:E14"/>
  <sheetViews>
    <sheetView showGridLines="0" zoomScaleNormal="100" workbookViewId="0">
      <pane ySplit="7" topLeftCell="A8" activePane="bottomLeft" state="frozen"/>
      <selection activeCell="A3" sqref="A3"/>
      <selection pane="bottomLeft" activeCell="A8" sqref="A8"/>
    </sheetView>
  </sheetViews>
  <sheetFormatPr defaultColWidth="8.78515625" defaultRowHeight="13.5"/>
  <cols>
    <col min="1" max="1" width="2.78515625" style="46" customWidth="1"/>
    <col min="2" max="2" width="3.5703125" style="46" bestFit="1" customWidth="1"/>
    <col min="3" max="3" width="19.35546875" style="46" customWidth="1"/>
    <col min="4" max="4" width="10.2109375" style="46" bestFit="1" customWidth="1"/>
    <col min="5" max="5" width="17.2109375" style="46" customWidth="1"/>
    <col min="6" max="6" width="19.640625" style="46" bestFit="1" customWidth="1"/>
    <col min="7" max="7" width="15.2109375" style="46" bestFit="1" customWidth="1"/>
    <col min="8" max="9" width="15.2109375" style="46" customWidth="1"/>
    <col min="10" max="10" width="20.640625" style="46" bestFit="1" customWidth="1"/>
    <col min="11" max="11" width="14.42578125" style="46" bestFit="1" customWidth="1"/>
    <col min="12" max="12" width="11.78515625" style="46" customWidth="1"/>
    <col min="13" max="13" width="8.2109375" style="46" bestFit="1" customWidth="1"/>
    <col min="14" max="16384" width="8.78515625" style="46"/>
  </cols>
  <sheetData>
    <row r="1" spans="1:5" s="86" customFormat="1" ht="19.5">
      <c r="A1" s="99" t="s">
        <v>2695</v>
      </c>
    </row>
    <row r="2" spans="1:5" s="86" customFormat="1" ht="15">
      <c r="A2" s="196" t="s">
        <v>2668</v>
      </c>
    </row>
    <row r="3" spans="1:5" s="86" customFormat="1" ht="15">
      <c r="A3" s="10" t="s">
        <v>363</v>
      </c>
    </row>
    <row r="4" spans="1:5" ht="15.75" customHeight="1">
      <c r="B4" s="440" t="s">
        <v>1</v>
      </c>
      <c r="C4" s="107" t="s">
        <v>887</v>
      </c>
      <c r="D4" s="447"/>
      <c r="E4" s="447"/>
    </row>
    <row r="5" spans="1:5">
      <c r="B5" s="440"/>
      <c r="C5" s="69" t="s">
        <v>503</v>
      </c>
      <c r="D5" s="69" t="s">
        <v>19</v>
      </c>
      <c r="E5" s="69" t="s">
        <v>496</v>
      </c>
    </row>
    <row r="6" spans="1:5" ht="54">
      <c r="B6" s="440"/>
      <c r="C6" s="8" t="s">
        <v>502</v>
      </c>
      <c r="D6" s="8" t="s">
        <v>20</v>
      </c>
      <c r="E6" s="8" t="s">
        <v>495</v>
      </c>
    </row>
    <row r="7" spans="1:5">
      <c r="B7" s="440"/>
      <c r="C7" s="8" t="s">
        <v>2667</v>
      </c>
      <c r="D7" s="8"/>
      <c r="E7" s="8" t="s">
        <v>2667</v>
      </c>
    </row>
    <row r="8" spans="1:5">
      <c r="B8" s="217">
        <f>ROW() - 7</f>
        <v>1</v>
      </c>
      <c r="C8" s="217"/>
      <c r="D8" s="256"/>
      <c r="E8" s="234"/>
    </row>
    <row r="9" spans="1:5">
      <c r="B9" s="217">
        <f t="shared" ref="B9:B14" si="0">ROW() - 7</f>
        <v>2</v>
      </c>
      <c r="C9" s="217"/>
      <c r="D9" s="256"/>
      <c r="E9" s="234"/>
    </row>
    <row r="10" spans="1:5">
      <c r="B10" s="217">
        <f t="shared" si="0"/>
        <v>3</v>
      </c>
      <c r="C10" s="217"/>
      <c r="D10" s="245"/>
      <c r="E10" s="234"/>
    </row>
    <row r="11" spans="1:5">
      <c r="B11" s="217">
        <f t="shared" si="0"/>
        <v>4</v>
      </c>
      <c r="C11" s="217"/>
      <c r="D11" s="245"/>
      <c r="E11" s="234"/>
    </row>
    <row r="12" spans="1:5">
      <c r="B12" s="217">
        <f t="shared" si="0"/>
        <v>5</v>
      </c>
      <c r="C12" s="217"/>
      <c r="D12" s="245"/>
      <c r="E12" s="234"/>
    </row>
    <row r="13" spans="1:5">
      <c r="B13" s="217">
        <f t="shared" si="0"/>
        <v>6</v>
      </c>
      <c r="C13" s="217"/>
      <c r="D13" s="245"/>
      <c r="E13" s="234"/>
    </row>
    <row r="14" spans="1:5">
      <c r="B14" s="217">
        <f t="shared" si="0"/>
        <v>7</v>
      </c>
      <c r="C14" s="217"/>
      <c r="D14" s="245"/>
      <c r="E14" s="234"/>
    </row>
  </sheetData>
  <sheetProtection insertRows="0" deleteRows="0" sort="0" autoFilter="0"/>
  <mergeCells count="2">
    <mergeCell ref="B4:B7"/>
    <mergeCell ref="D4:E4"/>
  </mergeCells>
  <phoneticPr fontId="14"/>
  <hyperlinks>
    <hyperlink ref="A3" location="パラメータ設定一覧!A1" display="パラメータ設定一覧へ" xr:uid="{8B46A00B-1A3A-4B65-B680-86F7645943EE}"/>
  </hyperlinks>
  <pageMargins left="0.7" right="0.7" top="0.75" bottom="0.75" header="0.3" footer="0.3"/>
  <pageSetup paperSize="9" orientation="portrait" verticalDpi="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16081-B350-482C-8A30-0307AE1B10B1}">
  <sheetPr codeName="Sheet36"/>
  <dimension ref="A1:L179"/>
  <sheetViews>
    <sheetView showGridLines="0" zoomScaleNormal="100" workbookViewId="0">
      <pane xSplit="6" ySplit="5" topLeftCell="G6" activePane="bottomRight" state="frozen"/>
      <selection pane="topRight"/>
      <selection pane="bottomLeft"/>
      <selection pane="bottomRight" activeCell="G6" sqref="G6"/>
    </sheetView>
  </sheetViews>
  <sheetFormatPr defaultColWidth="8.78515625" defaultRowHeight="13.5"/>
  <cols>
    <col min="1" max="1" width="2.78515625" style="46" customWidth="1"/>
    <col min="2" max="2" width="3.78515625" style="46" customWidth="1"/>
    <col min="3" max="3" width="16.78515625" style="46" customWidth="1"/>
    <col min="4" max="4" width="19.2109375" style="46" customWidth="1"/>
    <col min="5" max="5" width="16.5703125" style="46" customWidth="1"/>
    <col min="6" max="6" width="22.5703125" style="46" customWidth="1"/>
    <col min="7" max="7" width="19" style="46" customWidth="1"/>
    <col min="8" max="8" width="23.2109375" style="46" customWidth="1"/>
    <col min="9" max="9" width="17.42578125" style="53" customWidth="1"/>
    <col min="10" max="10" width="22.42578125" style="46" customWidth="1"/>
    <col min="11" max="11" width="18.2109375" style="46" customWidth="1"/>
    <col min="12" max="12" width="13.2109375" style="46" customWidth="1"/>
    <col min="13" max="16384" width="8.78515625" style="46"/>
  </cols>
  <sheetData>
    <row r="1" spans="1:12" s="86" customFormat="1" ht="19.5">
      <c r="A1" s="99" t="s">
        <v>2778</v>
      </c>
      <c r="C1" s="46"/>
      <c r="D1" s="46"/>
      <c r="E1" s="46"/>
      <c r="F1" s="46"/>
      <c r="G1" s="46"/>
      <c r="H1" s="46"/>
      <c r="I1" s="53"/>
    </row>
    <row r="2" spans="1:12" s="86" customFormat="1" ht="15">
      <c r="B2" s="86" t="s">
        <v>891</v>
      </c>
      <c r="C2" s="46"/>
      <c r="D2" s="46"/>
      <c r="E2" s="46"/>
      <c r="F2" s="46"/>
      <c r="G2" s="46"/>
      <c r="H2" s="46"/>
      <c r="I2" s="53"/>
    </row>
    <row r="3" spans="1:12" s="86" customFormat="1" ht="15">
      <c r="B3" s="86" t="s">
        <v>890</v>
      </c>
      <c r="C3" s="46"/>
      <c r="D3" s="46"/>
      <c r="E3" s="46"/>
      <c r="F3" s="46"/>
      <c r="G3" s="46"/>
      <c r="H3" s="46"/>
      <c r="I3" s="53"/>
    </row>
    <row r="4" spans="1:12" s="86" customFormat="1" ht="15">
      <c r="A4" s="10" t="s">
        <v>363</v>
      </c>
      <c r="C4" s="46"/>
      <c r="D4" s="46"/>
      <c r="E4" s="46"/>
      <c r="F4" s="46"/>
      <c r="G4" s="46"/>
      <c r="H4" s="46"/>
      <c r="I4" s="53"/>
    </row>
    <row r="5" spans="1:12">
      <c r="B5" s="11" t="s">
        <v>1</v>
      </c>
      <c r="C5" s="11" t="s">
        <v>9</v>
      </c>
      <c r="D5" s="11" t="s">
        <v>10</v>
      </c>
      <c r="E5" s="11" t="s">
        <v>11</v>
      </c>
      <c r="F5" s="20" t="s">
        <v>12</v>
      </c>
      <c r="G5" s="20" t="s">
        <v>498</v>
      </c>
      <c r="H5" s="11" t="s">
        <v>14</v>
      </c>
      <c r="I5" s="54" t="s">
        <v>15</v>
      </c>
      <c r="J5" s="11" t="s">
        <v>16</v>
      </c>
      <c r="K5" s="14" t="s">
        <v>17</v>
      </c>
      <c r="L5" s="14" t="s">
        <v>18</v>
      </c>
    </row>
    <row r="6" spans="1:12" ht="27">
      <c r="B6" s="21">
        <f>ROW() - 5</f>
        <v>1</v>
      </c>
      <c r="C6" s="16" t="s">
        <v>507</v>
      </c>
      <c r="D6" s="16"/>
      <c r="E6" s="104"/>
      <c r="F6" s="22" t="s">
        <v>19</v>
      </c>
      <c r="G6" s="22"/>
      <c r="H6" s="44" t="s">
        <v>20</v>
      </c>
      <c r="I6" s="44" t="s">
        <v>331</v>
      </c>
      <c r="J6" s="17"/>
      <c r="K6" s="2" t="s">
        <v>504</v>
      </c>
      <c r="L6" s="3"/>
    </row>
    <row r="7" spans="1:12" ht="27">
      <c r="B7" s="21">
        <f>ROW() - 5</f>
        <v>2</v>
      </c>
      <c r="C7" s="68"/>
      <c r="D7" s="68"/>
      <c r="E7" s="68"/>
      <c r="F7" s="22" t="s">
        <v>45</v>
      </c>
      <c r="G7" s="22"/>
      <c r="H7" s="44" t="s">
        <v>20</v>
      </c>
      <c r="I7" s="44" t="s">
        <v>331</v>
      </c>
      <c r="J7" s="23"/>
      <c r="K7" s="2" t="s">
        <v>504</v>
      </c>
      <c r="L7" s="3"/>
    </row>
    <row r="8" spans="1:12" ht="121.5">
      <c r="B8" s="21">
        <f>ROW() - 5</f>
        <v>3</v>
      </c>
      <c r="C8" s="19"/>
      <c r="D8" s="19"/>
      <c r="E8" s="19"/>
      <c r="F8" s="22" t="s">
        <v>506</v>
      </c>
      <c r="G8" s="103"/>
      <c r="H8" s="44" t="s">
        <v>505</v>
      </c>
      <c r="I8" s="44" t="s">
        <v>331</v>
      </c>
      <c r="J8" s="23"/>
      <c r="K8" s="2" t="s">
        <v>504</v>
      </c>
      <c r="L8" s="3"/>
    </row>
    <row r="9" spans="1:12">
      <c r="I9" s="46"/>
    </row>
    <row r="10" spans="1:12">
      <c r="I10" s="46"/>
    </row>
    <row r="11" spans="1:12">
      <c r="I11" s="46"/>
    </row>
    <row r="12" spans="1:12">
      <c r="I12" s="46"/>
    </row>
    <row r="13" spans="1:12">
      <c r="I13" s="46"/>
    </row>
    <row r="14" spans="1:12">
      <c r="I14" s="46"/>
    </row>
    <row r="15" spans="1:12">
      <c r="I15" s="46"/>
    </row>
    <row r="16" spans="1:12">
      <c r="I16" s="46"/>
    </row>
    <row r="17" s="46" customFormat="1"/>
    <row r="18" s="46" customFormat="1"/>
    <row r="19" s="46" customFormat="1"/>
    <row r="20" s="46" customFormat="1"/>
    <row r="21" s="46" customFormat="1"/>
    <row r="22" s="46" customFormat="1"/>
    <row r="23" s="46" customFormat="1"/>
    <row r="24" s="46" customFormat="1"/>
    <row r="25" s="46" customFormat="1"/>
    <row r="26" s="46" customFormat="1"/>
    <row r="27" s="46" customFormat="1" ht="33" customHeight="1"/>
    <row r="28" s="46" customFormat="1"/>
    <row r="29" s="46" customFormat="1"/>
    <row r="30" s="46" customFormat="1"/>
    <row r="31" s="46" customFormat="1"/>
    <row r="32" s="46" customFormat="1" ht="31.5" customHeight="1"/>
    <row r="33" s="46" customFormat="1"/>
    <row r="34" s="46" customFormat="1"/>
    <row r="35" s="46" customFormat="1"/>
    <row r="36" s="46" customFormat="1"/>
    <row r="37" s="46" customFormat="1"/>
    <row r="38" s="46" customFormat="1"/>
    <row r="39" s="46" customFormat="1"/>
    <row r="40" s="46" customFormat="1"/>
    <row r="41" s="46" customFormat="1"/>
    <row r="42" s="46" customFormat="1" ht="30.75" customHeight="1"/>
    <row r="43" s="46" customFormat="1" ht="33" customHeight="1"/>
    <row r="44" s="46" customFormat="1"/>
    <row r="45" s="46" customFormat="1"/>
    <row r="46" s="46" customFormat="1"/>
    <row r="47" s="46" customFormat="1"/>
    <row r="48" s="46" customFormat="1" ht="31.5" customHeight="1"/>
    <row r="49" s="46" customFormat="1"/>
    <row r="50" s="46" customFormat="1" ht="30.75" customHeight="1"/>
    <row r="51" s="46" customFormat="1"/>
    <row r="52" s="46" customFormat="1" ht="31.5" customHeight="1"/>
    <row r="53" s="46" customFormat="1"/>
    <row r="54" s="46" customFormat="1"/>
    <row r="55" s="46" customFormat="1"/>
    <row r="56" s="46" customFormat="1" ht="33" customHeight="1"/>
    <row r="57" s="46" customFormat="1"/>
    <row r="58" s="46" customFormat="1" ht="30.75" customHeight="1"/>
    <row r="59" s="46" customFormat="1" ht="27" customHeigh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ht="409" customHeigh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ht="2.25" customHeight="1"/>
    <row r="168" s="46" customFormat="1" ht="409.5" customHeight="1"/>
    <row r="169" s="46" customFormat="1"/>
    <row r="170" s="46" customFormat="1"/>
    <row r="171" s="46" customFormat="1"/>
    <row r="172" s="46" customFormat="1"/>
    <row r="173" s="46" customFormat="1"/>
    <row r="174" s="46" customFormat="1"/>
    <row r="175" s="46" customFormat="1"/>
    <row r="176" s="46" customFormat="1"/>
    <row r="177" spans="9:9">
      <c r="I177" s="46"/>
    </row>
    <row r="178" spans="9:9">
      <c r="I178" s="46"/>
    </row>
    <row r="179" spans="9:9">
      <c r="I179" s="46"/>
    </row>
  </sheetData>
  <phoneticPr fontId="14"/>
  <hyperlinks>
    <hyperlink ref="A4" location="パラメータ設定一覧!A1" display="パラメータ設定一覧へ" xr:uid="{A8B8F0E4-00C1-4A16-97EE-F17610493E3A}"/>
  </hyperlinks>
  <pageMargins left="0.7" right="0.7" top="0.75" bottom="0.75" header="0.3" footer="0.3"/>
  <pageSetup paperSize="9" orientation="portrait" verticalDpi="0"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85EC9-FAE7-42ED-80B5-50CBE6FF8E41}">
  <sheetPr codeName="Sheet37"/>
  <dimension ref="A1:E14"/>
  <sheetViews>
    <sheetView showGridLines="0" zoomScaleNormal="100" workbookViewId="0">
      <pane ySplit="7" topLeftCell="A8" activePane="bottomLeft" state="frozen"/>
      <selection pane="bottomLeft" activeCell="A8" sqref="A8"/>
    </sheetView>
  </sheetViews>
  <sheetFormatPr defaultColWidth="8.78515625" defaultRowHeight="13.5"/>
  <cols>
    <col min="1" max="1" width="2.78515625" style="46" customWidth="1"/>
    <col min="2" max="2" width="3.5703125" style="46" bestFit="1" customWidth="1"/>
    <col min="3" max="3" width="19.35546875" style="46" customWidth="1"/>
    <col min="4" max="4" width="10.2109375" style="46" bestFit="1" customWidth="1"/>
    <col min="5" max="5" width="17.2109375" style="46" customWidth="1"/>
    <col min="6" max="6" width="19.640625" style="46" bestFit="1" customWidth="1"/>
    <col min="7" max="7" width="15.2109375" style="46" bestFit="1" customWidth="1"/>
    <col min="8" max="9" width="15.2109375" style="46" customWidth="1"/>
    <col min="10" max="10" width="20.640625" style="46" bestFit="1" customWidth="1"/>
    <col min="11" max="11" width="14.42578125" style="46" bestFit="1" customWidth="1"/>
    <col min="12" max="12" width="11.78515625" style="46" customWidth="1"/>
    <col min="13" max="13" width="8.2109375" style="46" bestFit="1" customWidth="1"/>
    <col min="14" max="16384" width="8.78515625" style="46"/>
  </cols>
  <sheetData>
    <row r="1" spans="1:5" s="86" customFormat="1" ht="19.5">
      <c r="A1" s="99" t="s">
        <v>2779</v>
      </c>
    </row>
    <row r="2" spans="1:5" s="86" customFormat="1" ht="15">
      <c r="A2" s="196" t="s">
        <v>2668</v>
      </c>
    </row>
    <row r="3" spans="1:5" s="86" customFormat="1" ht="15">
      <c r="A3" s="10" t="s">
        <v>363</v>
      </c>
    </row>
    <row r="4" spans="1:5" ht="15.75" customHeight="1">
      <c r="B4" s="440" t="s">
        <v>1</v>
      </c>
      <c r="C4" s="107" t="s">
        <v>507</v>
      </c>
      <c r="D4" s="447"/>
      <c r="E4" s="447"/>
    </row>
    <row r="5" spans="1:5">
      <c r="B5" s="440"/>
      <c r="C5" s="69" t="s">
        <v>19</v>
      </c>
      <c r="D5" s="69" t="s">
        <v>45</v>
      </c>
      <c r="E5" s="69" t="s">
        <v>506</v>
      </c>
    </row>
    <row r="6" spans="1:5" ht="121.5">
      <c r="B6" s="440"/>
      <c r="C6" s="8" t="s">
        <v>502</v>
      </c>
      <c r="D6" s="8" t="s">
        <v>20</v>
      </c>
      <c r="E6" s="8" t="s">
        <v>505</v>
      </c>
    </row>
    <row r="7" spans="1:5">
      <c r="B7" s="440"/>
      <c r="C7" s="8" t="s">
        <v>2667</v>
      </c>
      <c r="D7" s="8"/>
      <c r="E7" s="8" t="s">
        <v>2667</v>
      </c>
    </row>
    <row r="8" spans="1:5">
      <c r="B8" s="217">
        <f t="shared" ref="B8:B14" si="0">ROW() - 7</f>
        <v>1</v>
      </c>
      <c r="C8" s="217"/>
      <c r="D8" s="256"/>
      <c r="E8" s="234"/>
    </row>
    <row r="9" spans="1:5">
      <c r="B9" s="217">
        <f t="shared" si="0"/>
        <v>2</v>
      </c>
      <c r="C9" s="217"/>
      <c r="D9" s="256"/>
      <c r="E9" s="234"/>
    </row>
    <row r="10" spans="1:5">
      <c r="B10" s="217">
        <f t="shared" si="0"/>
        <v>3</v>
      </c>
      <c r="C10" s="217"/>
      <c r="D10" s="245"/>
      <c r="E10" s="234"/>
    </row>
    <row r="11" spans="1:5">
      <c r="B11" s="217">
        <f t="shared" si="0"/>
        <v>4</v>
      </c>
      <c r="C11" s="217"/>
      <c r="D11" s="245"/>
      <c r="E11" s="234"/>
    </row>
    <row r="12" spans="1:5">
      <c r="B12" s="217">
        <f t="shared" si="0"/>
        <v>5</v>
      </c>
      <c r="C12" s="217"/>
      <c r="D12" s="245"/>
      <c r="E12" s="234"/>
    </row>
    <row r="13" spans="1:5">
      <c r="B13" s="217">
        <f t="shared" si="0"/>
        <v>6</v>
      </c>
      <c r="C13" s="217"/>
      <c r="D13" s="245"/>
      <c r="E13" s="234"/>
    </row>
    <row r="14" spans="1:5">
      <c r="B14" s="217">
        <f t="shared" si="0"/>
        <v>7</v>
      </c>
      <c r="C14" s="217"/>
      <c r="D14" s="245"/>
      <c r="E14" s="234"/>
    </row>
  </sheetData>
  <sheetProtection insertRows="0" deleteRows="0" sort="0" autoFilter="0"/>
  <mergeCells count="2">
    <mergeCell ref="B4:B7"/>
    <mergeCell ref="D4:E4"/>
  </mergeCells>
  <phoneticPr fontId="14"/>
  <hyperlinks>
    <hyperlink ref="A3" location="パラメータ設定一覧!A1" display="パラメータ設定一覧へ" xr:uid="{6710FA88-997A-456B-8A21-AA7CC31C413A}"/>
  </hyperlinks>
  <pageMargins left="0.7" right="0.7" top="0.75" bottom="0.75" header="0.3" footer="0.3"/>
  <pageSetup paperSize="9" orientation="portrait" verticalDpi="0"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B173F-F224-4340-8342-78813E135B99}">
  <sheetPr codeName="Sheet82"/>
  <dimension ref="A1:L216"/>
  <sheetViews>
    <sheetView showGridLines="0" zoomScaleNormal="100" workbookViewId="0">
      <pane xSplit="6" ySplit="5" topLeftCell="G6" activePane="bottomRight" state="frozen"/>
      <selection pane="topRight"/>
      <selection pane="bottomLeft"/>
      <selection pane="bottomRight" activeCell="G6" sqref="G6"/>
    </sheetView>
  </sheetViews>
  <sheetFormatPr defaultColWidth="8.78515625" defaultRowHeight="13.5"/>
  <cols>
    <col min="1" max="1" width="2.78515625" style="177" customWidth="1"/>
    <col min="2" max="2" width="3.78515625" style="177" customWidth="1"/>
    <col min="3" max="3" width="16.78515625" style="177" customWidth="1"/>
    <col min="4" max="4" width="19.2109375" style="177" customWidth="1"/>
    <col min="5" max="5" width="16.5703125" style="177" customWidth="1"/>
    <col min="6" max="6" width="22.5703125" style="177" customWidth="1"/>
    <col min="7" max="7" width="33.0703125" style="177" customWidth="1"/>
    <col min="8" max="8" width="23.2109375" style="177" customWidth="1"/>
    <col min="9" max="9" width="17.42578125" style="178" customWidth="1"/>
    <col min="10" max="10" width="38.42578125" style="177" bestFit="1" customWidth="1"/>
    <col min="11" max="11" width="18.2109375" style="177" customWidth="1"/>
    <col min="12" max="12" width="13.2109375" style="177" customWidth="1"/>
    <col min="13" max="16384" width="8.78515625" style="177"/>
  </cols>
  <sheetData>
    <row r="1" spans="1:12" s="116" customFormat="1" ht="19.5">
      <c r="A1" s="176" t="s">
        <v>2773</v>
      </c>
      <c r="C1" s="177"/>
      <c r="D1" s="177"/>
      <c r="E1" s="177"/>
      <c r="F1" s="177"/>
      <c r="G1" s="177"/>
      <c r="H1" s="177"/>
      <c r="I1" s="178"/>
    </row>
    <row r="2" spans="1:12" s="116" customFormat="1" ht="15">
      <c r="B2" s="116" t="s">
        <v>2003</v>
      </c>
      <c r="C2" s="177"/>
      <c r="D2" s="177"/>
      <c r="E2" s="177"/>
      <c r="F2" s="177"/>
      <c r="G2" s="177"/>
      <c r="H2" s="177"/>
      <c r="I2" s="178"/>
    </row>
    <row r="3" spans="1:12" s="116" customFormat="1" ht="15">
      <c r="B3" s="116" t="s">
        <v>2004</v>
      </c>
      <c r="C3" s="177"/>
      <c r="D3" s="177"/>
      <c r="E3" s="177"/>
      <c r="F3" s="177"/>
      <c r="G3" s="177"/>
      <c r="H3" s="177"/>
      <c r="I3" s="178"/>
    </row>
    <row r="4" spans="1:12" s="116" customFormat="1" ht="15">
      <c r="A4" s="179" t="s">
        <v>363</v>
      </c>
      <c r="C4" s="177"/>
      <c r="D4" s="177"/>
      <c r="E4" s="177"/>
      <c r="F4" s="177"/>
      <c r="G4" s="177"/>
      <c r="H4" s="177"/>
      <c r="I4" s="178"/>
    </row>
    <row r="5" spans="1:12">
      <c r="B5" s="11" t="s">
        <v>1</v>
      </c>
      <c r="C5" s="11" t="s">
        <v>9</v>
      </c>
      <c r="D5" s="11" t="s">
        <v>10</v>
      </c>
      <c r="E5" s="11" t="s">
        <v>11</v>
      </c>
      <c r="F5" s="20" t="s">
        <v>12</v>
      </c>
      <c r="G5" s="20" t="s">
        <v>498</v>
      </c>
      <c r="H5" s="11" t="s">
        <v>14</v>
      </c>
      <c r="I5" s="11" t="s">
        <v>15</v>
      </c>
      <c r="J5" s="11" t="s">
        <v>16</v>
      </c>
      <c r="K5" s="14" t="s">
        <v>17</v>
      </c>
      <c r="L5" s="14" t="s">
        <v>18</v>
      </c>
    </row>
    <row r="6" spans="1:12" ht="27">
      <c r="B6" s="21">
        <f t="shared" ref="B6:B12" si="0">ROW() - 5</f>
        <v>1</v>
      </c>
      <c r="C6" s="16" t="s">
        <v>1934</v>
      </c>
      <c r="D6" s="16"/>
      <c r="E6" s="52"/>
      <c r="F6" s="22" t="s">
        <v>19</v>
      </c>
      <c r="G6" s="22"/>
      <c r="H6" s="23" t="s">
        <v>1971</v>
      </c>
      <c r="I6" s="23" t="s">
        <v>331</v>
      </c>
      <c r="J6" s="17"/>
      <c r="K6" s="2" t="s">
        <v>1937</v>
      </c>
      <c r="L6" s="3"/>
    </row>
    <row r="7" spans="1:12" ht="27">
      <c r="B7" s="21">
        <f t="shared" si="0"/>
        <v>2</v>
      </c>
      <c r="C7" s="68"/>
      <c r="D7" s="68"/>
      <c r="E7" s="68"/>
      <c r="F7" s="22" t="s">
        <v>1938</v>
      </c>
      <c r="G7" s="22"/>
      <c r="H7" s="23" t="s">
        <v>1942</v>
      </c>
      <c r="I7" s="23" t="s">
        <v>331</v>
      </c>
      <c r="J7" s="23" t="s">
        <v>1980</v>
      </c>
      <c r="K7" s="2" t="s">
        <v>1937</v>
      </c>
      <c r="L7" s="3"/>
    </row>
    <row r="8" spans="1:12" ht="27">
      <c r="B8" s="21">
        <f t="shared" si="0"/>
        <v>3</v>
      </c>
      <c r="C8" s="68"/>
      <c r="D8" s="68"/>
      <c r="E8" s="68"/>
      <c r="F8" s="22" t="s">
        <v>45</v>
      </c>
      <c r="G8" s="22"/>
      <c r="H8" s="23" t="s">
        <v>20</v>
      </c>
      <c r="I8" s="23" t="s">
        <v>331</v>
      </c>
      <c r="J8" s="23"/>
      <c r="K8" s="2" t="s">
        <v>1937</v>
      </c>
      <c r="L8" s="3"/>
    </row>
    <row r="9" spans="1:12" ht="27">
      <c r="B9" s="21">
        <f t="shared" si="0"/>
        <v>4</v>
      </c>
      <c r="C9" s="68"/>
      <c r="D9" s="68"/>
      <c r="E9" s="68"/>
      <c r="F9" s="22" t="s">
        <v>1939</v>
      </c>
      <c r="G9" s="22"/>
      <c r="H9" s="23" t="s">
        <v>1732</v>
      </c>
      <c r="I9" s="23" t="s">
        <v>331</v>
      </c>
      <c r="J9" s="23" t="s">
        <v>1945</v>
      </c>
      <c r="K9" s="2" t="s">
        <v>1937</v>
      </c>
      <c r="L9" s="3"/>
    </row>
    <row r="10" spans="1:12" ht="27">
      <c r="B10" s="21">
        <f t="shared" si="0"/>
        <v>5</v>
      </c>
      <c r="C10" s="68"/>
      <c r="D10" s="68"/>
      <c r="E10" s="68"/>
      <c r="F10" s="22" t="s">
        <v>1940</v>
      </c>
      <c r="G10" s="22"/>
      <c r="H10" s="23" t="s">
        <v>277</v>
      </c>
      <c r="I10" s="23" t="s">
        <v>331</v>
      </c>
      <c r="J10" s="23" t="s">
        <v>1945</v>
      </c>
      <c r="K10" s="2" t="s">
        <v>1937</v>
      </c>
      <c r="L10" s="3"/>
    </row>
    <row r="11" spans="1:12" ht="121.5">
      <c r="B11" s="21">
        <f t="shared" si="0"/>
        <v>6</v>
      </c>
      <c r="C11" s="68"/>
      <c r="D11" s="68"/>
      <c r="E11" s="68"/>
      <c r="F11" s="22" t="s">
        <v>212</v>
      </c>
      <c r="G11" s="22"/>
      <c r="H11" s="23" t="s">
        <v>1944</v>
      </c>
      <c r="I11" s="23" t="s">
        <v>1972</v>
      </c>
      <c r="J11" s="23"/>
      <c r="K11" s="2" t="s">
        <v>1937</v>
      </c>
      <c r="L11" s="3"/>
    </row>
    <row r="12" spans="1:12" ht="27">
      <c r="B12" s="21">
        <f t="shared" si="0"/>
        <v>7</v>
      </c>
      <c r="C12" s="19"/>
      <c r="D12" s="19"/>
      <c r="E12" s="19"/>
      <c r="F12" s="22" t="s">
        <v>1941</v>
      </c>
      <c r="G12" s="173"/>
      <c r="H12" s="23" t="s">
        <v>1732</v>
      </c>
      <c r="I12" s="23" t="s">
        <v>783</v>
      </c>
      <c r="J12" s="23"/>
      <c r="K12" s="2" t="s">
        <v>1937</v>
      </c>
      <c r="L12" s="3"/>
    </row>
    <row r="13" spans="1:12" ht="27">
      <c r="B13" s="21">
        <f t="shared" ref="B13:B45" si="1">ROW() - 5</f>
        <v>8</v>
      </c>
      <c r="C13" s="16" t="s">
        <v>1946</v>
      </c>
      <c r="D13" s="16"/>
      <c r="E13" s="52" t="s">
        <v>166</v>
      </c>
      <c r="F13" s="22" t="s">
        <v>1949</v>
      </c>
      <c r="G13" s="22"/>
      <c r="H13" s="23" t="s">
        <v>1979</v>
      </c>
      <c r="I13" s="23" t="s">
        <v>331</v>
      </c>
      <c r="J13" s="17" t="s">
        <v>1993</v>
      </c>
      <c r="K13" s="2" t="s">
        <v>1937</v>
      </c>
      <c r="L13" s="3"/>
    </row>
    <row r="14" spans="1:12" ht="121.5">
      <c r="B14" s="21">
        <f t="shared" si="1"/>
        <v>9</v>
      </c>
      <c r="C14" s="68"/>
      <c r="D14" s="68"/>
      <c r="E14" s="68"/>
      <c r="F14" s="22" t="s">
        <v>506</v>
      </c>
      <c r="G14" s="22" t="s">
        <v>1973</v>
      </c>
      <c r="H14" s="23" t="s">
        <v>1944</v>
      </c>
      <c r="I14" s="23" t="s">
        <v>1972</v>
      </c>
      <c r="J14" s="23"/>
      <c r="K14" s="2" t="s">
        <v>1937</v>
      </c>
      <c r="L14" s="3"/>
    </row>
    <row r="15" spans="1:12" ht="40.5">
      <c r="B15" s="21">
        <f t="shared" si="1"/>
        <v>10</v>
      </c>
      <c r="C15" s="68"/>
      <c r="D15" s="68"/>
      <c r="E15" s="68"/>
      <c r="F15" s="22" t="s">
        <v>1950</v>
      </c>
      <c r="G15" s="22"/>
      <c r="H15" s="23" t="s">
        <v>1975</v>
      </c>
      <c r="I15" s="23" t="s">
        <v>199</v>
      </c>
      <c r="J15" s="23" t="s">
        <v>1976</v>
      </c>
      <c r="K15" s="2" t="s">
        <v>1937</v>
      </c>
      <c r="L15" s="3"/>
    </row>
    <row r="16" spans="1:12" ht="54">
      <c r="B16" s="21">
        <f t="shared" si="1"/>
        <v>11</v>
      </c>
      <c r="C16" s="68"/>
      <c r="D16" s="68"/>
      <c r="E16" s="68"/>
      <c r="F16" s="22" t="s">
        <v>1951</v>
      </c>
      <c r="G16" s="22"/>
      <c r="H16" s="23" t="s">
        <v>1983</v>
      </c>
      <c r="I16" s="23" t="s">
        <v>331</v>
      </c>
      <c r="J16" s="22" t="s">
        <v>1981</v>
      </c>
      <c r="K16" s="2" t="s">
        <v>1937</v>
      </c>
      <c r="L16" s="3"/>
    </row>
    <row r="17" spans="2:12" ht="40.5">
      <c r="B17" s="21">
        <f t="shared" si="1"/>
        <v>12</v>
      </c>
      <c r="C17" s="68"/>
      <c r="D17" s="68"/>
      <c r="E17" s="68"/>
      <c r="F17" s="22" t="s">
        <v>1952</v>
      </c>
      <c r="G17" s="22"/>
      <c r="H17" s="23" t="s">
        <v>1975</v>
      </c>
      <c r="I17" s="23" t="s">
        <v>876</v>
      </c>
      <c r="J17" s="23" t="s">
        <v>1978</v>
      </c>
      <c r="K17" s="2" t="s">
        <v>1937</v>
      </c>
      <c r="L17" s="3"/>
    </row>
    <row r="18" spans="2:12" ht="54">
      <c r="B18" s="21">
        <f t="shared" si="1"/>
        <v>13</v>
      </c>
      <c r="C18" s="68"/>
      <c r="D18" s="68"/>
      <c r="E18" s="68"/>
      <c r="F18" s="22" t="s">
        <v>237</v>
      </c>
      <c r="G18" s="22"/>
      <c r="H18" s="23" t="s">
        <v>1986</v>
      </c>
      <c r="I18" s="23" t="s">
        <v>331</v>
      </c>
      <c r="J18" s="22" t="s">
        <v>1984</v>
      </c>
      <c r="K18" s="2" t="s">
        <v>1937</v>
      </c>
      <c r="L18" s="3"/>
    </row>
    <row r="19" spans="2:12" ht="27">
      <c r="B19" s="21">
        <f t="shared" si="1"/>
        <v>14</v>
      </c>
      <c r="C19" s="68"/>
      <c r="D19" s="68"/>
      <c r="E19" s="68"/>
      <c r="F19" s="22" t="s">
        <v>1849</v>
      </c>
      <c r="G19" s="22" t="s">
        <v>1977</v>
      </c>
      <c r="H19" s="23" t="s">
        <v>1991</v>
      </c>
      <c r="I19" s="23" t="s">
        <v>331</v>
      </c>
      <c r="J19" s="23"/>
      <c r="K19" s="2" t="s">
        <v>1937</v>
      </c>
      <c r="L19" s="3"/>
    </row>
    <row r="20" spans="2:12" ht="27">
      <c r="B20" s="21">
        <f t="shared" si="1"/>
        <v>15</v>
      </c>
      <c r="C20" s="68"/>
      <c r="D20" s="68"/>
      <c r="E20" s="68"/>
      <c r="F20" s="22" t="s">
        <v>1851</v>
      </c>
      <c r="G20" s="22"/>
      <c r="H20" s="23" t="s">
        <v>1991</v>
      </c>
      <c r="I20" s="23" t="s">
        <v>331</v>
      </c>
      <c r="J20" s="23"/>
      <c r="K20" s="2" t="s">
        <v>1937</v>
      </c>
      <c r="L20" s="3"/>
    </row>
    <row r="21" spans="2:12" ht="27">
      <c r="B21" s="21">
        <f t="shared" si="1"/>
        <v>16</v>
      </c>
      <c r="C21" s="68"/>
      <c r="D21" s="68"/>
      <c r="E21" s="68"/>
      <c r="F21" s="22" t="s">
        <v>1852</v>
      </c>
      <c r="G21" s="22"/>
      <c r="H21" s="23" t="s">
        <v>1991</v>
      </c>
      <c r="I21" s="23" t="s">
        <v>331</v>
      </c>
      <c r="J21" s="23"/>
      <c r="K21" s="2" t="s">
        <v>1937</v>
      </c>
      <c r="L21" s="3"/>
    </row>
    <row r="22" spans="2:12" ht="27">
      <c r="B22" s="21">
        <f t="shared" si="1"/>
        <v>17</v>
      </c>
      <c r="C22" s="68"/>
      <c r="D22" s="68"/>
      <c r="E22" s="68"/>
      <c r="F22" s="22" t="s">
        <v>1854</v>
      </c>
      <c r="G22" s="22"/>
      <c r="H22" s="23" t="s">
        <v>1991</v>
      </c>
      <c r="I22" s="23" t="s">
        <v>331</v>
      </c>
      <c r="J22" s="23"/>
      <c r="K22" s="2" t="s">
        <v>1937</v>
      </c>
      <c r="L22" s="3"/>
    </row>
    <row r="23" spans="2:12" ht="27">
      <c r="B23" s="21">
        <f t="shared" si="1"/>
        <v>18</v>
      </c>
      <c r="C23" s="68"/>
      <c r="D23" s="68"/>
      <c r="E23" s="68"/>
      <c r="F23" s="22" t="s">
        <v>695</v>
      </c>
      <c r="G23" s="22"/>
      <c r="H23" s="23" t="s">
        <v>1473</v>
      </c>
      <c r="I23" s="23" t="s">
        <v>331</v>
      </c>
      <c r="J23" s="23"/>
      <c r="K23" s="2" t="s">
        <v>1937</v>
      </c>
      <c r="L23" s="3"/>
    </row>
    <row r="24" spans="2:12" ht="27">
      <c r="B24" s="21">
        <f t="shared" si="1"/>
        <v>19</v>
      </c>
      <c r="C24" s="68"/>
      <c r="D24" s="68"/>
      <c r="E24" s="68"/>
      <c r="F24" s="22" t="s">
        <v>389</v>
      </c>
      <c r="G24" s="22"/>
      <c r="H24" s="23" t="s">
        <v>1443</v>
      </c>
      <c r="I24" s="23" t="s">
        <v>331</v>
      </c>
      <c r="J24" s="23"/>
      <c r="K24" s="2" t="s">
        <v>1937</v>
      </c>
      <c r="L24" s="3"/>
    </row>
    <row r="25" spans="2:12" ht="67.5">
      <c r="B25" s="21">
        <f t="shared" si="1"/>
        <v>20</v>
      </c>
      <c r="C25" s="68"/>
      <c r="D25" s="68"/>
      <c r="E25" s="68"/>
      <c r="F25" s="22" t="s">
        <v>1953</v>
      </c>
      <c r="G25" s="22" t="s">
        <v>1987</v>
      </c>
      <c r="H25" s="23" t="s">
        <v>50</v>
      </c>
      <c r="I25" s="180" t="s">
        <v>1450</v>
      </c>
      <c r="J25" s="23"/>
      <c r="K25" s="2" t="s">
        <v>1937</v>
      </c>
      <c r="L25" s="3"/>
    </row>
    <row r="26" spans="2:12" ht="67.5">
      <c r="B26" s="21">
        <f t="shared" si="1"/>
        <v>21</v>
      </c>
      <c r="C26" s="68"/>
      <c r="D26" s="68"/>
      <c r="E26" s="68"/>
      <c r="F26" s="22" t="s">
        <v>1954</v>
      </c>
      <c r="G26" s="22" t="s">
        <v>1988</v>
      </c>
      <c r="H26" s="23" t="s">
        <v>50</v>
      </c>
      <c r="I26" s="23" t="s">
        <v>331</v>
      </c>
      <c r="J26" s="23"/>
      <c r="K26" s="2" t="s">
        <v>1937</v>
      </c>
      <c r="L26" s="3"/>
    </row>
    <row r="27" spans="2:12" ht="27">
      <c r="B27" s="21">
        <f t="shared" si="1"/>
        <v>22</v>
      </c>
      <c r="C27" s="68"/>
      <c r="D27" s="68"/>
      <c r="E27" s="68"/>
      <c r="F27" s="22" t="s">
        <v>167</v>
      </c>
      <c r="G27" s="22"/>
      <c r="H27" s="23" t="s">
        <v>445</v>
      </c>
      <c r="I27" s="23"/>
      <c r="J27" s="23"/>
      <c r="K27" s="2" t="s">
        <v>1937</v>
      </c>
      <c r="L27" s="3"/>
    </row>
    <row r="28" spans="2:12" ht="27">
      <c r="B28" s="21">
        <f t="shared" si="1"/>
        <v>23</v>
      </c>
      <c r="C28" s="68"/>
      <c r="D28" s="68"/>
      <c r="E28" s="68"/>
      <c r="F28" s="22" t="s">
        <v>1955</v>
      </c>
      <c r="G28" s="22"/>
      <c r="H28" s="23" t="s">
        <v>50</v>
      </c>
      <c r="I28" s="180" t="s">
        <v>1450</v>
      </c>
      <c r="J28" s="23"/>
      <c r="K28" s="2" t="s">
        <v>1937</v>
      </c>
      <c r="L28" s="3"/>
    </row>
    <row r="29" spans="2:12" ht="27">
      <c r="B29" s="21">
        <f t="shared" si="1"/>
        <v>24</v>
      </c>
      <c r="C29" s="68"/>
      <c r="D29" s="68"/>
      <c r="E29" s="68"/>
      <c r="F29" s="22" t="s">
        <v>230</v>
      </c>
      <c r="G29" s="22"/>
      <c r="H29" s="23" t="s">
        <v>1989</v>
      </c>
      <c r="I29" s="23"/>
      <c r="J29" s="23" t="s">
        <v>1992</v>
      </c>
      <c r="K29" s="2" t="s">
        <v>1937</v>
      </c>
      <c r="L29" s="3"/>
    </row>
    <row r="30" spans="2:12" ht="27">
      <c r="B30" s="21">
        <f t="shared" si="1"/>
        <v>25</v>
      </c>
      <c r="C30" s="68"/>
      <c r="D30" s="68"/>
      <c r="E30" s="68"/>
      <c r="F30" s="22" t="s">
        <v>1956</v>
      </c>
      <c r="G30" s="22"/>
      <c r="H30" s="23" t="s">
        <v>50</v>
      </c>
      <c r="I30" s="180" t="s">
        <v>1450</v>
      </c>
      <c r="J30" s="23"/>
      <c r="K30" s="2" t="s">
        <v>1937</v>
      </c>
      <c r="L30" s="3"/>
    </row>
    <row r="31" spans="2:12" ht="27">
      <c r="B31" s="21">
        <f t="shared" si="1"/>
        <v>26</v>
      </c>
      <c r="C31" s="68"/>
      <c r="D31" s="68"/>
      <c r="E31" s="68"/>
      <c r="F31" s="22" t="s">
        <v>1957</v>
      </c>
      <c r="G31" s="22"/>
      <c r="H31" s="23" t="s">
        <v>1990</v>
      </c>
      <c r="I31" s="23" t="s">
        <v>331</v>
      </c>
      <c r="J31" s="23"/>
      <c r="K31" s="2" t="s">
        <v>1937</v>
      </c>
      <c r="L31" s="3"/>
    </row>
    <row r="32" spans="2:12" ht="27">
      <c r="B32" s="21">
        <f t="shared" si="1"/>
        <v>27</v>
      </c>
      <c r="C32" s="68"/>
      <c r="D32" s="68"/>
      <c r="E32" s="68"/>
      <c r="F32" s="22" t="s">
        <v>1958</v>
      </c>
      <c r="G32" s="22"/>
      <c r="H32" s="23" t="s">
        <v>1979</v>
      </c>
      <c r="I32" s="23" t="s">
        <v>331</v>
      </c>
      <c r="J32" s="23" t="s">
        <v>1994</v>
      </c>
      <c r="K32" s="2" t="s">
        <v>1937</v>
      </c>
      <c r="L32" s="3"/>
    </row>
    <row r="33" spans="2:12" ht="27">
      <c r="B33" s="21">
        <f t="shared" si="1"/>
        <v>28</v>
      </c>
      <c r="C33" s="68"/>
      <c r="D33" s="68"/>
      <c r="E33" s="19"/>
      <c r="F33" s="22" t="s">
        <v>1959</v>
      </c>
      <c r="G33" s="22"/>
      <c r="H33" s="23" t="s">
        <v>1979</v>
      </c>
      <c r="I33" s="23" t="s">
        <v>331</v>
      </c>
      <c r="J33" s="23" t="s">
        <v>1994</v>
      </c>
      <c r="K33" s="2" t="s">
        <v>1937</v>
      </c>
      <c r="L33" s="3"/>
    </row>
    <row r="34" spans="2:12" ht="27">
      <c r="B34" s="21">
        <f t="shared" si="1"/>
        <v>29</v>
      </c>
      <c r="C34" s="68"/>
      <c r="D34" s="68"/>
      <c r="E34" s="16" t="s">
        <v>49</v>
      </c>
      <c r="F34" s="22" t="s">
        <v>1960</v>
      </c>
      <c r="G34" s="22"/>
      <c r="H34" s="23" t="s">
        <v>277</v>
      </c>
      <c r="I34" s="23" t="s">
        <v>331</v>
      </c>
      <c r="J34" s="23" t="s">
        <v>1995</v>
      </c>
      <c r="K34" s="2" t="s">
        <v>1937</v>
      </c>
      <c r="L34" s="3"/>
    </row>
    <row r="35" spans="2:12" ht="27">
      <c r="B35" s="21">
        <f t="shared" si="1"/>
        <v>30</v>
      </c>
      <c r="C35" s="68"/>
      <c r="D35" s="68"/>
      <c r="E35" s="68"/>
      <c r="F35" s="22" t="s">
        <v>474</v>
      </c>
      <c r="G35" s="22"/>
      <c r="H35" s="23" t="s">
        <v>277</v>
      </c>
      <c r="I35" s="23" t="s">
        <v>331</v>
      </c>
      <c r="J35" s="23" t="s">
        <v>1996</v>
      </c>
      <c r="K35" s="2" t="s">
        <v>1937</v>
      </c>
      <c r="L35" s="3"/>
    </row>
    <row r="36" spans="2:12" ht="27">
      <c r="B36" s="21">
        <f t="shared" si="1"/>
        <v>31</v>
      </c>
      <c r="C36" s="68"/>
      <c r="D36" s="68"/>
      <c r="E36" s="68"/>
      <c r="F36" s="22" t="s">
        <v>1825</v>
      </c>
      <c r="G36" s="174" t="s">
        <v>1998</v>
      </c>
      <c r="H36" s="23" t="s">
        <v>50</v>
      </c>
      <c r="I36" s="174" t="s">
        <v>1450</v>
      </c>
      <c r="J36" s="23"/>
      <c r="K36" s="2" t="s">
        <v>1937</v>
      </c>
      <c r="L36" s="3"/>
    </row>
    <row r="37" spans="2:12" ht="27">
      <c r="B37" s="21">
        <f t="shared" si="1"/>
        <v>32</v>
      </c>
      <c r="C37" s="68"/>
      <c r="D37" s="68"/>
      <c r="E37" s="68"/>
      <c r="F37" s="22" t="s">
        <v>1961</v>
      </c>
      <c r="G37" s="174"/>
      <c r="H37" s="23" t="s">
        <v>50</v>
      </c>
      <c r="I37" s="174" t="s">
        <v>1393</v>
      </c>
      <c r="J37" s="23"/>
      <c r="K37" s="2" t="s">
        <v>1937</v>
      </c>
      <c r="L37" s="3"/>
    </row>
    <row r="38" spans="2:12" ht="27">
      <c r="B38" s="21">
        <f t="shared" si="1"/>
        <v>33</v>
      </c>
      <c r="C38" s="68"/>
      <c r="D38" s="68"/>
      <c r="E38" s="68"/>
      <c r="F38" s="22" t="s">
        <v>1962</v>
      </c>
      <c r="G38" s="174" t="s">
        <v>1999</v>
      </c>
      <c r="H38" s="23" t="s">
        <v>50</v>
      </c>
      <c r="I38" s="174" t="s">
        <v>1450</v>
      </c>
      <c r="J38" s="23"/>
      <c r="K38" s="2" t="s">
        <v>1937</v>
      </c>
      <c r="L38" s="3"/>
    </row>
    <row r="39" spans="2:12" ht="27">
      <c r="B39" s="21">
        <f t="shared" si="1"/>
        <v>34</v>
      </c>
      <c r="C39" s="68"/>
      <c r="D39" s="68"/>
      <c r="E39" s="68"/>
      <c r="F39" s="22" t="s">
        <v>1963</v>
      </c>
      <c r="G39" s="174" t="s">
        <v>1999</v>
      </c>
      <c r="H39" s="23" t="s">
        <v>50</v>
      </c>
      <c r="I39" s="174" t="s">
        <v>1450</v>
      </c>
      <c r="J39" s="23"/>
      <c r="K39" s="2" t="s">
        <v>1937</v>
      </c>
      <c r="L39" s="3"/>
    </row>
    <row r="40" spans="2:12" ht="27">
      <c r="B40" s="21">
        <f t="shared" si="1"/>
        <v>35</v>
      </c>
      <c r="C40" s="68"/>
      <c r="D40" s="68"/>
      <c r="E40" s="68"/>
      <c r="F40" s="22" t="s">
        <v>1965</v>
      </c>
      <c r="G40" s="174" t="s">
        <v>2000</v>
      </c>
      <c r="H40" s="23" t="s">
        <v>50</v>
      </c>
      <c r="I40" s="174" t="s">
        <v>1644</v>
      </c>
      <c r="J40" s="23"/>
      <c r="K40" s="2" t="s">
        <v>1937</v>
      </c>
      <c r="L40" s="3"/>
    </row>
    <row r="41" spans="2:12" ht="27">
      <c r="B41" s="21">
        <f t="shared" si="1"/>
        <v>36</v>
      </c>
      <c r="C41" s="68"/>
      <c r="D41" s="68"/>
      <c r="E41" s="68"/>
      <c r="F41" s="22" t="s">
        <v>1966</v>
      </c>
      <c r="G41" s="22"/>
      <c r="H41" s="23" t="s">
        <v>27</v>
      </c>
      <c r="I41" s="23" t="s">
        <v>28</v>
      </c>
      <c r="J41" s="23"/>
      <c r="K41" s="2" t="s">
        <v>1937</v>
      </c>
      <c r="L41" s="3"/>
    </row>
    <row r="42" spans="2:12" ht="27">
      <c r="B42" s="21">
        <f t="shared" si="1"/>
        <v>37</v>
      </c>
      <c r="C42" s="68"/>
      <c r="D42" s="68"/>
      <c r="E42" s="68"/>
      <c r="F42" s="22" t="s">
        <v>1969</v>
      </c>
      <c r="G42" s="22"/>
      <c r="H42" s="23" t="s">
        <v>27</v>
      </c>
      <c r="I42" s="23" t="s">
        <v>57</v>
      </c>
      <c r="J42" s="23"/>
      <c r="K42" s="2" t="s">
        <v>1937</v>
      </c>
      <c r="L42" s="3"/>
    </row>
    <row r="43" spans="2:12" ht="81">
      <c r="B43" s="21">
        <f t="shared" si="1"/>
        <v>38</v>
      </c>
      <c r="C43" s="68"/>
      <c r="D43" s="68"/>
      <c r="E43" s="68"/>
      <c r="F43" s="22" t="s">
        <v>1967</v>
      </c>
      <c r="G43" s="22" t="s">
        <v>2001</v>
      </c>
      <c r="H43" s="23" t="s">
        <v>27</v>
      </c>
      <c r="I43" s="23" t="s">
        <v>28</v>
      </c>
      <c r="J43" s="23"/>
      <c r="K43" s="2" t="s">
        <v>1937</v>
      </c>
      <c r="L43" s="3"/>
    </row>
    <row r="44" spans="2:12" ht="27">
      <c r="B44" s="21">
        <f t="shared" si="1"/>
        <v>39</v>
      </c>
      <c r="C44" s="68"/>
      <c r="D44" s="68"/>
      <c r="E44" s="19"/>
      <c r="F44" s="34" t="s">
        <v>1968</v>
      </c>
      <c r="G44" s="22" t="s">
        <v>2002</v>
      </c>
      <c r="H44" s="23" t="s">
        <v>27</v>
      </c>
      <c r="I44" s="23" t="s">
        <v>57</v>
      </c>
      <c r="J44" s="23"/>
      <c r="K44" s="2" t="s">
        <v>1937</v>
      </c>
      <c r="L44" s="3"/>
    </row>
    <row r="45" spans="2:12" ht="27">
      <c r="B45" s="21">
        <f t="shared" si="1"/>
        <v>40</v>
      </c>
      <c r="C45" s="19"/>
      <c r="D45" s="19"/>
      <c r="E45" s="17" t="s">
        <v>1947</v>
      </c>
      <c r="F45" s="22" t="s">
        <v>1948</v>
      </c>
      <c r="G45" s="173"/>
      <c r="H45" s="23" t="s">
        <v>1979</v>
      </c>
      <c r="I45" s="23" t="s">
        <v>331</v>
      </c>
      <c r="J45" s="23" t="s">
        <v>1997</v>
      </c>
      <c r="K45" s="2" t="s">
        <v>1937</v>
      </c>
      <c r="L45" s="3"/>
    </row>
    <row r="46" spans="2:12">
      <c r="I46" s="177"/>
    </row>
    <row r="47" spans="2:12">
      <c r="I47" s="177"/>
    </row>
    <row r="48" spans="2:12">
      <c r="I48" s="177"/>
    </row>
    <row r="49" s="177" customFormat="1"/>
    <row r="50" s="177" customFormat="1"/>
    <row r="51" s="177" customFormat="1"/>
    <row r="52" s="177" customFormat="1"/>
    <row r="53" s="177" customFormat="1"/>
    <row r="54" s="177" customFormat="1"/>
    <row r="55" s="177" customFormat="1"/>
    <row r="56" s="177" customFormat="1"/>
    <row r="57" s="177" customFormat="1"/>
    <row r="58" s="177" customFormat="1"/>
    <row r="59" s="177" customFormat="1"/>
    <row r="60" s="177" customFormat="1"/>
    <row r="61" s="177" customFormat="1"/>
    <row r="62" s="177" customFormat="1"/>
    <row r="63" s="177" customFormat="1"/>
    <row r="64" s="177" customFormat="1" ht="33" customHeight="1"/>
    <row r="65" s="177" customFormat="1"/>
    <row r="66" s="177" customFormat="1"/>
    <row r="67" s="177" customFormat="1"/>
    <row r="68" s="177" customFormat="1"/>
    <row r="69" s="177" customFormat="1" ht="31.5" customHeight="1"/>
    <row r="70" s="177" customFormat="1"/>
    <row r="71" s="177" customFormat="1"/>
    <row r="72" s="177" customFormat="1"/>
    <row r="73" s="177" customFormat="1"/>
    <row r="74" s="177" customFormat="1"/>
    <row r="75" s="177" customFormat="1"/>
    <row r="76" s="177" customFormat="1"/>
    <row r="77" s="177" customFormat="1"/>
    <row r="78" s="177" customFormat="1"/>
    <row r="79" s="177" customFormat="1" ht="30.75" customHeight="1"/>
    <row r="80" s="177" customFormat="1" ht="33" customHeight="1"/>
    <row r="81" s="177" customFormat="1"/>
    <row r="82" s="177" customFormat="1"/>
    <row r="83" s="177" customFormat="1"/>
    <row r="84" s="177" customFormat="1"/>
    <row r="85" s="177" customFormat="1" ht="31.5" customHeight="1"/>
    <row r="86" s="177" customFormat="1"/>
    <row r="87" s="177" customFormat="1" ht="30.75" customHeight="1"/>
    <row r="88" s="177" customFormat="1"/>
    <row r="89" s="177" customFormat="1" ht="31.5" customHeight="1"/>
    <row r="90" s="177" customFormat="1"/>
    <row r="91" s="177" customFormat="1"/>
    <row r="92" s="177" customFormat="1"/>
    <row r="93" s="177" customFormat="1" ht="33" customHeight="1"/>
    <row r="94" s="177" customFormat="1"/>
    <row r="95" s="177" customFormat="1" ht="30.75" customHeight="1"/>
    <row r="96" s="177" customFormat="1" ht="27" customHeight="1"/>
    <row r="97" s="177" customFormat="1"/>
    <row r="98" s="177" customFormat="1"/>
    <row r="99" s="177" customFormat="1"/>
    <row r="100" s="177" customFormat="1"/>
    <row r="101" s="177" customFormat="1"/>
    <row r="102" s="177" customFormat="1"/>
    <row r="103" s="177" customFormat="1"/>
    <row r="104" s="177" customFormat="1"/>
    <row r="105" s="177" customFormat="1"/>
    <row r="106" s="177" customFormat="1"/>
    <row r="107" s="177" customFormat="1"/>
    <row r="108" s="177" customFormat="1"/>
    <row r="109" s="177" customFormat="1"/>
    <row r="110" s="177" customFormat="1"/>
    <row r="111" s="177" customFormat="1"/>
    <row r="112" s="177" customFormat="1"/>
    <row r="113" s="177" customFormat="1"/>
    <row r="114" s="177" customFormat="1"/>
    <row r="115" s="177" customFormat="1"/>
    <row r="116" s="177" customFormat="1"/>
    <row r="117" s="177" customFormat="1"/>
    <row r="118" s="177" customFormat="1"/>
    <row r="119" s="177" customFormat="1"/>
    <row r="120" s="177" customFormat="1"/>
    <row r="121" s="177" customFormat="1"/>
    <row r="122" s="177" customFormat="1"/>
    <row r="123" s="177" customFormat="1"/>
    <row r="124" s="177" customFormat="1"/>
    <row r="125" s="177" customFormat="1"/>
    <row r="126" s="177" customFormat="1"/>
    <row r="127" s="177" customFormat="1" ht="409" customHeight="1"/>
    <row r="128" s="177" customFormat="1"/>
    <row r="129" s="177" customFormat="1"/>
    <row r="130" s="177" customFormat="1"/>
    <row r="131" s="177" customFormat="1"/>
    <row r="132" s="177" customFormat="1"/>
    <row r="133" s="177" customFormat="1"/>
    <row r="134" s="177" customFormat="1"/>
    <row r="135" s="177" customFormat="1"/>
    <row r="136" s="177" customFormat="1"/>
    <row r="137" s="177" customFormat="1"/>
    <row r="138" s="177" customFormat="1"/>
    <row r="139" s="177" customFormat="1"/>
    <row r="140" s="177" customFormat="1"/>
    <row r="141" s="177" customFormat="1"/>
    <row r="142" s="177" customFormat="1"/>
    <row r="143" s="177" customFormat="1"/>
    <row r="144" s="177" customFormat="1"/>
    <row r="145" s="177" customFormat="1"/>
    <row r="146" s="177" customFormat="1"/>
    <row r="147" s="177" customFormat="1"/>
    <row r="148" s="177" customFormat="1"/>
    <row r="149" s="177" customFormat="1"/>
    <row r="150" s="177" customFormat="1"/>
    <row r="151" s="177" customFormat="1"/>
    <row r="152" s="177" customFormat="1"/>
    <row r="153" s="177" customFormat="1"/>
    <row r="154" s="177" customFormat="1"/>
    <row r="155" s="177" customFormat="1"/>
    <row r="156" s="177" customFormat="1"/>
    <row r="157" s="177" customFormat="1"/>
    <row r="158" s="177" customFormat="1"/>
    <row r="159" s="177" customFormat="1"/>
    <row r="160" s="177" customFormat="1"/>
    <row r="161" s="177" customFormat="1"/>
    <row r="162" s="177" customFormat="1"/>
    <row r="163" s="177" customFormat="1"/>
    <row r="164" s="177" customFormat="1"/>
    <row r="165" s="177" customFormat="1"/>
    <row r="166" s="177" customFormat="1"/>
    <row r="167" s="177" customFormat="1"/>
    <row r="168" s="177" customFormat="1"/>
    <row r="169" s="177" customFormat="1"/>
    <row r="170" s="177" customFormat="1"/>
    <row r="171" s="177" customFormat="1"/>
    <row r="172" s="177" customFormat="1"/>
    <row r="173" s="177" customFormat="1"/>
    <row r="174" s="177" customFormat="1"/>
    <row r="175" s="177" customFormat="1"/>
    <row r="176" s="177" customFormat="1"/>
    <row r="177" s="177" customFormat="1"/>
    <row r="178" s="177" customFormat="1"/>
    <row r="179" s="177" customFormat="1"/>
    <row r="180" s="177" customFormat="1"/>
    <row r="181" s="177" customFormat="1"/>
    <row r="182" s="177" customFormat="1"/>
    <row r="183" s="177" customFormat="1"/>
    <row r="184" s="177" customFormat="1"/>
    <row r="185" s="177" customFormat="1"/>
    <row r="186" s="177" customFormat="1"/>
    <row r="187" s="177" customFormat="1"/>
    <row r="188" s="177" customFormat="1"/>
    <row r="189" s="177" customFormat="1"/>
    <row r="190" s="177" customFormat="1"/>
    <row r="191" s="177" customFormat="1"/>
    <row r="192" s="177" customFormat="1"/>
    <row r="193" s="177" customFormat="1"/>
    <row r="194" s="177" customFormat="1"/>
    <row r="195" s="177" customFormat="1"/>
    <row r="196" s="177" customFormat="1"/>
    <row r="197" s="177" customFormat="1"/>
    <row r="198" s="177" customFormat="1"/>
    <row r="199" s="177" customFormat="1"/>
    <row r="200" s="177" customFormat="1"/>
    <row r="201" s="177" customFormat="1"/>
    <row r="202" s="177" customFormat="1"/>
    <row r="203" s="177" customFormat="1"/>
    <row r="204" s="177" customFormat="1" ht="2.25" customHeight="1"/>
    <row r="205" s="177" customFormat="1" ht="409.5" customHeight="1"/>
    <row r="206" s="177" customFormat="1"/>
    <row r="207" s="177" customFormat="1"/>
    <row r="208" s="177" customFormat="1"/>
    <row r="209" spans="9:9">
      <c r="I209" s="177"/>
    </row>
    <row r="210" spans="9:9">
      <c r="I210" s="177"/>
    </row>
    <row r="211" spans="9:9">
      <c r="I211" s="177"/>
    </row>
    <row r="212" spans="9:9">
      <c r="I212" s="177"/>
    </row>
    <row r="213" spans="9:9">
      <c r="I213" s="177"/>
    </row>
    <row r="214" spans="9:9">
      <c r="I214" s="177"/>
    </row>
    <row r="215" spans="9:9">
      <c r="I215" s="177"/>
    </row>
    <row r="216" spans="9:9">
      <c r="I216" s="177"/>
    </row>
  </sheetData>
  <phoneticPr fontId="14"/>
  <hyperlinks>
    <hyperlink ref="A4" location="パラメータ設定一覧!A1" display="パラメータ設定一覧へ" xr:uid="{EA2A551B-87DA-43CA-A4C8-D11282780412}"/>
  </hyperlinks>
  <pageMargins left="0.7" right="0.7" top="0.75" bottom="0.75" header="0.3" footer="0.3"/>
  <pageSetup paperSize="9" orientation="portrait" verticalDpi="0"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2FAF2-E3A3-4436-85BE-16D2825BCA67}">
  <sheetPr codeName="Sheet83"/>
  <dimension ref="A1:AP38"/>
  <sheetViews>
    <sheetView showGridLines="0" zoomScaleNormal="100" workbookViewId="0">
      <pane xSplit="4" ySplit="6" topLeftCell="E7" activePane="bottomRight" state="frozen"/>
      <selection pane="topRight"/>
      <selection pane="bottomLeft"/>
      <selection pane="bottomRight" activeCell="E7" sqref="E7"/>
    </sheetView>
  </sheetViews>
  <sheetFormatPr defaultColWidth="8.78515625" defaultRowHeight="15"/>
  <cols>
    <col min="1" max="1" width="2.78515625" customWidth="1"/>
    <col min="2" max="2" width="3.5703125" bestFit="1" customWidth="1"/>
    <col min="3" max="8" width="19.35546875" customWidth="1"/>
    <col min="9" max="9" width="16.28515625" bestFit="1" customWidth="1"/>
    <col min="10" max="42" width="17.2109375" customWidth="1"/>
    <col min="43" max="43" width="20.640625" bestFit="1" customWidth="1"/>
    <col min="44" max="44" width="14.42578125" bestFit="1" customWidth="1"/>
    <col min="45" max="45" width="11.78515625" customWidth="1"/>
    <col min="46" max="46" width="8.2109375" bestFit="1" customWidth="1"/>
  </cols>
  <sheetData>
    <row r="1" spans="1:42" ht="19.5">
      <c r="A1" s="88" t="s">
        <v>2772</v>
      </c>
    </row>
    <row r="2" spans="1:42">
      <c r="A2" s="196" t="s">
        <v>2668</v>
      </c>
    </row>
    <row r="3" spans="1:42">
      <c r="A3" s="10" t="s">
        <v>363</v>
      </c>
    </row>
    <row r="4" spans="1:42" ht="15.75" customHeight="1">
      <c r="B4" s="450" t="s">
        <v>1</v>
      </c>
      <c r="C4" s="107" t="s">
        <v>1934</v>
      </c>
      <c r="D4" s="110"/>
      <c r="E4" s="110"/>
      <c r="F4" s="110"/>
      <c r="G4" s="110"/>
      <c r="H4" s="110"/>
      <c r="I4" s="110"/>
      <c r="J4" s="154" t="s">
        <v>1970</v>
      </c>
      <c r="K4" s="153"/>
      <c r="L4" s="153"/>
      <c r="M4" s="153"/>
      <c r="N4" s="153"/>
      <c r="O4" s="153"/>
      <c r="P4" s="153"/>
      <c r="Q4" s="153"/>
      <c r="R4" s="153"/>
      <c r="S4" s="153"/>
      <c r="T4" s="153"/>
      <c r="U4" s="153"/>
      <c r="V4" s="153"/>
      <c r="W4" s="153"/>
      <c r="X4" s="153"/>
      <c r="Y4" s="153"/>
      <c r="Z4" s="153"/>
      <c r="AA4" s="153"/>
      <c r="AB4" s="153"/>
      <c r="AC4" s="153"/>
      <c r="AD4" s="153"/>
      <c r="AE4" s="153"/>
      <c r="AF4" s="153"/>
      <c r="AG4" s="153"/>
      <c r="AH4" s="153"/>
      <c r="AI4" s="153"/>
      <c r="AJ4" s="153"/>
      <c r="AK4" s="153"/>
      <c r="AL4" s="153"/>
      <c r="AM4" s="153"/>
      <c r="AN4" s="153"/>
      <c r="AO4" s="153"/>
      <c r="AP4" s="152"/>
    </row>
    <row r="5" spans="1:42" ht="15.75" customHeight="1">
      <c r="B5" s="451"/>
      <c r="C5" s="106"/>
      <c r="D5" s="109"/>
      <c r="E5" s="109"/>
      <c r="F5" s="109"/>
      <c r="G5" s="109"/>
      <c r="H5" s="109"/>
      <c r="I5" s="109"/>
      <c r="J5" s="106" t="s">
        <v>166</v>
      </c>
      <c r="K5" s="109"/>
      <c r="L5" s="109"/>
      <c r="M5" s="109"/>
      <c r="N5" s="109"/>
      <c r="O5" s="109"/>
      <c r="P5" s="109"/>
      <c r="Q5" s="109"/>
      <c r="R5" s="109"/>
      <c r="S5" s="109"/>
      <c r="T5" s="109"/>
      <c r="U5" s="109"/>
      <c r="V5" s="109"/>
      <c r="W5" s="109"/>
      <c r="X5" s="109"/>
      <c r="Y5" s="109"/>
      <c r="Z5" s="109"/>
      <c r="AA5" s="109"/>
      <c r="AB5" s="109"/>
      <c r="AC5" s="109"/>
      <c r="AD5" s="109"/>
      <c r="AE5" s="106" t="s">
        <v>49</v>
      </c>
      <c r="AF5" s="109"/>
      <c r="AG5" s="109"/>
      <c r="AH5" s="109"/>
      <c r="AI5" s="109"/>
      <c r="AJ5" s="109"/>
      <c r="AK5" s="109"/>
      <c r="AL5" s="109"/>
      <c r="AM5" s="109"/>
      <c r="AN5" s="109"/>
      <c r="AO5" s="175"/>
      <c r="AP5" s="166" t="s">
        <v>1947</v>
      </c>
    </row>
    <row r="6" spans="1:42">
      <c r="B6" s="451"/>
      <c r="C6" s="59" t="s">
        <v>19</v>
      </c>
      <c r="D6" s="59" t="s">
        <v>1938</v>
      </c>
      <c r="E6" s="59" t="s">
        <v>45</v>
      </c>
      <c r="F6" s="59" t="s">
        <v>1939</v>
      </c>
      <c r="G6" s="59" t="s">
        <v>1940</v>
      </c>
      <c r="H6" s="59" t="s">
        <v>212</v>
      </c>
      <c r="I6" s="59" t="s">
        <v>1941</v>
      </c>
      <c r="J6" s="59" t="s">
        <v>1949</v>
      </c>
      <c r="K6" s="59" t="s">
        <v>506</v>
      </c>
      <c r="L6" s="59" t="s">
        <v>1950</v>
      </c>
      <c r="M6" s="59" t="s">
        <v>1951</v>
      </c>
      <c r="N6" s="59" t="s">
        <v>1952</v>
      </c>
      <c r="O6" s="59" t="s">
        <v>237</v>
      </c>
      <c r="P6" s="59" t="s">
        <v>1848</v>
      </c>
      <c r="Q6" s="59" t="s">
        <v>1850</v>
      </c>
      <c r="R6" s="59" t="s">
        <v>1852</v>
      </c>
      <c r="S6" s="59" t="s">
        <v>1853</v>
      </c>
      <c r="T6" s="59" t="s">
        <v>1107</v>
      </c>
      <c r="U6" s="59" t="s">
        <v>389</v>
      </c>
      <c r="V6" s="59" t="s">
        <v>1953</v>
      </c>
      <c r="W6" s="59" t="s">
        <v>1954</v>
      </c>
      <c r="X6" s="59" t="s">
        <v>167</v>
      </c>
      <c r="Y6" s="59" t="s">
        <v>1955</v>
      </c>
      <c r="Z6" s="59" t="s">
        <v>230</v>
      </c>
      <c r="AA6" s="59" t="s">
        <v>1956</v>
      </c>
      <c r="AB6" s="59" t="s">
        <v>1957</v>
      </c>
      <c r="AC6" s="59" t="s">
        <v>1958</v>
      </c>
      <c r="AD6" s="59" t="s">
        <v>1959</v>
      </c>
      <c r="AE6" s="59" t="s">
        <v>1960</v>
      </c>
      <c r="AF6" s="59" t="s">
        <v>474</v>
      </c>
      <c r="AG6" s="59" t="s">
        <v>1825</v>
      </c>
      <c r="AH6" s="59" t="s">
        <v>1961</v>
      </c>
      <c r="AI6" s="59" t="s">
        <v>1962</v>
      </c>
      <c r="AJ6" s="59" t="s">
        <v>1963</v>
      </c>
      <c r="AK6" s="59" t="s">
        <v>1964</v>
      </c>
      <c r="AL6" s="59" t="s">
        <v>1966</v>
      </c>
      <c r="AM6" s="59" t="s">
        <v>1969</v>
      </c>
      <c r="AN6" s="59" t="s">
        <v>1967</v>
      </c>
      <c r="AO6" s="59" t="s">
        <v>1968</v>
      </c>
      <c r="AP6" s="69" t="s">
        <v>1948</v>
      </c>
    </row>
    <row r="7" spans="1:42" ht="121.5">
      <c r="B7" s="451"/>
      <c r="C7" s="8" t="s">
        <v>1971</v>
      </c>
      <c r="D7" s="8" t="s">
        <v>1942</v>
      </c>
      <c r="E7" s="8" t="s">
        <v>20</v>
      </c>
      <c r="F7" s="8" t="s">
        <v>1732</v>
      </c>
      <c r="G7" s="8" t="s">
        <v>277</v>
      </c>
      <c r="H7" s="8" t="s">
        <v>1943</v>
      </c>
      <c r="I7" s="8" t="s">
        <v>1732</v>
      </c>
      <c r="J7" s="8" t="s">
        <v>1979</v>
      </c>
      <c r="K7" s="8" t="s">
        <v>1943</v>
      </c>
      <c r="L7" s="8" t="s">
        <v>1974</v>
      </c>
      <c r="M7" s="8" t="s">
        <v>1982</v>
      </c>
      <c r="N7" s="8" t="s">
        <v>1974</v>
      </c>
      <c r="O7" s="8" t="s">
        <v>1985</v>
      </c>
      <c r="P7" s="8" t="s">
        <v>1991</v>
      </c>
      <c r="Q7" s="8" t="s">
        <v>1991</v>
      </c>
      <c r="R7" s="8" t="s">
        <v>1991</v>
      </c>
      <c r="S7" s="8" t="s">
        <v>1991</v>
      </c>
      <c r="T7" s="8" t="s">
        <v>1473</v>
      </c>
      <c r="U7" s="8" t="s">
        <v>1443</v>
      </c>
      <c r="V7" s="8" t="s">
        <v>50</v>
      </c>
      <c r="W7" s="8" t="s">
        <v>50</v>
      </c>
      <c r="X7" s="8" t="s">
        <v>445</v>
      </c>
      <c r="Y7" s="8" t="s">
        <v>50</v>
      </c>
      <c r="Z7" s="8" t="s">
        <v>1989</v>
      </c>
      <c r="AA7" s="8" t="s">
        <v>50</v>
      </c>
      <c r="AB7" s="8" t="s">
        <v>1990</v>
      </c>
      <c r="AC7" s="8" t="s">
        <v>1979</v>
      </c>
      <c r="AD7" s="8" t="s">
        <v>1979</v>
      </c>
      <c r="AE7" s="8" t="s">
        <v>277</v>
      </c>
      <c r="AF7" s="8" t="s">
        <v>277</v>
      </c>
      <c r="AG7" s="8" t="s">
        <v>50</v>
      </c>
      <c r="AH7" s="8" t="s">
        <v>50</v>
      </c>
      <c r="AI7" s="8" t="s">
        <v>50</v>
      </c>
      <c r="AJ7" s="8" t="s">
        <v>50</v>
      </c>
      <c r="AK7" s="8" t="s">
        <v>50</v>
      </c>
      <c r="AL7" s="8" t="s">
        <v>833</v>
      </c>
      <c r="AM7" s="8" t="s">
        <v>833</v>
      </c>
      <c r="AN7" s="8" t="s">
        <v>833</v>
      </c>
      <c r="AO7" s="8" t="s">
        <v>833</v>
      </c>
      <c r="AP7" s="8" t="s">
        <v>1979</v>
      </c>
    </row>
    <row r="8" spans="1:42">
      <c r="B8" s="452"/>
      <c r="C8" s="8" t="s">
        <v>2667</v>
      </c>
      <c r="D8" s="8" t="s">
        <v>1979</v>
      </c>
      <c r="E8" s="8"/>
      <c r="F8" s="8" t="s">
        <v>1979</v>
      </c>
      <c r="G8" s="8" t="s">
        <v>1979</v>
      </c>
      <c r="H8" s="8" t="s">
        <v>2667</v>
      </c>
      <c r="I8" s="8"/>
      <c r="J8" s="8" t="s">
        <v>1979</v>
      </c>
      <c r="K8" s="8" t="s">
        <v>2752</v>
      </c>
      <c r="L8" s="8" t="s">
        <v>2752</v>
      </c>
      <c r="M8" s="8" t="s">
        <v>2752</v>
      </c>
      <c r="N8" s="8" t="s">
        <v>2752</v>
      </c>
      <c r="O8" s="8" t="s">
        <v>2752</v>
      </c>
      <c r="P8" s="8"/>
      <c r="Q8" s="8"/>
      <c r="R8" s="8"/>
      <c r="S8" s="8"/>
      <c r="T8" s="8"/>
      <c r="U8" s="8"/>
      <c r="V8" s="8"/>
      <c r="W8" s="8"/>
      <c r="X8" s="8"/>
      <c r="Y8" s="8" t="s">
        <v>2752</v>
      </c>
      <c r="Z8" s="8" t="s">
        <v>198</v>
      </c>
      <c r="AA8" s="8"/>
      <c r="AB8" s="8"/>
      <c r="AC8" s="8"/>
      <c r="AD8" s="8"/>
      <c r="AE8" s="8"/>
      <c r="AF8" s="8"/>
      <c r="AG8" s="8"/>
      <c r="AH8" s="8"/>
      <c r="AI8" s="8"/>
      <c r="AJ8" s="8"/>
      <c r="AK8" s="8"/>
      <c r="AL8" s="8"/>
      <c r="AM8" s="8"/>
      <c r="AN8" s="8"/>
      <c r="AO8" s="8"/>
      <c r="AP8" s="8"/>
    </row>
    <row r="9" spans="1:42">
      <c r="B9" s="5">
        <f>ROW() - 8</f>
        <v>1</v>
      </c>
      <c r="C9" s="5"/>
      <c r="D9" s="5"/>
      <c r="E9" s="5"/>
      <c r="F9" s="5"/>
      <c r="G9" s="5"/>
      <c r="H9" s="5"/>
      <c r="I9" s="105"/>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5"/>
    </row>
    <row r="10" spans="1:42">
      <c r="B10" s="5">
        <f t="shared" ref="B10:B38" si="0">ROW() - 8</f>
        <v>2</v>
      </c>
      <c r="C10" s="5"/>
      <c r="D10" s="5"/>
      <c r="E10" s="5"/>
      <c r="F10" s="5"/>
      <c r="G10" s="5"/>
      <c r="H10" s="5"/>
      <c r="I10" s="105"/>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5"/>
    </row>
    <row r="11" spans="1:42">
      <c r="B11" s="5">
        <f t="shared" si="0"/>
        <v>3</v>
      </c>
      <c r="C11" s="5"/>
      <c r="D11" s="5"/>
      <c r="E11" s="5"/>
      <c r="F11" s="5"/>
      <c r="G11" s="5"/>
      <c r="H11" s="5"/>
      <c r="I11" s="102"/>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5"/>
    </row>
    <row r="12" spans="1:42">
      <c r="B12" s="5">
        <f t="shared" si="0"/>
        <v>4</v>
      </c>
      <c r="C12" s="5"/>
      <c r="D12" s="5"/>
      <c r="E12" s="5"/>
      <c r="F12" s="5"/>
      <c r="G12" s="5"/>
      <c r="H12" s="5"/>
      <c r="I12" s="102"/>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5"/>
    </row>
    <row r="13" spans="1:42">
      <c r="B13" s="5">
        <f t="shared" si="0"/>
        <v>5</v>
      </c>
      <c r="C13" s="5"/>
      <c r="D13" s="5"/>
      <c r="E13" s="5"/>
      <c r="F13" s="5"/>
      <c r="G13" s="5"/>
      <c r="H13" s="5"/>
      <c r="I13" s="102"/>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5"/>
    </row>
    <row r="14" spans="1:42">
      <c r="B14" s="5">
        <f t="shared" si="0"/>
        <v>6</v>
      </c>
      <c r="C14" s="5"/>
      <c r="D14" s="5"/>
      <c r="E14" s="5"/>
      <c r="F14" s="5"/>
      <c r="G14" s="5"/>
      <c r="H14" s="5"/>
      <c r="I14" s="105"/>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5"/>
    </row>
    <row r="15" spans="1:42">
      <c r="B15" s="5">
        <f t="shared" si="0"/>
        <v>7</v>
      </c>
      <c r="C15" s="5"/>
      <c r="D15" s="5"/>
      <c r="E15" s="5"/>
      <c r="F15" s="5"/>
      <c r="G15" s="5"/>
      <c r="H15" s="5"/>
      <c r="I15" s="102"/>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5"/>
    </row>
    <row r="16" spans="1:42">
      <c r="B16" s="5">
        <f t="shared" si="0"/>
        <v>8</v>
      </c>
      <c r="C16" s="5"/>
      <c r="D16" s="5"/>
      <c r="E16" s="5"/>
      <c r="F16" s="5"/>
      <c r="G16" s="5"/>
      <c r="H16" s="5"/>
      <c r="I16" s="102"/>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5"/>
    </row>
    <row r="17" spans="2:42">
      <c r="B17" s="5">
        <f t="shared" si="0"/>
        <v>9</v>
      </c>
      <c r="C17" s="5"/>
      <c r="D17" s="5"/>
      <c r="E17" s="5"/>
      <c r="F17" s="5"/>
      <c r="G17" s="5"/>
      <c r="H17" s="5"/>
      <c r="I17" s="102"/>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5"/>
    </row>
    <row r="18" spans="2:42">
      <c r="B18" s="5">
        <f t="shared" si="0"/>
        <v>10</v>
      </c>
      <c r="C18" s="5"/>
      <c r="D18" s="5"/>
      <c r="E18" s="5"/>
      <c r="F18" s="5"/>
      <c r="G18" s="5"/>
      <c r="H18" s="5"/>
      <c r="I18" s="105"/>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5"/>
    </row>
    <row r="19" spans="2:42">
      <c r="B19" s="5">
        <f t="shared" si="0"/>
        <v>11</v>
      </c>
      <c r="C19" s="5"/>
      <c r="D19" s="5"/>
      <c r="E19" s="5"/>
      <c r="F19" s="5"/>
      <c r="G19" s="5"/>
      <c r="H19" s="5"/>
      <c r="I19" s="102"/>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5"/>
    </row>
    <row r="20" spans="2:42">
      <c r="B20" s="5">
        <f t="shared" si="0"/>
        <v>12</v>
      </c>
      <c r="C20" s="5"/>
      <c r="D20" s="5"/>
      <c r="E20" s="5"/>
      <c r="F20" s="5"/>
      <c r="G20" s="5"/>
      <c r="H20" s="5"/>
      <c r="I20" s="102"/>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5"/>
    </row>
    <row r="21" spans="2:42">
      <c r="B21" s="5">
        <f t="shared" si="0"/>
        <v>13</v>
      </c>
      <c r="C21" s="5"/>
      <c r="D21" s="5"/>
      <c r="E21" s="5"/>
      <c r="F21" s="5"/>
      <c r="G21" s="5"/>
      <c r="H21" s="5"/>
      <c r="I21" s="102"/>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5"/>
    </row>
    <row r="22" spans="2:42">
      <c r="B22" s="5">
        <f t="shared" si="0"/>
        <v>14</v>
      </c>
      <c r="C22" s="5"/>
      <c r="D22" s="5"/>
      <c r="E22" s="5"/>
      <c r="F22" s="5"/>
      <c r="G22" s="5"/>
      <c r="H22" s="5"/>
      <c r="I22" s="105"/>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5"/>
    </row>
    <row r="23" spans="2:42">
      <c r="B23" s="5">
        <f t="shared" si="0"/>
        <v>15</v>
      </c>
      <c r="C23" s="5"/>
      <c r="D23" s="5"/>
      <c r="E23" s="5"/>
      <c r="F23" s="5"/>
      <c r="G23" s="5"/>
      <c r="H23" s="5"/>
      <c r="I23" s="102"/>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5"/>
    </row>
    <row r="24" spans="2:42">
      <c r="B24" s="5">
        <f t="shared" si="0"/>
        <v>16</v>
      </c>
      <c r="C24" s="5"/>
      <c r="D24" s="5"/>
      <c r="E24" s="5"/>
      <c r="F24" s="5"/>
      <c r="G24" s="5"/>
      <c r="H24" s="5"/>
      <c r="I24" s="102"/>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5"/>
    </row>
    <row r="25" spans="2:42">
      <c r="B25" s="5">
        <f t="shared" si="0"/>
        <v>17</v>
      </c>
      <c r="C25" s="5"/>
      <c r="D25" s="5"/>
      <c r="E25" s="5"/>
      <c r="F25" s="5"/>
      <c r="G25" s="5"/>
      <c r="H25" s="5"/>
      <c r="I25" s="102"/>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5"/>
    </row>
    <row r="26" spans="2:42">
      <c r="B26" s="5">
        <f t="shared" si="0"/>
        <v>18</v>
      </c>
      <c r="C26" s="5"/>
      <c r="D26" s="5"/>
      <c r="E26" s="5"/>
      <c r="F26" s="5"/>
      <c r="G26" s="5"/>
      <c r="H26" s="5"/>
      <c r="I26" s="102"/>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5"/>
    </row>
    <row r="27" spans="2:42">
      <c r="B27" s="5">
        <f t="shared" si="0"/>
        <v>19</v>
      </c>
      <c r="C27" s="5"/>
      <c r="D27" s="5"/>
      <c r="E27" s="5"/>
      <c r="F27" s="5"/>
      <c r="G27" s="5"/>
      <c r="H27" s="5"/>
      <c r="I27" s="102"/>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5"/>
    </row>
    <row r="28" spans="2:42">
      <c r="B28" s="5">
        <f t="shared" si="0"/>
        <v>20</v>
      </c>
      <c r="C28" s="5"/>
      <c r="D28" s="5"/>
      <c r="E28" s="5"/>
      <c r="F28" s="5"/>
      <c r="G28" s="5"/>
      <c r="H28" s="5"/>
      <c r="I28" s="102"/>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5"/>
    </row>
    <row r="29" spans="2:42">
      <c r="B29" s="5">
        <f t="shared" si="0"/>
        <v>21</v>
      </c>
      <c r="C29" s="5"/>
      <c r="D29" s="5"/>
      <c r="E29" s="5"/>
      <c r="F29" s="5"/>
      <c r="G29" s="5"/>
      <c r="H29" s="5"/>
      <c r="I29" s="105"/>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5"/>
    </row>
    <row r="30" spans="2:42">
      <c r="B30" s="5">
        <f t="shared" si="0"/>
        <v>22</v>
      </c>
      <c r="C30" s="5"/>
      <c r="D30" s="5"/>
      <c r="E30" s="5"/>
      <c r="F30" s="5"/>
      <c r="G30" s="5"/>
      <c r="H30" s="5"/>
      <c r="I30" s="102"/>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5"/>
    </row>
    <row r="31" spans="2:42">
      <c r="B31" s="5">
        <f t="shared" si="0"/>
        <v>23</v>
      </c>
      <c r="C31" s="5"/>
      <c r="D31" s="5"/>
      <c r="E31" s="5"/>
      <c r="F31" s="5"/>
      <c r="G31" s="5"/>
      <c r="H31" s="5"/>
      <c r="I31" s="102"/>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5"/>
    </row>
    <row r="32" spans="2:42">
      <c r="B32" s="5">
        <f t="shared" si="0"/>
        <v>24</v>
      </c>
      <c r="C32" s="5"/>
      <c r="D32" s="5"/>
      <c r="E32" s="5"/>
      <c r="F32" s="5"/>
      <c r="G32" s="5"/>
      <c r="H32" s="5"/>
      <c r="I32" s="102"/>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5"/>
    </row>
    <row r="33" spans="2:42">
      <c r="B33" s="5">
        <f t="shared" si="0"/>
        <v>25</v>
      </c>
      <c r="C33" s="5"/>
      <c r="D33" s="5"/>
      <c r="E33" s="5"/>
      <c r="F33" s="5"/>
      <c r="G33" s="5"/>
      <c r="H33" s="5"/>
      <c r="I33" s="105"/>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5"/>
    </row>
    <row r="34" spans="2:42">
      <c r="B34" s="5">
        <f t="shared" si="0"/>
        <v>26</v>
      </c>
      <c r="C34" s="5"/>
      <c r="D34" s="5"/>
      <c r="E34" s="5"/>
      <c r="F34" s="5"/>
      <c r="G34" s="5"/>
      <c r="H34" s="5"/>
      <c r="I34" s="102"/>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5"/>
    </row>
    <row r="35" spans="2:42">
      <c r="B35" s="5">
        <f t="shared" si="0"/>
        <v>27</v>
      </c>
      <c r="C35" s="5"/>
      <c r="D35" s="5"/>
      <c r="E35" s="5"/>
      <c r="F35" s="5"/>
      <c r="G35" s="5"/>
      <c r="H35" s="5"/>
      <c r="I35" s="102"/>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5"/>
    </row>
    <row r="36" spans="2:42">
      <c r="B36" s="5">
        <f t="shared" si="0"/>
        <v>28</v>
      </c>
      <c r="C36" s="5"/>
      <c r="D36" s="5"/>
      <c r="E36" s="5"/>
      <c r="F36" s="5"/>
      <c r="G36" s="5"/>
      <c r="H36" s="5"/>
      <c r="I36" s="102"/>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5"/>
    </row>
    <row r="37" spans="2:42">
      <c r="B37" s="5">
        <f t="shared" si="0"/>
        <v>29</v>
      </c>
      <c r="C37" s="5"/>
      <c r="D37" s="5"/>
      <c r="E37" s="5"/>
      <c r="F37" s="5"/>
      <c r="G37" s="5"/>
      <c r="H37" s="5"/>
      <c r="I37" s="102"/>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5"/>
    </row>
    <row r="38" spans="2:42">
      <c r="B38" s="5">
        <f t="shared" si="0"/>
        <v>30</v>
      </c>
      <c r="C38" s="5"/>
      <c r="D38" s="5"/>
      <c r="E38" s="5"/>
      <c r="F38" s="5"/>
      <c r="G38" s="5"/>
      <c r="H38" s="5"/>
      <c r="I38" s="102"/>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5"/>
    </row>
  </sheetData>
  <sheetProtection insertRows="0" deleteRows="0" sort="0" autoFilter="0"/>
  <mergeCells count="1">
    <mergeCell ref="B4:B8"/>
  </mergeCells>
  <phoneticPr fontId="14"/>
  <hyperlinks>
    <hyperlink ref="A3" location="パラメータ設定一覧!A1" display="パラメータ設定一覧へ" xr:uid="{94F61E36-527E-4D36-9DB0-D0A207335C8E}"/>
  </hyperlinks>
  <pageMargins left="0.7" right="0.7" top="0.75" bottom="0.75" header="0.3" footer="0.3"/>
  <pageSetup paperSize="9" orientation="portrait" verticalDpi="0"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04EF9-F022-42D4-99C1-AC883D176828}">
  <sheetPr codeName="Sheet38">
    <pageSetUpPr fitToPage="1"/>
  </sheetPr>
  <dimension ref="A1:L171"/>
  <sheetViews>
    <sheetView showGridLines="0" zoomScaleNormal="100" zoomScaleSheetLayoutView="100" workbookViewId="0">
      <pane xSplit="6" ySplit="5" topLeftCell="G6" activePane="bottomRight" state="frozen"/>
      <selection activeCell="E9" sqref="E9"/>
      <selection pane="topRight" activeCell="E9" sqref="E9"/>
      <selection pane="bottomLeft" activeCell="E9" sqref="E9"/>
      <selection pane="bottomRight" activeCell="G6" sqref="G6"/>
    </sheetView>
  </sheetViews>
  <sheetFormatPr defaultColWidth="8.78515625" defaultRowHeight="13.5"/>
  <cols>
    <col min="1" max="1" width="2.78515625" style="46" customWidth="1"/>
    <col min="2" max="2" width="3.640625" style="46" customWidth="1"/>
    <col min="3" max="3" width="16.5703125" style="46" customWidth="1"/>
    <col min="4" max="4" width="7" style="46" customWidth="1"/>
    <col min="5" max="5" width="16.78515625" style="46" customWidth="1"/>
    <col min="6" max="6" width="24.5703125" style="46" customWidth="1"/>
    <col min="7" max="7" width="30.35546875" style="46" customWidth="1"/>
    <col min="8" max="8" width="26.42578125" style="46" customWidth="1"/>
    <col min="9" max="9" width="18.78515625" style="46" customWidth="1"/>
    <col min="10" max="10" width="36.78515625" style="46" customWidth="1"/>
    <col min="11" max="11" width="17.2109375" style="46" customWidth="1"/>
    <col min="12" max="12" width="40.78515625" style="46" customWidth="1"/>
    <col min="13" max="16384" width="8.78515625" style="46"/>
  </cols>
  <sheetData>
    <row r="1" spans="1:12" s="86" customFormat="1" ht="19.5">
      <c r="A1" s="99" t="s">
        <v>1043</v>
      </c>
    </row>
    <row r="2" spans="1:12" s="86" customFormat="1" ht="15">
      <c r="B2" s="86" t="s">
        <v>1042</v>
      </c>
    </row>
    <row r="3" spans="1:12" s="86" customFormat="1" ht="15">
      <c r="B3" s="86" t="s">
        <v>1041</v>
      </c>
    </row>
    <row r="4" spans="1:12" s="86" customFormat="1" ht="15">
      <c r="A4" s="10" t="s">
        <v>363</v>
      </c>
    </row>
    <row r="5" spans="1:12">
      <c r="B5" s="11" t="s">
        <v>1</v>
      </c>
      <c r="C5" s="12" t="s">
        <v>9</v>
      </c>
      <c r="D5" s="12" t="s">
        <v>10</v>
      </c>
      <c r="E5" s="12" t="s">
        <v>11</v>
      </c>
      <c r="F5" s="13" t="s">
        <v>12</v>
      </c>
      <c r="G5" s="13" t="s">
        <v>13</v>
      </c>
      <c r="H5" s="12" t="s">
        <v>14</v>
      </c>
      <c r="I5" s="12" t="s">
        <v>15</v>
      </c>
      <c r="J5" s="11" t="s">
        <v>16</v>
      </c>
      <c r="K5" s="14" t="s">
        <v>17</v>
      </c>
      <c r="L5" s="14" t="s">
        <v>18</v>
      </c>
    </row>
    <row r="6" spans="1:12">
      <c r="B6" s="15">
        <f t="shared" ref="B6:B37" si="0">ROW() - 5</f>
        <v>1</v>
      </c>
      <c r="C6" s="16" t="s">
        <v>23</v>
      </c>
      <c r="D6" s="16"/>
      <c r="E6" s="16" t="s">
        <v>1040</v>
      </c>
      <c r="F6" s="17" t="s">
        <v>1039</v>
      </c>
      <c r="G6" s="17"/>
      <c r="H6" s="17" t="s">
        <v>918</v>
      </c>
      <c r="I6" s="17" t="s">
        <v>21</v>
      </c>
      <c r="J6" s="23"/>
      <c r="K6" s="2" t="s">
        <v>893</v>
      </c>
      <c r="L6" s="3"/>
    </row>
    <row r="7" spans="1:12">
      <c r="B7" s="15">
        <f t="shared" si="0"/>
        <v>2</v>
      </c>
      <c r="C7" s="68"/>
      <c r="D7" s="68"/>
      <c r="E7" s="68"/>
      <c r="F7" s="16" t="s">
        <v>1038</v>
      </c>
      <c r="G7" s="17"/>
      <c r="H7" s="17" t="s">
        <v>918</v>
      </c>
      <c r="I7" s="17" t="s">
        <v>21</v>
      </c>
      <c r="J7" s="23"/>
      <c r="K7" s="2" t="s">
        <v>893</v>
      </c>
      <c r="L7" s="3"/>
    </row>
    <row r="8" spans="1:12">
      <c r="B8" s="15">
        <f t="shared" si="0"/>
        <v>3</v>
      </c>
      <c r="C8" s="68"/>
      <c r="D8" s="68"/>
      <c r="E8" s="68"/>
      <c r="F8" s="19"/>
      <c r="G8" s="17"/>
      <c r="H8" s="17" t="s">
        <v>918</v>
      </c>
      <c r="I8" s="17" t="s">
        <v>21</v>
      </c>
      <c r="J8" s="23"/>
      <c r="K8" s="2" t="s">
        <v>893</v>
      </c>
      <c r="L8" s="3"/>
    </row>
    <row r="9" spans="1:12">
      <c r="B9" s="15">
        <f t="shared" si="0"/>
        <v>4</v>
      </c>
      <c r="C9" s="68"/>
      <c r="D9" s="68"/>
      <c r="E9" s="68"/>
      <c r="F9" s="16" t="s">
        <v>1037</v>
      </c>
      <c r="G9" s="17" t="s">
        <v>19</v>
      </c>
      <c r="H9" s="17" t="s">
        <v>704</v>
      </c>
      <c r="I9" s="17" t="s">
        <v>21</v>
      </c>
      <c r="J9" s="23"/>
      <c r="K9" s="2" t="s">
        <v>893</v>
      </c>
      <c r="L9" s="3"/>
    </row>
    <row r="10" spans="1:12">
      <c r="B10" s="15">
        <f t="shared" si="0"/>
        <v>5</v>
      </c>
      <c r="C10" s="68"/>
      <c r="D10" s="68"/>
      <c r="E10" s="19"/>
      <c r="F10" s="19"/>
      <c r="G10" s="17"/>
      <c r="H10" s="17" t="s">
        <v>918</v>
      </c>
      <c r="I10" s="17" t="s">
        <v>21</v>
      </c>
      <c r="J10" s="23"/>
      <c r="K10" s="2" t="s">
        <v>893</v>
      </c>
      <c r="L10" s="3"/>
    </row>
    <row r="11" spans="1:12" ht="27">
      <c r="B11" s="15">
        <f t="shared" si="0"/>
        <v>6</v>
      </c>
      <c r="C11" s="68"/>
      <c r="D11" s="68"/>
      <c r="E11" s="16" t="s">
        <v>1036</v>
      </c>
      <c r="F11" s="17" t="s">
        <v>60</v>
      </c>
      <c r="G11" s="17"/>
      <c r="H11" s="17" t="s">
        <v>20</v>
      </c>
      <c r="I11" s="49" t="s">
        <v>21</v>
      </c>
      <c r="J11" s="23" t="s">
        <v>2757</v>
      </c>
      <c r="K11" s="2" t="s">
        <v>893</v>
      </c>
      <c r="L11" s="3"/>
    </row>
    <row r="12" spans="1:12" ht="27">
      <c r="B12" s="15">
        <f t="shared" si="0"/>
        <v>7</v>
      </c>
      <c r="C12" s="68"/>
      <c r="D12" s="68"/>
      <c r="E12" s="68"/>
      <c r="F12" s="17" t="s">
        <v>46</v>
      </c>
      <c r="G12" s="17"/>
      <c r="H12" s="17" t="s">
        <v>1026</v>
      </c>
      <c r="I12" s="49" t="s">
        <v>219</v>
      </c>
      <c r="J12" s="23"/>
      <c r="K12" s="2" t="s">
        <v>893</v>
      </c>
      <c r="L12" s="3"/>
    </row>
    <row r="13" spans="1:12">
      <c r="B13" s="15">
        <f t="shared" si="0"/>
        <v>8</v>
      </c>
      <c r="C13" s="68"/>
      <c r="D13" s="68"/>
      <c r="E13" s="68"/>
      <c r="F13" s="17" t="s">
        <v>855</v>
      </c>
      <c r="G13" s="17" t="s">
        <v>1025</v>
      </c>
      <c r="H13" s="17" t="s">
        <v>918</v>
      </c>
      <c r="I13" s="49" t="s">
        <v>21</v>
      </c>
      <c r="J13" s="23"/>
      <c r="K13" s="2" t="s">
        <v>893</v>
      </c>
      <c r="L13" s="3"/>
    </row>
    <row r="14" spans="1:12">
      <c r="B14" s="15">
        <f t="shared" si="0"/>
        <v>9</v>
      </c>
      <c r="C14" s="68"/>
      <c r="D14" s="68"/>
      <c r="E14" s="68"/>
      <c r="F14" s="17" t="s">
        <v>19</v>
      </c>
      <c r="G14" s="17"/>
      <c r="H14" s="17" t="s">
        <v>20</v>
      </c>
      <c r="I14" s="49" t="s">
        <v>21</v>
      </c>
      <c r="J14" s="23"/>
      <c r="K14" s="2" t="s">
        <v>893</v>
      </c>
      <c r="L14" s="3"/>
    </row>
    <row r="15" spans="1:12">
      <c r="B15" s="15">
        <f t="shared" si="0"/>
        <v>10</v>
      </c>
      <c r="C15" s="68"/>
      <c r="D15" s="68"/>
      <c r="E15" s="68"/>
      <c r="F15" s="17" t="s">
        <v>25</v>
      </c>
      <c r="G15" s="17"/>
      <c r="H15" s="17" t="s">
        <v>20</v>
      </c>
      <c r="I15" s="49" t="s">
        <v>21</v>
      </c>
      <c r="J15" s="23"/>
      <c r="K15" s="2" t="s">
        <v>893</v>
      </c>
      <c r="L15" s="3"/>
    </row>
    <row r="16" spans="1:12">
      <c r="B16" s="15">
        <f t="shared" si="0"/>
        <v>11</v>
      </c>
      <c r="C16" s="68"/>
      <c r="D16" s="68"/>
      <c r="E16" s="68"/>
      <c r="F16" s="17" t="s">
        <v>196</v>
      </c>
      <c r="G16" s="17"/>
      <c r="H16" s="17" t="s">
        <v>1023</v>
      </c>
      <c r="I16" s="49" t="s">
        <v>21</v>
      </c>
      <c r="J16" s="23"/>
      <c r="K16" s="2" t="s">
        <v>893</v>
      </c>
      <c r="L16" s="3"/>
    </row>
    <row r="17" spans="2:12" ht="27">
      <c r="B17" s="15">
        <f t="shared" si="0"/>
        <v>12</v>
      </c>
      <c r="C17" s="68"/>
      <c r="D17" s="68"/>
      <c r="E17" s="16" t="s">
        <v>1035</v>
      </c>
      <c r="F17" s="17" t="s">
        <v>1034</v>
      </c>
      <c r="G17" s="17"/>
      <c r="H17" s="17" t="s">
        <v>50</v>
      </c>
      <c r="I17" s="49" t="s">
        <v>21</v>
      </c>
      <c r="J17" s="23"/>
      <c r="K17" s="2" t="s">
        <v>893</v>
      </c>
      <c r="L17" s="3"/>
    </row>
    <row r="18" spans="2:12">
      <c r="B18" s="15">
        <f t="shared" si="0"/>
        <v>13</v>
      </c>
      <c r="C18" s="68"/>
      <c r="D18" s="68"/>
      <c r="E18" s="68"/>
      <c r="F18" s="17" t="s">
        <v>1033</v>
      </c>
      <c r="G18" s="17"/>
      <c r="H18" s="17" t="s">
        <v>20</v>
      </c>
      <c r="I18" s="49" t="s">
        <v>21</v>
      </c>
      <c r="J18" s="23"/>
      <c r="K18" s="2" t="s">
        <v>893</v>
      </c>
      <c r="L18" s="3"/>
    </row>
    <row r="19" spans="2:12" ht="54">
      <c r="B19" s="15">
        <f t="shared" si="0"/>
        <v>14</v>
      </c>
      <c r="C19" s="68"/>
      <c r="D19" s="68"/>
      <c r="E19" s="68"/>
      <c r="F19" s="17" t="s">
        <v>242</v>
      </c>
      <c r="G19" s="17"/>
      <c r="H19" s="17" t="s">
        <v>1032</v>
      </c>
      <c r="I19" s="49" t="s">
        <v>170</v>
      </c>
      <c r="J19" s="23"/>
      <c r="K19" s="2" t="s">
        <v>893</v>
      </c>
      <c r="L19" s="3"/>
    </row>
    <row r="20" spans="2:12">
      <c r="B20" s="15">
        <f t="shared" si="0"/>
        <v>15</v>
      </c>
      <c r="C20" s="68"/>
      <c r="D20" s="68"/>
      <c r="E20" s="68"/>
      <c r="F20" s="17" t="s">
        <v>185</v>
      </c>
      <c r="G20" s="17"/>
      <c r="H20" s="17" t="s">
        <v>50</v>
      </c>
      <c r="I20" s="49" t="s">
        <v>21</v>
      </c>
      <c r="J20" s="23"/>
      <c r="K20" s="2" t="s">
        <v>893</v>
      </c>
      <c r="L20" s="3"/>
    </row>
    <row r="21" spans="2:12" ht="27">
      <c r="B21" s="15">
        <f t="shared" si="0"/>
        <v>16</v>
      </c>
      <c r="C21" s="68"/>
      <c r="D21" s="68"/>
      <c r="E21" s="16" t="s">
        <v>1031</v>
      </c>
      <c r="F21" s="17" t="s">
        <v>61</v>
      </c>
      <c r="G21" s="17"/>
      <c r="H21" s="17" t="s">
        <v>1030</v>
      </c>
      <c r="I21" s="49" t="s">
        <v>21</v>
      </c>
      <c r="J21" s="23"/>
      <c r="K21" s="2" t="s">
        <v>893</v>
      </c>
      <c r="L21" s="3"/>
    </row>
    <row r="22" spans="2:12">
      <c r="B22" s="15">
        <f t="shared" si="0"/>
        <v>17</v>
      </c>
      <c r="C22" s="68"/>
      <c r="D22" s="68"/>
      <c r="E22" s="68"/>
      <c r="F22" s="17" t="s">
        <v>791</v>
      </c>
      <c r="G22" s="17"/>
      <c r="H22" s="17" t="s">
        <v>20</v>
      </c>
      <c r="I22" s="49" t="s">
        <v>21</v>
      </c>
      <c r="J22" s="23"/>
      <c r="K22" s="2" t="s">
        <v>893</v>
      </c>
      <c r="L22" s="3"/>
    </row>
    <row r="23" spans="2:12">
      <c r="B23" s="15">
        <f t="shared" si="0"/>
        <v>18</v>
      </c>
      <c r="C23" s="68"/>
      <c r="D23" s="68"/>
      <c r="E23" s="68"/>
      <c r="F23" s="17" t="s">
        <v>792</v>
      </c>
      <c r="G23" s="17"/>
      <c r="H23" s="17" t="s">
        <v>20</v>
      </c>
      <c r="I23" s="49" t="s">
        <v>21</v>
      </c>
      <c r="J23" s="23"/>
      <c r="K23" s="2" t="s">
        <v>893</v>
      </c>
      <c r="L23" s="3"/>
    </row>
    <row r="24" spans="2:12">
      <c r="B24" s="15">
        <f t="shared" si="0"/>
        <v>19</v>
      </c>
      <c r="C24" s="68"/>
      <c r="D24" s="68"/>
      <c r="E24" s="68"/>
      <c r="F24" s="17" t="s">
        <v>794</v>
      </c>
      <c r="G24" s="17"/>
      <c r="H24" s="17" t="s">
        <v>1029</v>
      </c>
      <c r="I24" s="49"/>
      <c r="J24" s="23"/>
      <c r="K24" s="2" t="s">
        <v>893</v>
      </c>
      <c r="L24" s="3"/>
    </row>
    <row r="25" spans="2:12" ht="40.5">
      <c r="B25" s="15">
        <f t="shared" si="0"/>
        <v>20</v>
      </c>
      <c r="C25" s="68"/>
      <c r="D25" s="68"/>
      <c r="E25" s="16" t="s">
        <v>1028</v>
      </c>
      <c r="F25" s="17" t="s">
        <v>207</v>
      </c>
      <c r="G25" s="17"/>
      <c r="H25" s="114" t="s">
        <v>1000</v>
      </c>
      <c r="I25" s="49" t="s">
        <v>82</v>
      </c>
      <c r="J25" s="23"/>
      <c r="K25" s="2" t="s">
        <v>893</v>
      </c>
      <c r="L25" s="3"/>
    </row>
    <row r="26" spans="2:12" ht="27">
      <c r="B26" s="15">
        <f t="shared" si="0"/>
        <v>21</v>
      </c>
      <c r="C26" s="68"/>
      <c r="D26" s="68"/>
      <c r="E26" s="16" t="s">
        <v>1027</v>
      </c>
      <c r="F26" s="17" t="s">
        <v>60</v>
      </c>
      <c r="G26" s="17"/>
      <c r="H26" s="17" t="s">
        <v>20</v>
      </c>
      <c r="I26" s="49" t="s">
        <v>21</v>
      </c>
      <c r="J26" s="23" t="s">
        <v>999</v>
      </c>
      <c r="K26" s="2"/>
      <c r="L26" s="3"/>
    </row>
    <row r="27" spans="2:12" ht="27">
      <c r="B27" s="15">
        <f t="shared" si="0"/>
        <v>22</v>
      </c>
      <c r="C27" s="68"/>
      <c r="D27" s="68"/>
      <c r="E27" s="68"/>
      <c r="F27" s="17" t="s">
        <v>46</v>
      </c>
      <c r="G27" s="17"/>
      <c r="H27" s="17" t="s">
        <v>1026</v>
      </c>
      <c r="I27" s="49" t="s">
        <v>219</v>
      </c>
      <c r="J27" s="23" t="s">
        <v>999</v>
      </c>
      <c r="K27" s="2"/>
      <c r="L27" s="3"/>
    </row>
    <row r="28" spans="2:12">
      <c r="B28" s="15">
        <f t="shared" si="0"/>
        <v>23</v>
      </c>
      <c r="C28" s="68"/>
      <c r="D28" s="68"/>
      <c r="E28" s="68"/>
      <c r="F28" s="17" t="s">
        <v>855</v>
      </c>
      <c r="G28" s="17" t="s">
        <v>1025</v>
      </c>
      <c r="H28" s="17" t="s">
        <v>918</v>
      </c>
      <c r="I28" s="49" t="s">
        <v>21</v>
      </c>
      <c r="J28" s="23" t="s">
        <v>999</v>
      </c>
      <c r="K28" s="2"/>
      <c r="L28" s="3"/>
    </row>
    <row r="29" spans="2:12" ht="27">
      <c r="B29" s="15">
        <f t="shared" si="0"/>
        <v>24</v>
      </c>
      <c r="C29" s="68"/>
      <c r="D29" s="68"/>
      <c r="E29" s="68"/>
      <c r="F29" s="17" t="s">
        <v>202</v>
      </c>
      <c r="G29" s="17" t="s">
        <v>51</v>
      </c>
      <c r="H29" s="17" t="s">
        <v>1024</v>
      </c>
      <c r="I29" s="49" t="s">
        <v>21</v>
      </c>
      <c r="J29" s="23" t="s">
        <v>999</v>
      </c>
      <c r="K29" s="2"/>
      <c r="L29" s="3"/>
    </row>
    <row r="30" spans="2:12">
      <c r="B30" s="15">
        <f t="shared" si="0"/>
        <v>25</v>
      </c>
      <c r="C30" s="68"/>
      <c r="D30" s="68"/>
      <c r="E30" s="68"/>
      <c r="F30" s="17" t="s">
        <v>813</v>
      </c>
      <c r="G30" s="17"/>
      <c r="H30" s="17" t="s">
        <v>20</v>
      </c>
      <c r="I30" s="49" t="s">
        <v>21</v>
      </c>
      <c r="J30" s="23" t="s">
        <v>999</v>
      </c>
      <c r="K30" s="2"/>
      <c r="L30" s="3"/>
    </row>
    <row r="31" spans="2:12">
      <c r="B31" s="15">
        <f t="shared" si="0"/>
        <v>26</v>
      </c>
      <c r="C31" s="68"/>
      <c r="D31" s="68"/>
      <c r="E31" s="68"/>
      <c r="F31" s="17" t="s">
        <v>256</v>
      </c>
      <c r="G31" s="17"/>
      <c r="H31" s="17" t="s">
        <v>20</v>
      </c>
      <c r="I31" s="49" t="s">
        <v>21</v>
      </c>
      <c r="J31" s="23" t="s">
        <v>999</v>
      </c>
      <c r="K31" s="2"/>
      <c r="L31" s="3"/>
    </row>
    <row r="32" spans="2:12">
      <c r="B32" s="15">
        <f t="shared" si="0"/>
        <v>27</v>
      </c>
      <c r="C32" s="68"/>
      <c r="D32" s="68"/>
      <c r="E32" s="68"/>
      <c r="F32" s="17" t="s">
        <v>812</v>
      </c>
      <c r="G32" s="17"/>
      <c r="H32" s="17" t="s">
        <v>20</v>
      </c>
      <c r="I32" s="49" t="s">
        <v>21</v>
      </c>
      <c r="J32" s="23" t="s">
        <v>999</v>
      </c>
      <c r="K32" s="2"/>
      <c r="L32" s="3"/>
    </row>
    <row r="33" spans="2:12">
      <c r="B33" s="15">
        <f t="shared" si="0"/>
        <v>28</v>
      </c>
      <c r="C33" s="68"/>
      <c r="D33" s="68"/>
      <c r="E33" s="68"/>
      <c r="F33" s="17" t="s">
        <v>25</v>
      </c>
      <c r="G33" s="17"/>
      <c r="H33" s="17" t="s">
        <v>20</v>
      </c>
      <c r="I33" s="49" t="s">
        <v>21</v>
      </c>
      <c r="J33" s="23" t="s">
        <v>999</v>
      </c>
      <c r="K33" s="2"/>
      <c r="L33" s="3"/>
    </row>
    <row r="34" spans="2:12" ht="27">
      <c r="B34" s="15">
        <f t="shared" si="0"/>
        <v>29</v>
      </c>
      <c r="C34" s="68"/>
      <c r="D34" s="68"/>
      <c r="E34" s="68"/>
      <c r="F34" s="17" t="s">
        <v>203</v>
      </c>
      <c r="G34" s="17" t="s">
        <v>51</v>
      </c>
      <c r="H34" s="17" t="s">
        <v>1024</v>
      </c>
      <c r="I34" s="49" t="s">
        <v>21</v>
      </c>
      <c r="J34" s="23" t="s">
        <v>999</v>
      </c>
      <c r="K34" s="2"/>
      <c r="L34" s="3"/>
    </row>
    <row r="35" spans="2:12">
      <c r="B35" s="15">
        <f t="shared" si="0"/>
        <v>30</v>
      </c>
      <c r="C35" s="68"/>
      <c r="D35" s="68"/>
      <c r="E35" s="19"/>
      <c r="F35" s="17" t="s">
        <v>196</v>
      </c>
      <c r="G35" s="17"/>
      <c r="H35" s="17" t="s">
        <v>1023</v>
      </c>
      <c r="I35" s="49" t="s">
        <v>21</v>
      </c>
      <c r="J35" s="23" t="s">
        <v>999</v>
      </c>
      <c r="K35" s="2"/>
      <c r="L35" s="3"/>
    </row>
    <row r="36" spans="2:12" ht="27">
      <c r="B36" s="15">
        <f t="shared" si="0"/>
        <v>31</v>
      </c>
      <c r="C36" s="68"/>
      <c r="D36" s="68"/>
      <c r="E36" s="16" t="s">
        <v>1022</v>
      </c>
      <c r="F36" s="17" t="s">
        <v>1021</v>
      </c>
      <c r="G36" s="17"/>
      <c r="H36" s="17" t="s">
        <v>20</v>
      </c>
      <c r="I36" s="49" t="s">
        <v>21</v>
      </c>
      <c r="J36" s="23" t="s">
        <v>999</v>
      </c>
      <c r="K36" s="2"/>
      <c r="L36" s="3"/>
    </row>
    <row r="37" spans="2:12">
      <c r="B37" s="15">
        <f t="shared" si="0"/>
        <v>32</v>
      </c>
      <c r="C37" s="68"/>
      <c r="D37" s="68"/>
      <c r="E37" s="68"/>
      <c r="F37" s="17" t="s">
        <v>791</v>
      </c>
      <c r="H37" s="17" t="s">
        <v>20</v>
      </c>
      <c r="I37" s="49" t="s">
        <v>21</v>
      </c>
      <c r="J37" s="23" t="s">
        <v>999</v>
      </c>
      <c r="K37" s="2"/>
      <c r="L37" s="3"/>
    </row>
    <row r="38" spans="2:12">
      <c r="B38" s="15">
        <f t="shared" ref="B38:B69" si="1">ROW() - 5</f>
        <v>33</v>
      </c>
      <c r="C38" s="68"/>
      <c r="D38" s="68"/>
      <c r="E38" s="68"/>
      <c r="F38" s="17" t="s">
        <v>204</v>
      </c>
      <c r="G38" s="17" t="s">
        <v>51</v>
      </c>
      <c r="H38" s="17" t="s">
        <v>1020</v>
      </c>
      <c r="I38" s="23" t="s">
        <v>56</v>
      </c>
      <c r="J38" s="23" t="s">
        <v>999</v>
      </c>
      <c r="K38" s="2"/>
      <c r="L38" s="3"/>
    </row>
    <row r="39" spans="2:12">
      <c r="B39" s="15">
        <f t="shared" si="1"/>
        <v>34</v>
      </c>
      <c r="C39" s="68"/>
      <c r="D39" s="68"/>
      <c r="E39" s="68"/>
      <c r="F39" s="17" t="s">
        <v>1019</v>
      </c>
      <c r="G39" s="17"/>
      <c r="H39" s="17" t="s">
        <v>20</v>
      </c>
      <c r="I39" s="49" t="s">
        <v>21</v>
      </c>
      <c r="J39" s="23" t="s">
        <v>999</v>
      </c>
      <c r="K39" s="2"/>
      <c r="L39" s="3"/>
    </row>
    <row r="40" spans="2:12">
      <c r="B40" s="15">
        <f t="shared" si="1"/>
        <v>35</v>
      </c>
      <c r="C40" s="68"/>
      <c r="D40" s="68"/>
      <c r="E40" s="68"/>
      <c r="F40" s="17" t="s">
        <v>1018</v>
      </c>
      <c r="G40" s="17"/>
      <c r="H40" s="17" t="s">
        <v>20</v>
      </c>
      <c r="I40" s="49" t="s">
        <v>21</v>
      </c>
      <c r="J40" s="23" t="s">
        <v>999</v>
      </c>
      <c r="K40" s="2"/>
      <c r="L40" s="3"/>
    </row>
    <row r="41" spans="2:12">
      <c r="B41" s="15">
        <f t="shared" si="1"/>
        <v>36</v>
      </c>
      <c r="C41" s="68"/>
      <c r="D41" s="68"/>
      <c r="E41" s="68"/>
      <c r="F41" s="17" t="s">
        <v>1017</v>
      </c>
      <c r="G41" s="17"/>
      <c r="H41" s="17" t="s">
        <v>20</v>
      </c>
      <c r="I41" s="49" t="s">
        <v>21</v>
      </c>
      <c r="J41" s="23" t="s">
        <v>999</v>
      </c>
      <c r="K41" s="2"/>
      <c r="L41" s="3"/>
    </row>
    <row r="42" spans="2:12">
      <c r="B42" s="15">
        <f t="shared" si="1"/>
        <v>37</v>
      </c>
      <c r="C42" s="68"/>
      <c r="D42" s="68"/>
      <c r="E42" s="68"/>
      <c r="F42" s="17" t="s">
        <v>1016</v>
      </c>
      <c r="G42" s="17"/>
      <c r="H42" s="17" t="s">
        <v>20</v>
      </c>
      <c r="I42" s="49" t="s">
        <v>21</v>
      </c>
      <c r="J42" s="23" t="s">
        <v>999</v>
      </c>
      <c r="K42" s="2"/>
      <c r="L42" s="3"/>
    </row>
    <row r="43" spans="2:12">
      <c r="B43" s="15">
        <f t="shared" si="1"/>
        <v>38</v>
      </c>
      <c r="C43" s="68"/>
      <c r="D43" s="68"/>
      <c r="E43" s="19"/>
      <c r="F43" s="17" t="s">
        <v>1015</v>
      </c>
      <c r="G43" s="17"/>
      <c r="H43" s="17" t="s">
        <v>20</v>
      </c>
      <c r="I43" s="49" t="s">
        <v>21</v>
      </c>
      <c r="J43" s="23" t="s">
        <v>999</v>
      </c>
      <c r="K43" s="2"/>
      <c r="L43" s="3"/>
    </row>
    <row r="44" spans="2:12" ht="40.5">
      <c r="B44" s="15">
        <f t="shared" si="1"/>
        <v>39</v>
      </c>
      <c r="C44" s="68"/>
      <c r="D44" s="68"/>
      <c r="E44" s="16" t="s">
        <v>1014</v>
      </c>
      <c r="F44" s="17" t="s">
        <v>1013</v>
      </c>
      <c r="G44" s="17"/>
      <c r="H44" s="17" t="s">
        <v>1012</v>
      </c>
      <c r="I44" s="49" t="s">
        <v>21</v>
      </c>
      <c r="J44" s="23" t="s">
        <v>999</v>
      </c>
      <c r="K44" s="2"/>
      <c r="L44" s="3"/>
    </row>
    <row r="45" spans="2:12" ht="67.5">
      <c r="B45" s="15">
        <f t="shared" si="1"/>
        <v>40</v>
      </c>
      <c r="C45" s="68"/>
      <c r="D45" s="68"/>
      <c r="E45" s="19"/>
      <c r="F45" s="17" t="s">
        <v>205</v>
      </c>
      <c r="G45" s="17"/>
      <c r="H45" s="17" t="s">
        <v>1011</v>
      </c>
      <c r="I45" s="23" t="s">
        <v>170</v>
      </c>
      <c r="J45" s="23" t="s">
        <v>999</v>
      </c>
      <c r="K45" s="2"/>
      <c r="L45" s="3"/>
    </row>
    <row r="46" spans="2:12" ht="162">
      <c r="B46" s="15">
        <f t="shared" si="1"/>
        <v>41</v>
      </c>
      <c r="C46" s="68"/>
      <c r="D46" s="68"/>
      <c r="E46" s="16" t="s">
        <v>1010</v>
      </c>
      <c r="F46" s="17" t="s">
        <v>206</v>
      </c>
      <c r="G46" s="17"/>
      <c r="H46" s="17" t="s">
        <v>1009</v>
      </c>
      <c r="I46" s="49" t="s">
        <v>21</v>
      </c>
      <c r="J46" s="23" t="s">
        <v>999</v>
      </c>
      <c r="K46" s="2"/>
      <c r="L46" s="3"/>
    </row>
    <row r="47" spans="2:12">
      <c r="B47" s="15">
        <f t="shared" si="1"/>
        <v>42</v>
      </c>
      <c r="C47" s="68"/>
      <c r="D47" s="68"/>
      <c r="E47" s="68"/>
      <c r="F47" s="17" t="s">
        <v>231</v>
      </c>
      <c r="G47" s="17"/>
      <c r="H47" s="17" t="s">
        <v>50</v>
      </c>
      <c r="I47" s="49" t="s">
        <v>21</v>
      </c>
      <c r="J47" s="23" t="s">
        <v>999</v>
      </c>
      <c r="K47" s="2"/>
      <c r="L47" s="3"/>
    </row>
    <row r="48" spans="2:12">
      <c r="B48" s="15">
        <f t="shared" si="1"/>
        <v>43</v>
      </c>
      <c r="C48" s="68"/>
      <c r="D48" s="68"/>
      <c r="E48" s="19"/>
      <c r="F48" s="17" t="s">
        <v>233</v>
      </c>
      <c r="G48" s="17"/>
      <c r="H48" s="17" t="s">
        <v>50</v>
      </c>
      <c r="I48" s="49" t="s">
        <v>21</v>
      </c>
      <c r="J48" s="23" t="s">
        <v>999</v>
      </c>
      <c r="K48" s="2"/>
      <c r="L48" s="3"/>
    </row>
    <row r="49" spans="2:12" ht="162">
      <c r="B49" s="15">
        <f t="shared" si="1"/>
        <v>44</v>
      </c>
      <c r="C49" s="68"/>
      <c r="D49" s="68"/>
      <c r="E49" s="16" t="s">
        <v>1008</v>
      </c>
      <c r="F49" s="17" t="s">
        <v>206</v>
      </c>
      <c r="G49" s="17"/>
      <c r="H49" s="17" t="s">
        <v>1007</v>
      </c>
      <c r="I49" s="49" t="s">
        <v>21</v>
      </c>
      <c r="J49" s="23" t="s">
        <v>999</v>
      </c>
      <c r="K49" s="2"/>
      <c r="L49" s="3"/>
    </row>
    <row r="50" spans="2:12">
      <c r="B50" s="15">
        <f t="shared" si="1"/>
        <v>45</v>
      </c>
      <c r="C50" s="68"/>
      <c r="D50" s="68"/>
      <c r="E50" s="68"/>
      <c r="F50" s="17" t="s">
        <v>231</v>
      </c>
      <c r="G50" s="17"/>
      <c r="H50" s="17" t="s">
        <v>50</v>
      </c>
      <c r="I50" s="49" t="s">
        <v>21</v>
      </c>
      <c r="J50" s="23" t="s">
        <v>999</v>
      </c>
      <c r="K50" s="2"/>
      <c r="L50" s="3"/>
    </row>
    <row r="51" spans="2:12">
      <c r="B51" s="15">
        <f t="shared" si="1"/>
        <v>46</v>
      </c>
      <c r="C51" s="68"/>
      <c r="D51" s="68"/>
      <c r="E51" s="19"/>
      <c r="F51" s="17" t="s">
        <v>233</v>
      </c>
      <c r="G51" s="17"/>
      <c r="H51" s="17" t="s">
        <v>50</v>
      </c>
      <c r="I51" s="49" t="s">
        <v>21</v>
      </c>
      <c r="J51" s="23" t="s">
        <v>999</v>
      </c>
      <c r="K51" s="2"/>
      <c r="L51" s="3"/>
    </row>
    <row r="52" spans="2:12" ht="27">
      <c r="B52" s="15">
        <f t="shared" si="1"/>
        <v>47</v>
      </c>
      <c r="C52" s="68"/>
      <c r="D52" s="68"/>
      <c r="E52" s="16" t="s">
        <v>1006</v>
      </c>
      <c r="F52" s="17" t="s">
        <v>61</v>
      </c>
      <c r="G52" s="17"/>
      <c r="H52" s="17" t="s">
        <v>1005</v>
      </c>
      <c r="I52" s="49" t="s">
        <v>21</v>
      </c>
      <c r="J52" s="23" t="s">
        <v>999</v>
      </c>
      <c r="K52" s="2"/>
      <c r="L52" s="3"/>
    </row>
    <row r="53" spans="2:12">
      <c r="B53" s="15">
        <f t="shared" si="1"/>
        <v>48</v>
      </c>
      <c r="C53" s="68"/>
      <c r="D53" s="68"/>
      <c r="E53" s="68"/>
      <c r="F53" s="17" t="s">
        <v>794</v>
      </c>
      <c r="G53" s="17"/>
      <c r="H53" s="17" t="s">
        <v>793</v>
      </c>
      <c r="I53" s="49" t="s">
        <v>21</v>
      </c>
      <c r="J53" s="23" t="s">
        <v>999</v>
      </c>
      <c r="K53" s="2"/>
      <c r="L53" s="3"/>
    </row>
    <row r="54" spans="2:12">
      <c r="B54" s="15">
        <f t="shared" si="1"/>
        <v>49</v>
      </c>
      <c r="C54" s="68"/>
      <c r="D54" s="68"/>
      <c r="E54" s="68"/>
      <c r="F54" s="17" t="s">
        <v>1004</v>
      </c>
      <c r="G54" s="17"/>
      <c r="H54" s="17" t="s">
        <v>20</v>
      </c>
      <c r="I54" s="49" t="s">
        <v>21</v>
      </c>
      <c r="J54" s="23" t="s">
        <v>999</v>
      </c>
      <c r="K54" s="2"/>
      <c r="L54" s="3"/>
    </row>
    <row r="55" spans="2:12">
      <c r="B55" s="15">
        <f t="shared" si="1"/>
        <v>50</v>
      </c>
      <c r="C55" s="68"/>
      <c r="D55" s="68"/>
      <c r="E55" s="19"/>
      <c r="F55" s="17" t="s">
        <v>1003</v>
      </c>
      <c r="G55" s="17"/>
      <c r="H55" s="17" t="s">
        <v>20</v>
      </c>
      <c r="I55" s="49" t="s">
        <v>21</v>
      </c>
      <c r="J55" s="23" t="s">
        <v>999</v>
      </c>
      <c r="K55" s="2"/>
      <c r="L55" s="3"/>
    </row>
    <row r="56" spans="2:12" ht="54">
      <c r="B56" s="15">
        <f t="shared" si="1"/>
        <v>51</v>
      </c>
      <c r="C56" s="68"/>
      <c r="D56" s="68"/>
      <c r="E56" s="16" t="s">
        <v>1002</v>
      </c>
      <c r="F56" s="17" t="s">
        <v>207</v>
      </c>
      <c r="G56" s="17" t="s">
        <v>1001</v>
      </c>
      <c r="H56" s="114" t="s">
        <v>1000</v>
      </c>
      <c r="I56" s="17" t="s">
        <v>82</v>
      </c>
      <c r="J56" s="23" t="s">
        <v>999</v>
      </c>
      <c r="K56" s="2"/>
      <c r="L56" s="3"/>
    </row>
    <row r="57" spans="2:12">
      <c r="B57" s="15">
        <f t="shared" si="1"/>
        <v>52</v>
      </c>
      <c r="C57" s="16" t="s">
        <v>31</v>
      </c>
      <c r="D57" s="16"/>
      <c r="E57" s="16"/>
      <c r="F57" s="17" t="s">
        <v>790</v>
      </c>
      <c r="G57" s="17"/>
      <c r="H57" s="22" t="s">
        <v>20</v>
      </c>
      <c r="I57" s="17" t="s">
        <v>21</v>
      </c>
      <c r="J57" s="23"/>
      <c r="K57" s="2" t="s">
        <v>893</v>
      </c>
      <c r="L57" s="3"/>
    </row>
    <row r="58" spans="2:12">
      <c r="B58" s="15">
        <f t="shared" si="1"/>
        <v>53</v>
      </c>
      <c r="C58" s="68"/>
      <c r="D58" s="68"/>
      <c r="E58" s="68"/>
      <c r="F58" s="17" t="s">
        <v>31</v>
      </c>
      <c r="G58" s="17"/>
      <c r="H58" s="22" t="s">
        <v>20</v>
      </c>
      <c r="I58" s="17" t="s">
        <v>21</v>
      </c>
      <c r="J58" s="23"/>
      <c r="K58" s="2" t="s">
        <v>893</v>
      </c>
      <c r="L58" s="3"/>
    </row>
    <row r="59" spans="2:12" ht="243">
      <c r="B59" s="15">
        <f t="shared" si="1"/>
        <v>54</v>
      </c>
      <c r="C59" s="68"/>
      <c r="D59" s="68"/>
      <c r="E59" s="68"/>
      <c r="F59" s="17" t="s">
        <v>32</v>
      </c>
      <c r="G59" s="17"/>
      <c r="H59" s="26" t="s">
        <v>789</v>
      </c>
      <c r="I59" s="17" t="s">
        <v>21</v>
      </c>
      <c r="J59" s="23"/>
      <c r="K59" s="2" t="s">
        <v>893</v>
      </c>
      <c r="L59" s="3"/>
    </row>
    <row r="60" spans="2:12">
      <c r="B60" s="15">
        <f t="shared" si="1"/>
        <v>55</v>
      </c>
      <c r="C60" s="68"/>
      <c r="D60" s="68"/>
      <c r="E60" s="19"/>
      <c r="F60" s="17" t="s">
        <v>33</v>
      </c>
      <c r="G60" s="17"/>
      <c r="H60" s="26" t="s">
        <v>53</v>
      </c>
      <c r="I60" s="17" t="s">
        <v>359</v>
      </c>
      <c r="J60" s="23"/>
      <c r="K60" s="2" t="s">
        <v>893</v>
      </c>
      <c r="L60" s="3"/>
    </row>
    <row r="61" spans="2:12">
      <c r="B61" s="15">
        <f t="shared" si="1"/>
        <v>56</v>
      </c>
      <c r="C61" s="68"/>
      <c r="D61" s="68"/>
      <c r="E61" s="16" t="s">
        <v>34</v>
      </c>
      <c r="F61" s="26" t="s">
        <v>35</v>
      </c>
      <c r="G61" s="17"/>
      <c r="H61" s="26" t="s">
        <v>36</v>
      </c>
      <c r="I61" s="17" t="s">
        <v>21</v>
      </c>
      <c r="J61" s="23"/>
      <c r="K61" s="2" t="s">
        <v>893</v>
      </c>
      <c r="L61" s="3"/>
    </row>
    <row r="62" spans="2:12">
      <c r="B62" s="15">
        <f t="shared" si="1"/>
        <v>57</v>
      </c>
      <c r="C62" s="68"/>
      <c r="D62" s="68"/>
      <c r="E62" s="68"/>
      <c r="F62" s="26" t="s">
        <v>38</v>
      </c>
      <c r="G62" s="26"/>
      <c r="H62" s="26" t="s">
        <v>20</v>
      </c>
      <c r="I62" s="29" t="s">
        <v>21</v>
      </c>
      <c r="J62" s="23"/>
      <c r="K62" s="2" t="s">
        <v>893</v>
      </c>
      <c r="L62" s="3"/>
    </row>
    <row r="63" spans="2:12">
      <c r="B63" s="15">
        <f t="shared" si="1"/>
        <v>58</v>
      </c>
      <c r="C63" s="68"/>
      <c r="D63" s="68"/>
      <c r="E63" s="68"/>
      <c r="F63" s="26" t="s">
        <v>31</v>
      </c>
      <c r="G63" s="26"/>
      <c r="H63" s="26" t="s">
        <v>20</v>
      </c>
      <c r="I63" s="29" t="s">
        <v>21</v>
      </c>
      <c r="J63" s="23"/>
      <c r="K63" s="2" t="s">
        <v>893</v>
      </c>
      <c r="L63" s="3"/>
    </row>
    <row r="64" spans="2:12">
      <c r="B64" s="15">
        <f t="shared" si="1"/>
        <v>59</v>
      </c>
      <c r="C64" s="68"/>
      <c r="D64" s="68"/>
      <c r="E64" s="68"/>
      <c r="F64" s="26" t="s">
        <v>40</v>
      </c>
      <c r="G64" s="26"/>
      <c r="H64" s="26" t="s">
        <v>20</v>
      </c>
      <c r="I64" s="29" t="s">
        <v>21</v>
      </c>
      <c r="J64" s="23"/>
      <c r="K64" s="2" t="s">
        <v>893</v>
      </c>
      <c r="L64" s="3"/>
    </row>
    <row r="65" spans="2:12">
      <c r="B65" s="15">
        <f t="shared" si="1"/>
        <v>60</v>
      </c>
      <c r="C65" s="68"/>
      <c r="D65" s="68"/>
      <c r="E65" s="68"/>
      <c r="F65" s="26" t="s">
        <v>42</v>
      </c>
      <c r="G65" s="26"/>
      <c r="H65" s="26" t="s">
        <v>20</v>
      </c>
      <c r="I65" s="29" t="s">
        <v>21</v>
      </c>
      <c r="J65" s="23"/>
      <c r="K65" s="2" t="s">
        <v>893</v>
      </c>
      <c r="L65" s="3"/>
    </row>
    <row r="66" spans="2:12">
      <c r="B66" s="15">
        <f t="shared" si="1"/>
        <v>61</v>
      </c>
      <c r="C66" s="68"/>
      <c r="D66" s="68"/>
      <c r="E66" s="68"/>
      <c r="F66" s="26" t="s">
        <v>33</v>
      </c>
      <c r="G66" s="26"/>
      <c r="H66" s="26" t="s">
        <v>27</v>
      </c>
      <c r="I66" s="29" t="s">
        <v>28</v>
      </c>
      <c r="J66" s="23"/>
      <c r="K66" s="2" t="s">
        <v>893</v>
      </c>
      <c r="L66" s="3"/>
    </row>
    <row r="67" spans="2:12">
      <c r="B67" s="15">
        <f t="shared" si="1"/>
        <v>62</v>
      </c>
      <c r="C67" s="68"/>
      <c r="D67" s="68"/>
      <c r="E67" s="68"/>
      <c r="F67" s="26" t="s">
        <v>788</v>
      </c>
      <c r="G67" s="26"/>
      <c r="H67" s="26" t="s">
        <v>27</v>
      </c>
      <c r="I67" s="29" t="s">
        <v>28</v>
      </c>
      <c r="J67" s="23"/>
      <c r="K67" s="2" t="s">
        <v>893</v>
      </c>
      <c r="L67" s="3"/>
    </row>
    <row r="68" spans="2:12">
      <c r="B68" s="15">
        <f t="shared" si="1"/>
        <v>63</v>
      </c>
      <c r="C68" s="68"/>
      <c r="D68" s="68"/>
      <c r="E68" s="68"/>
      <c r="F68" s="26" t="s">
        <v>43</v>
      </c>
      <c r="G68" s="26"/>
      <c r="H68" s="26" t="s">
        <v>27</v>
      </c>
      <c r="I68" s="29" t="s">
        <v>28</v>
      </c>
      <c r="J68" s="23"/>
      <c r="K68" s="2" t="s">
        <v>893</v>
      </c>
      <c r="L68" s="3"/>
    </row>
    <row r="69" spans="2:12">
      <c r="B69" s="15">
        <f t="shared" si="1"/>
        <v>64</v>
      </c>
      <c r="C69" s="16" t="s">
        <v>787</v>
      </c>
      <c r="D69" s="16"/>
      <c r="E69" s="104"/>
      <c r="F69" s="49" t="s">
        <v>45</v>
      </c>
      <c r="G69" s="17"/>
      <c r="H69" s="26" t="s">
        <v>20</v>
      </c>
      <c r="I69" s="26" t="s">
        <v>21</v>
      </c>
      <c r="J69" s="26"/>
      <c r="K69" s="2" t="s">
        <v>893</v>
      </c>
      <c r="L69" s="3"/>
    </row>
    <row r="70" spans="2:12" ht="108">
      <c r="B70" s="15">
        <f t="shared" ref="B70:B101" si="2">ROW() - 5</f>
        <v>65</v>
      </c>
      <c r="C70" s="68"/>
      <c r="D70" s="68"/>
      <c r="E70" s="225"/>
      <c r="F70" s="49" t="s">
        <v>46</v>
      </c>
      <c r="G70" s="17"/>
      <c r="H70" s="25" t="s">
        <v>786</v>
      </c>
      <c r="I70" s="29" t="s">
        <v>21</v>
      </c>
      <c r="J70" s="29"/>
      <c r="K70" s="2" t="s">
        <v>893</v>
      </c>
      <c r="L70" s="3"/>
    </row>
    <row r="71" spans="2:12">
      <c r="B71" s="15">
        <f t="shared" si="2"/>
        <v>66</v>
      </c>
      <c r="C71" s="68"/>
      <c r="D71" s="68"/>
      <c r="E71" s="225"/>
      <c r="F71" s="49" t="s">
        <v>785</v>
      </c>
      <c r="G71" s="17"/>
      <c r="H71" s="25" t="s">
        <v>20</v>
      </c>
      <c r="I71" s="29" t="s">
        <v>21</v>
      </c>
      <c r="J71" s="29"/>
      <c r="K71" s="2" t="s">
        <v>893</v>
      </c>
      <c r="L71" s="3"/>
    </row>
    <row r="72" spans="2:12" ht="40.5">
      <c r="B72" s="15">
        <f t="shared" si="2"/>
        <v>67</v>
      </c>
      <c r="C72" s="68"/>
      <c r="D72" s="68"/>
      <c r="E72" s="225"/>
      <c r="F72" s="49" t="s">
        <v>48</v>
      </c>
      <c r="G72" s="17"/>
      <c r="H72" s="26" t="s">
        <v>20</v>
      </c>
      <c r="I72" s="29" t="s">
        <v>21</v>
      </c>
      <c r="J72" s="29" t="s">
        <v>784</v>
      </c>
      <c r="K72" s="2" t="s">
        <v>893</v>
      </c>
      <c r="L72" s="3"/>
    </row>
    <row r="73" spans="2:12">
      <c r="B73" s="15">
        <f t="shared" si="2"/>
        <v>68</v>
      </c>
      <c r="C73" s="19"/>
      <c r="D73" s="19"/>
      <c r="E73" s="50"/>
      <c r="F73" s="49" t="s">
        <v>33</v>
      </c>
      <c r="G73" s="17"/>
      <c r="H73" s="26" t="s">
        <v>53</v>
      </c>
      <c r="I73" s="29" t="s">
        <v>359</v>
      </c>
      <c r="J73" s="29"/>
      <c r="K73" s="2" t="s">
        <v>893</v>
      </c>
      <c r="L73" s="3"/>
    </row>
    <row r="74" spans="2:12">
      <c r="B74" s="15">
        <f t="shared" si="2"/>
        <v>69</v>
      </c>
      <c r="C74" s="16" t="s">
        <v>782</v>
      </c>
      <c r="D74" s="16"/>
      <c r="E74" s="16" t="s">
        <v>252</v>
      </c>
      <c r="F74" s="49" t="s">
        <v>740</v>
      </c>
      <c r="G74" s="17"/>
      <c r="H74" s="17" t="s">
        <v>20</v>
      </c>
      <c r="I74" s="17" t="s">
        <v>21</v>
      </c>
      <c r="J74" s="23"/>
      <c r="K74" s="2" t="s">
        <v>893</v>
      </c>
      <c r="L74" s="3"/>
    </row>
    <row r="75" spans="2:12">
      <c r="B75" s="15">
        <f t="shared" si="2"/>
        <v>70</v>
      </c>
      <c r="C75" s="68"/>
      <c r="D75" s="68"/>
      <c r="E75" s="19"/>
      <c r="F75" s="49" t="s">
        <v>998</v>
      </c>
      <c r="G75" s="17" t="s">
        <v>997</v>
      </c>
      <c r="H75" s="17" t="s">
        <v>50</v>
      </c>
      <c r="I75" s="17" t="s">
        <v>21</v>
      </c>
      <c r="J75" s="23"/>
      <c r="K75" s="2" t="s">
        <v>893</v>
      </c>
      <c r="L75" s="3"/>
    </row>
    <row r="76" spans="2:12">
      <c r="B76" s="15">
        <f t="shared" si="2"/>
        <v>71</v>
      </c>
      <c r="C76" s="68"/>
      <c r="D76" s="68"/>
      <c r="E76" s="17" t="s">
        <v>996</v>
      </c>
      <c r="F76" s="49" t="s">
        <v>995</v>
      </c>
      <c r="G76" s="17"/>
      <c r="H76" s="17" t="s">
        <v>994</v>
      </c>
      <c r="I76" s="17" t="s">
        <v>21</v>
      </c>
      <c r="J76" s="23"/>
      <c r="K76" s="2" t="s">
        <v>893</v>
      </c>
      <c r="L76" s="3"/>
    </row>
    <row r="77" spans="2:12">
      <c r="B77" s="15">
        <f t="shared" si="2"/>
        <v>72</v>
      </c>
      <c r="C77" s="68"/>
      <c r="D77" s="68"/>
      <c r="E77" s="16" t="s">
        <v>993</v>
      </c>
      <c r="F77" s="49" t="s">
        <v>992</v>
      </c>
      <c r="G77" s="17"/>
      <c r="H77" s="17" t="s">
        <v>179</v>
      </c>
      <c r="I77" s="17" t="s">
        <v>28</v>
      </c>
      <c r="J77" s="23"/>
      <c r="K77" s="2" t="s">
        <v>893</v>
      </c>
      <c r="L77" s="3"/>
    </row>
    <row r="78" spans="2:12">
      <c r="B78" s="15">
        <f t="shared" si="2"/>
        <v>73</v>
      </c>
      <c r="C78" s="68"/>
      <c r="D78" s="68"/>
      <c r="E78" s="68"/>
      <c r="F78" s="49" t="s">
        <v>991</v>
      </c>
      <c r="G78" s="17"/>
      <c r="H78" s="17" t="s">
        <v>179</v>
      </c>
      <c r="I78" s="17" t="s">
        <v>21</v>
      </c>
      <c r="J78" s="23"/>
      <c r="K78" s="2" t="s">
        <v>893</v>
      </c>
      <c r="L78" s="3"/>
    </row>
    <row r="79" spans="2:12">
      <c r="B79" s="15">
        <f t="shared" si="2"/>
        <v>74</v>
      </c>
      <c r="C79" s="68"/>
      <c r="D79" s="68"/>
      <c r="E79" s="19"/>
      <c r="F79" s="49" t="s">
        <v>990</v>
      </c>
      <c r="G79" s="17"/>
      <c r="H79" s="17" t="s">
        <v>179</v>
      </c>
      <c r="I79" s="17" t="s">
        <v>21</v>
      </c>
      <c r="J79" s="23"/>
      <c r="K79" s="2" t="s">
        <v>893</v>
      </c>
      <c r="L79" s="3"/>
    </row>
    <row r="80" spans="2:12">
      <c r="B80" s="15">
        <f t="shared" si="2"/>
        <v>75</v>
      </c>
      <c r="C80" s="68"/>
      <c r="D80" s="68"/>
      <c r="E80" s="16" t="s">
        <v>683</v>
      </c>
      <c r="F80" s="49" t="s">
        <v>766</v>
      </c>
      <c r="G80" s="17"/>
      <c r="H80" s="17" t="s">
        <v>27</v>
      </c>
      <c r="I80" s="17" t="s">
        <v>28</v>
      </c>
      <c r="J80" s="23"/>
      <c r="K80" s="2" t="s">
        <v>893</v>
      </c>
      <c r="L80" s="3"/>
    </row>
    <row r="81" spans="2:12">
      <c r="B81" s="15">
        <f t="shared" si="2"/>
        <v>76</v>
      </c>
      <c r="C81" s="68"/>
      <c r="D81" s="68"/>
      <c r="E81" s="68"/>
      <c r="F81" s="49" t="s">
        <v>22</v>
      </c>
      <c r="G81" s="17" t="s">
        <v>989</v>
      </c>
      <c r="H81" s="17" t="s">
        <v>918</v>
      </c>
      <c r="I81" s="17" t="s">
        <v>21</v>
      </c>
      <c r="J81" s="23"/>
      <c r="K81" s="2" t="s">
        <v>893</v>
      </c>
      <c r="L81" s="3"/>
    </row>
    <row r="82" spans="2:12">
      <c r="B82" s="15">
        <f t="shared" si="2"/>
        <v>77</v>
      </c>
      <c r="C82" s="68"/>
      <c r="D82" s="68"/>
      <c r="E82" s="19"/>
      <c r="F82" s="49" t="s">
        <v>815</v>
      </c>
      <c r="G82" s="17"/>
      <c r="H82" s="17" t="s">
        <v>918</v>
      </c>
      <c r="I82" s="17" t="s">
        <v>21</v>
      </c>
      <c r="J82" s="23"/>
      <c r="K82" s="2" t="s">
        <v>893</v>
      </c>
      <c r="L82" s="3"/>
    </row>
    <row r="83" spans="2:12">
      <c r="B83" s="15">
        <f t="shared" si="2"/>
        <v>78</v>
      </c>
      <c r="C83" s="68"/>
      <c r="D83" s="68"/>
      <c r="E83" s="17" t="s">
        <v>313</v>
      </c>
      <c r="F83" s="49" t="s">
        <v>988</v>
      </c>
      <c r="G83" s="17"/>
      <c r="H83" s="17" t="s">
        <v>987</v>
      </c>
      <c r="I83" s="17" t="s">
        <v>21</v>
      </c>
      <c r="J83" s="23"/>
      <c r="K83" s="2" t="s">
        <v>893</v>
      </c>
      <c r="L83" s="3"/>
    </row>
    <row r="84" spans="2:12" ht="54">
      <c r="B84" s="15">
        <f t="shared" si="2"/>
        <v>79</v>
      </c>
      <c r="C84" s="68"/>
      <c r="D84" s="68"/>
      <c r="E84" s="16" t="s">
        <v>986</v>
      </c>
      <c r="F84" s="49" t="s">
        <v>985</v>
      </c>
      <c r="G84" s="17"/>
      <c r="H84" s="17" t="s">
        <v>984</v>
      </c>
      <c r="I84" s="17" t="s">
        <v>170</v>
      </c>
      <c r="J84" s="23"/>
      <c r="K84" s="2" t="s">
        <v>893</v>
      </c>
      <c r="L84" s="3"/>
    </row>
    <row r="85" spans="2:12">
      <c r="B85" s="15">
        <f t="shared" si="2"/>
        <v>80</v>
      </c>
      <c r="C85" s="68"/>
      <c r="D85" s="68"/>
      <c r="E85" s="68"/>
      <c r="F85" s="49" t="s">
        <v>983</v>
      </c>
      <c r="G85" s="17"/>
      <c r="H85" s="17" t="s">
        <v>982</v>
      </c>
      <c r="I85" s="17" t="s">
        <v>21</v>
      </c>
      <c r="J85" s="23"/>
      <c r="K85" s="2" t="s">
        <v>893</v>
      </c>
      <c r="L85" s="3"/>
    </row>
    <row r="86" spans="2:12">
      <c r="B86" s="15">
        <f t="shared" si="2"/>
        <v>81</v>
      </c>
      <c r="C86" s="68"/>
      <c r="D86" s="68"/>
      <c r="E86" s="68"/>
      <c r="F86" s="49" t="s">
        <v>981</v>
      </c>
      <c r="G86" s="17"/>
      <c r="H86" s="17" t="s">
        <v>980</v>
      </c>
      <c r="I86" s="17" t="s">
        <v>21</v>
      </c>
      <c r="J86" s="23"/>
      <c r="K86" s="2" t="s">
        <v>893</v>
      </c>
      <c r="L86" s="3"/>
    </row>
    <row r="87" spans="2:12">
      <c r="B87" s="15">
        <f t="shared" si="2"/>
        <v>82</v>
      </c>
      <c r="C87" s="68"/>
      <c r="D87" s="68"/>
      <c r="E87" s="68"/>
      <c r="F87" s="49" t="s">
        <v>979</v>
      </c>
      <c r="G87" s="17"/>
      <c r="H87" s="17" t="s">
        <v>976</v>
      </c>
      <c r="I87" s="17" t="s">
        <v>21</v>
      </c>
      <c r="J87" s="23"/>
      <c r="K87" s="2" t="s">
        <v>893</v>
      </c>
      <c r="L87" s="3"/>
    </row>
    <row r="88" spans="2:12">
      <c r="B88" s="15">
        <f t="shared" si="2"/>
        <v>83</v>
      </c>
      <c r="C88" s="68"/>
      <c r="D88" s="68"/>
      <c r="E88" s="68"/>
      <c r="F88" s="49" t="s">
        <v>978</v>
      </c>
      <c r="G88" s="17"/>
      <c r="H88" s="17" t="s">
        <v>27</v>
      </c>
      <c r="I88" s="17" t="s">
        <v>28</v>
      </c>
      <c r="J88" s="23"/>
      <c r="K88" s="2" t="s">
        <v>893</v>
      </c>
      <c r="L88" s="3"/>
    </row>
    <row r="89" spans="2:12">
      <c r="B89" s="15">
        <f t="shared" si="2"/>
        <v>84</v>
      </c>
      <c r="C89" s="68"/>
      <c r="D89" s="68"/>
      <c r="E89" s="68"/>
      <c r="F89" s="49" t="s">
        <v>977</v>
      </c>
      <c r="G89" s="17"/>
      <c r="H89" s="17" t="s">
        <v>976</v>
      </c>
      <c r="I89" s="17" t="s">
        <v>21</v>
      </c>
      <c r="J89" s="23"/>
      <c r="K89" s="2" t="s">
        <v>893</v>
      </c>
      <c r="L89" s="3"/>
    </row>
    <row r="90" spans="2:12">
      <c r="B90" s="15">
        <f t="shared" si="2"/>
        <v>85</v>
      </c>
      <c r="C90" s="68"/>
      <c r="D90" s="68"/>
      <c r="E90" s="68"/>
      <c r="F90" s="49" t="s">
        <v>975</v>
      </c>
      <c r="G90" s="17"/>
      <c r="H90" s="17" t="s">
        <v>27</v>
      </c>
      <c r="I90" s="17" t="s">
        <v>28</v>
      </c>
      <c r="J90" s="23"/>
      <c r="K90" s="2" t="s">
        <v>893</v>
      </c>
      <c r="L90" s="3"/>
    </row>
    <row r="91" spans="2:12" ht="27">
      <c r="B91" s="15">
        <f t="shared" si="2"/>
        <v>86</v>
      </c>
      <c r="C91" s="68"/>
      <c r="D91" s="68"/>
      <c r="E91" s="19"/>
      <c r="F91" s="49" t="s">
        <v>974</v>
      </c>
      <c r="G91" s="17"/>
      <c r="H91" s="17" t="s">
        <v>973</v>
      </c>
      <c r="I91" s="17" t="s">
        <v>21</v>
      </c>
      <c r="J91" s="23"/>
      <c r="K91" s="2" t="s">
        <v>893</v>
      </c>
      <c r="L91" s="3"/>
    </row>
    <row r="92" spans="2:12">
      <c r="B92" s="15">
        <f t="shared" si="2"/>
        <v>87</v>
      </c>
      <c r="C92" s="16" t="s">
        <v>972</v>
      </c>
      <c r="D92" s="16"/>
      <c r="E92" s="16"/>
      <c r="F92" s="49" t="s">
        <v>971</v>
      </c>
      <c r="G92" s="17"/>
      <c r="H92" s="17" t="s">
        <v>53</v>
      </c>
      <c r="I92" s="17" t="s">
        <v>359</v>
      </c>
      <c r="J92" s="23"/>
      <c r="K92" s="2" t="s">
        <v>893</v>
      </c>
      <c r="L92" s="3"/>
    </row>
    <row r="93" spans="2:12">
      <c r="B93" s="15">
        <f t="shared" si="2"/>
        <v>88</v>
      </c>
      <c r="C93" s="68"/>
      <c r="D93" s="68"/>
      <c r="E93" s="68"/>
      <c r="F93" s="49" t="s">
        <v>970</v>
      </c>
      <c r="G93" s="17"/>
      <c r="H93" s="17" t="s">
        <v>53</v>
      </c>
      <c r="I93" s="17" t="s">
        <v>359</v>
      </c>
      <c r="J93" s="23"/>
      <c r="K93" s="2" t="s">
        <v>893</v>
      </c>
      <c r="L93" s="3"/>
    </row>
    <row r="94" spans="2:12">
      <c r="B94" s="15">
        <f t="shared" si="2"/>
        <v>89</v>
      </c>
      <c r="C94" s="68"/>
      <c r="D94" s="68"/>
      <c r="E94" s="68"/>
      <c r="F94" s="49" t="s">
        <v>969</v>
      </c>
      <c r="G94" s="17"/>
      <c r="H94" s="17" t="s">
        <v>53</v>
      </c>
      <c r="I94" s="17" t="s">
        <v>359</v>
      </c>
      <c r="J94" s="23"/>
      <c r="K94" s="2" t="s">
        <v>893</v>
      </c>
      <c r="L94" s="3"/>
    </row>
    <row r="95" spans="2:12">
      <c r="B95" s="15">
        <f t="shared" si="2"/>
        <v>90</v>
      </c>
      <c r="C95" s="68"/>
      <c r="D95" s="68"/>
      <c r="E95" s="68"/>
      <c r="F95" s="49" t="s">
        <v>968</v>
      </c>
      <c r="G95" s="17"/>
      <c r="H95" s="17" t="s">
        <v>53</v>
      </c>
      <c r="I95" s="17" t="s">
        <v>359</v>
      </c>
      <c r="J95" s="23"/>
      <c r="K95" s="2" t="s">
        <v>893</v>
      </c>
      <c r="L95" s="3"/>
    </row>
    <row r="96" spans="2:12">
      <c r="B96" s="15">
        <f t="shared" si="2"/>
        <v>91</v>
      </c>
      <c r="C96" s="68"/>
      <c r="D96" s="68"/>
      <c r="E96" s="68"/>
      <c r="F96" s="49" t="s">
        <v>967</v>
      </c>
      <c r="G96" s="17"/>
      <c r="H96" s="17" t="s">
        <v>179</v>
      </c>
      <c r="I96" s="17" t="s">
        <v>21</v>
      </c>
      <c r="J96" s="23"/>
      <c r="K96" s="2" t="s">
        <v>893</v>
      </c>
      <c r="L96" s="3"/>
    </row>
    <row r="97" spans="2:12">
      <c r="B97" s="15">
        <f t="shared" si="2"/>
        <v>92</v>
      </c>
      <c r="C97" s="68"/>
      <c r="D97" s="68"/>
      <c r="E97" s="68"/>
      <c r="F97" s="49" t="s">
        <v>966</v>
      </c>
      <c r="G97" s="17"/>
      <c r="H97" s="17" t="s">
        <v>53</v>
      </c>
      <c r="I97" s="17" t="s">
        <v>359</v>
      </c>
      <c r="J97" s="23"/>
      <c r="K97" s="2" t="s">
        <v>893</v>
      </c>
      <c r="L97" s="3"/>
    </row>
    <row r="98" spans="2:12">
      <c r="B98" s="15">
        <f t="shared" si="2"/>
        <v>93</v>
      </c>
      <c r="C98" s="19"/>
      <c r="D98" s="19"/>
      <c r="E98" s="19"/>
      <c r="F98" s="49" t="s">
        <v>965</v>
      </c>
      <c r="G98" s="17"/>
      <c r="H98" s="17" t="s">
        <v>53</v>
      </c>
      <c r="I98" s="17" t="s">
        <v>359</v>
      </c>
      <c r="J98" s="23"/>
      <c r="K98" s="2" t="s">
        <v>893</v>
      </c>
      <c r="L98" s="3"/>
    </row>
    <row r="99" spans="2:12">
      <c r="B99" s="15">
        <f t="shared" si="2"/>
        <v>94</v>
      </c>
      <c r="C99" s="16" t="s">
        <v>964</v>
      </c>
      <c r="D99" s="16"/>
      <c r="E99" s="16"/>
      <c r="F99" s="49" t="s">
        <v>230</v>
      </c>
      <c r="G99" s="17"/>
      <c r="H99" s="17" t="s">
        <v>480</v>
      </c>
      <c r="I99" s="17" t="s">
        <v>21</v>
      </c>
      <c r="J99" s="23"/>
      <c r="K99" s="2" t="s">
        <v>893</v>
      </c>
      <c r="L99" s="3"/>
    </row>
    <row r="100" spans="2:12">
      <c r="B100" s="15">
        <f t="shared" si="2"/>
        <v>95</v>
      </c>
      <c r="C100" s="68"/>
      <c r="D100" s="68"/>
      <c r="E100" s="68"/>
      <c r="F100" s="49" t="s">
        <v>761</v>
      </c>
      <c r="G100" s="17"/>
      <c r="H100" s="17" t="s">
        <v>760</v>
      </c>
      <c r="I100" s="17" t="s">
        <v>21</v>
      </c>
      <c r="J100" s="23"/>
      <c r="K100" s="2" t="s">
        <v>893</v>
      </c>
      <c r="L100" s="3"/>
    </row>
    <row r="101" spans="2:12">
      <c r="B101" s="15">
        <f t="shared" si="2"/>
        <v>96</v>
      </c>
      <c r="C101" s="68"/>
      <c r="D101" s="68"/>
      <c r="E101" s="68"/>
      <c r="F101" s="49" t="s">
        <v>759</v>
      </c>
      <c r="G101" s="17"/>
      <c r="H101" s="17" t="s">
        <v>758</v>
      </c>
      <c r="I101" s="17" t="s">
        <v>21</v>
      </c>
      <c r="J101" s="23"/>
      <c r="K101" s="2" t="s">
        <v>893</v>
      </c>
      <c r="L101" s="3"/>
    </row>
    <row r="102" spans="2:12">
      <c r="B102" s="15">
        <f t="shared" ref="B102:B133" si="3">ROW() - 5</f>
        <v>97</v>
      </c>
      <c r="C102" s="68"/>
      <c r="D102" s="68"/>
      <c r="E102" s="68"/>
      <c r="F102" s="49" t="s">
        <v>757</v>
      </c>
      <c r="G102" s="17" t="s">
        <v>51</v>
      </c>
      <c r="H102" s="17" t="s">
        <v>756</v>
      </c>
      <c r="I102" s="17" t="s">
        <v>21</v>
      </c>
      <c r="J102" s="23"/>
      <c r="K102" s="2" t="s">
        <v>893</v>
      </c>
      <c r="L102" s="3"/>
    </row>
    <row r="103" spans="2:12">
      <c r="B103" s="15">
        <f t="shared" si="3"/>
        <v>98</v>
      </c>
      <c r="C103" s="68"/>
      <c r="D103" s="68"/>
      <c r="E103" s="68"/>
      <c r="F103" s="49" t="s">
        <v>175</v>
      </c>
      <c r="G103" s="17"/>
      <c r="H103" s="17" t="s">
        <v>755</v>
      </c>
      <c r="I103" s="17" t="s">
        <v>21</v>
      </c>
      <c r="J103" s="23"/>
      <c r="K103" s="2" t="s">
        <v>893</v>
      </c>
      <c r="L103" s="3"/>
    </row>
    <row r="104" spans="2:12">
      <c r="B104" s="15">
        <f t="shared" si="3"/>
        <v>99</v>
      </c>
      <c r="C104" s="68"/>
      <c r="D104" s="68"/>
      <c r="E104" s="68"/>
      <c r="F104" s="49" t="s">
        <v>754</v>
      </c>
      <c r="G104" s="17"/>
      <c r="H104" s="17" t="s">
        <v>753</v>
      </c>
      <c r="I104" s="17" t="s">
        <v>21</v>
      </c>
      <c r="J104" s="23"/>
      <c r="K104" s="2" t="s">
        <v>893</v>
      </c>
      <c r="L104" s="3"/>
    </row>
    <row r="105" spans="2:12">
      <c r="B105" s="15">
        <f t="shared" si="3"/>
        <v>100</v>
      </c>
      <c r="C105" s="68"/>
      <c r="D105" s="68"/>
      <c r="E105" s="68"/>
      <c r="F105" s="49" t="s">
        <v>963</v>
      </c>
      <c r="G105" s="17"/>
      <c r="H105" s="17" t="s">
        <v>751</v>
      </c>
      <c r="I105" s="17" t="s">
        <v>21</v>
      </c>
      <c r="J105" s="23"/>
      <c r="K105" s="2" t="s">
        <v>893</v>
      </c>
      <c r="L105" s="3"/>
    </row>
    <row r="106" spans="2:12">
      <c r="B106" s="15">
        <f t="shared" si="3"/>
        <v>101</v>
      </c>
      <c r="C106" s="19"/>
      <c r="D106" s="19"/>
      <c r="E106" s="19"/>
      <c r="F106" s="49" t="s">
        <v>24</v>
      </c>
      <c r="G106" s="17"/>
      <c r="H106" s="17" t="s">
        <v>20</v>
      </c>
      <c r="I106" s="17" t="s">
        <v>21</v>
      </c>
      <c r="J106" s="23"/>
      <c r="K106" s="2" t="s">
        <v>893</v>
      </c>
      <c r="L106" s="3"/>
    </row>
    <row r="107" spans="2:12">
      <c r="B107" s="15">
        <f t="shared" si="3"/>
        <v>102</v>
      </c>
      <c r="C107" s="16" t="s">
        <v>611</v>
      </c>
      <c r="D107" s="16"/>
      <c r="E107" s="16" t="s">
        <v>275</v>
      </c>
      <c r="F107" s="49" t="s">
        <v>610</v>
      </c>
      <c r="G107" s="17"/>
      <c r="H107" s="17" t="s">
        <v>769</v>
      </c>
      <c r="I107" s="17" t="s">
        <v>21</v>
      </c>
      <c r="J107" s="23" t="s">
        <v>2793</v>
      </c>
      <c r="K107" s="2" t="s">
        <v>893</v>
      </c>
      <c r="L107" s="3"/>
    </row>
    <row r="108" spans="2:12">
      <c r="B108" s="15">
        <f t="shared" si="3"/>
        <v>103</v>
      </c>
      <c r="C108" s="68"/>
      <c r="D108" s="68"/>
      <c r="E108" s="68"/>
      <c r="F108" s="49" t="s">
        <v>606</v>
      </c>
      <c r="G108" s="17"/>
      <c r="H108" s="17" t="s">
        <v>835</v>
      </c>
      <c r="I108" s="17" t="s">
        <v>21</v>
      </c>
      <c r="J108" s="23"/>
      <c r="K108" s="2" t="s">
        <v>893</v>
      </c>
      <c r="L108" s="3"/>
    </row>
    <row r="109" spans="2:12" ht="27">
      <c r="B109" s="15">
        <f t="shared" si="3"/>
        <v>104</v>
      </c>
      <c r="C109" s="68"/>
      <c r="D109" s="68"/>
      <c r="E109" s="68"/>
      <c r="F109" s="49" t="s">
        <v>962</v>
      </c>
      <c r="G109" s="17"/>
      <c r="H109" s="17" t="s">
        <v>961</v>
      </c>
      <c r="I109" s="17" t="s">
        <v>21</v>
      </c>
      <c r="J109" s="23"/>
      <c r="K109" s="2" t="s">
        <v>893</v>
      </c>
      <c r="L109" s="3"/>
    </row>
    <row r="110" spans="2:12">
      <c r="B110" s="15">
        <f t="shared" si="3"/>
        <v>105</v>
      </c>
      <c r="C110" s="68"/>
      <c r="D110" s="68"/>
      <c r="E110" s="19"/>
      <c r="F110" s="49" t="s">
        <v>960</v>
      </c>
      <c r="G110" s="17"/>
      <c r="H110" s="17" t="s">
        <v>959</v>
      </c>
      <c r="I110" s="17" t="s">
        <v>21</v>
      </c>
      <c r="J110" s="23"/>
      <c r="K110" s="2" t="s">
        <v>893</v>
      </c>
      <c r="L110" s="3"/>
    </row>
    <row r="111" spans="2:12">
      <c r="B111" s="15">
        <f t="shared" si="3"/>
        <v>106</v>
      </c>
      <c r="C111" s="68"/>
      <c r="D111" s="68"/>
      <c r="E111" s="16" t="s">
        <v>958</v>
      </c>
      <c r="F111" s="49" t="s">
        <v>201</v>
      </c>
      <c r="G111" s="17"/>
      <c r="H111" s="17" t="s">
        <v>918</v>
      </c>
      <c r="I111" s="17" t="s">
        <v>218</v>
      </c>
      <c r="J111" s="23"/>
      <c r="K111" s="2" t="s">
        <v>893</v>
      </c>
      <c r="L111" s="3"/>
    </row>
    <row r="112" spans="2:12">
      <c r="B112" s="15">
        <f t="shared" si="3"/>
        <v>107</v>
      </c>
      <c r="C112" s="68"/>
      <c r="D112" s="68"/>
      <c r="E112" s="19"/>
      <c r="F112" s="49" t="s">
        <v>958</v>
      </c>
      <c r="G112" s="17"/>
      <c r="H112" s="17" t="s">
        <v>179</v>
      </c>
      <c r="I112" s="17" t="s">
        <v>21</v>
      </c>
      <c r="J112" s="23"/>
      <c r="K112" s="2" t="s">
        <v>893</v>
      </c>
      <c r="L112" s="3"/>
    </row>
    <row r="113" spans="2:12">
      <c r="B113" s="15">
        <f t="shared" si="3"/>
        <v>108</v>
      </c>
      <c r="C113" s="68"/>
      <c r="D113" s="68"/>
      <c r="E113" s="16" t="s">
        <v>601</v>
      </c>
      <c r="F113" s="49" t="s">
        <v>600</v>
      </c>
      <c r="G113" s="17"/>
      <c r="H113" s="17" t="s">
        <v>20</v>
      </c>
      <c r="I113" s="17" t="s">
        <v>21</v>
      </c>
      <c r="J113" s="23"/>
      <c r="K113" s="2" t="s">
        <v>893</v>
      </c>
      <c r="L113" s="3"/>
    </row>
    <row r="114" spans="2:12">
      <c r="B114" s="15">
        <f t="shared" si="3"/>
        <v>109</v>
      </c>
      <c r="C114" s="68"/>
      <c r="D114" s="68"/>
      <c r="E114" s="68"/>
      <c r="F114" s="49" t="s">
        <v>599</v>
      </c>
      <c r="G114" s="17"/>
      <c r="H114" s="17" t="s">
        <v>957</v>
      </c>
      <c r="I114" s="17" t="s">
        <v>21</v>
      </c>
      <c r="J114" s="23"/>
      <c r="K114" s="2" t="s">
        <v>893</v>
      </c>
      <c r="L114" s="3"/>
    </row>
    <row r="115" spans="2:12">
      <c r="B115" s="15">
        <f t="shared" si="3"/>
        <v>110</v>
      </c>
      <c r="C115" s="68"/>
      <c r="D115" s="68"/>
      <c r="E115" s="68"/>
      <c r="F115" s="49" t="s">
        <v>534</v>
      </c>
      <c r="G115" s="17"/>
      <c r="H115" s="49" t="s">
        <v>956</v>
      </c>
      <c r="I115" s="17" t="s">
        <v>21</v>
      </c>
      <c r="J115" s="23"/>
      <c r="K115" s="2" t="s">
        <v>893</v>
      </c>
      <c r="L115" s="3"/>
    </row>
    <row r="116" spans="2:12">
      <c r="B116" s="15">
        <f t="shared" si="3"/>
        <v>111</v>
      </c>
      <c r="C116" s="68"/>
      <c r="D116" s="68"/>
      <c r="E116" s="19"/>
      <c r="F116" s="49" t="s">
        <v>593</v>
      </c>
      <c r="G116" s="17"/>
      <c r="H116" s="17" t="s">
        <v>955</v>
      </c>
      <c r="I116" s="17" t="s">
        <v>21</v>
      </c>
      <c r="J116" s="23"/>
      <c r="K116" s="2" t="s">
        <v>893</v>
      </c>
      <c r="L116" s="3"/>
    </row>
    <row r="117" spans="2:12">
      <c r="B117" s="15">
        <f t="shared" si="3"/>
        <v>112</v>
      </c>
      <c r="C117" s="68"/>
      <c r="D117" s="68"/>
      <c r="E117" s="16" t="s">
        <v>589</v>
      </c>
      <c r="F117" s="49" t="s">
        <v>249</v>
      </c>
      <c r="G117" s="17"/>
      <c r="H117" s="17" t="s">
        <v>819</v>
      </c>
      <c r="I117" s="17" t="s">
        <v>21</v>
      </c>
      <c r="J117" s="23"/>
      <c r="K117" s="2" t="s">
        <v>893</v>
      </c>
      <c r="L117" s="3"/>
    </row>
    <row r="118" spans="2:12">
      <c r="B118" s="15">
        <f t="shared" si="3"/>
        <v>113</v>
      </c>
      <c r="C118" s="68"/>
      <c r="D118" s="68"/>
      <c r="E118" s="68"/>
      <c r="F118" s="49" t="s">
        <v>585</v>
      </c>
      <c r="G118" s="17"/>
      <c r="H118" s="17" t="s">
        <v>27</v>
      </c>
      <c r="I118" s="17" t="s">
        <v>28</v>
      </c>
      <c r="J118" s="23"/>
      <c r="K118" s="2" t="s">
        <v>893</v>
      </c>
      <c r="L118" s="3"/>
    </row>
    <row r="119" spans="2:12">
      <c r="B119" s="15">
        <f t="shared" si="3"/>
        <v>114</v>
      </c>
      <c r="C119" s="68"/>
      <c r="D119" s="68"/>
      <c r="E119" s="19"/>
      <c r="F119" s="49" t="s">
        <v>587</v>
      </c>
      <c r="G119" s="17"/>
      <c r="H119" s="17" t="s">
        <v>818</v>
      </c>
      <c r="I119" s="17" t="s">
        <v>21</v>
      </c>
      <c r="J119" s="23"/>
      <c r="K119" s="2" t="s">
        <v>893</v>
      </c>
      <c r="L119" s="3"/>
    </row>
    <row r="120" spans="2:12">
      <c r="B120" s="15">
        <f t="shared" si="3"/>
        <v>115</v>
      </c>
      <c r="C120" s="68"/>
      <c r="D120" s="68"/>
      <c r="E120" s="16" t="s">
        <v>954</v>
      </c>
      <c r="F120" s="49" t="s">
        <v>953</v>
      </c>
      <c r="G120" s="17"/>
      <c r="H120" s="17" t="s">
        <v>27</v>
      </c>
      <c r="I120" s="17" t="s">
        <v>28</v>
      </c>
      <c r="J120" s="23"/>
      <c r="K120" s="2" t="s">
        <v>893</v>
      </c>
      <c r="L120" s="3"/>
    </row>
    <row r="121" spans="2:12">
      <c r="B121" s="15">
        <f t="shared" si="3"/>
        <v>116</v>
      </c>
      <c r="C121" s="19"/>
      <c r="D121" s="19"/>
      <c r="E121" s="19"/>
      <c r="F121" s="49" t="s">
        <v>952</v>
      </c>
      <c r="G121" s="17"/>
      <c r="H121" s="17" t="s">
        <v>951</v>
      </c>
      <c r="I121" s="17" t="s">
        <v>21</v>
      </c>
      <c r="J121" s="23"/>
      <c r="K121" s="2" t="s">
        <v>893</v>
      </c>
      <c r="L121" s="3"/>
    </row>
    <row r="122" spans="2:12">
      <c r="B122" s="15">
        <f t="shared" si="3"/>
        <v>117</v>
      </c>
      <c r="C122" s="16" t="s">
        <v>950</v>
      </c>
      <c r="D122" s="16"/>
      <c r="E122" s="16" t="s">
        <v>949</v>
      </c>
      <c r="F122" s="49" t="s">
        <v>528</v>
      </c>
      <c r="G122" s="17"/>
      <c r="H122" s="17" t="s">
        <v>527</v>
      </c>
      <c r="I122" s="17" t="s">
        <v>21</v>
      </c>
      <c r="J122" s="23"/>
      <c r="K122" s="2" t="s">
        <v>893</v>
      </c>
      <c r="L122" s="3"/>
    </row>
    <row r="123" spans="2:12">
      <c r="B123" s="15">
        <f t="shared" si="3"/>
        <v>118</v>
      </c>
      <c r="C123" s="68"/>
      <c r="D123" s="68"/>
      <c r="E123" s="68"/>
      <c r="F123" s="49" t="s">
        <v>695</v>
      </c>
      <c r="G123" s="17"/>
      <c r="H123" s="17" t="s">
        <v>694</v>
      </c>
      <c r="I123" s="17" t="s">
        <v>21</v>
      </c>
      <c r="J123" s="23"/>
      <c r="K123" s="2" t="s">
        <v>893</v>
      </c>
      <c r="L123" s="3"/>
    </row>
    <row r="124" spans="2:12">
      <c r="B124" s="15">
        <f t="shared" si="3"/>
        <v>119</v>
      </c>
      <c r="C124" s="68"/>
      <c r="D124" s="68"/>
      <c r="E124" s="68"/>
      <c r="F124" s="49" t="s">
        <v>389</v>
      </c>
      <c r="G124" s="17"/>
      <c r="H124" s="17" t="s">
        <v>948</v>
      </c>
      <c r="I124" s="17" t="s">
        <v>21</v>
      </c>
      <c r="J124" s="23"/>
      <c r="K124" s="2" t="s">
        <v>893</v>
      </c>
      <c r="L124" s="3"/>
    </row>
    <row r="125" spans="2:12">
      <c r="B125" s="15">
        <f t="shared" si="3"/>
        <v>120</v>
      </c>
      <c r="C125" s="68"/>
      <c r="D125" s="68"/>
      <c r="E125" s="68"/>
      <c r="F125" s="49" t="s">
        <v>613</v>
      </c>
      <c r="G125" s="17"/>
      <c r="H125" s="17" t="s">
        <v>947</v>
      </c>
      <c r="I125" s="17" t="s">
        <v>21</v>
      </c>
      <c r="J125" s="23"/>
      <c r="K125" s="2" t="s">
        <v>893</v>
      </c>
      <c r="L125" s="3"/>
    </row>
    <row r="126" spans="2:12">
      <c r="B126" s="15">
        <f t="shared" si="3"/>
        <v>121</v>
      </c>
      <c r="C126" s="68"/>
      <c r="D126" s="68"/>
      <c r="E126" s="68"/>
      <c r="F126" s="49" t="s">
        <v>946</v>
      </c>
      <c r="G126" s="17"/>
      <c r="H126" s="17" t="s">
        <v>945</v>
      </c>
      <c r="I126" s="17" t="s">
        <v>21</v>
      </c>
      <c r="J126" s="23"/>
      <c r="K126" s="2" t="s">
        <v>893</v>
      </c>
      <c r="L126" s="3"/>
    </row>
    <row r="127" spans="2:12">
      <c r="B127" s="15">
        <f t="shared" si="3"/>
        <v>122</v>
      </c>
      <c r="C127" s="68"/>
      <c r="D127" s="68"/>
      <c r="E127" s="68"/>
      <c r="F127" s="49" t="s">
        <v>944</v>
      </c>
      <c r="G127" s="17"/>
      <c r="H127" s="17" t="s">
        <v>943</v>
      </c>
      <c r="I127" s="17" t="s">
        <v>21</v>
      </c>
      <c r="J127" s="23"/>
      <c r="K127" s="2" t="s">
        <v>893</v>
      </c>
      <c r="L127" s="3"/>
    </row>
    <row r="128" spans="2:12">
      <c r="B128" s="15">
        <f t="shared" si="3"/>
        <v>123</v>
      </c>
      <c r="C128" s="68"/>
      <c r="D128" s="68"/>
      <c r="E128" s="68"/>
      <c r="F128" s="49" t="s">
        <v>942</v>
      </c>
      <c r="G128" s="17"/>
      <c r="H128" s="17" t="s">
        <v>20</v>
      </c>
      <c r="I128" s="17" t="s">
        <v>21</v>
      </c>
      <c r="J128" s="23"/>
      <c r="K128" s="2" t="s">
        <v>893</v>
      </c>
      <c r="L128" s="3"/>
    </row>
    <row r="129" spans="2:12">
      <c r="B129" s="15">
        <f t="shared" si="3"/>
        <v>124</v>
      </c>
      <c r="C129" s="68"/>
      <c r="D129" s="68"/>
      <c r="E129" s="68"/>
      <c r="F129" s="49" t="s">
        <v>941</v>
      </c>
      <c r="G129" s="17"/>
      <c r="H129" s="17" t="s">
        <v>918</v>
      </c>
      <c r="I129" s="111">
        <v>0</v>
      </c>
      <c r="J129" s="23"/>
      <c r="K129" s="2" t="s">
        <v>893</v>
      </c>
      <c r="L129" s="3"/>
    </row>
    <row r="130" spans="2:12">
      <c r="B130" s="15">
        <f t="shared" si="3"/>
        <v>125</v>
      </c>
      <c r="C130" s="68"/>
      <c r="D130" s="68"/>
      <c r="E130" s="68"/>
      <c r="F130" s="49" t="s">
        <v>940</v>
      </c>
      <c r="G130" s="17"/>
      <c r="H130" s="17" t="s">
        <v>27</v>
      </c>
      <c r="I130" s="17" t="s">
        <v>28</v>
      </c>
      <c r="J130" s="23"/>
      <c r="K130" s="2" t="s">
        <v>893</v>
      </c>
      <c r="L130" s="3"/>
    </row>
    <row r="131" spans="2:12">
      <c r="B131" s="15">
        <f t="shared" si="3"/>
        <v>126</v>
      </c>
      <c r="C131" s="68"/>
      <c r="D131" s="68"/>
      <c r="E131" s="68"/>
      <c r="F131" s="49" t="s">
        <v>939</v>
      </c>
      <c r="G131" s="17"/>
      <c r="H131" s="17" t="s">
        <v>938</v>
      </c>
      <c r="I131" s="17" t="s">
        <v>21</v>
      </c>
      <c r="J131" s="23"/>
      <c r="K131" s="2" t="s">
        <v>893</v>
      </c>
      <c r="L131" s="3"/>
    </row>
    <row r="132" spans="2:12">
      <c r="B132" s="15">
        <f t="shared" si="3"/>
        <v>127</v>
      </c>
      <c r="C132" s="68"/>
      <c r="D132" s="68"/>
      <c r="E132" s="68"/>
      <c r="F132" s="49" t="s">
        <v>937</v>
      </c>
      <c r="G132" s="17"/>
      <c r="H132" s="17" t="s">
        <v>27</v>
      </c>
      <c r="I132" s="17" t="s">
        <v>28</v>
      </c>
      <c r="J132" s="23"/>
      <c r="K132" s="2" t="s">
        <v>893</v>
      </c>
      <c r="L132" s="3"/>
    </row>
    <row r="133" spans="2:12">
      <c r="B133" s="15">
        <f t="shared" si="3"/>
        <v>128</v>
      </c>
      <c r="C133" s="68"/>
      <c r="D133" s="68"/>
      <c r="E133" s="16" t="s">
        <v>240</v>
      </c>
      <c r="F133" s="49" t="s">
        <v>936</v>
      </c>
      <c r="G133" s="17"/>
      <c r="H133" s="17" t="s">
        <v>666</v>
      </c>
      <c r="I133" s="17" t="s">
        <v>21</v>
      </c>
      <c r="J133" s="23"/>
      <c r="K133" s="2" t="s">
        <v>893</v>
      </c>
      <c r="L133" s="3"/>
    </row>
    <row r="134" spans="2:12">
      <c r="B134" s="15">
        <f t="shared" ref="B134:B165" si="4">ROW() - 5</f>
        <v>129</v>
      </c>
      <c r="C134" s="68"/>
      <c r="D134" s="68"/>
      <c r="E134" s="68"/>
      <c r="F134" s="49" t="s">
        <v>261</v>
      </c>
      <c r="G134" s="17"/>
      <c r="H134" s="17" t="s">
        <v>666</v>
      </c>
      <c r="I134" s="17" t="s">
        <v>21</v>
      </c>
      <c r="J134" s="23"/>
      <c r="K134" s="2" t="s">
        <v>893</v>
      </c>
      <c r="L134" s="3"/>
    </row>
    <row r="135" spans="2:12">
      <c r="B135" s="15">
        <f t="shared" si="4"/>
        <v>130</v>
      </c>
      <c r="C135" s="68"/>
      <c r="D135" s="68"/>
      <c r="E135" s="68"/>
      <c r="F135" s="49" t="s">
        <v>251</v>
      </c>
      <c r="G135" s="17"/>
      <c r="H135" s="17" t="s">
        <v>666</v>
      </c>
      <c r="I135" s="17" t="s">
        <v>21</v>
      </c>
      <c r="J135" s="23"/>
      <c r="K135" s="2" t="s">
        <v>893</v>
      </c>
      <c r="L135" s="3"/>
    </row>
    <row r="136" spans="2:12">
      <c r="B136" s="15">
        <f t="shared" si="4"/>
        <v>131</v>
      </c>
      <c r="C136" s="68"/>
      <c r="D136" s="68"/>
      <c r="E136" s="19"/>
      <c r="F136" s="49" t="s">
        <v>255</v>
      </c>
      <c r="G136" s="17"/>
      <c r="H136" s="17" t="s">
        <v>666</v>
      </c>
      <c r="I136" s="17" t="s">
        <v>21</v>
      </c>
      <c r="J136" s="23"/>
      <c r="K136" s="2" t="s">
        <v>893</v>
      </c>
      <c r="L136" s="3"/>
    </row>
    <row r="137" spans="2:12">
      <c r="B137" s="15">
        <f t="shared" si="4"/>
        <v>132</v>
      </c>
      <c r="C137" s="68"/>
      <c r="D137" s="68"/>
      <c r="E137" s="17" t="s">
        <v>665</v>
      </c>
      <c r="F137" s="49" t="s">
        <v>935</v>
      </c>
      <c r="G137" s="17"/>
      <c r="H137" s="17" t="s">
        <v>934</v>
      </c>
      <c r="I137" s="17" t="s">
        <v>21</v>
      </c>
      <c r="J137" s="23"/>
      <c r="K137" s="2" t="s">
        <v>893</v>
      </c>
      <c r="L137" s="3"/>
    </row>
    <row r="138" spans="2:12">
      <c r="B138" s="15">
        <f t="shared" si="4"/>
        <v>133</v>
      </c>
      <c r="C138" s="68"/>
      <c r="D138" s="68"/>
      <c r="E138" s="16" t="s">
        <v>933</v>
      </c>
      <c r="F138" s="49" t="s">
        <v>932</v>
      </c>
      <c r="G138" s="17"/>
      <c r="H138" s="17" t="s">
        <v>27</v>
      </c>
      <c r="I138" s="17" t="s">
        <v>28</v>
      </c>
      <c r="J138" s="23"/>
      <c r="K138" s="2" t="s">
        <v>893</v>
      </c>
      <c r="L138" s="3"/>
    </row>
    <row r="139" spans="2:12">
      <c r="B139" s="15">
        <f t="shared" si="4"/>
        <v>134</v>
      </c>
      <c r="C139" s="68"/>
      <c r="D139" s="68"/>
      <c r="E139" s="68"/>
      <c r="F139" s="49" t="s">
        <v>931</v>
      </c>
      <c r="G139" s="17"/>
      <c r="H139" s="17" t="s">
        <v>27</v>
      </c>
      <c r="I139" s="17" t="s">
        <v>28</v>
      </c>
      <c r="J139" s="23"/>
      <c r="K139" s="2" t="s">
        <v>893</v>
      </c>
      <c r="L139" s="3"/>
    </row>
    <row r="140" spans="2:12">
      <c r="B140" s="15">
        <f t="shared" si="4"/>
        <v>135</v>
      </c>
      <c r="C140" s="68"/>
      <c r="D140" s="68"/>
      <c r="E140" s="19"/>
      <c r="F140" s="49" t="s">
        <v>930</v>
      </c>
      <c r="G140" s="17"/>
      <c r="H140" s="17" t="s">
        <v>27</v>
      </c>
      <c r="I140" s="17" t="s">
        <v>28</v>
      </c>
      <c r="J140" s="23"/>
      <c r="K140" s="2" t="s">
        <v>893</v>
      </c>
      <c r="L140" s="3"/>
    </row>
    <row r="141" spans="2:12">
      <c r="B141" s="15">
        <f t="shared" si="4"/>
        <v>136</v>
      </c>
      <c r="C141" s="68"/>
      <c r="D141" s="68"/>
      <c r="E141" s="68" t="s">
        <v>658</v>
      </c>
      <c r="F141" s="68" t="s">
        <v>929</v>
      </c>
      <c r="G141" s="17"/>
      <c r="H141" s="68" t="s">
        <v>928</v>
      </c>
      <c r="I141" s="17" t="s">
        <v>21</v>
      </c>
      <c r="J141" s="23"/>
      <c r="K141" s="2" t="s">
        <v>893</v>
      </c>
      <c r="L141" s="3"/>
    </row>
    <row r="142" spans="2:12">
      <c r="B142" s="15">
        <f t="shared" si="4"/>
        <v>137</v>
      </c>
      <c r="C142" s="16" t="s">
        <v>654</v>
      </c>
      <c r="D142" s="16"/>
      <c r="E142" s="16" t="s">
        <v>654</v>
      </c>
      <c r="F142" s="49" t="s">
        <v>653</v>
      </c>
      <c r="G142" s="17"/>
      <c r="H142" s="17" t="s">
        <v>927</v>
      </c>
      <c r="I142" s="17" t="s">
        <v>21</v>
      </c>
      <c r="J142" s="23"/>
      <c r="K142" s="2" t="s">
        <v>893</v>
      </c>
      <c r="L142" s="3"/>
    </row>
    <row r="143" spans="2:12">
      <c r="B143" s="15">
        <f t="shared" si="4"/>
        <v>138</v>
      </c>
      <c r="C143" s="68"/>
      <c r="D143" s="68"/>
      <c r="E143" s="68"/>
      <c r="F143" s="49" t="s">
        <v>651</v>
      </c>
      <c r="G143" s="17"/>
      <c r="H143" s="17" t="s">
        <v>926</v>
      </c>
      <c r="I143" s="17" t="s">
        <v>21</v>
      </c>
      <c r="J143" s="23"/>
      <c r="K143" s="2" t="s">
        <v>893</v>
      </c>
      <c r="L143" s="3"/>
    </row>
    <row r="144" spans="2:12">
      <c r="B144" s="15">
        <f t="shared" si="4"/>
        <v>139</v>
      </c>
      <c r="C144" s="68"/>
      <c r="D144" s="68"/>
      <c r="E144" s="68"/>
      <c r="F144" s="49" t="s">
        <v>273</v>
      </c>
      <c r="G144" s="17"/>
      <c r="H144" s="17" t="s">
        <v>918</v>
      </c>
      <c r="I144" s="17" t="s">
        <v>21</v>
      </c>
      <c r="J144" s="23"/>
      <c r="K144" s="2" t="s">
        <v>893</v>
      </c>
      <c r="L144" s="3"/>
    </row>
    <row r="145" spans="2:12">
      <c r="B145" s="15">
        <f t="shared" si="4"/>
        <v>140</v>
      </c>
      <c r="C145" s="68"/>
      <c r="D145" s="68"/>
      <c r="E145" s="68"/>
      <c r="F145" s="49" t="s">
        <v>649</v>
      </c>
      <c r="G145" s="17"/>
      <c r="H145" s="17" t="s">
        <v>925</v>
      </c>
      <c r="I145" s="17" t="s">
        <v>21</v>
      </c>
      <c r="J145" s="23"/>
      <c r="K145" s="2" t="s">
        <v>893</v>
      </c>
      <c r="L145" s="3"/>
    </row>
    <row r="146" spans="2:12">
      <c r="B146" s="15">
        <f t="shared" si="4"/>
        <v>141</v>
      </c>
      <c r="C146" s="68"/>
      <c r="D146" s="68"/>
      <c r="E146" s="68"/>
      <c r="F146" s="49" t="s">
        <v>647</v>
      </c>
      <c r="G146" s="17"/>
      <c r="H146" s="17" t="s">
        <v>924</v>
      </c>
      <c r="I146" s="17" t="s">
        <v>21</v>
      </c>
      <c r="J146" s="23"/>
      <c r="K146" s="2" t="s">
        <v>893</v>
      </c>
      <c r="L146" s="3"/>
    </row>
    <row r="147" spans="2:12">
      <c r="B147" s="15">
        <f t="shared" si="4"/>
        <v>142</v>
      </c>
      <c r="C147" s="68"/>
      <c r="D147" s="68"/>
      <c r="E147" s="68"/>
      <c r="F147" s="49" t="s">
        <v>643</v>
      </c>
      <c r="G147" s="17"/>
      <c r="H147" s="17" t="s">
        <v>642</v>
      </c>
      <c r="I147" s="17" t="s">
        <v>21</v>
      </c>
      <c r="J147" s="23"/>
      <c r="K147" s="2" t="s">
        <v>893</v>
      </c>
      <c r="L147" s="3"/>
    </row>
    <row r="148" spans="2:12">
      <c r="B148" s="15">
        <f t="shared" si="4"/>
        <v>143</v>
      </c>
      <c r="C148" s="68"/>
      <c r="D148" s="68"/>
      <c r="E148" s="68"/>
      <c r="F148" s="49" t="s">
        <v>569</v>
      </c>
      <c r="G148" s="17"/>
      <c r="H148" s="17" t="s">
        <v>923</v>
      </c>
      <c r="I148" s="17" t="s">
        <v>21</v>
      </c>
      <c r="J148" s="23" t="s">
        <v>2794</v>
      </c>
      <c r="K148" s="2" t="s">
        <v>893</v>
      </c>
      <c r="L148" s="3"/>
    </row>
    <row r="149" spans="2:12">
      <c r="B149" s="15">
        <f t="shared" si="4"/>
        <v>144</v>
      </c>
      <c r="C149" s="68"/>
      <c r="D149" s="68"/>
      <c r="E149" s="68"/>
      <c r="F149" s="49" t="s">
        <v>922</v>
      </c>
      <c r="G149" s="17"/>
      <c r="H149" s="17" t="s">
        <v>20</v>
      </c>
      <c r="I149" s="17" t="s">
        <v>21</v>
      </c>
      <c r="J149" s="23"/>
      <c r="K149" s="2" t="s">
        <v>893</v>
      </c>
      <c r="L149" s="3"/>
    </row>
    <row r="150" spans="2:12">
      <c r="B150" s="15">
        <f t="shared" si="4"/>
        <v>145</v>
      </c>
      <c r="C150" s="68"/>
      <c r="D150" s="68"/>
      <c r="E150" s="68"/>
      <c r="F150" s="49" t="s">
        <v>645</v>
      </c>
      <c r="G150" s="17"/>
      <c r="H150" s="17" t="s">
        <v>921</v>
      </c>
      <c r="I150" s="17" t="s">
        <v>21</v>
      </c>
      <c r="J150" s="23"/>
      <c r="K150" s="2" t="s">
        <v>893</v>
      </c>
      <c r="L150" s="3"/>
    </row>
    <row r="151" spans="2:12">
      <c r="B151" s="15">
        <f t="shared" si="4"/>
        <v>146</v>
      </c>
      <c r="C151" s="68"/>
      <c r="D151" s="68"/>
      <c r="E151" s="68"/>
      <c r="F151" s="49" t="s">
        <v>634</v>
      </c>
      <c r="G151" s="17"/>
      <c r="H151" s="17" t="s">
        <v>918</v>
      </c>
      <c r="I151" s="17" t="s">
        <v>21</v>
      </c>
      <c r="J151" s="23"/>
      <c r="K151" s="2" t="s">
        <v>893</v>
      </c>
      <c r="L151" s="3"/>
    </row>
    <row r="152" spans="2:12" ht="40.5">
      <c r="B152" s="15">
        <f t="shared" si="4"/>
        <v>147</v>
      </c>
      <c r="C152" s="68"/>
      <c r="D152" s="68"/>
      <c r="E152" s="68"/>
      <c r="F152" s="49" t="s">
        <v>208</v>
      </c>
      <c r="G152" s="17"/>
      <c r="H152" s="17" t="s">
        <v>631</v>
      </c>
      <c r="I152" s="17" t="s">
        <v>221</v>
      </c>
      <c r="J152" s="23"/>
      <c r="K152" s="2" t="s">
        <v>893</v>
      </c>
      <c r="L152" s="3"/>
    </row>
    <row r="153" spans="2:12">
      <c r="B153" s="15">
        <f t="shared" si="4"/>
        <v>148</v>
      </c>
      <c r="C153" s="68"/>
      <c r="D153" s="68"/>
      <c r="E153" s="68"/>
      <c r="F153" s="49" t="s">
        <v>920</v>
      </c>
      <c r="G153" s="17"/>
      <c r="H153" s="17" t="s">
        <v>27</v>
      </c>
      <c r="I153" s="17" t="s">
        <v>28</v>
      </c>
      <c r="J153" s="23"/>
      <c r="K153" s="2" t="s">
        <v>893</v>
      </c>
      <c r="L153" s="3"/>
    </row>
    <row r="154" spans="2:12">
      <c r="B154" s="15">
        <f t="shared" si="4"/>
        <v>149</v>
      </c>
      <c r="C154" s="68"/>
      <c r="D154" s="68"/>
      <c r="E154" s="19"/>
      <c r="F154" s="49" t="s">
        <v>919</v>
      </c>
      <c r="G154" s="17"/>
      <c r="H154" s="17" t="s">
        <v>918</v>
      </c>
      <c r="I154" s="17" t="s">
        <v>21</v>
      </c>
      <c r="J154" s="23"/>
      <c r="K154" s="2" t="s">
        <v>893</v>
      </c>
      <c r="L154" s="3"/>
    </row>
    <row r="155" spans="2:12">
      <c r="B155" s="15">
        <f t="shared" si="4"/>
        <v>150</v>
      </c>
      <c r="C155" s="68"/>
      <c r="D155" s="68"/>
      <c r="E155" s="16" t="s">
        <v>917</v>
      </c>
      <c r="F155" s="49" t="s">
        <v>629</v>
      </c>
      <c r="G155" s="17"/>
      <c r="H155" s="17" t="s">
        <v>916</v>
      </c>
      <c r="I155" s="17" t="s">
        <v>21</v>
      </c>
      <c r="J155" s="23"/>
      <c r="K155" s="2" t="s">
        <v>893</v>
      </c>
      <c r="L155" s="3"/>
    </row>
    <row r="156" spans="2:12">
      <c r="B156" s="15">
        <f t="shared" si="4"/>
        <v>151</v>
      </c>
      <c r="C156" s="19"/>
      <c r="D156" s="19"/>
      <c r="E156" s="19"/>
      <c r="F156" s="49" t="s">
        <v>915</v>
      </c>
      <c r="G156" s="17"/>
      <c r="H156" s="17" t="s">
        <v>20</v>
      </c>
      <c r="I156" s="17" t="s">
        <v>21</v>
      </c>
      <c r="J156" s="23"/>
      <c r="K156" s="2" t="s">
        <v>893</v>
      </c>
      <c r="L156" s="3"/>
    </row>
    <row r="157" spans="2:12" ht="40.5">
      <c r="B157" s="15">
        <f t="shared" si="4"/>
        <v>152</v>
      </c>
      <c r="C157" s="16" t="s">
        <v>559</v>
      </c>
      <c r="D157" s="16"/>
      <c r="E157" s="16" t="s">
        <v>171</v>
      </c>
      <c r="F157" s="49" t="s">
        <v>209</v>
      </c>
      <c r="G157" s="17"/>
      <c r="H157" s="17" t="s">
        <v>914</v>
      </c>
      <c r="I157" s="17" t="s">
        <v>170</v>
      </c>
      <c r="J157" s="23"/>
      <c r="K157" s="2" t="s">
        <v>893</v>
      </c>
      <c r="L157" s="3"/>
    </row>
    <row r="158" spans="2:12" ht="27">
      <c r="B158" s="15">
        <f t="shared" si="4"/>
        <v>153</v>
      </c>
      <c r="C158" s="68"/>
      <c r="D158" s="68"/>
      <c r="E158" s="68"/>
      <c r="F158" s="49" t="s">
        <v>194</v>
      </c>
      <c r="G158" s="17"/>
      <c r="H158" s="17" t="s">
        <v>913</v>
      </c>
      <c r="I158" s="17" t="s">
        <v>21</v>
      </c>
      <c r="J158" s="23"/>
      <c r="K158" s="2" t="s">
        <v>893</v>
      </c>
      <c r="L158" s="3"/>
    </row>
    <row r="159" spans="2:12" ht="27">
      <c r="B159" s="15">
        <f t="shared" si="4"/>
        <v>154</v>
      </c>
      <c r="C159" s="68"/>
      <c r="D159" s="68"/>
      <c r="E159" s="68"/>
      <c r="F159" s="49" t="s">
        <v>912</v>
      </c>
      <c r="G159" s="17"/>
      <c r="H159" s="17" t="s">
        <v>911</v>
      </c>
      <c r="I159" s="17" t="s">
        <v>21</v>
      </c>
      <c r="J159" s="23"/>
      <c r="K159" s="2" t="s">
        <v>893</v>
      </c>
      <c r="L159" s="3"/>
    </row>
    <row r="160" spans="2:12" ht="54">
      <c r="B160" s="15">
        <f t="shared" si="4"/>
        <v>155</v>
      </c>
      <c r="C160" s="68"/>
      <c r="D160" s="68"/>
      <c r="E160" s="19"/>
      <c r="F160" s="49" t="s">
        <v>210</v>
      </c>
      <c r="G160" s="17"/>
      <c r="H160" s="17" t="s">
        <v>910</v>
      </c>
      <c r="I160" s="17" t="s">
        <v>222</v>
      </c>
      <c r="J160" s="23"/>
      <c r="K160" s="2" t="s">
        <v>893</v>
      </c>
      <c r="L160" s="3"/>
    </row>
    <row r="161" spans="2:12">
      <c r="B161" s="15">
        <f t="shared" si="4"/>
        <v>156</v>
      </c>
      <c r="C161" s="68"/>
      <c r="D161" s="68"/>
      <c r="E161" s="16" t="s">
        <v>469</v>
      </c>
      <c r="F161" s="49" t="s">
        <v>909</v>
      </c>
      <c r="G161" s="17"/>
      <c r="H161" s="17" t="s">
        <v>27</v>
      </c>
      <c r="I161" s="17" t="s">
        <v>28</v>
      </c>
      <c r="J161" s="23"/>
      <c r="K161" s="2" t="s">
        <v>893</v>
      </c>
      <c r="L161" s="3"/>
    </row>
    <row r="162" spans="2:12">
      <c r="B162" s="15">
        <f t="shared" si="4"/>
        <v>157</v>
      </c>
      <c r="C162" s="68"/>
      <c r="D162" s="68"/>
      <c r="E162" s="19"/>
      <c r="F162" s="49" t="s">
        <v>908</v>
      </c>
      <c r="G162" s="17"/>
      <c r="H162" s="17" t="s">
        <v>50</v>
      </c>
      <c r="I162" s="17" t="s">
        <v>21</v>
      </c>
      <c r="J162" s="23"/>
      <c r="K162" s="2" t="s">
        <v>893</v>
      </c>
      <c r="L162" s="3"/>
    </row>
    <row r="163" spans="2:12" ht="27">
      <c r="B163" s="15">
        <f t="shared" si="4"/>
        <v>158</v>
      </c>
      <c r="C163" s="68"/>
      <c r="D163" s="68"/>
      <c r="E163" s="17" t="s">
        <v>46</v>
      </c>
      <c r="F163" s="49" t="s">
        <v>211</v>
      </c>
      <c r="G163" s="17"/>
      <c r="H163" s="17" t="s">
        <v>907</v>
      </c>
      <c r="I163" s="17" t="s">
        <v>21</v>
      </c>
      <c r="J163" s="23"/>
      <c r="K163" s="2" t="s">
        <v>893</v>
      </c>
      <c r="L163" s="3"/>
    </row>
    <row r="164" spans="2:12">
      <c r="B164" s="15">
        <f t="shared" si="4"/>
        <v>159</v>
      </c>
      <c r="C164" s="68"/>
      <c r="D164" s="68"/>
      <c r="E164" s="17" t="s">
        <v>906</v>
      </c>
      <c r="F164" s="49" t="s">
        <v>26</v>
      </c>
      <c r="G164" s="17"/>
      <c r="H164" s="17" t="s">
        <v>905</v>
      </c>
      <c r="I164" s="17" t="s">
        <v>21</v>
      </c>
      <c r="J164" s="23"/>
      <c r="K164" s="2" t="s">
        <v>893</v>
      </c>
      <c r="L164" s="3"/>
    </row>
    <row r="165" spans="2:12">
      <c r="B165" s="15">
        <f t="shared" si="4"/>
        <v>160</v>
      </c>
      <c r="C165" s="68"/>
      <c r="D165" s="68"/>
      <c r="E165" s="16" t="s">
        <v>904</v>
      </c>
      <c r="F165" s="49" t="s">
        <v>903</v>
      </c>
      <c r="G165" s="17"/>
      <c r="H165" s="17" t="s">
        <v>27</v>
      </c>
      <c r="I165" s="17" t="s">
        <v>28</v>
      </c>
      <c r="J165" s="23"/>
      <c r="K165" s="2" t="s">
        <v>893</v>
      </c>
      <c r="L165" s="3"/>
    </row>
    <row r="166" spans="2:12">
      <c r="B166" s="15">
        <f t="shared" ref="B166:B171" si="5">ROW() - 5</f>
        <v>161</v>
      </c>
      <c r="C166" s="68"/>
      <c r="D166" s="68"/>
      <c r="E166" s="19"/>
      <c r="F166" s="49" t="s">
        <v>902</v>
      </c>
      <c r="G166" s="17"/>
      <c r="H166" s="17" t="s">
        <v>901</v>
      </c>
      <c r="I166" s="17" t="s">
        <v>21</v>
      </c>
      <c r="J166" s="23"/>
      <c r="K166" s="2" t="s">
        <v>893</v>
      </c>
      <c r="L166" s="3"/>
    </row>
    <row r="167" spans="2:12">
      <c r="B167" s="15">
        <f t="shared" si="5"/>
        <v>162</v>
      </c>
      <c r="C167" s="68"/>
      <c r="D167" s="68"/>
      <c r="E167" s="17" t="s">
        <v>900</v>
      </c>
      <c r="F167" s="49" t="s">
        <v>899</v>
      </c>
      <c r="G167" s="17"/>
      <c r="H167" s="17" t="s">
        <v>898</v>
      </c>
      <c r="I167" s="17" t="s">
        <v>21</v>
      </c>
      <c r="J167" s="23"/>
      <c r="K167" s="2" t="s">
        <v>893</v>
      </c>
      <c r="L167" s="3"/>
    </row>
    <row r="168" spans="2:12">
      <c r="B168" s="15">
        <f t="shared" si="5"/>
        <v>163</v>
      </c>
      <c r="C168" s="68"/>
      <c r="D168" s="68"/>
      <c r="E168" s="16" t="s">
        <v>897</v>
      </c>
      <c r="F168" s="49" t="s">
        <v>896</v>
      </c>
      <c r="G168" s="17"/>
      <c r="H168" s="17" t="s">
        <v>20</v>
      </c>
      <c r="I168" s="17" t="s">
        <v>21</v>
      </c>
      <c r="J168" s="23"/>
      <c r="K168" s="2" t="s">
        <v>893</v>
      </c>
      <c r="L168" s="3"/>
    </row>
    <row r="169" spans="2:12">
      <c r="B169" s="15">
        <f t="shared" si="5"/>
        <v>164</v>
      </c>
      <c r="C169" s="68"/>
      <c r="D169" s="68"/>
      <c r="E169" s="68"/>
      <c r="F169" s="49" t="s">
        <v>895</v>
      </c>
      <c r="G169" s="17"/>
      <c r="H169" s="17" t="s">
        <v>20</v>
      </c>
      <c r="I169" s="17" t="s">
        <v>21</v>
      </c>
      <c r="J169" s="23"/>
      <c r="K169" s="2" t="s">
        <v>893</v>
      </c>
      <c r="L169" s="3"/>
    </row>
    <row r="170" spans="2:12">
      <c r="B170" s="15">
        <f t="shared" si="5"/>
        <v>165</v>
      </c>
      <c r="C170" s="19"/>
      <c r="D170" s="19"/>
      <c r="E170" s="19"/>
      <c r="F170" s="49" t="s">
        <v>894</v>
      </c>
      <c r="G170" s="17"/>
      <c r="H170" s="17" t="s">
        <v>20</v>
      </c>
      <c r="I170" s="17" t="s">
        <v>21</v>
      </c>
      <c r="J170" s="23"/>
      <c r="K170" s="2" t="s">
        <v>893</v>
      </c>
      <c r="L170" s="3"/>
    </row>
    <row r="171" spans="2:12" ht="40.5">
      <c r="B171" s="15">
        <f t="shared" si="5"/>
        <v>166</v>
      </c>
      <c r="C171" s="17" t="s">
        <v>892</v>
      </c>
      <c r="D171" s="17"/>
      <c r="E171" s="17" t="s">
        <v>621</v>
      </c>
      <c r="F171" s="17" t="s">
        <v>2272</v>
      </c>
      <c r="G171" s="17"/>
      <c r="H171" s="17" t="s">
        <v>21</v>
      </c>
      <c r="I171" s="17" t="s">
        <v>21</v>
      </c>
      <c r="J171" s="17" t="s">
        <v>2823</v>
      </c>
      <c r="K171" s="2" t="s">
        <v>893</v>
      </c>
      <c r="L171" s="3"/>
    </row>
  </sheetData>
  <phoneticPr fontId="14"/>
  <hyperlinks>
    <hyperlink ref="A4" location="パラメータ設定一覧!A1" display="パラメータ設定一覧へ" xr:uid="{04932881-F486-4595-86EA-CC60BE41AC71}"/>
  </hyperlinks>
  <pageMargins left="0.70866141732283472" right="0.70866141732283472" top="0.74803149606299213" bottom="0.74803149606299213" header="0.31496062992125984" footer="0.31496062992125984"/>
  <pageSetup paperSize="9" scale="18" orientation="portrait" r:id="rId1"/>
  <headerFooter>
    <oddFooter>&amp;RCopyright  SATO HOLDINGS CORPORATION All rights reserved</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518EA-2BA7-4886-9545-3B7ACE0947B6}">
  <sheetPr codeName="Sheet39">
    <pageSetUpPr fitToPage="1"/>
  </sheetPr>
  <dimension ref="A1:FC19"/>
  <sheetViews>
    <sheetView showGridLines="0" zoomScaleNormal="100" zoomScaleSheetLayoutView="100" workbookViewId="0">
      <pane xSplit="6" ySplit="8" topLeftCell="G9" activePane="bottomRight" state="frozen"/>
      <selection activeCell="E9" sqref="E9"/>
      <selection pane="topRight" activeCell="E9" sqref="E9"/>
      <selection pane="bottomLeft" activeCell="E9" sqref="E9"/>
      <selection pane="bottomRight" activeCell="G9" sqref="G9"/>
    </sheetView>
  </sheetViews>
  <sheetFormatPr defaultColWidth="8.78515625" defaultRowHeight="13.5"/>
  <cols>
    <col min="1" max="1" width="2.78515625" style="177" customWidth="1"/>
    <col min="2" max="2" width="3.5703125" style="177" bestFit="1" customWidth="1"/>
    <col min="3" max="3" width="15.2109375" style="177" customWidth="1"/>
    <col min="4" max="4" width="9.2109375" style="177" customWidth="1"/>
    <col min="5" max="5" width="11.2109375" style="177" customWidth="1"/>
    <col min="6" max="6" width="19" style="177" customWidth="1"/>
    <col min="7" max="7" width="20.78515625" style="177" customWidth="1"/>
    <col min="8" max="8" width="16.7109375" style="177" bestFit="1" customWidth="1"/>
    <col min="9" max="9" width="8.78515625" style="177"/>
    <col min="10" max="10" width="11.42578125" style="177" customWidth="1"/>
    <col min="11" max="11" width="8.78515625" style="177" bestFit="1" customWidth="1"/>
    <col min="12" max="12" width="9.42578125" style="177" customWidth="1"/>
    <col min="13" max="13" width="15.2109375" style="177" customWidth="1"/>
    <col min="14" max="14" width="13.35546875" style="177" customWidth="1"/>
    <col min="15" max="15" width="10.640625" style="177" customWidth="1"/>
    <col min="16" max="16" width="15.78515625" style="177" customWidth="1"/>
    <col min="17" max="17" width="23.2109375" style="177" bestFit="1" customWidth="1"/>
    <col min="18" max="18" width="15.640625" style="177" customWidth="1"/>
    <col min="19" max="21" width="18.5703125" style="177" customWidth="1"/>
    <col min="22" max="42" width="15.640625" style="177" customWidth="1"/>
    <col min="43" max="43" width="13.2109375" style="177" customWidth="1"/>
    <col min="44" max="44" width="14.35546875" style="177" customWidth="1"/>
    <col min="45" max="45" width="11.2109375" style="177" customWidth="1"/>
    <col min="46" max="46" width="8.2109375" style="177" bestFit="1" customWidth="1"/>
    <col min="47" max="47" width="16.2109375" style="177" customWidth="1"/>
    <col min="48" max="48" width="9.78515625" style="177" customWidth="1"/>
    <col min="49" max="49" width="18.5703125" style="177" customWidth="1"/>
    <col min="50" max="50" width="13.5703125" style="177" bestFit="1" customWidth="1"/>
    <col min="51" max="51" width="9.42578125" style="177" customWidth="1"/>
    <col min="52" max="53" width="7.35546875" style="177" customWidth="1"/>
    <col min="54" max="54" width="18" style="177" bestFit="1" customWidth="1"/>
    <col min="55" max="55" width="8.78515625" style="177"/>
    <col min="56" max="56" width="16.35546875" style="177" customWidth="1"/>
    <col min="57" max="59" width="8.78515625" style="177"/>
    <col min="60" max="60" width="19.2109375" style="177" customWidth="1"/>
    <col min="61" max="61" width="16.2109375" style="177" customWidth="1"/>
    <col min="62" max="62" width="17.78515625" style="177" customWidth="1"/>
    <col min="63" max="63" width="16.42578125" style="177" customWidth="1"/>
    <col min="64" max="64" width="10.5703125" style="177" customWidth="1"/>
    <col min="65" max="65" width="18.2109375" style="177" bestFit="1" customWidth="1"/>
    <col min="66" max="66" width="10" style="177" customWidth="1"/>
    <col min="67" max="68" width="8.78515625" style="177"/>
    <col min="69" max="69" width="17.35546875" style="177" bestFit="1" customWidth="1"/>
    <col min="70" max="77" width="17.35546875" style="177" customWidth="1"/>
    <col min="78" max="78" width="15.78515625" style="177" customWidth="1"/>
    <col min="79" max="79" width="18.78515625" style="177" customWidth="1"/>
    <col min="80" max="80" width="16.640625" style="177" customWidth="1"/>
    <col min="81" max="81" width="17" style="177" customWidth="1"/>
    <col min="82" max="82" width="16.35546875" style="177" customWidth="1"/>
    <col min="83" max="83" width="15.2109375" style="177" bestFit="1" customWidth="1"/>
    <col min="84" max="84" width="16.78515625" style="177" customWidth="1"/>
    <col min="85" max="85" width="16.35546875" style="177" customWidth="1"/>
    <col min="86" max="86" width="17.2109375" style="177" customWidth="1"/>
    <col min="87" max="87" width="14.5703125" style="177" customWidth="1"/>
    <col min="88" max="88" width="15.35546875" style="177" customWidth="1"/>
    <col min="89" max="89" width="15.5703125" style="177" customWidth="1"/>
    <col min="90" max="90" width="15.78515625" style="177" customWidth="1"/>
    <col min="91" max="91" width="15.5703125" style="177" customWidth="1"/>
    <col min="92" max="92" width="9.5703125" style="177" customWidth="1"/>
    <col min="93" max="93" width="14.640625" style="177" customWidth="1"/>
    <col min="94" max="94" width="15.78515625" style="177" customWidth="1"/>
    <col min="95" max="95" width="22.78515625" style="177" bestFit="1" customWidth="1"/>
    <col min="96" max="96" width="15.5703125" style="177" bestFit="1" customWidth="1"/>
    <col min="97" max="99" width="9.5703125" style="177" customWidth="1"/>
    <col min="100" max="100" width="15.78515625" style="177" bestFit="1" customWidth="1"/>
    <col min="101" max="102" width="17.2109375" style="177" customWidth="1"/>
    <col min="103" max="103" width="16.78515625" style="177" customWidth="1"/>
    <col min="104" max="104" width="8.2109375" style="177" bestFit="1" customWidth="1"/>
    <col min="105" max="105" width="18" style="177" customWidth="1"/>
    <col min="106" max="106" width="15" style="177" bestFit="1" customWidth="1"/>
    <col min="107" max="107" width="15.2109375" style="177" customWidth="1"/>
    <col min="108" max="108" width="16.2109375" style="177" customWidth="1"/>
    <col min="109" max="109" width="17.2109375" style="177" customWidth="1"/>
    <col min="110" max="110" width="16.2109375" style="177" customWidth="1"/>
    <col min="111" max="111" width="14.640625" style="177" customWidth="1"/>
    <col min="112" max="112" width="16.35546875" style="177" customWidth="1"/>
    <col min="113" max="113" width="15.78515625" style="177" customWidth="1"/>
    <col min="114" max="114" width="13.2109375" style="177" bestFit="1" customWidth="1"/>
    <col min="115" max="115" width="19.78515625" style="177" bestFit="1" customWidth="1"/>
    <col min="116" max="116" width="14.35546875" style="177" bestFit="1" customWidth="1"/>
    <col min="117" max="118" width="14.640625" style="177" customWidth="1"/>
    <col min="119" max="119" width="15.78515625" style="177" bestFit="1" customWidth="1"/>
    <col min="120" max="120" width="18.2109375" style="177" customWidth="1"/>
    <col min="121" max="121" width="17.2109375" style="177" customWidth="1"/>
    <col min="122" max="122" width="16.42578125" style="177" customWidth="1"/>
    <col min="123" max="123" width="17.5703125" style="177" customWidth="1"/>
    <col min="124" max="124" width="13.2109375" style="177" customWidth="1"/>
    <col min="125" max="125" width="15" style="177" bestFit="1" customWidth="1"/>
    <col min="126" max="126" width="24" style="177" bestFit="1" customWidth="1"/>
    <col min="127" max="127" width="24" style="177" customWidth="1"/>
    <col min="128" max="128" width="16.42578125" style="177" customWidth="1"/>
    <col min="129" max="129" width="15.42578125" style="177" customWidth="1"/>
    <col min="130" max="130" width="9.5703125" style="177" customWidth="1"/>
    <col min="131" max="133" width="15.78515625" style="177" bestFit="1" customWidth="1"/>
    <col min="134" max="134" width="18" style="177" customWidth="1"/>
    <col min="135" max="135" width="9.5703125" style="177" customWidth="1"/>
    <col min="136" max="136" width="16.42578125" style="177" customWidth="1"/>
    <col min="137" max="137" width="11.640625" style="177" bestFit="1" customWidth="1"/>
    <col min="138" max="138" width="13.2109375" style="177" bestFit="1" customWidth="1"/>
    <col min="139" max="139" width="23" style="177" bestFit="1" customWidth="1"/>
    <col min="140" max="140" width="22.5703125" style="177" bestFit="1" customWidth="1"/>
    <col min="141" max="141" width="15.640625" style="177" bestFit="1" customWidth="1"/>
    <col min="142" max="142" width="11.2109375" style="177" customWidth="1"/>
    <col min="143" max="143" width="12.78515625" style="177" bestFit="1" customWidth="1"/>
    <col min="144" max="144" width="16.5703125" style="177" customWidth="1"/>
    <col min="145" max="145" width="21.78515625" style="177" customWidth="1"/>
    <col min="146" max="146" width="23.35546875" style="177" customWidth="1"/>
    <col min="147" max="147" width="12.42578125" style="177" customWidth="1"/>
    <col min="148" max="148" width="13.35546875" style="177" customWidth="1"/>
    <col min="149" max="149" width="11.2109375" style="177" customWidth="1"/>
    <col min="150" max="150" width="16.42578125" style="177" customWidth="1"/>
    <col min="151" max="151" width="17.5703125" style="177" bestFit="1" customWidth="1"/>
    <col min="152" max="152" width="15.5703125" style="177" customWidth="1"/>
    <col min="153" max="153" width="16" style="177" customWidth="1"/>
    <col min="154" max="154" width="13" style="177" bestFit="1" customWidth="1"/>
    <col min="155" max="155" width="11.78515625" style="177" bestFit="1" customWidth="1"/>
    <col min="156" max="156" width="9.5703125" style="177" customWidth="1"/>
    <col min="157" max="159" width="15.640625" style="177" customWidth="1"/>
    <col min="160" max="16384" width="8.78515625" style="177"/>
  </cols>
  <sheetData>
    <row r="1" spans="1:159" s="362" customFormat="1" ht="19.5">
      <c r="A1" s="361" t="s">
        <v>2696</v>
      </c>
    </row>
    <row r="2" spans="1:159" s="362" customFormat="1" ht="15">
      <c r="A2" s="308" t="s">
        <v>2668</v>
      </c>
    </row>
    <row r="3" spans="1:159" s="362" customFormat="1" ht="15">
      <c r="A3" s="179" t="s">
        <v>363</v>
      </c>
    </row>
    <row r="4" spans="1:159" ht="15.75" customHeight="1">
      <c r="A4" s="363"/>
      <c r="B4" s="453" t="s">
        <v>1</v>
      </c>
      <c r="C4" s="198" t="s">
        <v>23</v>
      </c>
      <c r="D4" s="138"/>
      <c r="E4" s="138"/>
      <c r="F4" s="138"/>
      <c r="G4" s="138"/>
      <c r="H4" s="138"/>
      <c r="I4" s="138"/>
      <c r="J4" s="138"/>
      <c r="K4" s="138"/>
      <c r="L4" s="138"/>
      <c r="M4" s="138"/>
      <c r="N4" s="138"/>
      <c r="O4" s="138"/>
      <c r="P4" s="138"/>
      <c r="Q4" s="134"/>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98" t="s">
        <v>29</v>
      </c>
      <c r="AR4" s="138"/>
      <c r="AS4" s="138"/>
      <c r="AT4" s="138"/>
      <c r="AU4" s="134"/>
      <c r="AV4" s="134"/>
      <c r="AW4" s="134"/>
      <c r="AX4" s="134"/>
      <c r="AY4" s="134"/>
      <c r="AZ4" s="134"/>
      <c r="BA4" s="134"/>
      <c r="BB4" s="134"/>
      <c r="BC4" s="198" t="s">
        <v>1106</v>
      </c>
      <c r="BD4" s="138"/>
      <c r="BE4" s="138"/>
      <c r="BF4" s="138"/>
      <c r="BG4" s="138"/>
      <c r="BH4" s="135" t="s">
        <v>782</v>
      </c>
      <c r="BI4" s="134"/>
      <c r="BJ4" s="134"/>
      <c r="BK4" s="134"/>
      <c r="BL4" s="134"/>
      <c r="BM4" s="134"/>
      <c r="BN4" s="134"/>
      <c r="BO4" s="134"/>
      <c r="BP4" s="134"/>
      <c r="BQ4" s="134"/>
      <c r="BR4" s="134"/>
      <c r="BS4" s="134"/>
      <c r="BT4" s="134"/>
      <c r="BU4" s="134"/>
      <c r="BV4" s="134"/>
      <c r="BW4" s="134"/>
      <c r="BX4" s="134"/>
      <c r="BY4" s="133"/>
      <c r="BZ4" s="35" t="s">
        <v>972</v>
      </c>
      <c r="CA4" s="137"/>
      <c r="CB4" s="137"/>
      <c r="CC4" s="137"/>
      <c r="CD4" s="137"/>
      <c r="CE4" s="137"/>
      <c r="CF4" s="136"/>
      <c r="CG4" s="45" t="s">
        <v>964</v>
      </c>
      <c r="CH4" s="35"/>
      <c r="CI4" s="35"/>
      <c r="CJ4" s="35"/>
      <c r="CK4" s="35"/>
      <c r="CL4" s="35"/>
      <c r="CM4" s="35"/>
      <c r="CN4" s="36"/>
      <c r="CO4" s="37" t="s">
        <v>611</v>
      </c>
      <c r="CP4" s="38"/>
      <c r="CQ4" s="38"/>
      <c r="CR4" s="38"/>
      <c r="CS4" s="38"/>
      <c r="CT4" s="38"/>
      <c r="CU4" s="38"/>
      <c r="CV4" s="38"/>
      <c r="CW4" s="38"/>
      <c r="CX4" s="38"/>
      <c r="CY4" s="38"/>
      <c r="CZ4" s="38"/>
      <c r="DA4" s="38"/>
      <c r="DB4" s="38"/>
      <c r="DC4" s="39"/>
      <c r="DD4" s="37" t="s">
        <v>950</v>
      </c>
      <c r="DE4" s="38"/>
      <c r="DF4" s="38"/>
      <c r="DG4" s="38"/>
      <c r="DH4" s="38"/>
      <c r="DI4" s="38"/>
      <c r="DJ4" s="38"/>
      <c r="DK4" s="38"/>
      <c r="DL4" s="38"/>
      <c r="DM4" s="38"/>
      <c r="DN4" s="38"/>
      <c r="DO4" s="38"/>
      <c r="DP4" s="38"/>
      <c r="DQ4" s="38"/>
      <c r="DR4" s="38"/>
      <c r="DS4" s="38"/>
      <c r="DT4" s="38"/>
      <c r="DU4" s="38"/>
      <c r="DV4" s="38"/>
      <c r="DW4" s="39"/>
      <c r="DX4" s="37" t="s">
        <v>654</v>
      </c>
      <c r="DY4" s="38"/>
      <c r="DZ4" s="38"/>
      <c r="EA4" s="38"/>
      <c r="EB4" s="38"/>
      <c r="EC4" s="38"/>
      <c r="ED4" s="38"/>
      <c r="EE4" s="38"/>
      <c r="EF4" s="38"/>
      <c r="EG4" s="38"/>
      <c r="EH4" s="38"/>
      <c r="EI4" s="38"/>
      <c r="EJ4" s="38"/>
      <c r="EK4" s="38"/>
      <c r="EL4" s="39"/>
      <c r="EM4" s="37" t="s">
        <v>559</v>
      </c>
      <c r="EN4" s="38"/>
      <c r="EO4" s="38"/>
      <c r="EP4" s="38"/>
      <c r="EQ4" s="38"/>
      <c r="ER4" s="38"/>
      <c r="ES4" s="38"/>
      <c r="ET4" s="38"/>
      <c r="EU4" s="38"/>
      <c r="EV4" s="38"/>
      <c r="EW4" s="38"/>
      <c r="EX4" s="38"/>
      <c r="EY4" s="38"/>
      <c r="EZ4" s="39"/>
      <c r="FA4" s="37" t="s">
        <v>892</v>
      </c>
      <c r="FB4" s="38"/>
      <c r="FC4" s="39"/>
    </row>
    <row r="5" spans="1:159" ht="12.75" customHeight="1">
      <c r="B5" s="453"/>
      <c r="C5" s="135" t="s">
        <v>52</v>
      </c>
      <c r="D5" s="134"/>
      <c r="E5" s="134"/>
      <c r="F5" s="134"/>
      <c r="G5" s="134"/>
      <c r="H5" s="134"/>
      <c r="I5" s="135" t="s">
        <v>801</v>
      </c>
      <c r="J5" s="134"/>
      <c r="K5" s="134"/>
      <c r="L5" s="134"/>
      <c r="M5" s="135" t="s">
        <v>796</v>
      </c>
      <c r="N5" s="134"/>
      <c r="O5" s="134"/>
      <c r="P5" s="133"/>
      <c r="Q5" s="199" t="s">
        <v>1105</v>
      </c>
      <c r="R5" s="135" t="s">
        <v>2783</v>
      </c>
      <c r="S5" s="134"/>
      <c r="T5" s="134"/>
      <c r="U5" s="134"/>
      <c r="V5" s="133"/>
      <c r="W5" s="271" t="s">
        <v>2782</v>
      </c>
      <c r="X5" s="134"/>
      <c r="Y5" s="134"/>
      <c r="Z5" s="134"/>
      <c r="AA5" s="134"/>
      <c r="AB5" s="134"/>
      <c r="AC5" s="134"/>
      <c r="AD5" s="133"/>
      <c r="AE5" s="271" t="s">
        <v>2784</v>
      </c>
      <c r="AF5" s="133"/>
      <c r="AG5" s="271" t="s">
        <v>2787</v>
      </c>
      <c r="AH5" s="134"/>
      <c r="AI5" s="133"/>
      <c r="AJ5" s="271" t="s">
        <v>2789</v>
      </c>
      <c r="AK5" s="134"/>
      <c r="AL5" s="133"/>
      <c r="AM5" s="271" t="s">
        <v>2790</v>
      </c>
      <c r="AN5" s="134"/>
      <c r="AO5" s="134"/>
      <c r="AP5" s="133"/>
      <c r="AQ5" s="172"/>
      <c r="AR5" s="199"/>
      <c r="AS5" s="199"/>
      <c r="AT5" s="199"/>
      <c r="AU5" s="172" t="s">
        <v>34</v>
      </c>
      <c r="AV5" s="199"/>
      <c r="AW5" s="199"/>
      <c r="AX5" s="199"/>
      <c r="AY5" s="199"/>
      <c r="AZ5" s="199"/>
      <c r="BA5" s="199"/>
      <c r="BB5" s="199"/>
      <c r="BC5" s="172"/>
      <c r="BD5" s="199"/>
      <c r="BE5" s="199"/>
      <c r="BF5" s="199"/>
      <c r="BG5" s="197"/>
      <c r="BH5" s="199" t="s">
        <v>252</v>
      </c>
      <c r="BI5" s="199"/>
      <c r="BJ5" s="197"/>
      <c r="BK5" s="56" t="s">
        <v>993</v>
      </c>
      <c r="BL5" s="41"/>
      <c r="BM5" s="42"/>
      <c r="BN5" s="56" t="s">
        <v>683</v>
      </c>
      <c r="BO5" s="41"/>
      <c r="BP5" s="42"/>
      <c r="BQ5" s="125" t="s">
        <v>313</v>
      </c>
      <c r="BR5" s="56" t="s">
        <v>986</v>
      </c>
      <c r="BS5" s="41"/>
      <c r="BT5" s="41"/>
      <c r="BU5" s="41"/>
      <c r="BV5" s="41"/>
      <c r="BW5" s="41"/>
      <c r="BX5" s="41"/>
      <c r="BY5" s="42"/>
      <c r="BZ5" s="56"/>
      <c r="CA5" s="132"/>
      <c r="CB5" s="132"/>
      <c r="CC5" s="132"/>
      <c r="CD5" s="132"/>
      <c r="CE5" s="132"/>
      <c r="CF5" s="131"/>
      <c r="CG5" s="56"/>
      <c r="CH5" s="41"/>
      <c r="CI5" s="41"/>
      <c r="CJ5" s="41"/>
      <c r="CK5" s="41"/>
      <c r="CL5" s="41"/>
      <c r="CM5" s="41"/>
      <c r="CN5" s="42"/>
      <c r="CO5" s="37" t="s">
        <v>275</v>
      </c>
      <c r="CP5" s="38"/>
      <c r="CQ5" s="38"/>
      <c r="CR5" s="39"/>
      <c r="CS5" s="37" t="s">
        <v>958</v>
      </c>
      <c r="CT5" s="39"/>
      <c r="CU5" s="37" t="s">
        <v>601</v>
      </c>
      <c r="CV5" s="38"/>
      <c r="CW5" s="38"/>
      <c r="CX5" s="39"/>
      <c r="CY5" s="37" t="s">
        <v>589</v>
      </c>
      <c r="CZ5" s="38"/>
      <c r="DA5" s="39"/>
      <c r="DB5" s="37" t="s">
        <v>954</v>
      </c>
      <c r="DC5" s="39"/>
      <c r="DD5" s="37" t="s">
        <v>949</v>
      </c>
      <c r="DE5" s="38"/>
      <c r="DF5" s="38"/>
      <c r="DG5" s="38"/>
      <c r="DH5" s="38"/>
      <c r="DI5" s="38"/>
      <c r="DJ5" s="38"/>
      <c r="DK5" s="38"/>
      <c r="DL5" s="38"/>
      <c r="DM5" s="38"/>
      <c r="DN5" s="39"/>
      <c r="DO5" s="37" t="s">
        <v>240</v>
      </c>
      <c r="DP5" s="38"/>
      <c r="DQ5" s="38"/>
      <c r="DR5" s="39"/>
      <c r="DS5" s="40" t="s">
        <v>665</v>
      </c>
      <c r="DT5" s="37" t="s">
        <v>933</v>
      </c>
      <c r="DU5" s="38"/>
      <c r="DV5" s="39"/>
      <c r="DW5" s="38" t="s">
        <v>658</v>
      </c>
      <c r="DX5" s="37" t="s">
        <v>654</v>
      </c>
      <c r="DY5" s="38"/>
      <c r="DZ5" s="38"/>
      <c r="EA5" s="38"/>
      <c r="EB5" s="38"/>
      <c r="EC5" s="38"/>
      <c r="ED5" s="38"/>
      <c r="EE5" s="38"/>
      <c r="EF5" s="38"/>
      <c r="EG5" s="38"/>
      <c r="EH5" s="38"/>
      <c r="EI5" s="38"/>
      <c r="EJ5" s="38"/>
      <c r="EK5" s="37" t="s">
        <v>917</v>
      </c>
      <c r="EL5" s="39"/>
      <c r="EM5" s="37" t="s">
        <v>171</v>
      </c>
      <c r="EN5" s="38"/>
      <c r="EO5" s="38"/>
      <c r="EP5" s="39"/>
      <c r="EQ5" s="37" t="s">
        <v>469</v>
      </c>
      <c r="ER5" s="39"/>
      <c r="ES5" s="40" t="s">
        <v>46</v>
      </c>
      <c r="ET5" s="40" t="s">
        <v>906</v>
      </c>
      <c r="EU5" s="37" t="s">
        <v>904</v>
      </c>
      <c r="EV5" s="39"/>
      <c r="EW5" s="40" t="s">
        <v>900</v>
      </c>
      <c r="EX5" s="37" t="s">
        <v>897</v>
      </c>
      <c r="EY5" s="38"/>
      <c r="EZ5" s="39"/>
      <c r="FA5" s="200" t="s">
        <v>2326</v>
      </c>
      <c r="FB5" s="38"/>
      <c r="FC5" s="39"/>
    </row>
    <row r="6" spans="1:159" ht="12.75" customHeight="1">
      <c r="B6" s="454"/>
      <c r="C6" s="59" t="s">
        <v>60</v>
      </c>
      <c r="D6" s="59" t="s">
        <v>46</v>
      </c>
      <c r="E6" s="59" t="s">
        <v>802</v>
      </c>
      <c r="F6" s="59" t="s">
        <v>19</v>
      </c>
      <c r="G6" s="59" t="s">
        <v>25</v>
      </c>
      <c r="H6" s="59" t="s">
        <v>196</v>
      </c>
      <c r="I6" s="59" t="s">
        <v>800</v>
      </c>
      <c r="J6" s="59" t="s">
        <v>799</v>
      </c>
      <c r="K6" s="59" t="s">
        <v>242</v>
      </c>
      <c r="L6" s="59" t="s">
        <v>185</v>
      </c>
      <c r="M6" s="59" t="s">
        <v>61</v>
      </c>
      <c r="N6" s="59" t="s">
        <v>791</v>
      </c>
      <c r="O6" s="59" t="s">
        <v>792</v>
      </c>
      <c r="P6" s="59" t="s">
        <v>794</v>
      </c>
      <c r="Q6" s="69" t="s">
        <v>207</v>
      </c>
      <c r="R6" s="59" t="s">
        <v>2780</v>
      </c>
      <c r="S6" s="59" t="s">
        <v>813</v>
      </c>
      <c r="T6" s="59" t="s">
        <v>256</v>
      </c>
      <c r="U6" s="59" t="s">
        <v>812</v>
      </c>
      <c r="V6" s="59" t="s">
        <v>203</v>
      </c>
      <c r="W6" s="59" t="s">
        <v>2640</v>
      </c>
      <c r="X6" s="59" t="s">
        <v>791</v>
      </c>
      <c r="Y6" s="59" t="s">
        <v>204</v>
      </c>
      <c r="Z6" s="59" t="s">
        <v>1019</v>
      </c>
      <c r="AA6" s="59" t="s">
        <v>1018</v>
      </c>
      <c r="AB6" s="59" t="s">
        <v>1017</v>
      </c>
      <c r="AC6" s="59" t="s">
        <v>1016</v>
      </c>
      <c r="AD6" s="59" t="s">
        <v>1015</v>
      </c>
      <c r="AE6" s="59" t="s">
        <v>1013</v>
      </c>
      <c r="AF6" s="59" t="s">
        <v>205</v>
      </c>
      <c r="AG6" s="59" t="s">
        <v>206</v>
      </c>
      <c r="AH6" s="59" t="s">
        <v>231</v>
      </c>
      <c r="AI6" s="59" t="s">
        <v>233</v>
      </c>
      <c r="AJ6" s="59" t="s">
        <v>206</v>
      </c>
      <c r="AK6" s="59" t="s">
        <v>231</v>
      </c>
      <c r="AL6" s="59" t="s">
        <v>233</v>
      </c>
      <c r="AM6" s="59" t="s">
        <v>61</v>
      </c>
      <c r="AN6" s="59" t="s">
        <v>794</v>
      </c>
      <c r="AO6" s="59" t="s">
        <v>1004</v>
      </c>
      <c r="AP6" s="59" t="s">
        <v>1003</v>
      </c>
      <c r="AQ6" s="59" t="s">
        <v>30</v>
      </c>
      <c r="AR6" s="59" t="s">
        <v>31</v>
      </c>
      <c r="AS6" s="59" t="s">
        <v>32</v>
      </c>
      <c r="AT6" s="59" t="s">
        <v>33</v>
      </c>
      <c r="AU6" s="59" t="s">
        <v>35</v>
      </c>
      <c r="AV6" s="59" t="s">
        <v>38</v>
      </c>
      <c r="AW6" s="59" t="s">
        <v>31</v>
      </c>
      <c r="AX6" s="59" t="s">
        <v>40</v>
      </c>
      <c r="AY6" s="59" t="s">
        <v>42</v>
      </c>
      <c r="AZ6" s="59" t="s">
        <v>33</v>
      </c>
      <c r="BA6" s="59" t="s">
        <v>788</v>
      </c>
      <c r="BB6" s="59" t="s">
        <v>43</v>
      </c>
      <c r="BC6" s="59" t="s">
        <v>45</v>
      </c>
      <c r="BD6" s="59" t="s">
        <v>46</v>
      </c>
      <c r="BE6" s="59" t="s">
        <v>47</v>
      </c>
      <c r="BF6" s="59" t="s">
        <v>48</v>
      </c>
      <c r="BG6" s="59" t="s">
        <v>33</v>
      </c>
      <c r="BH6" s="69" t="s">
        <v>740</v>
      </c>
      <c r="BI6" s="69" t="s">
        <v>998</v>
      </c>
      <c r="BJ6" s="69" t="s">
        <v>1104</v>
      </c>
      <c r="BK6" s="118" t="s">
        <v>992</v>
      </c>
      <c r="BL6" s="118" t="s">
        <v>991</v>
      </c>
      <c r="BM6" s="118" t="s">
        <v>990</v>
      </c>
      <c r="BN6" s="118" t="s">
        <v>766</v>
      </c>
      <c r="BO6" s="118" t="s">
        <v>22</v>
      </c>
      <c r="BP6" s="118" t="s">
        <v>815</v>
      </c>
      <c r="BQ6" s="118" t="s">
        <v>988</v>
      </c>
      <c r="BR6" s="118" t="s">
        <v>985</v>
      </c>
      <c r="BS6" s="118" t="s">
        <v>1103</v>
      </c>
      <c r="BT6" s="118" t="s">
        <v>1102</v>
      </c>
      <c r="BU6" s="118" t="s">
        <v>1101</v>
      </c>
      <c r="BV6" s="118" t="s">
        <v>1100</v>
      </c>
      <c r="BW6" s="118" t="s">
        <v>1099</v>
      </c>
      <c r="BX6" s="118" t="s">
        <v>1098</v>
      </c>
      <c r="BY6" s="118" t="s">
        <v>1097</v>
      </c>
      <c r="BZ6" s="118" t="s">
        <v>971</v>
      </c>
      <c r="CA6" s="118" t="s">
        <v>970</v>
      </c>
      <c r="CB6" s="118" t="s">
        <v>969</v>
      </c>
      <c r="CC6" s="118" t="s">
        <v>968</v>
      </c>
      <c r="CD6" s="118" t="s">
        <v>967</v>
      </c>
      <c r="CE6" s="118" t="s">
        <v>966</v>
      </c>
      <c r="CF6" s="118" t="s">
        <v>965</v>
      </c>
      <c r="CG6" s="118" t="s">
        <v>230</v>
      </c>
      <c r="CH6" s="118" t="s">
        <v>761</v>
      </c>
      <c r="CI6" s="118" t="s">
        <v>759</v>
      </c>
      <c r="CJ6" s="118" t="s">
        <v>757</v>
      </c>
      <c r="CK6" s="118" t="s">
        <v>175</v>
      </c>
      <c r="CL6" s="118" t="s">
        <v>754</v>
      </c>
      <c r="CM6" s="118" t="s">
        <v>963</v>
      </c>
      <c r="CN6" s="118" t="s">
        <v>24</v>
      </c>
      <c r="CO6" s="118" t="s">
        <v>610</v>
      </c>
      <c r="CP6" s="118" t="s">
        <v>606</v>
      </c>
      <c r="CQ6" s="118" t="s">
        <v>962</v>
      </c>
      <c r="CR6" s="118" t="s">
        <v>960</v>
      </c>
      <c r="CS6" s="118" t="s">
        <v>201</v>
      </c>
      <c r="CT6" s="118" t="s">
        <v>958</v>
      </c>
      <c r="CU6" s="118" t="s">
        <v>600</v>
      </c>
      <c r="CV6" s="118" t="s">
        <v>599</v>
      </c>
      <c r="CW6" s="118" t="s">
        <v>1096</v>
      </c>
      <c r="CX6" s="118" t="s">
        <v>593</v>
      </c>
      <c r="CY6" s="118" t="s">
        <v>249</v>
      </c>
      <c r="CZ6" s="118" t="s">
        <v>585</v>
      </c>
      <c r="DA6" s="118" t="s">
        <v>587</v>
      </c>
      <c r="DB6" s="118" t="s">
        <v>953</v>
      </c>
      <c r="DC6" s="118" t="s">
        <v>952</v>
      </c>
      <c r="DD6" s="118" t="s">
        <v>528</v>
      </c>
      <c r="DE6" s="118" t="s">
        <v>695</v>
      </c>
      <c r="DF6" s="118" t="s">
        <v>389</v>
      </c>
      <c r="DG6" s="118" t="s">
        <v>613</v>
      </c>
      <c r="DH6" s="118" t="s">
        <v>946</v>
      </c>
      <c r="DI6" s="118" t="s">
        <v>944</v>
      </c>
      <c r="DJ6" s="118" t="s">
        <v>942</v>
      </c>
      <c r="DK6" s="118" t="s">
        <v>941</v>
      </c>
      <c r="DL6" s="118" t="s">
        <v>940</v>
      </c>
      <c r="DM6" s="118" t="s">
        <v>939</v>
      </c>
      <c r="DN6" s="118" t="s">
        <v>1095</v>
      </c>
      <c r="DO6" s="118" t="s">
        <v>936</v>
      </c>
      <c r="DP6" s="118" t="s">
        <v>261</v>
      </c>
      <c r="DQ6" s="118" t="s">
        <v>251</v>
      </c>
      <c r="DR6" s="118" t="s">
        <v>255</v>
      </c>
      <c r="DS6" s="118" t="s">
        <v>935</v>
      </c>
      <c r="DT6" s="118" t="s">
        <v>932</v>
      </c>
      <c r="DU6" s="118" t="s">
        <v>931</v>
      </c>
      <c r="DV6" s="118" t="s">
        <v>930</v>
      </c>
      <c r="DW6" s="118" t="s">
        <v>1094</v>
      </c>
      <c r="DX6" s="118" t="s">
        <v>653</v>
      </c>
      <c r="DY6" s="118" t="s">
        <v>651</v>
      </c>
      <c r="DZ6" s="118" t="s">
        <v>273</v>
      </c>
      <c r="EA6" s="118" t="s">
        <v>649</v>
      </c>
      <c r="EB6" s="118" t="s">
        <v>647</v>
      </c>
      <c r="EC6" s="118" t="s">
        <v>643</v>
      </c>
      <c r="ED6" s="118" t="s">
        <v>569</v>
      </c>
      <c r="EE6" s="118" t="s">
        <v>922</v>
      </c>
      <c r="EF6" s="118" t="s">
        <v>645</v>
      </c>
      <c r="EG6" s="118" t="s">
        <v>634</v>
      </c>
      <c r="EH6" s="118" t="s">
        <v>208</v>
      </c>
      <c r="EI6" s="118" t="s">
        <v>920</v>
      </c>
      <c r="EJ6" s="118" t="s">
        <v>919</v>
      </c>
      <c r="EK6" s="118" t="s">
        <v>629</v>
      </c>
      <c r="EL6" s="118" t="s">
        <v>915</v>
      </c>
      <c r="EM6" s="118" t="s">
        <v>209</v>
      </c>
      <c r="EN6" s="118" t="s">
        <v>194</v>
      </c>
      <c r="EO6" s="118" t="s">
        <v>912</v>
      </c>
      <c r="EP6" s="118" t="s">
        <v>210</v>
      </c>
      <c r="EQ6" s="118" t="s">
        <v>909</v>
      </c>
      <c r="ER6" s="118" t="s">
        <v>908</v>
      </c>
      <c r="ES6" s="118" t="s">
        <v>211</v>
      </c>
      <c r="ET6" s="118" t="s">
        <v>26</v>
      </c>
      <c r="EU6" s="118" t="s">
        <v>903</v>
      </c>
      <c r="EV6" s="118" t="s">
        <v>902</v>
      </c>
      <c r="EW6" s="118" t="s">
        <v>899</v>
      </c>
      <c r="EX6" s="118" t="s">
        <v>896</v>
      </c>
      <c r="EY6" s="118" t="s">
        <v>895</v>
      </c>
      <c r="EZ6" s="118" t="s">
        <v>894</v>
      </c>
      <c r="FA6" s="40" t="s">
        <v>2325</v>
      </c>
      <c r="FB6" s="40" t="s">
        <v>2325</v>
      </c>
      <c r="FC6" s="40" t="s">
        <v>2325</v>
      </c>
    </row>
    <row r="7" spans="1:159" ht="162">
      <c r="B7" s="454"/>
      <c r="C7" s="8" t="s">
        <v>2862</v>
      </c>
      <c r="D7" s="8" t="s">
        <v>1093</v>
      </c>
      <c r="E7" s="8" t="s">
        <v>179</v>
      </c>
      <c r="F7" s="8" t="s">
        <v>1092</v>
      </c>
      <c r="G7" s="8" t="s">
        <v>20</v>
      </c>
      <c r="H7" s="8" t="s">
        <v>1023</v>
      </c>
      <c r="I7" s="8" t="s">
        <v>50</v>
      </c>
      <c r="J7" s="8" t="s">
        <v>20</v>
      </c>
      <c r="K7" s="8" t="s">
        <v>1091</v>
      </c>
      <c r="L7" s="8" t="s">
        <v>50</v>
      </c>
      <c r="M7" s="8" t="s">
        <v>1030</v>
      </c>
      <c r="N7" s="8" t="s">
        <v>20</v>
      </c>
      <c r="O7" s="8" t="s">
        <v>20</v>
      </c>
      <c r="P7" s="8" t="s">
        <v>1029</v>
      </c>
      <c r="Q7" s="8" t="s">
        <v>1000</v>
      </c>
      <c r="R7" s="8" t="s">
        <v>2781</v>
      </c>
      <c r="S7" s="8" t="s">
        <v>20</v>
      </c>
      <c r="T7" s="8" t="s">
        <v>20</v>
      </c>
      <c r="U7" s="8" t="s">
        <v>20</v>
      </c>
      <c r="V7" s="8" t="s">
        <v>2781</v>
      </c>
      <c r="W7" s="8" t="s">
        <v>20</v>
      </c>
      <c r="X7" s="8" t="s">
        <v>20</v>
      </c>
      <c r="Y7" s="8" t="s">
        <v>1020</v>
      </c>
      <c r="Z7" s="8" t="s">
        <v>20</v>
      </c>
      <c r="AA7" s="8" t="s">
        <v>20</v>
      </c>
      <c r="AB7" s="8" t="s">
        <v>20</v>
      </c>
      <c r="AC7" s="8" t="s">
        <v>20</v>
      </c>
      <c r="AD7" s="8" t="s">
        <v>20</v>
      </c>
      <c r="AE7" s="8" t="s">
        <v>2785</v>
      </c>
      <c r="AF7" s="8" t="s">
        <v>2786</v>
      </c>
      <c r="AG7" s="8" t="s">
        <v>2788</v>
      </c>
      <c r="AH7" s="8" t="s">
        <v>50</v>
      </c>
      <c r="AI7" s="8" t="s">
        <v>50</v>
      </c>
      <c r="AJ7" s="8" t="s">
        <v>2788</v>
      </c>
      <c r="AK7" s="8" t="s">
        <v>50</v>
      </c>
      <c r="AL7" s="8" t="s">
        <v>50</v>
      </c>
      <c r="AM7" s="8" t="s">
        <v>1005</v>
      </c>
      <c r="AN7" s="8" t="s">
        <v>793</v>
      </c>
      <c r="AO7" s="8" t="s">
        <v>20</v>
      </c>
      <c r="AP7" s="8" t="s">
        <v>20</v>
      </c>
      <c r="AQ7" s="8" t="s">
        <v>20</v>
      </c>
      <c r="AR7" s="8" t="s">
        <v>20</v>
      </c>
      <c r="AS7" s="8"/>
      <c r="AT7" s="8" t="s">
        <v>27</v>
      </c>
      <c r="AU7" s="8" t="s">
        <v>36</v>
      </c>
      <c r="AV7" s="8" t="s">
        <v>20</v>
      </c>
      <c r="AW7" s="8" t="s">
        <v>20</v>
      </c>
      <c r="AX7" s="8" t="s">
        <v>20</v>
      </c>
      <c r="AY7" s="8" t="s">
        <v>20</v>
      </c>
      <c r="AZ7" s="8" t="s">
        <v>27</v>
      </c>
      <c r="BA7" s="8" t="s">
        <v>27</v>
      </c>
      <c r="BB7" s="8" t="s">
        <v>27</v>
      </c>
      <c r="BC7" s="8" t="s">
        <v>20</v>
      </c>
      <c r="BD7" s="8" t="s">
        <v>786</v>
      </c>
      <c r="BE7" s="8" t="s">
        <v>20</v>
      </c>
      <c r="BF7" s="8" t="s">
        <v>20</v>
      </c>
      <c r="BG7" s="8" t="s">
        <v>27</v>
      </c>
      <c r="BH7" s="24" t="s">
        <v>20</v>
      </c>
      <c r="BI7" s="24" t="s">
        <v>50</v>
      </c>
      <c r="BJ7" s="24" t="s">
        <v>994</v>
      </c>
      <c r="BK7" s="24" t="s">
        <v>1061</v>
      </c>
      <c r="BL7" s="24" t="s">
        <v>179</v>
      </c>
      <c r="BM7" s="24" t="s">
        <v>179</v>
      </c>
      <c r="BN7" s="24" t="s">
        <v>27</v>
      </c>
      <c r="BO7" s="24" t="s">
        <v>918</v>
      </c>
      <c r="BP7" s="24" t="s">
        <v>918</v>
      </c>
      <c r="BQ7" s="24" t="s">
        <v>1090</v>
      </c>
      <c r="BR7" s="24" t="s">
        <v>1089</v>
      </c>
      <c r="BS7" s="24" t="s">
        <v>1088</v>
      </c>
      <c r="BT7" s="24" t="s">
        <v>1087</v>
      </c>
      <c r="BU7" s="24" t="s">
        <v>1086</v>
      </c>
      <c r="BV7" s="24" t="s">
        <v>833</v>
      </c>
      <c r="BW7" s="24" t="s">
        <v>1086</v>
      </c>
      <c r="BX7" s="24" t="s">
        <v>833</v>
      </c>
      <c r="BY7" s="24" t="s">
        <v>1085</v>
      </c>
      <c r="BZ7" s="24" t="s">
        <v>53</v>
      </c>
      <c r="CA7" s="24" t="s">
        <v>53</v>
      </c>
      <c r="CB7" s="24" t="s">
        <v>53</v>
      </c>
      <c r="CC7" s="24" t="s">
        <v>53</v>
      </c>
      <c r="CD7" s="24" t="s">
        <v>179</v>
      </c>
      <c r="CE7" s="24" t="s">
        <v>53</v>
      </c>
      <c r="CF7" s="24" t="s">
        <v>53</v>
      </c>
      <c r="CG7" s="24" t="s">
        <v>1084</v>
      </c>
      <c r="CH7" s="24" t="s">
        <v>1083</v>
      </c>
      <c r="CI7" s="24" t="s">
        <v>1082</v>
      </c>
      <c r="CJ7" s="24" t="s">
        <v>1081</v>
      </c>
      <c r="CK7" s="24" t="s">
        <v>1080</v>
      </c>
      <c r="CL7" s="24" t="s">
        <v>1079</v>
      </c>
      <c r="CM7" s="24" t="s">
        <v>1078</v>
      </c>
      <c r="CN7" s="24" t="s">
        <v>20</v>
      </c>
      <c r="CO7" s="24" t="s">
        <v>1077</v>
      </c>
      <c r="CP7" s="24" t="s">
        <v>1076</v>
      </c>
      <c r="CQ7" s="24" t="s">
        <v>1075</v>
      </c>
      <c r="CR7" s="24" t="s">
        <v>1074</v>
      </c>
      <c r="CS7" s="24" t="s">
        <v>1061</v>
      </c>
      <c r="CT7" s="24" t="s">
        <v>1061</v>
      </c>
      <c r="CU7" s="24" t="s">
        <v>20</v>
      </c>
      <c r="CV7" s="24" t="s">
        <v>1073</v>
      </c>
      <c r="CW7" s="24" t="s">
        <v>1072</v>
      </c>
      <c r="CX7" s="24" t="s">
        <v>1071</v>
      </c>
      <c r="CY7" s="24" t="s">
        <v>1070</v>
      </c>
      <c r="CZ7" s="24" t="s">
        <v>27</v>
      </c>
      <c r="DA7" s="24" t="s">
        <v>1069</v>
      </c>
      <c r="DB7" s="24" t="s">
        <v>27</v>
      </c>
      <c r="DC7" s="24" t="s">
        <v>1068</v>
      </c>
      <c r="DD7" s="24" t="s">
        <v>1067</v>
      </c>
      <c r="DE7" s="24" t="s">
        <v>1066</v>
      </c>
      <c r="DF7" s="24" t="s">
        <v>1065</v>
      </c>
      <c r="DG7" s="24" t="s">
        <v>1064</v>
      </c>
      <c r="DH7" s="24" t="s">
        <v>1063</v>
      </c>
      <c r="DI7" s="24" t="s">
        <v>1062</v>
      </c>
      <c r="DJ7" s="24" t="s">
        <v>20</v>
      </c>
      <c r="DK7" s="24" t="s">
        <v>1061</v>
      </c>
      <c r="DL7" s="24" t="s">
        <v>27</v>
      </c>
      <c r="DM7" s="24" t="s">
        <v>1060</v>
      </c>
      <c r="DN7" s="24" t="s">
        <v>833</v>
      </c>
      <c r="DO7" s="24" t="s">
        <v>1059</v>
      </c>
      <c r="DP7" s="24" t="s">
        <v>1059</v>
      </c>
      <c r="DQ7" s="24" t="s">
        <v>1059</v>
      </c>
      <c r="DR7" s="24" t="s">
        <v>1059</v>
      </c>
      <c r="DS7" s="24" t="s">
        <v>1058</v>
      </c>
      <c r="DT7" s="24" t="s">
        <v>27</v>
      </c>
      <c r="DU7" s="24" t="s">
        <v>27</v>
      </c>
      <c r="DV7" s="24" t="s">
        <v>27</v>
      </c>
      <c r="DW7" s="24" t="s">
        <v>1057</v>
      </c>
      <c r="DX7" s="24" t="s">
        <v>1056</v>
      </c>
      <c r="DY7" s="24" t="s">
        <v>1055</v>
      </c>
      <c r="DZ7" s="24" t="s">
        <v>918</v>
      </c>
      <c r="EA7" s="24" t="s">
        <v>1054</v>
      </c>
      <c r="EB7" s="24" t="s">
        <v>1053</v>
      </c>
      <c r="EC7" s="24" t="s">
        <v>1052</v>
      </c>
      <c r="ED7" s="24" t="s">
        <v>1051</v>
      </c>
      <c r="EE7" s="24" t="s">
        <v>20</v>
      </c>
      <c r="EF7" s="24" t="s">
        <v>1050</v>
      </c>
      <c r="EG7" s="24" t="s">
        <v>918</v>
      </c>
      <c r="EH7" s="24" t="s">
        <v>1049</v>
      </c>
      <c r="EI7" s="24" t="s">
        <v>27</v>
      </c>
      <c r="EJ7" s="24" t="s">
        <v>179</v>
      </c>
      <c r="EK7" s="24" t="s">
        <v>1048</v>
      </c>
      <c r="EL7" s="24" t="s">
        <v>20</v>
      </c>
      <c r="EM7" s="24" t="s">
        <v>1047</v>
      </c>
      <c r="EN7" s="24" t="s">
        <v>1046</v>
      </c>
      <c r="EO7" s="24" t="s">
        <v>911</v>
      </c>
      <c r="EP7" s="24" t="s">
        <v>1045</v>
      </c>
      <c r="EQ7" s="24" t="s">
        <v>27</v>
      </c>
      <c r="ER7" s="24" t="s">
        <v>50</v>
      </c>
      <c r="ES7" s="24" t="s">
        <v>907</v>
      </c>
      <c r="ET7" s="24" t="s">
        <v>905</v>
      </c>
      <c r="EU7" s="24" t="s">
        <v>27</v>
      </c>
      <c r="EV7" s="24" t="s">
        <v>1044</v>
      </c>
      <c r="EW7" s="24" t="s">
        <v>898</v>
      </c>
      <c r="EX7" s="24" t="s">
        <v>20</v>
      </c>
      <c r="EY7" s="24" t="s">
        <v>20</v>
      </c>
      <c r="EZ7" s="24" t="s">
        <v>20</v>
      </c>
      <c r="FA7" s="24"/>
      <c r="FB7" s="24"/>
      <c r="FC7" s="24"/>
    </row>
    <row r="8" spans="1:159">
      <c r="B8" s="454"/>
      <c r="C8" s="8" t="s">
        <v>2667</v>
      </c>
      <c r="D8" s="8" t="s">
        <v>2667</v>
      </c>
      <c r="E8" s="8"/>
      <c r="F8" s="8" t="s">
        <v>2791</v>
      </c>
      <c r="G8" s="8"/>
      <c r="H8" s="8" t="s">
        <v>2667</v>
      </c>
      <c r="I8" s="8"/>
      <c r="J8" s="8"/>
      <c r="K8" s="8"/>
      <c r="L8" s="8"/>
      <c r="M8" s="8"/>
      <c r="N8" s="8"/>
      <c r="O8" s="8"/>
      <c r="P8" s="8"/>
      <c r="Q8" s="8"/>
      <c r="R8" s="8"/>
      <c r="S8" s="8" t="s">
        <v>2792</v>
      </c>
      <c r="T8" s="8" t="s">
        <v>2792</v>
      </c>
      <c r="U8" s="8" t="s">
        <v>2792</v>
      </c>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t="s">
        <v>2667</v>
      </c>
      <c r="CH8" s="24"/>
      <c r="CI8" s="24"/>
      <c r="CJ8" s="24"/>
      <c r="CK8" s="24"/>
      <c r="CL8" s="24"/>
      <c r="CM8" s="24"/>
      <c r="CN8" s="24"/>
      <c r="CO8" s="24"/>
      <c r="CP8" s="24"/>
      <c r="CQ8" s="24"/>
      <c r="CR8" s="24"/>
      <c r="CS8" s="24"/>
      <c r="CT8" s="24"/>
      <c r="CU8" s="24"/>
      <c r="CV8" s="24"/>
      <c r="CW8" s="24"/>
      <c r="CX8" s="24"/>
      <c r="CY8" s="24" t="s">
        <v>2752</v>
      </c>
      <c r="CZ8" s="24"/>
      <c r="DA8" s="24"/>
      <c r="DB8" s="24"/>
      <c r="DC8" s="24"/>
      <c r="DD8" s="24"/>
      <c r="DE8" s="24"/>
      <c r="DF8" s="24"/>
      <c r="DG8" s="24"/>
      <c r="DH8" s="24"/>
      <c r="DI8" s="24"/>
      <c r="DJ8" s="24"/>
      <c r="DK8" s="24"/>
      <c r="DL8" s="24"/>
      <c r="DM8" s="24"/>
      <c r="DN8" s="24"/>
      <c r="DO8" s="24"/>
      <c r="DP8" s="24"/>
      <c r="DQ8" s="24"/>
      <c r="DR8" s="24"/>
      <c r="DS8" s="24"/>
      <c r="DT8" s="24"/>
      <c r="DU8" s="24"/>
      <c r="DV8" s="24"/>
      <c r="DW8" s="24"/>
      <c r="DX8" s="24" t="s">
        <v>2752</v>
      </c>
      <c r="DY8" s="24" t="s">
        <v>2752</v>
      </c>
      <c r="DZ8" s="24"/>
      <c r="EA8" s="24"/>
      <c r="EB8" s="24"/>
      <c r="EC8" s="24"/>
      <c r="ED8" s="24"/>
      <c r="EE8" s="24"/>
      <c r="EF8" s="24"/>
      <c r="EG8" s="24"/>
      <c r="EH8" s="24"/>
      <c r="EI8" s="24"/>
      <c r="EJ8" s="24"/>
      <c r="EK8" s="24"/>
      <c r="EL8" s="24"/>
      <c r="EM8" s="24"/>
      <c r="EN8" s="24"/>
      <c r="EO8" s="24"/>
      <c r="EP8" s="24"/>
      <c r="EQ8" s="24"/>
      <c r="ER8" s="24"/>
      <c r="ES8" s="24"/>
      <c r="ET8" s="24"/>
      <c r="EU8" s="24"/>
      <c r="EV8" s="24"/>
      <c r="EW8" s="24"/>
      <c r="EX8" s="24"/>
      <c r="EY8" s="24"/>
      <c r="EZ8" s="24"/>
      <c r="FA8" s="24"/>
      <c r="FB8" s="24"/>
      <c r="FC8" s="24"/>
    </row>
    <row r="9" spans="1:159" ht="26">
      <c r="B9" s="364" t="s">
        <v>1226</v>
      </c>
      <c r="C9" s="364" t="s">
        <v>2859</v>
      </c>
      <c r="D9" s="364" t="s">
        <v>58</v>
      </c>
      <c r="E9" s="364"/>
      <c r="F9" s="364" t="s">
        <v>2860</v>
      </c>
      <c r="G9" s="364"/>
      <c r="H9" s="75" t="s">
        <v>2863</v>
      </c>
      <c r="I9" s="364"/>
      <c r="J9" s="364"/>
      <c r="K9" s="364"/>
      <c r="L9" s="364"/>
      <c r="M9" s="364"/>
      <c r="N9" s="364"/>
      <c r="O9" s="364"/>
      <c r="P9" s="364"/>
      <c r="Q9" s="364"/>
      <c r="R9" s="357"/>
      <c r="S9" s="357"/>
      <c r="T9" s="357"/>
      <c r="U9" s="357"/>
      <c r="V9" s="357"/>
      <c r="W9" s="357"/>
      <c r="X9" s="357"/>
      <c r="Y9" s="357"/>
      <c r="Z9" s="357"/>
      <c r="AA9" s="357"/>
      <c r="AB9" s="357"/>
      <c r="AC9" s="357"/>
      <c r="AD9" s="357"/>
      <c r="AE9" s="357"/>
      <c r="AF9" s="357"/>
      <c r="AG9" s="357"/>
      <c r="AH9" s="357"/>
      <c r="AI9" s="357"/>
      <c r="AJ9" s="357"/>
      <c r="AK9" s="357"/>
      <c r="AL9" s="357"/>
      <c r="AM9" s="357"/>
      <c r="AN9" s="357"/>
      <c r="AO9" s="357"/>
      <c r="AP9" s="357"/>
      <c r="AQ9" s="364"/>
      <c r="AR9" s="364"/>
      <c r="AS9" s="364"/>
      <c r="AT9" s="364"/>
      <c r="AU9" s="364"/>
      <c r="AV9" s="365"/>
      <c r="AW9" s="364"/>
      <c r="AX9" s="364"/>
      <c r="AY9" s="364"/>
      <c r="AZ9" s="364"/>
      <c r="BA9" s="364"/>
      <c r="BB9" s="364"/>
      <c r="BC9" s="364"/>
      <c r="BD9" s="364"/>
      <c r="BE9" s="364"/>
      <c r="BF9" s="364"/>
      <c r="BG9" s="364"/>
      <c r="BH9" s="364"/>
      <c r="BI9" s="366"/>
      <c r="BJ9" s="364"/>
      <c r="BK9" s="364"/>
      <c r="BL9" s="364"/>
      <c r="BM9" s="364"/>
      <c r="BN9" s="364"/>
      <c r="BO9" s="364"/>
      <c r="BP9" s="364"/>
      <c r="BQ9" s="364"/>
      <c r="BR9" s="364"/>
      <c r="BS9" s="364"/>
      <c r="BT9" s="364"/>
      <c r="BU9" s="364"/>
      <c r="BV9" s="364"/>
      <c r="BW9" s="364"/>
      <c r="BX9" s="364"/>
      <c r="BY9" s="364"/>
      <c r="BZ9" s="364"/>
      <c r="CA9" s="364"/>
      <c r="CB9" s="364"/>
      <c r="CC9" s="364"/>
      <c r="CD9" s="364"/>
      <c r="CE9" s="364"/>
      <c r="CF9" s="364"/>
      <c r="CG9" s="364" t="s">
        <v>748</v>
      </c>
      <c r="CH9" s="364"/>
      <c r="CI9" s="364"/>
      <c r="CJ9" s="364"/>
      <c r="CK9" s="364"/>
      <c r="CL9" s="364"/>
      <c r="CM9" s="364"/>
      <c r="CN9" s="364"/>
      <c r="CO9" s="364"/>
      <c r="CP9" s="364"/>
      <c r="CQ9" s="364"/>
      <c r="CR9" s="364"/>
      <c r="CS9" s="364"/>
      <c r="CT9" s="364"/>
      <c r="CU9" s="364"/>
      <c r="CV9" s="364"/>
      <c r="CW9" s="364"/>
      <c r="CX9" s="364"/>
      <c r="CY9" s="75" t="s">
        <v>2865</v>
      </c>
      <c r="CZ9" s="364"/>
      <c r="DA9" s="364"/>
      <c r="DB9" s="364"/>
      <c r="DC9" s="364"/>
      <c r="DD9" s="364"/>
      <c r="DE9" s="364"/>
      <c r="DF9" s="364"/>
      <c r="DG9" s="364"/>
      <c r="DH9" s="364"/>
      <c r="DI9" s="364"/>
      <c r="DJ9" s="364"/>
      <c r="DK9" s="367"/>
      <c r="DL9" s="364"/>
      <c r="DM9" s="364"/>
      <c r="DN9" s="364"/>
      <c r="DO9" s="364"/>
      <c r="DP9" s="364"/>
      <c r="DQ9" s="364"/>
      <c r="DR9" s="364"/>
      <c r="DS9" s="364"/>
      <c r="DT9" s="364"/>
      <c r="DU9" s="364"/>
      <c r="DV9" s="364"/>
      <c r="DW9" s="364"/>
      <c r="DX9" s="364" t="s">
        <v>2866</v>
      </c>
      <c r="DY9" s="364" t="s">
        <v>2867</v>
      </c>
      <c r="DZ9" s="364"/>
      <c r="EA9" s="364"/>
      <c r="EB9" s="364"/>
      <c r="EC9" s="364"/>
      <c r="ED9" s="364"/>
      <c r="EE9" s="364"/>
      <c r="EF9" s="364"/>
      <c r="EG9" s="364"/>
      <c r="EH9" s="364"/>
      <c r="EI9" s="364"/>
      <c r="EJ9" s="364"/>
      <c r="EK9" s="364"/>
      <c r="EL9" s="364"/>
      <c r="EM9" s="364"/>
      <c r="EN9" s="364"/>
      <c r="EO9" s="364"/>
      <c r="EP9" s="364"/>
      <c r="EQ9" s="364"/>
      <c r="ER9" s="364"/>
      <c r="ES9" s="364"/>
      <c r="ET9" s="364"/>
      <c r="EU9" s="364"/>
      <c r="EV9" s="364"/>
      <c r="EW9" s="364"/>
      <c r="EX9" s="364"/>
      <c r="EY9" s="364"/>
      <c r="EZ9" s="364"/>
      <c r="FA9" s="364"/>
      <c r="FB9" s="364"/>
      <c r="FC9" s="364"/>
    </row>
    <row r="10" spans="1:159">
      <c r="B10" s="309">
        <f>ROW() - 9</f>
        <v>1</v>
      </c>
      <c r="C10" s="368"/>
      <c r="D10" s="368"/>
      <c r="E10" s="368"/>
      <c r="F10" s="368"/>
      <c r="G10" s="368"/>
      <c r="H10" s="368"/>
      <c r="I10" s="368"/>
      <c r="J10" s="368"/>
      <c r="K10" s="368"/>
      <c r="L10" s="368"/>
      <c r="M10" s="368"/>
      <c r="N10" s="368"/>
      <c r="O10" s="368"/>
      <c r="P10" s="368"/>
      <c r="Q10" s="368"/>
      <c r="R10" s="344"/>
      <c r="S10" s="344"/>
      <c r="T10" s="344"/>
      <c r="U10" s="344"/>
      <c r="V10" s="344"/>
      <c r="W10" s="344"/>
      <c r="X10" s="344"/>
      <c r="Y10" s="344"/>
      <c r="Z10" s="344"/>
      <c r="AA10" s="344"/>
      <c r="AB10" s="344"/>
      <c r="AC10" s="344"/>
      <c r="AD10" s="344"/>
      <c r="AE10" s="344"/>
      <c r="AF10" s="344"/>
      <c r="AG10" s="344"/>
      <c r="AH10" s="344"/>
      <c r="AI10" s="344"/>
      <c r="AJ10" s="344"/>
      <c r="AK10" s="344"/>
      <c r="AL10" s="344"/>
      <c r="AM10" s="344"/>
      <c r="AN10" s="344"/>
      <c r="AO10" s="344"/>
      <c r="AP10" s="344"/>
      <c r="AQ10" s="368"/>
      <c r="AR10" s="368"/>
      <c r="AS10" s="368"/>
      <c r="AT10" s="368"/>
      <c r="AU10" s="368"/>
      <c r="AV10" s="369"/>
      <c r="AW10" s="368"/>
      <c r="AX10" s="368"/>
      <c r="AY10" s="368"/>
      <c r="AZ10" s="368"/>
      <c r="BA10" s="368"/>
      <c r="BB10" s="368"/>
      <c r="BC10" s="368"/>
      <c r="BD10" s="368"/>
      <c r="BE10" s="368"/>
      <c r="BF10" s="368"/>
      <c r="BG10" s="368"/>
      <c r="BH10" s="368"/>
      <c r="BI10" s="370"/>
      <c r="BJ10" s="368"/>
      <c r="BK10" s="368"/>
      <c r="BL10" s="368"/>
      <c r="BM10" s="368"/>
      <c r="BN10" s="368"/>
      <c r="BO10" s="368"/>
      <c r="BP10" s="368"/>
      <c r="BQ10" s="368"/>
      <c r="BR10" s="368"/>
      <c r="BS10" s="368"/>
      <c r="BT10" s="368"/>
      <c r="BU10" s="368"/>
      <c r="BV10" s="368"/>
      <c r="BW10" s="368"/>
      <c r="BX10" s="368"/>
      <c r="BY10" s="368"/>
      <c r="BZ10" s="368"/>
      <c r="CA10" s="368"/>
      <c r="CB10" s="368"/>
      <c r="CC10" s="368"/>
      <c r="CD10" s="368"/>
      <c r="CE10" s="368"/>
      <c r="CF10" s="368"/>
      <c r="CG10" s="368"/>
      <c r="CH10" s="368"/>
      <c r="CI10" s="368"/>
      <c r="CJ10" s="368"/>
      <c r="CK10" s="368"/>
      <c r="CL10" s="368"/>
      <c r="CM10" s="368"/>
      <c r="CN10" s="368"/>
      <c r="CO10" s="368"/>
      <c r="CP10" s="368"/>
      <c r="CQ10" s="368"/>
      <c r="CR10" s="368"/>
      <c r="CS10" s="368"/>
      <c r="CT10" s="368"/>
      <c r="CU10" s="368"/>
      <c r="CV10" s="368"/>
      <c r="CW10" s="368"/>
      <c r="CX10" s="368"/>
      <c r="CY10" s="368"/>
      <c r="CZ10" s="368"/>
      <c r="DA10" s="368"/>
      <c r="DB10" s="368"/>
      <c r="DC10" s="368"/>
      <c r="DD10" s="368"/>
      <c r="DE10" s="368"/>
      <c r="DF10" s="368"/>
      <c r="DG10" s="368"/>
      <c r="DH10" s="368"/>
      <c r="DI10" s="368"/>
      <c r="DJ10" s="368"/>
      <c r="DK10" s="371"/>
      <c r="DL10" s="368"/>
      <c r="DM10" s="368"/>
      <c r="DN10" s="368"/>
      <c r="DO10" s="368"/>
      <c r="DP10" s="368"/>
      <c r="DQ10" s="368"/>
      <c r="DR10" s="368"/>
      <c r="DS10" s="368"/>
      <c r="DT10" s="368"/>
      <c r="DU10" s="368"/>
      <c r="DV10" s="368"/>
      <c r="DW10" s="368"/>
      <c r="DX10" s="368"/>
      <c r="DY10" s="368"/>
      <c r="DZ10" s="368"/>
      <c r="EA10" s="368"/>
      <c r="EB10" s="368"/>
      <c r="EC10" s="368"/>
      <c r="ED10" s="368"/>
      <c r="EE10" s="368"/>
      <c r="EF10" s="368"/>
      <c r="EG10" s="368"/>
      <c r="EH10" s="368"/>
      <c r="EI10" s="368"/>
      <c r="EJ10" s="368"/>
      <c r="EK10" s="368"/>
      <c r="EL10" s="368"/>
      <c r="EM10" s="368"/>
      <c r="EN10" s="368"/>
      <c r="EO10" s="368"/>
      <c r="EP10" s="368"/>
      <c r="EQ10" s="368"/>
      <c r="ER10" s="368"/>
      <c r="ES10" s="368"/>
      <c r="ET10" s="368"/>
      <c r="EU10" s="368"/>
      <c r="EV10" s="368"/>
      <c r="EW10" s="368"/>
      <c r="EX10" s="368"/>
      <c r="EY10" s="368"/>
      <c r="EZ10" s="368"/>
      <c r="FA10" s="368"/>
      <c r="FB10" s="368"/>
      <c r="FC10" s="368"/>
    </row>
    <row r="11" spans="1:159">
      <c r="B11" s="309">
        <f t="shared" ref="B11:B19" si="0">ROW() - 9</f>
        <v>2</v>
      </c>
      <c r="C11" s="368"/>
      <c r="D11" s="368"/>
      <c r="E11" s="368"/>
      <c r="F11" s="368"/>
      <c r="G11" s="368"/>
      <c r="H11" s="368"/>
      <c r="I11" s="368"/>
      <c r="J11" s="368"/>
      <c r="K11" s="368"/>
      <c r="L11" s="368"/>
      <c r="M11" s="368"/>
      <c r="N11" s="368"/>
      <c r="O11" s="368"/>
      <c r="P11" s="368"/>
      <c r="Q11" s="368"/>
      <c r="R11" s="344"/>
      <c r="S11" s="344"/>
      <c r="T11" s="344"/>
      <c r="U11" s="344"/>
      <c r="V11" s="344"/>
      <c r="W11" s="344"/>
      <c r="X11" s="344"/>
      <c r="Y11" s="344"/>
      <c r="Z11" s="344"/>
      <c r="AA11" s="344"/>
      <c r="AB11" s="344"/>
      <c r="AC11" s="344"/>
      <c r="AD11" s="344"/>
      <c r="AE11" s="344"/>
      <c r="AF11" s="344"/>
      <c r="AG11" s="344"/>
      <c r="AH11" s="344"/>
      <c r="AI11" s="344"/>
      <c r="AJ11" s="344"/>
      <c r="AK11" s="344"/>
      <c r="AL11" s="344"/>
      <c r="AM11" s="344"/>
      <c r="AN11" s="344"/>
      <c r="AO11" s="344"/>
      <c r="AP11" s="344"/>
      <c r="AQ11" s="368"/>
      <c r="AR11" s="368"/>
      <c r="AS11" s="368"/>
      <c r="AT11" s="368"/>
      <c r="AU11" s="368"/>
      <c r="AV11" s="369"/>
      <c r="AW11" s="368"/>
      <c r="AX11" s="368"/>
      <c r="AY11" s="368"/>
      <c r="AZ11" s="368"/>
      <c r="BA11" s="368"/>
      <c r="BB11" s="368"/>
      <c r="BC11" s="368"/>
      <c r="BD11" s="368"/>
      <c r="BE11" s="368"/>
      <c r="BF11" s="368"/>
      <c r="BG11" s="368"/>
      <c r="BH11" s="368"/>
      <c r="BI11" s="370"/>
      <c r="BJ11" s="368"/>
      <c r="BK11" s="368"/>
      <c r="BL11" s="368"/>
      <c r="BM11" s="368"/>
      <c r="BN11" s="368"/>
      <c r="BO11" s="368"/>
      <c r="BP11" s="368"/>
      <c r="BQ11" s="368"/>
      <c r="BR11" s="368"/>
      <c r="BS11" s="368"/>
      <c r="BT11" s="368"/>
      <c r="BU11" s="368"/>
      <c r="BV11" s="368"/>
      <c r="BW11" s="368"/>
      <c r="BX11" s="368"/>
      <c r="BY11" s="368"/>
      <c r="BZ11" s="368"/>
      <c r="CA11" s="368"/>
      <c r="CB11" s="368"/>
      <c r="CC11" s="368"/>
      <c r="CD11" s="368"/>
      <c r="CE11" s="368"/>
      <c r="CF11" s="368"/>
      <c r="CG11" s="368"/>
      <c r="CH11" s="368"/>
      <c r="CI11" s="368"/>
      <c r="CJ11" s="368"/>
      <c r="CK11" s="368"/>
      <c r="CL11" s="368"/>
      <c r="CM11" s="368"/>
      <c r="CN11" s="368"/>
      <c r="CO11" s="368"/>
      <c r="CP11" s="368"/>
      <c r="CQ11" s="368"/>
      <c r="CR11" s="368"/>
      <c r="CS11" s="368"/>
      <c r="CT11" s="368"/>
      <c r="CU11" s="368"/>
      <c r="CV11" s="368"/>
      <c r="CW11" s="368"/>
      <c r="CX11" s="368"/>
      <c r="CY11" s="368"/>
      <c r="CZ11" s="368"/>
      <c r="DA11" s="368"/>
      <c r="DB11" s="368"/>
      <c r="DC11" s="368"/>
      <c r="DD11" s="368"/>
      <c r="DE11" s="368"/>
      <c r="DF11" s="368"/>
      <c r="DG11" s="368"/>
      <c r="DH11" s="368"/>
      <c r="DI11" s="368"/>
      <c r="DJ11" s="368"/>
      <c r="DK11" s="371"/>
      <c r="DL11" s="368"/>
      <c r="DM11" s="368"/>
      <c r="DN11" s="368"/>
      <c r="DO11" s="368"/>
      <c r="DP11" s="368"/>
      <c r="DQ11" s="368"/>
      <c r="DR11" s="368"/>
      <c r="DS11" s="368"/>
      <c r="DT11" s="368"/>
      <c r="DU11" s="368"/>
      <c r="DV11" s="368"/>
      <c r="DW11" s="368"/>
      <c r="DX11" s="368"/>
      <c r="DY11" s="368"/>
      <c r="DZ11" s="368"/>
      <c r="EA11" s="368"/>
      <c r="EB11" s="368"/>
      <c r="EC11" s="368"/>
      <c r="ED11" s="368"/>
      <c r="EE11" s="368"/>
      <c r="EF11" s="368"/>
      <c r="EG11" s="368"/>
      <c r="EH11" s="368"/>
      <c r="EI11" s="368"/>
      <c r="EJ11" s="368"/>
      <c r="EK11" s="368"/>
      <c r="EL11" s="368"/>
      <c r="EM11" s="368"/>
      <c r="EN11" s="368"/>
      <c r="EO11" s="368"/>
      <c r="EP11" s="368"/>
      <c r="EQ11" s="368"/>
      <c r="ER11" s="368"/>
      <c r="ES11" s="368"/>
      <c r="ET11" s="368"/>
      <c r="EU11" s="368"/>
      <c r="EV11" s="368"/>
      <c r="EW11" s="368"/>
      <c r="EX11" s="368"/>
      <c r="EY11" s="368"/>
      <c r="EZ11" s="368"/>
      <c r="FA11" s="368"/>
      <c r="FB11" s="368"/>
      <c r="FC11" s="368"/>
    </row>
    <row r="12" spans="1:159">
      <c r="B12" s="309">
        <f t="shared" si="0"/>
        <v>3</v>
      </c>
      <c r="C12" s="368"/>
      <c r="D12" s="368"/>
      <c r="E12" s="368"/>
      <c r="F12" s="368"/>
      <c r="G12" s="368"/>
      <c r="H12" s="368"/>
      <c r="I12" s="368"/>
      <c r="J12" s="368"/>
      <c r="K12" s="368"/>
      <c r="L12" s="368"/>
      <c r="M12" s="368"/>
      <c r="N12" s="368"/>
      <c r="O12" s="368"/>
      <c r="P12" s="368"/>
      <c r="Q12" s="368"/>
      <c r="R12" s="344"/>
      <c r="S12" s="344"/>
      <c r="T12" s="344"/>
      <c r="U12" s="344"/>
      <c r="V12" s="344"/>
      <c r="W12" s="344"/>
      <c r="X12" s="344"/>
      <c r="Y12" s="344"/>
      <c r="Z12" s="344"/>
      <c r="AA12" s="344"/>
      <c r="AB12" s="344"/>
      <c r="AC12" s="344"/>
      <c r="AD12" s="344"/>
      <c r="AE12" s="344"/>
      <c r="AF12" s="344"/>
      <c r="AG12" s="344"/>
      <c r="AH12" s="344"/>
      <c r="AI12" s="344"/>
      <c r="AJ12" s="344"/>
      <c r="AK12" s="344"/>
      <c r="AL12" s="344"/>
      <c r="AM12" s="344"/>
      <c r="AN12" s="344"/>
      <c r="AO12" s="344"/>
      <c r="AP12" s="344"/>
      <c r="AQ12" s="368"/>
      <c r="AR12" s="368"/>
      <c r="AS12" s="368"/>
      <c r="AT12" s="368"/>
      <c r="AU12" s="368"/>
      <c r="AV12" s="369"/>
      <c r="AW12" s="368"/>
      <c r="AX12" s="368"/>
      <c r="AY12" s="368"/>
      <c r="AZ12" s="368"/>
      <c r="BA12" s="368"/>
      <c r="BB12" s="368"/>
      <c r="BC12" s="368"/>
      <c r="BD12" s="368"/>
      <c r="BE12" s="368"/>
      <c r="BF12" s="368"/>
      <c r="BG12" s="368"/>
      <c r="BH12" s="368"/>
      <c r="BI12" s="370"/>
      <c r="BJ12" s="368"/>
      <c r="BK12" s="368"/>
      <c r="BL12" s="368"/>
      <c r="BM12" s="368"/>
      <c r="BN12" s="368"/>
      <c r="BO12" s="368"/>
      <c r="BP12" s="368"/>
      <c r="BQ12" s="368"/>
      <c r="BR12" s="368"/>
      <c r="BS12" s="368"/>
      <c r="BT12" s="368"/>
      <c r="BU12" s="368"/>
      <c r="BV12" s="368"/>
      <c r="BW12" s="368"/>
      <c r="BX12" s="368"/>
      <c r="BY12" s="368"/>
      <c r="BZ12" s="368"/>
      <c r="CA12" s="368"/>
      <c r="CB12" s="368"/>
      <c r="CC12" s="368"/>
      <c r="CD12" s="368"/>
      <c r="CE12" s="368"/>
      <c r="CF12" s="368"/>
      <c r="CG12" s="368"/>
      <c r="CH12" s="368"/>
      <c r="CI12" s="368"/>
      <c r="CJ12" s="368"/>
      <c r="CK12" s="368"/>
      <c r="CL12" s="368"/>
      <c r="CM12" s="368"/>
      <c r="CN12" s="368"/>
      <c r="CO12" s="368"/>
      <c r="CP12" s="368"/>
      <c r="CQ12" s="368"/>
      <c r="CR12" s="368"/>
      <c r="CS12" s="368"/>
      <c r="CT12" s="368"/>
      <c r="CU12" s="368"/>
      <c r="CV12" s="368"/>
      <c r="CW12" s="368"/>
      <c r="CX12" s="368"/>
      <c r="CY12" s="368"/>
      <c r="CZ12" s="368"/>
      <c r="DA12" s="368"/>
      <c r="DB12" s="368"/>
      <c r="DC12" s="368"/>
      <c r="DD12" s="368"/>
      <c r="DE12" s="368"/>
      <c r="DF12" s="368"/>
      <c r="DG12" s="368"/>
      <c r="DH12" s="368"/>
      <c r="DI12" s="368"/>
      <c r="DJ12" s="368"/>
      <c r="DK12" s="371"/>
      <c r="DL12" s="368"/>
      <c r="DM12" s="368"/>
      <c r="DN12" s="368"/>
      <c r="DO12" s="368"/>
      <c r="DP12" s="368"/>
      <c r="DQ12" s="368"/>
      <c r="DR12" s="368"/>
      <c r="DS12" s="368"/>
      <c r="DT12" s="368"/>
      <c r="DU12" s="368"/>
      <c r="DV12" s="368"/>
      <c r="DW12" s="368"/>
      <c r="DX12" s="368"/>
      <c r="DY12" s="368"/>
      <c r="DZ12" s="368"/>
      <c r="EA12" s="368"/>
      <c r="EB12" s="368"/>
      <c r="EC12" s="368"/>
      <c r="ED12" s="368"/>
      <c r="EE12" s="368"/>
      <c r="EF12" s="368"/>
      <c r="EG12" s="368"/>
      <c r="EH12" s="368"/>
      <c r="EI12" s="368"/>
      <c r="EJ12" s="368"/>
      <c r="EK12" s="368"/>
      <c r="EL12" s="368"/>
      <c r="EM12" s="368"/>
      <c r="EN12" s="368"/>
      <c r="EO12" s="368"/>
      <c r="EP12" s="368"/>
      <c r="EQ12" s="368"/>
      <c r="ER12" s="368"/>
      <c r="ES12" s="368"/>
      <c r="ET12" s="368"/>
      <c r="EU12" s="368"/>
      <c r="EV12" s="368"/>
      <c r="EW12" s="368"/>
      <c r="EX12" s="368"/>
      <c r="EY12" s="368"/>
      <c r="EZ12" s="368"/>
      <c r="FA12" s="368"/>
      <c r="FB12" s="368"/>
      <c r="FC12" s="368"/>
    </row>
    <row r="13" spans="1:159">
      <c r="B13" s="309">
        <f t="shared" si="0"/>
        <v>4</v>
      </c>
      <c r="C13" s="368"/>
      <c r="D13" s="368"/>
      <c r="E13" s="368"/>
      <c r="F13" s="368"/>
      <c r="G13" s="368"/>
      <c r="H13" s="368"/>
      <c r="I13" s="368"/>
      <c r="J13" s="368"/>
      <c r="K13" s="368"/>
      <c r="L13" s="368"/>
      <c r="M13" s="368"/>
      <c r="N13" s="368"/>
      <c r="O13" s="368"/>
      <c r="P13" s="368"/>
      <c r="Q13" s="368"/>
      <c r="R13" s="344"/>
      <c r="S13" s="344"/>
      <c r="T13" s="344"/>
      <c r="U13" s="344"/>
      <c r="V13" s="344"/>
      <c r="W13" s="344"/>
      <c r="X13" s="344"/>
      <c r="Y13" s="344"/>
      <c r="Z13" s="344"/>
      <c r="AA13" s="344"/>
      <c r="AB13" s="344"/>
      <c r="AC13" s="344"/>
      <c r="AD13" s="344"/>
      <c r="AE13" s="344"/>
      <c r="AF13" s="344"/>
      <c r="AG13" s="344"/>
      <c r="AH13" s="344"/>
      <c r="AI13" s="344"/>
      <c r="AJ13" s="344"/>
      <c r="AK13" s="344"/>
      <c r="AL13" s="344"/>
      <c r="AM13" s="344"/>
      <c r="AN13" s="344"/>
      <c r="AO13" s="344"/>
      <c r="AP13" s="344"/>
      <c r="AQ13" s="368"/>
      <c r="AR13" s="368"/>
      <c r="AS13" s="368"/>
      <c r="AT13" s="368"/>
      <c r="AU13" s="368"/>
      <c r="AV13" s="369"/>
      <c r="AW13" s="368"/>
      <c r="AX13" s="368"/>
      <c r="AY13" s="368"/>
      <c r="AZ13" s="368"/>
      <c r="BA13" s="368"/>
      <c r="BB13" s="368"/>
      <c r="BC13" s="368"/>
      <c r="BD13" s="368"/>
      <c r="BE13" s="368"/>
      <c r="BF13" s="368"/>
      <c r="BG13" s="368"/>
      <c r="BH13" s="368"/>
      <c r="BI13" s="370"/>
      <c r="BJ13" s="368"/>
      <c r="BK13" s="368"/>
      <c r="BL13" s="368"/>
      <c r="BM13" s="368"/>
      <c r="BN13" s="368"/>
      <c r="BO13" s="368"/>
      <c r="BP13" s="368"/>
      <c r="BQ13" s="368"/>
      <c r="BR13" s="368"/>
      <c r="BS13" s="368"/>
      <c r="BT13" s="368"/>
      <c r="BU13" s="368"/>
      <c r="BV13" s="368"/>
      <c r="BW13" s="368"/>
      <c r="BX13" s="368"/>
      <c r="BY13" s="368"/>
      <c r="BZ13" s="368"/>
      <c r="CA13" s="368"/>
      <c r="CB13" s="368"/>
      <c r="CC13" s="368"/>
      <c r="CD13" s="368"/>
      <c r="CE13" s="368"/>
      <c r="CF13" s="368"/>
      <c r="CG13" s="368"/>
      <c r="CH13" s="368"/>
      <c r="CI13" s="368"/>
      <c r="CJ13" s="368"/>
      <c r="CK13" s="368"/>
      <c r="CL13" s="368"/>
      <c r="CM13" s="368"/>
      <c r="CN13" s="368"/>
      <c r="CO13" s="368"/>
      <c r="CP13" s="368"/>
      <c r="CQ13" s="368"/>
      <c r="CR13" s="368"/>
      <c r="CS13" s="368"/>
      <c r="CT13" s="368"/>
      <c r="CU13" s="368"/>
      <c r="CV13" s="368"/>
      <c r="CW13" s="368"/>
      <c r="CX13" s="368"/>
      <c r="CY13" s="368"/>
      <c r="CZ13" s="368"/>
      <c r="DA13" s="368"/>
      <c r="DB13" s="368"/>
      <c r="DC13" s="368"/>
      <c r="DD13" s="368"/>
      <c r="DE13" s="368"/>
      <c r="DF13" s="368"/>
      <c r="DG13" s="368"/>
      <c r="DH13" s="368"/>
      <c r="DI13" s="368"/>
      <c r="DJ13" s="368"/>
      <c r="DK13" s="371"/>
      <c r="DL13" s="368"/>
      <c r="DM13" s="368"/>
      <c r="DN13" s="368"/>
      <c r="DO13" s="368"/>
      <c r="DP13" s="368"/>
      <c r="DQ13" s="368"/>
      <c r="DR13" s="368"/>
      <c r="DS13" s="368"/>
      <c r="DT13" s="368"/>
      <c r="DU13" s="368"/>
      <c r="DV13" s="368"/>
      <c r="DW13" s="368"/>
      <c r="DX13" s="368"/>
      <c r="DY13" s="368"/>
      <c r="DZ13" s="368"/>
      <c r="EA13" s="368"/>
      <c r="EB13" s="368"/>
      <c r="EC13" s="368"/>
      <c r="ED13" s="368"/>
      <c r="EE13" s="368"/>
      <c r="EF13" s="368"/>
      <c r="EG13" s="368"/>
      <c r="EH13" s="368"/>
      <c r="EI13" s="368"/>
      <c r="EJ13" s="368"/>
      <c r="EK13" s="368"/>
      <c r="EL13" s="368"/>
      <c r="EM13" s="368"/>
      <c r="EN13" s="368"/>
      <c r="EO13" s="368"/>
      <c r="EP13" s="368"/>
      <c r="EQ13" s="368"/>
      <c r="ER13" s="368"/>
      <c r="ES13" s="368"/>
      <c r="ET13" s="368"/>
      <c r="EU13" s="368"/>
      <c r="EV13" s="368"/>
      <c r="EW13" s="368"/>
      <c r="EX13" s="368"/>
      <c r="EY13" s="368"/>
      <c r="EZ13" s="368"/>
      <c r="FA13" s="368"/>
      <c r="FB13" s="368"/>
      <c r="FC13" s="368"/>
    </row>
    <row r="14" spans="1:159">
      <c r="B14" s="309">
        <f t="shared" si="0"/>
        <v>5</v>
      </c>
      <c r="C14" s="368"/>
      <c r="D14" s="368"/>
      <c r="E14" s="368"/>
      <c r="F14" s="368"/>
      <c r="G14" s="368"/>
      <c r="H14" s="368"/>
      <c r="I14" s="368"/>
      <c r="J14" s="368"/>
      <c r="K14" s="368"/>
      <c r="L14" s="368"/>
      <c r="M14" s="368"/>
      <c r="N14" s="368"/>
      <c r="O14" s="368"/>
      <c r="P14" s="368"/>
      <c r="Q14" s="368"/>
      <c r="R14" s="344"/>
      <c r="S14" s="344"/>
      <c r="T14" s="344"/>
      <c r="U14" s="344"/>
      <c r="V14" s="344"/>
      <c r="W14" s="344"/>
      <c r="X14" s="344"/>
      <c r="Y14" s="344"/>
      <c r="Z14" s="344"/>
      <c r="AA14" s="344"/>
      <c r="AB14" s="344"/>
      <c r="AC14" s="344"/>
      <c r="AD14" s="344"/>
      <c r="AE14" s="344"/>
      <c r="AF14" s="344"/>
      <c r="AG14" s="344"/>
      <c r="AH14" s="344"/>
      <c r="AI14" s="344"/>
      <c r="AJ14" s="344"/>
      <c r="AK14" s="344"/>
      <c r="AL14" s="344"/>
      <c r="AM14" s="344"/>
      <c r="AN14" s="344"/>
      <c r="AO14" s="344"/>
      <c r="AP14" s="344"/>
      <c r="AQ14" s="368"/>
      <c r="AR14" s="368"/>
      <c r="AS14" s="368"/>
      <c r="AT14" s="368"/>
      <c r="AU14" s="368"/>
      <c r="AV14" s="369"/>
      <c r="AW14" s="368"/>
      <c r="AX14" s="368"/>
      <c r="AY14" s="368"/>
      <c r="AZ14" s="368"/>
      <c r="BA14" s="368"/>
      <c r="BB14" s="368"/>
      <c r="BC14" s="368"/>
      <c r="BD14" s="368"/>
      <c r="BE14" s="368"/>
      <c r="BF14" s="368"/>
      <c r="BG14" s="368"/>
      <c r="BH14" s="368"/>
      <c r="BI14" s="370"/>
      <c r="BJ14" s="368"/>
      <c r="BK14" s="368"/>
      <c r="BL14" s="368"/>
      <c r="BM14" s="368"/>
      <c r="BN14" s="368"/>
      <c r="BO14" s="368"/>
      <c r="BP14" s="368"/>
      <c r="BQ14" s="368"/>
      <c r="BR14" s="368"/>
      <c r="BS14" s="368"/>
      <c r="BT14" s="368"/>
      <c r="BU14" s="368"/>
      <c r="BV14" s="368"/>
      <c r="BW14" s="368"/>
      <c r="BX14" s="368"/>
      <c r="BY14" s="368"/>
      <c r="BZ14" s="368"/>
      <c r="CA14" s="368"/>
      <c r="CB14" s="368"/>
      <c r="CC14" s="368"/>
      <c r="CD14" s="368"/>
      <c r="CE14" s="368"/>
      <c r="CF14" s="368"/>
      <c r="CG14" s="368"/>
      <c r="CH14" s="368"/>
      <c r="CI14" s="368"/>
      <c r="CJ14" s="368"/>
      <c r="CK14" s="368"/>
      <c r="CL14" s="368"/>
      <c r="CM14" s="368"/>
      <c r="CN14" s="368"/>
      <c r="CO14" s="368"/>
      <c r="CP14" s="368"/>
      <c r="CQ14" s="368"/>
      <c r="CR14" s="368"/>
      <c r="CS14" s="368"/>
      <c r="CT14" s="368"/>
      <c r="CU14" s="368"/>
      <c r="CV14" s="368"/>
      <c r="CW14" s="368"/>
      <c r="CX14" s="368"/>
      <c r="CY14" s="368"/>
      <c r="CZ14" s="368"/>
      <c r="DA14" s="368"/>
      <c r="DB14" s="368"/>
      <c r="DC14" s="368"/>
      <c r="DD14" s="368"/>
      <c r="DE14" s="368"/>
      <c r="DF14" s="368"/>
      <c r="DG14" s="368"/>
      <c r="DH14" s="368"/>
      <c r="DI14" s="368"/>
      <c r="DJ14" s="368"/>
      <c r="DK14" s="371"/>
      <c r="DL14" s="368"/>
      <c r="DM14" s="368"/>
      <c r="DN14" s="368"/>
      <c r="DO14" s="368"/>
      <c r="DP14" s="368"/>
      <c r="DQ14" s="368"/>
      <c r="DR14" s="368"/>
      <c r="DS14" s="368"/>
      <c r="DT14" s="368"/>
      <c r="DU14" s="368"/>
      <c r="DV14" s="368"/>
      <c r="DW14" s="368"/>
      <c r="DX14" s="368"/>
      <c r="DY14" s="368"/>
      <c r="DZ14" s="368"/>
      <c r="EA14" s="368"/>
      <c r="EB14" s="368"/>
      <c r="EC14" s="368"/>
      <c r="ED14" s="368"/>
      <c r="EE14" s="368"/>
      <c r="EF14" s="368"/>
      <c r="EG14" s="368"/>
      <c r="EH14" s="368"/>
      <c r="EI14" s="368"/>
      <c r="EJ14" s="368"/>
      <c r="EK14" s="368"/>
      <c r="EL14" s="368"/>
      <c r="EM14" s="368"/>
      <c r="EN14" s="368"/>
      <c r="EO14" s="368"/>
      <c r="EP14" s="368"/>
      <c r="EQ14" s="368"/>
      <c r="ER14" s="368"/>
      <c r="ES14" s="368"/>
      <c r="ET14" s="368"/>
      <c r="EU14" s="368"/>
      <c r="EV14" s="368"/>
      <c r="EW14" s="368"/>
      <c r="EX14" s="368"/>
      <c r="EY14" s="368"/>
      <c r="EZ14" s="368"/>
      <c r="FA14" s="368"/>
      <c r="FB14" s="368"/>
      <c r="FC14" s="368"/>
    </row>
    <row r="15" spans="1:159">
      <c r="B15" s="309">
        <f t="shared" si="0"/>
        <v>6</v>
      </c>
      <c r="C15" s="368"/>
      <c r="D15" s="368"/>
      <c r="E15" s="368"/>
      <c r="F15" s="368"/>
      <c r="G15" s="368"/>
      <c r="H15" s="368"/>
      <c r="I15" s="368"/>
      <c r="J15" s="368"/>
      <c r="K15" s="368"/>
      <c r="L15" s="368"/>
      <c r="M15" s="368"/>
      <c r="N15" s="368"/>
      <c r="O15" s="368"/>
      <c r="P15" s="368"/>
      <c r="Q15" s="368"/>
      <c r="R15" s="344"/>
      <c r="S15" s="344"/>
      <c r="T15" s="344"/>
      <c r="U15" s="344"/>
      <c r="V15" s="344"/>
      <c r="W15" s="344"/>
      <c r="X15" s="344"/>
      <c r="Y15" s="344"/>
      <c r="Z15" s="344"/>
      <c r="AA15" s="344"/>
      <c r="AB15" s="344"/>
      <c r="AC15" s="344"/>
      <c r="AD15" s="344"/>
      <c r="AE15" s="344"/>
      <c r="AF15" s="344"/>
      <c r="AG15" s="344"/>
      <c r="AH15" s="344"/>
      <c r="AI15" s="344"/>
      <c r="AJ15" s="344"/>
      <c r="AK15" s="344"/>
      <c r="AL15" s="344"/>
      <c r="AM15" s="344"/>
      <c r="AN15" s="344"/>
      <c r="AO15" s="344"/>
      <c r="AP15" s="344"/>
      <c r="AQ15" s="368"/>
      <c r="AR15" s="368"/>
      <c r="AS15" s="368"/>
      <c r="AT15" s="368"/>
      <c r="AU15" s="368"/>
      <c r="AV15" s="369"/>
      <c r="AW15" s="368"/>
      <c r="AX15" s="368"/>
      <c r="AY15" s="368"/>
      <c r="AZ15" s="368"/>
      <c r="BA15" s="368"/>
      <c r="BB15" s="368"/>
      <c r="BC15" s="368"/>
      <c r="BD15" s="368"/>
      <c r="BE15" s="368"/>
      <c r="BF15" s="368"/>
      <c r="BG15" s="368"/>
      <c r="BH15" s="368"/>
      <c r="BI15" s="370"/>
      <c r="BJ15" s="368"/>
      <c r="BK15" s="368"/>
      <c r="BL15" s="368"/>
      <c r="BM15" s="368"/>
      <c r="BN15" s="368"/>
      <c r="BO15" s="368"/>
      <c r="BP15" s="368"/>
      <c r="BQ15" s="368"/>
      <c r="BR15" s="368"/>
      <c r="BS15" s="368"/>
      <c r="BT15" s="368"/>
      <c r="BU15" s="368"/>
      <c r="BV15" s="368"/>
      <c r="BW15" s="368"/>
      <c r="BX15" s="368"/>
      <c r="BY15" s="368"/>
      <c r="BZ15" s="368"/>
      <c r="CA15" s="368"/>
      <c r="CB15" s="368"/>
      <c r="CC15" s="368"/>
      <c r="CD15" s="368"/>
      <c r="CE15" s="368"/>
      <c r="CF15" s="368"/>
      <c r="CG15" s="368"/>
      <c r="CH15" s="368"/>
      <c r="CI15" s="368"/>
      <c r="CJ15" s="368"/>
      <c r="CK15" s="368"/>
      <c r="CL15" s="368"/>
      <c r="CM15" s="368"/>
      <c r="CN15" s="368"/>
      <c r="CO15" s="368"/>
      <c r="CP15" s="368"/>
      <c r="CQ15" s="368"/>
      <c r="CR15" s="368"/>
      <c r="CS15" s="368"/>
      <c r="CT15" s="368"/>
      <c r="CU15" s="368"/>
      <c r="CV15" s="368"/>
      <c r="CW15" s="368"/>
      <c r="CX15" s="368"/>
      <c r="CY15" s="368"/>
      <c r="CZ15" s="368"/>
      <c r="DA15" s="368"/>
      <c r="DB15" s="368"/>
      <c r="DC15" s="368"/>
      <c r="DD15" s="368"/>
      <c r="DE15" s="368"/>
      <c r="DF15" s="368"/>
      <c r="DG15" s="368"/>
      <c r="DH15" s="368"/>
      <c r="DI15" s="368"/>
      <c r="DJ15" s="368"/>
      <c r="DK15" s="371"/>
      <c r="DL15" s="368"/>
      <c r="DM15" s="368"/>
      <c r="DN15" s="368"/>
      <c r="DO15" s="368"/>
      <c r="DP15" s="368"/>
      <c r="DQ15" s="368"/>
      <c r="DR15" s="368"/>
      <c r="DS15" s="368"/>
      <c r="DT15" s="368"/>
      <c r="DU15" s="368"/>
      <c r="DV15" s="368"/>
      <c r="DW15" s="368"/>
      <c r="DX15" s="368"/>
      <c r="DY15" s="368"/>
      <c r="DZ15" s="368"/>
      <c r="EA15" s="368"/>
      <c r="EB15" s="368"/>
      <c r="EC15" s="368"/>
      <c r="ED15" s="368"/>
      <c r="EE15" s="368"/>
      <c r="EF15" s="368"/>
      <c r="EG15" s="368"/>
      <c r="EH15" s="368"/>
      <c r="EI15" s="368"/>
      <c r="EJ15" s="368"/>
      <c r="EK15" s="368"/>
      <c r="EL15" s="368"/>
      <c r="EM15" s="368"/>
      <c r="EN15" s="368"/>
      <c r="EO15" s="368"/>
      <c r="EP15" s="368"/>
      <c r="EQ15" s="368"/>
      <c r="ER15" s="368"/>
      <c r="ES15" s="368"/>
      <c r="ET15" s="368"/>
      <c r="EU15" s="368"/>
      <c r="EV15" s="368"/>
      <c r="EW15" s="368"/>
      <c r="EX15" s="368"/>
      <c r="EY15" s="368"/>
      <c r="EZ15" s="368"/>
      <c r="FA15" s="368"/>
      <c r="FB15" s="368"/>
      <c r="FC15" s="368"/>
    </row>
    <row r="16" spans="1:159">
      <c r="B16" s="309">
        <f t="shared" si="0"/>
        <v>7</v>
      </c>
      <c r="C16" s="368"/>
      <c r="D16" s="368"/>
      <c r="E16" s="368"/>
      <c r="F16" s="368"/>
      <c r="G16" s="368"/>
      <c r="H16" s="368"/>
      <c r="I16" s="368"/>
      <c r="J16" s="368"/>
      <c r="K16" s="368"/>
      <c r="L16" s="368"/>
      <c r="M16" s="368"/>
      <c r="N16" s="368"/>
      <c r="O16" s="368"/>
      <c r="P16" s="368"/>
      <c r="Q16" s="368"/>
      <c r="R16" s="344"/>
      <c r="S16" s="344"/>
      <c r="T16" s="344"/>
      <c r="U16" s="344"/>
      <c r="V16" s="344"/>
      <c r="W16" s="344"/>
      <c r="X16" s="344"/>
      <c r="Y16" s="344"/>
      <c r="Z16" s="344"/>
      <c r="AA16" s="344"/>
      <c r="AB16" s="344"/>
      <c r="AC16" s="344"/>
      <c r="AD16" s="344"/>
      <c r="AE16" s="344"/>
      <c r="AF16" s="344"/>
      <c r="AG16" s="344"/>
      <c r="AH16" s="344"/>
      <c r="AI16" s="344"/>
      <c r="AJ16" s="344"/>
      <c r="AK16" s="344"/>
      <c r="AL16" s="344"/>
      <c r="AM16" s="344"/>
      <c r="AN16" s="344"/>
      <c r="AO16" s="344"/>
      <c r="AP16" s="344"/>
      <c r="AQ16" s="368"/>
      <c r="AR16" s="368"/>
      <c r="AS16" s="368"/>
      <c r="AT16" s="368"/>
      <c r="AU16" s="368"/>
      <c r="AV16" s="369"/>
      <c r="AW16" s="368"/>
      <c r="AX16" s="368"/>
      <c r="AY16" s="368"/>
      <c r="AZ16" s="368"/>
      <c r="BA16" s="368"/>
      <c r="BB16" s="368"/>
      <c r="BC16" s="368"/>
      <c r="BD16" s="368"/>
      <c r="BE16" s="368"/>
      <c r="BF16" s="368"/>
      <c r="BG16" s="368"/>
      <c r="BH16" s="368"/>
      <c r="BI16" s="370"/>
      <c r="BJ16" s="368"/>
      <c r="BK16" s="368"/>
      <c r="BL16" s="368"/>
      <c r="BM16" s="368"/>
      <c r="BN16" s="368"/>
      <c r="BO16" s="368"/>
      <c r="BP16" s="368"/>
      <c r="BQ16" s="368"/>
      <c r="BR16" s="368"/>
      <c r="BS16" s="368"/>
      <c r="BT16" s="368"/>
      <c r="BU16" s="368"/>
      <c r="BV16" s="368"/>
      <c r="BW16" s="368"/>
      <c r="BX16" s="368"/>
      <c r="BY16" s="368"/>
      <c r="BZ16" s="368"/>
      <c r="CA16" s="368"/>
      <c r="CB16" s="368"/>
      <c r="CC16" s="368"/>
      <c r="CD16" s="368"/>
      <c r="CE16" s="368"/>
      <c r="CF16" s="368"/>
      <c r="CG16" s="368"/>
      <c r="CH16" s="368"/>
      <c r="CI16" s="368"/>
      <c r="CJ16" s="368"/>
      <c r="CK16" s="368"/>
      <c r="CL16" s="368"/>
      <c r="CM16" s="368"/>
      <c r="CN16" s="368"/>
      <c r="CO16" s="368"/>
      <c r="CP16" s="368"/>
      <c r="CQ16" s="368"/>
      <c r="CR16" s="368"/>
      <c r="CS16" s="368"/>
      <c r="CT16" s="368"/>
      <c r="CU16" s="368"/>
      <c r="CV16" s="368"/>
      <c r="CW16" s="368"/>
      <c r="CX16" s="368"/>
      <c r="CY16" s="368"/>
      <c r="CZ16" s="368"/>
      <c r="DA16" s="368"/>
      <c r="DB16" s="368"/>
      <c r="DC16" s="368"/>
      <c r="DD16" s="368"/>
      <c r="DE16" s="368"/>
      <c r="DF16" s="368"/>
      <c r="DG16" s="368"/>
      <c r="DH16" s="368"/>
      <c r="DI16" s="368"/>
      <c r="DJ16" s="368"/>
      <c r="DK16" s="371"/>
      <c r="DL16" s="368"/>
      <c r="DM16" s="368"/>
      <c r="DN16" s="368"/>
      <c r="DO16" s="368"/>
      <c r="DP16" s="368"/>
      <c r="DQ16" s="368"/>
      <c r="DR16" s="368"/>
      <c r="DS16" s="368"/>
      <c r="DT16" s="368"/>
      <c r="DU16" s="368"/>
      <c r="DV16" s="368"/>
      <c r="DW16" s="368"/>
      <c r="DX16" s="368"/>
      <c r="DY16" s="368"/>
      <c r="DZ16" s="368"/>
      <c r="EA16" s="368"/>
      <c r="EB16" s="368"/>
      <c r="EC16" s="368"/>
      <c r="ED16" s="368"/>
      <c r="EE16" s="368"/>
      <c r="EF16" s="368"/>
      <c r="EG16" s="368"/>
      <c r="EH16" s="368"/>
      <c r="EI16" s="368"/>
      <c r="EJ16" s="368"/>
      <c r="EK16" s="368"/>
      <c r="EL16" s="368"/>
      <c r="EM16" s="368"/>
      <c r="EN16" s="368"/>
      <c r="EO16" s="368"/>
      <c r="EP16" s="368"/>
      <c r="EQ16" s="368"/>
      <c r="ER16" s="368"/>
      <c r="ES16" s="368"/>
      <c r="ET16" s="368"/>
      <c r="EU16" s="368"/>
      <c r="EV16" s="368"/>
      <c r="EW16" s="368"/>
      <c r="EX16" s="368"/>
      <c r="EY16" s="368"/>
      <c r="EZ16" s="368"/>
      <c r="FA16" s="368"/>
      <c r="FB16" s="368"/>
      <c r="FC16" s="368"/>
    </row>
    <row r="17" spans="2:159">
      <c r="B17" s="309">
        <f t="shared" si="0"/>
        <v>8</v>
      </c>
      <c r="C17" s="368"/>
      <c r="D17" s="368"/>
      <c r="E17" s="368"/>
      <c r="F17" s="368"/>
      <c r="G17" s="368"/>
      <c r="H17" s="368"/>
      <c r="I17" s="368"/>
      <c r="J17" s="368"/>
      <c r="K17" s="368"/>
      <c r="L17" s="368"/>
      <c r="M17" s="368"/>
      <c r="N17" s="368"/>
      <c r="O17" s="368"/>
      <c r="P17" s="368"/>
      <c r="Q17" s="368"/>
      <c r="R17" s="344"/>
      <c r="S17" s="344"/>
      <c r="T17" s="344"/>
      <c r="U17" s="344"/>
      <c r="V17" s="344"/>
      <c r="W17" s="344"/>
      <c r="X17" s="344"/>
      <c r="Y17" s="344"/>
      <c r="Z17" s="344"/>
      <c r="AA17" s="344"/>
      <c r="AB17" s="344"/>
      <c r="AC17" s="344"/>
      <c r="AD17" s="344"/>
      <c r="AE17" s="344"/>
      <c r="AF17" s="344"/>
      <c r="AG17" s="344"/>
      <c r="AH17" s="344"/>
      <c r="AI17" s="344"/>
      <c r="AJ17" s="344"/>
      <c r="AK17" s="344"/>
      <c r="AL17" s="344"/>
      <c r="AM17" s="344"/>
      <c r="AN17" s="344"/>
      <c r="AO17" s="344"/>
      <c r="AP17" s="344"/>
      <c r="AQ17" s="368"/>
      <c r="AR17" s="368"/>
      <c r="AS17" s="368"/>
      <c r="AT17" s="368"/>
      <c r="AU17" s="368"/>
      <c r="AV17" s="369"/>
      <c r="AW17" s="368"/>
      <c r="AX17" s="368"/>
      <c r="AY17" s="368"/>
      <c r="AZ17" s="368"/>
      <c r="BA17" s="368"/>
      <c r="BB17" s="368"/>
      <c r="BC17" s="368"/>
      <c r="BD17" s="368"/>
      <c r="BE17" s="368"/>
      <c r="BF17" s="368"/>
      <c r="BG17" s="368"/>
      <c r="BH17" s="368"/>
      <c r="BI17" s="370"/>
      <c r="BJ17" s="368"/>
      <c r="BK17" s="368"/>
      <c r="BL17" s="368"/>
      <c r="BM17" s="368"/>
      <c r="BN17" s="368"/>
      <c r="BO17" s="368"/>
      <c r="BP17" s="368"/>
      <c r="BQ17" s="368"/>
      <c r="BR17" s="368"/>
      <c r="BS17" s="368"/>
      <c r="BT17" s="368"/>
      <c r="BU17" s="368"/>
      <c r="BV17" s="368"/>
      <c r="BW17" s="368"/>
      <c r="BX17" s="368"/>
      <c r="BY17" s="368"/>
      <c r="BZ17" s="368"/>
      <c r="CA17" s="368"/>
      <c r="CB17" s="368"/>
      <c r="CC17" s="368"/>
      <c r="CD17" s="368"/>
      <c r="CE17" s="368"/>
      <c r="CF17" s="368"/>
      <c r="CG17" s="368"/>
      <c r="CH17" s="368"/>
      <c r="CI17" s="368"/>
      <c r="CJ17" s="368"/>
      <c r="CK17" s="368"/>
      <c r="CL17" s="368"/>
      <c r="CM17" s="368"/>
      <c r="CN17" s="368"/>
      <c r="CO17" s="368"/>
      <c r="CP17" s="368"/>
      <c r="CQ17" s="368"/>
      <c r="CR17" s="368"/>
      <c r="CS17" s="368"/>
      <c r="CT17" s="368"/>
      <c r="CU17" s="368"/>
      <c r="CV17" s="368"/>
      <c r="CW17" s="368"/>
      <c r="CX17" s="368"/>
      <c r="CY17" s="368"/>
      <c r="CZ17" s="368"/>
      <c r="DA17" s="368"/>
      <c r="DB17" s="368"/>
      <c r="DC17" s="368"/>
      <c r="DD17" s="368"/>
      <c r="DE17" s="368"/>
      <c r="DF17" s="368"/>
      <c r="DG17" s="368"/>
      <c r="DH17" s="368"/>
      <c r="DI17" s="368"/>
      <c r="DJ17" s="368"/>
      <c r="DK17" s="371"/>
      <c r="DL17" s="368"/>
      <c r="DM17" s="368"/>
      <c r="DN17" s="368"/>
      <c r="DO17" s="368"/>
      <c r="DP17" s="368"/>
      <c r="DQ17" s="368"/>
      <c r="DR17" s="368"/>
      <c r="DS17" s="368"/>
      <c r="DT17" s="368"/>
      <c r="DU17" s="368"/>
      <c r="DV17" s="368"/>
      <c r="DW17" s="368"/>
      <c r="DX17" s="368"/>
      <c r="DY17" s="368"/>
      <c r="DZ17" s="368"/>
      <c r="EA17" s="368"/>
      <c r="EB17" s="368"/>
      <c r="EC17" s="368"/>
      <c r="ED17" s="368"/>
      <c r="EE17" s="368"/>
      <c r="EF17" s="368"/>
      <c r="EG17" s="368"/>
      <c r="EH17" s="368"/>
      <c r="EI17" s="368"/>
      <c r="EJ17" s="368"/>
      <c r="EK17" s="368"/>
      <c r="EL17" s="368"/>
      <c r="EM17" s="368"/>
      <c r="EN17" s="368"/>
      <c r="EO17" s="368"/>
      <c r="EP17" s="368"/>
      <c r="EQ17" s="368"/>
      <c r="ER17" s="368"/>
      <c r="ES17" s="368"/>
      <c r="ET17" s="368"/>
      <c r="EU17" s="368"/>
      <c r="EV17" s="368"/>
      <c r="EW17" s="368"/>
      <c r="EX17" s="368"/>
      <c r="EY17" s="368"/>
      <c r="EZ17" s="368"/>
      <c r="FA17" s="368"/>
      <c r="FB17" s="368"/>
      <c r="FC17" s="368"/>
    </row>
    <row r="18" spans="2:159">
      <c r="B18" s="309">
        <f t="shared" si="0"/>
        <v>9</v>
      </c>
      <c r="C18" s="368"/>
      <c r="D18" s="368"/>
      <c r="E18" s="368"/>
      <c r="F18" s="368"/>
      <c r="G18" s="368"/>
      <c r="H18" s="368"/>
      <c r="I18" s="368"/>
      <c r="J18" s="368"/>
      <c r="K18" s="368"/>
      <c r="L18" s="368"/>
      <c r="M18" s="368"/>
      <c r="N18" s="368"/>
      <c r="O18" s="368"/>
      <c r="P18" s="368"/>
      <c r="Q18" s="368"/>
      <c r="R18" s="344"/>
      <c r="S18" s="344"/>
      <c r="T18" s="344"/>
      <c r="U18" s="344"/>
      <c r="V18" s="344"/>
      <c r="W18" s="344"/>
      <c r="X18" s="344"/>
      <c r="Y18" s="344"/>
      <c r="Z18" s="344"/>
      <c r="AA18" s="344"/>
      <c r="AB18" s="344"/>
      <c r="AC18" s="344"/>
      <c r="AD18" s="344"/>
      <c r="AE18" s="344"/>
      <c r="AF18" s="344"/>
      <c r="AG18" s="344"/>
      <c r="AH18" s="344"/>
      <c r="AI18" s="344"/>
      <c r="AJ18" s="344"/>
      <c r="AK18" s="344"/>
      <c r="AL18" s="344"/>
      <c r="AM18" s="344"/>
      <c r="AN18" s="344"/>
      <c r="AO18" s="344"/>
      <c r="AP18" s="344"/>
      <c r="AQ18" s="368"/>
      <c r="AR18" s="368"/>
      <c r="AS18" s="368"/>
      <c r="AT18" s="368"/>
      <c r="AU18" s="368"/>
      <c r="AV18" s="369"/>
      <c r="AW18" s="368"/>
      <c r="AX18" s="368"/>
      <c r="AY18" s="368"/>
      <c r="AZ18" s="368"/>
      <c r="BA18" s="368"/>
      <c r="BB18" s="368"/>
      <c r="BC18" s="368"/>
      <c r="BD18" s="368"/>
      <c r="BE18" s="368"/>
      <c r="BF18" s="368"/>
      <c r="BG18" s="368"/>
      <c r="BH18" s="368"/>
      <c r="BI18" s="370"/>
      <c r="BJ18" s="368"/>
      <c r="BK18" s="368"/>
      <c r="BL18" s="368"/>
      <c r="BM18" s="368"/>
      <c r="BN18" s="368"/>
      <c r="BO18" s="368"/>
      <c r="BP18" s="368"/>
      <c r="BQ18" s="368"/>
      <c r="BR18" s="368"/>
      <c r="BS18" s="368"/>
      <c r="BT18" s="368"/>
      <c r="BU18" s="368"/>
      <c r="BV18" s="368"/>
      <c r="BW18" s="368"/>
      <c r="BX18" s="368"/>
      <c r="BY18" s="368"/>
      <c r="BZ18" s="368"/>
      <c r="CA18" s="368"/>
      <c r="CB18" s="368"/>
      <c r="CC18" s="368"/>
      <c r="CD18" s="368"/>
      <c r="CE18" s="368"/>
      <c r="CF18" s="368"/>
      <c r="CG18" s="368"/>
      <c r="CH18" s="368"/>
      <c r="CI18" s="368"/>
      <c r="CJ18" s="368"/>
      <c r="CK18" s="368"/>
      <c r="CL18" s="368"/>
      <c r="CM18" s="368"/>
      <c r="CN18" s="368"/>
      <c r="CO18" s="368"/>
      <c r="CP18" s="368"/>
      <c r="CQ18" s="368"/>
      <c r="CR18" s="368"/>
      <c r="CS18" s="368"/>
      <c r="CT18" s="368"/>
      <c r="CU18" s="368"/>
      <c r="CV18" s="368"/>
      <c r="CW18" s="368"/>
      <c r="CX18" s="368"/>
      <c r="CY18" s="368"/>
      <c r="CZ18" s="368"/>
      <c r="DA18" s="368"/>
      <c r="DB18" s="368"/>
      <c r="DC18" s="368"/>
      <c r="DD18" s="368"/>
      <c r="DE18" s="368"/>
      <c r="DF18" s="368"/>
      <c r="DG18" s="368"/>
      <c r="DH18" s="368"/>
      <c r="DI18" s="368"/>
      <c r="DJ18" s="368"/>
      <c r="DK18" s="371"/>
      <c r="DL18" s="368"/>
      <c r="DM18" s="368"/>
      <c r="DN18" s="368"/>
      <c r="DO18" s="368"/>
      <c r="DP18" s="368"/>
      <c r="DQ18" s="368"/>
      <c r="DR18" s="368"/>
      <c r="DS18" s="368"/>
      <c r="DT18" s="368"/>
      <c r="DU18" s="368"/>
      <c r="DV18" s="368"/>
      <c r="DW18" s="368"/>
      <c r="DX18" s="368"/>
      <c r="DY18" s="368"/>
      <c r="DZ18" s="368"/>
      <c r="EA18" s="368"/>
      <c r="EB18" s="368"/>
      <c r="EC18" s="368"/>
      <c r="ED18" s="368"/>
      <c r="EE18" s="368"/>
      <c r="EF18" s="368"/>
      <c r="EG18" s="368"/>
      <c r="EH18" s="368"/>
      <c r="EI18" s="368"/>
      <c r="EJ18" s="368"/>
      <c r="EK18" s="368"/>
      <c r="EL18" s="368"/>
      <c r="EM18" s="368"/>
      <c r="EN18" s="368"/>
      <c r="EO18" s="368"/>
      <c r="EP18" s="368"/>
      <c r="EQ18" s="368"/>
      <c r="ER18" s="368"/>
      <c r="ES18" s="368"/>
      <c r="ET18" s="368"/>
      <c r="EU18" s="368"/>
      <c r="EV18" s="368"/>
      <c r="EW18" s="368"/>
      <c r="EX18" s="368"/>
      <c r="EY18" s="368"/>
      <c r="EZ18" s="368"/>
      <c r="FA18" s="368"/>
      <c r="FB18" s="368"/>
      <c r="FC18" s="368"/>
    </row>
    <row r="19" spans="2:159">
      <c r="B19" s="309">
        <f t="shared" si="0"/>
        <v>10</v>
      </c>
      <c r="C19" s="368"/>
      <c r="D19" s="368"/>
      <c r="E19" s="368"/>
      <c r="F19" s="368"/>
      <c r="G19" s="368"/>
      <c r="H19" s="368"/>
      <c r="I19" s="368"/>
      <c r="J19" s="368"/>
      <c r="K19" s="368"/>
      <c r="L19" s="368"/>
      <c r="M19" s="368"/>
      <c r="N19" s="368"/>
      <c r="O19" s="368"/>
      <c r="P19" s="368"/>
      <c r="Q19" s="368"/>
      <c r="R19" s="344"/>
      <c r="S19" s="344"/>
      <c r="T19" s="344"/>
      <c r="U19" s="344"/>
      <c r="V19" s="344"/>
      <c r="W19" s="344"/>
      <c r="X19" s="344"/>
      <c r="Y19" s="344"/>
      <c r="Z19" s="344"/>
      <c r="AA19" s="344"/>
      <c r="AB19" s="344"/>
      <c r="AC19" s="344"/>
      <c r="AD19" s="344"/>
      <c r="AE19" s="344"/>
      <c r="AF19" s="344"/>
      <c r="AG19" s="344"/>
      <c r="AH19" s="344"/>
      <c r="AI19" s="344"/>
      <c r="AJ19" s="344"/>
      <c r="AK19" s="344"/>
      <c r="AL19" s="344"/>
      <c r="AM19" s="344"/>
      <c r="AN19" s="344"/>
      <c r="AO19" s="344"/>
      <c r="AP19" s="344"/>
      <c r="AQ19" s="368"/>
      <c r="AR19" s="368"/>
      <c r="AS19" s="368"/>
      <c r="AT19" s="368"/>
      <c r="AU19" s="368"/>
      <c r="AV19" s="369"/>
      <c r="AW19" s="368"/>
      <c r="AX19" s="368"/>
      <c r="AY19" s="368"/>
      <c r="AZ19" s="368"/>
      <c r="BA19" s="368"/>
      <c r="BB19" s="368"/>
      <c r="BC19" s="368"/>
      <c r="BD19" s="368"/>
      <c r="BE19" s="368"/>
      <c r="BF19" s="368"/>
      <c r="BG19" s="368"/>
      <c r="BH19" s="368"/>
      <c r="BI19" s="370"/>
      <c r="BJ19" s="368"/>
      <c r="BK19" s="368"/>
      <c r="BL19" s="368"/>
      <c r="BM19" s="368"/>
      <c r="BN19" s="368"/>
      <c r="BO19" s="368"/>
      <c r="BP19" s="368"/>
      <c r="BQ19" s="368"/>
      <c r="BR19" s="368"/>
      <c r="BS19" s="368"/>
      <c r="BT19" s="368"/>
      <c r="BU19" s="368"/>
      <c r="BV19" s="368"/>
      <c r="BW19" s="368"/>
      <c r="BX19" s="368"/>
      <c r="BY19" s="368"/>
      <c r="BZ19" s="368"/>
      <c r="CA19" s="368"/>
      <c r="CB19" s="368"/>
      <c r="CC19" s="368"/>
      <c r="CD19" s="368"/>
      <c r="CE19" s="368"/>
      <c r="CF19" s="368"/>
      <c r="CG19" s="368"/>
      <c r="CH19" s="368"/>
      <c r="CI19" s="368"/>
      <c r="CJ19" s="368"/>
      <c r="CK19" s="368"/>
      <c r="CL19" s="368"/>
      <c r="CM19" s="368"/>
      <c r="CN19" s="368"/>
      <c r="CO19" s="368"/>
      <c r="CP19" s="368"/>
      <c r="CQ19" s="368"/>
      <c r="CR19" s="368"/>
      <c r="CS19" s="368"/>
      <c r="CT19" s="368"/>
      <c r="CU19" s="368"/>
      <c r="CV19" s="368"/>
      <c r="CW19" s="368"/>
      <c r="CX19" s="368"/>
      <c r="CY19" s="368"/>
      <c r="CZ19" s="368"/>
      <c r="DA19" s="368"/>
      <c r="DB19" s="368"/>
      <c r="DC19" s="368"/>
      <c r="DD19" s="368"/>
      <c r="DE19" s="368"/>
      <c r="DF19" s="368"/>
      <c r="DG19" s="368"/>
      <c r="DH19" s="368"/>
      <c r="DI19" s="368"/>
      <c r="DJ19" s="368"/>
      <c r="DK19" s="371"/>
      <c r="DL19" s="368"/>
      <c r="DM19" s="368"/>
      <c r="DN19" s="368"/>
      <c r="DO19" s="368"/>
      <c r="DP19" s="368"/>
      <c r="DQ19" s="368"/>
      <c r="DR19" s="368"/>
      <c r="DS19" s="368"/>
      <c r="DT19" s="368"/>
      <c r="DU19" s="368"/>
      <c r="DV19" s="368"/>
      <c r="DW19" s="368"/>
      <c r="DX19" s="368"/>
      <c r="DY19" s="368"/>
      <c r="DZ19" s="368"/>
      <c r="EA19" s="368"/>
      <c r="EB19" s="368"/>
      <c r="EC19" s="368"/>
      <c r="ED19" s="368"/>
      <c r="EE19" s="368"/>
      <c r="EF19" s="368"/>
      <c r="EG19" s="368"/>
      <c r="EH19" s="368"/>
      <c r="EI19" s="368"/>
      <c r="EJ19" s="368"/>
      <c r="EK19" s="368"/>
      <c r="EL19" s="368"/>
      <c r="EM19" s="368"/>
      <c r="EN19" s="368"/>
      <c r="EO19" s="368"/>
      <c r="EP19" s="368"/>
      <c r="EQ19" s="368"/>
      <c r="ER19" s="368"/>
      <c r="ES19" s="368"/>
      <c r="ET19" s="368"/>
      <c r="EU19" s="368"/>
      <c r="EV19" s="368"/>
      <c r="EW19" s="368"/>
      <c r="EX19" s="368"/>
      <c r="EY19" s="368"/>
      <c r="EZ19" s="368"/>
      <c r="FA19" s="368"/>
      <c r="FB19" s="368"/>
      <c r="FC19" s="368"/>
    </row>
  </sheetData>
  <sheetProtection insertRows="0" deleteRows="0" sort="0" autoFilter="0"/>
  <mergeCells count="1">
    <mergeCell ref="B4:B8"/>
  </mergeCells>
  <phoneticPr fontId="14"/>
  <dataValidations disablePrompts="1" count="1">
    <dataValidation type="list" allowBlank="1" showInputMessage="1" showErrorMessage="1" sqref="AS9:AS19" xr:uid="{BB37434A-7BE0-4BEF-831A-212C763C1903}">
      <formula1>目的</formula1>
    </dataValidation>
  </dataValidations>
  <hyperlinks>
    <hyperlink ref="A3" location="パラメータ設定一覧!A1" display="パラメータ設定一覧へ" xr:uid="{AF0E95B1-F6BD-4CD3-A752-017DEE959992}"/>
  </hyperlinks>
  <pageMargins left="0.70866141732283472" right="0.70866141732283472" top="0.74803149606299213" bottom="0.74803149606299213" header="0.31496062992125984" footer="0.31496062992125984"/>
  <pageSetup paperSize="9" scale="10" orientation="portrait" r:id="rId1"/>
  <headerFooter>
    <oddFooter>&amp;RCopyright  SATO HOLDINGS CORPORATION All rights reserved</oddFooter>
  </headerFooter>
  <rowBreaks count="1" manualBreakCount="1">
    <brk id="3" max="16383" man="1"/>
  </rowBreaks>
  <colBreaks count="1" manualBreakCount="1">
    <brk id="126" max="1048575" man="1"/>
  </col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7ACA0-3D0E-4510-8FED-02717CF2B68F}">
  <sheetPr codeName="Sheet40"/>
  <dimension ref="A1:L179"/>
  <sheetViews>
    <sheetView showGridLines="0" zoomScaleNormal="100" workbookViewId="0">
      <pane xSplit="6" ySplit="5" topLeftCell="G6" activePane="bottomRight" state="frozen"/>
      <selection activeCell="E8" sqref="E8"/>
      <selection pane="topRight" activeCell="E8" sqref="E8"/>
      <selection pane="bottomLeft" activeCell="E8" sqref="E8"/>
      <selection pane="bottomRight" activeCell="G6" sqref="G6"/>
    </sheetView>
  </sheetViews>
  <sheetFormatPr defaultColWidth="8.78515625" defaultRowHeight="13.5"/>
  <cols>
    <col min="1" max="1" width="2.78515625" style="46" customWidth="1"/>
    <col min="2" max="2" width="3.78515625" style="46" customWidth="1"/>
    <col min="3" max="3" width="16.78515625" style="46" customWidth="1"/>
    <col min="4" max="4" width="19.2109375" style="46" customWidth="1"/>
    <col min="5" max="5" width="16.5703125" style="46" customWidth="1"/>
    <col min="6" max="6" width="22.5703125" style="46" customWidth="1"/>
    <col min="7" max="7" width="44.640625" style="46" customWidth="1"/>
    <col min="8" max="8" width="27.5703125" style="46" customWidth="1"/>
    <col min="9" max="9" width="17.42578125" style="53" customWidth="1"/>
    <col min="10" max="10" width="22.42578125" style="46" customWidth="1"/>
    <col min="11" max="11" width="18.2109375" style="46" customWidth="1"/>
    <col min="12" max="12" width="13.2109375" style="46" customWidth="1"/>
    <col min="13" max="16384" width="8.78515625" style="46"/>
  </cols>
  <sheetData>
    <row r="1" spans="1:12" s="86" customFormat="1" ht="19.5">
      <c r="A1" s="99" t="s">
        <v>695</v>
      </c>
      <c r="C1" s="46"/>
      <c r="D1" s="46"/>
      <c r="E1" s="46"/>
      <c r="F1" s="46"/>
      <c r="G1" s="46"/>
      <c r="H1" s="46"/>
      <c r="I1" s="53"/>
    </row>
    <row r="2" spans="1:12" s="86" customFormat="1" ht="15">
      <c r="B2" s="86" t="s">
        <v>1126</v>
      </c>
      <c r="C2" s="46"/>
      <c r="D2" s="46"/>
      <c r="E2" s="46"/>
      <c r="F2" s="46"/>
      <c r="G2" s="46"/>
      <c r="H2" s="46"/>
      <c r="I2" s="53"/>
    </row>
    <row r="3" spans="1:12" s="86" customFormat="1" ht="15">
      <c r="B3" s="86" t="s">
        <v>1125</v>
      </c>
      <c r="C3" s="46"/>
      <c r="D3" s="46"/>
      <c r="E3" s="46"/>
      <c r="F3" s="46"/>
      <c r="G3" s="46"/>
      <c r="H3" s="46"/>
      <c r="I3" s="53"/>
    </row>
    <row r="4" spans="1:12" s="86" customFormat="1" ht="15">
      <c r="A4" s="10" t="s">
        <v>363</v>
      </c>
      <c r="C4" s="46"/>
      <c r="D4" s="46"/>
      <c r="E4" s="46"/>
      <c r="F4" s="46"/>
      <c r="G4" s="46"/>
      <c r="H4" s="46"/>
      <c r="I4" s="53"/>
    </row>
    <row r="5" spans="1:12">
      <c r="B5" s="11" t="s">
        <v>1</v>
      </c>
      <c r="C5" s="11" t="s">
        <v>9</v>
      </c>
      <c r="D5" s="11" t="s">
        <v>10</v>
      </c>
      <c r="E5" s="11" t="s">
        <v>11</v>
      </c>
      <c r="F5" s="20" t="s">
        <v>12</v>
      </c>
      <c r="G5" s="20" t="s">
        <v>498</v>
      </c>
      <c r="H5" s="11" t="s">
        <v>14</v>
      </c>
      <c r="I5" s="54" t="s">
        <v>15</v>
      </c>
      <c r="J5" s="11" t="s">
        <v>16</v>
      </c>
      <c r="K5" s="14" t="s">
        <v>17</v>
      </c>
      <c r="L5" s="14" t="s">
        <v>18</v>
      </c>
    </row>
    <row r="6" spans="1:12">
      <c r="B6" s="21">
        <f t="shared" ref="B6:B17" si="0">ROW() - 5</f>
        <v>1</v>
      </c>
      <c r="C6" s="16" t="s">
        <v>695</v>
      </c>
      <c r="D6" s="16"/>
      <c r="E6" s="16"/>
      <c r="F6" s="22" t="s">
        <v>695</v>
      </c>
      <c r="G6" s="22" t="s">
        <v>331</v>
      </c>
      <c r="H6" s="22" t="s">
        <v>20</v>
      </c>
      <c r="I6" s="44" t="s">
        <v>62</v>
      </c>
      <c r="J6" s="23"/>
      <c r="K6" s="2" t="s">
        <v>2796</v>
      </c>
      <c r="L6" s="3"/>
    </row>
    <row r="7" spans="1:12">
      <c r="B7" s="21">
        <f t="shared" si="0"/>
        <v>2</v>
      </c>
      <c r="C7" s="68"/>
      <c r="D7" s="43"/>
      <c r="E7" s="50"/>
      <c r="F7" s="22" t="s">
        <v>19</v>
      </c>
      <c r="G7" s="22" t="s">
        <v>331</v>
      </c>
      <c r="H7" s="22" t="s">
        <v>20</v>
      </c>
      <c r="I7" s="44" t="s">
        <v>62</v>
      </c>
      <c r="J7" s="23"/>
      <c r="K7" s="2" t="s">
        <v>2796</v>
      </c>
      <c r="L7" s="3"/>
    </row>
    <row r="8" spans="1:12" ht="27">
      <c r="B8" s="21">
        <f t="shared" si="0"/>
        <v>3</v>
      </c>
      <c r="C8" s="144" t="s">
        <v>23</v>
      </c>
      <c r="D8" s="16"/>
      <c r="E8" s="114" t="s">
        <v>1124</v>
      </c>
      <c r="F8" s="22" t="s">
        <v>1123</v>
      </c>
      <c r="G8" s="22" t="s">
        <v>1122</v>
      </c>
      <c r="H8" s="47" t="s">
        <v>1121</v>
      </c>
      <c r="I8" s="44" t="s">
        <v>62</v>
      </c>
      <c r="J8" s="23"/>
      <c r="K8" s="2" t="s">
        <v>2796</v>
      </c>
      <c r="L8" s="3"/>
    </row>
    <row r="9" spans="1:12" ht="40.5">
      <c r="B9" s="21">
        <f t="shared" si="0"/>
        <v>4</v>
      </c>
      <c r="C9" s="68"/>
      <c r="D9" s="68"/>
      <c r="E9" s="19"/>
      <c r="F9" s="22" t="s">
        <v>93</v>
      </c>
      <c r="G9" s="139" t="s">
        <v>1120</v>
      </c>
      <c r="H9" s="47" t="s">
        <v>1119</v>
      </c>
      <c r="I9" s="44" t="s">
        <v>1118</v>
      </c>
      <c r="J9" s="17"/>
      <c r="K9" s="2" t="s">
        <v>2796</v>
      </c>
      <c r="L9" s="3"/>
    </row>
    <row r="10" spans="1:12" ht="33.75" customHeight="1">
      <c r="B10" s="21">
        <f t="shared" si="0"/>
        <v>5</v>
      </c>
      <c r="C10" s="68"/>
      <c r="D10" s="68"/>
      <c r="E10" s="16" t="s">
        <v>1117</v>
      </c>
      <c r="F10" s="22" t="s">
        <v>1116</v>
      </c>
      <c r="G10" s="22" t="s">
        <v>331</v>
      </c>
      <c r="H10" s="47" t="s">
        <v>27</v>
      </c>
      <c r="I10" s="44" t="s">
        <v>28</v>
      </c>
      <c r="J10" s="23"/>
      <c r="K10" s="2" t="s">
        <v>2796</v>
      </c>
      <c r="L10" s="3"/>
    </row>
    <row r="11" spans="1:12">
      <c r="B11" s="21">
        <f t="shared" si="0"/>
        <v>6</v>
      </c>
      <c r="C11" s="16" t="s">
        <v>31</v>
      </c>
      <c r="D11" s="16"/>
      <c r="E11" s="16"/>
      <c r="F11" s="141" t="s">
        <v>790</v>
      </c>
      <c r="G11" s="139" t="s">
        <v>331</v>
      </c>
      <c r="H11" s="47" t="s">
        <v>20</v>
      </c>
      <c r="I11" s="44" t="s">
        <v>62</v>
      </c>
      <c r="J11" s="23"/>
      <c r="K11" s="2" t="s">
        <v>2796</v>
      </c>
      <c r="L11" s="3"/>
    </row>
    <row r="12" spans="1:12" ht="27">
      <c r="B12" s="21">
        <f t="shared" si="0"/>
        <v>7</v>
      </c>
      <c r="C12" s="68"/>
      <c r="D12" s="68"/>
      <c r="E12" s="68"/>
      <c r="F12" s="22" t="s">
        <v>31</v>
      </c>
      <c r="G12" s="22" t="s">
        <v>1115</v>
      </c>
      <c r="H12" s="47" t="s">
        <v>20</v>
      </c>
      <c r="I12" s="44" t="s">
        <v>62</v>
      </c>
      <c r="J12" s="23"/>
      <c r="K12" s="2" t="s">
        <v>2796</v>
      </c>
      <c r="L12" s="3"/>
    </row>
    <row r="13" spans="1:12" ht="243">
      <c r="B13" s="21">
        <f t="shared" si="0"/>
        <v>8</v>
      </c>
      <c r="C13" s="68"/>
      <c r="D13" s="143"/>
      <c r="E13" s="68"/>
      <c r="F13" s="141" t="s">
        <v>32</v>
      </c>
      <c r="G13" s="139" t="s">
        <v>331</v>
      </c>
      <c r="H13" s="47" t="s">
        <v>1114</v>
      </c>
      <c r="I13" s="44" t="s">
        <v>62</v>
      </c>
      <c r="J13" s="23"/>
      <c r="K13" s="2" t="s">
        <v>2796</v>
      </c>
      <c r="L13" s="3"/>
    </row>
    <row r="14" spans="1:12">
      <c r="B14" s="21">
        <f t="shared" si="0"/>
        <v>9</v>
      </c>
      <c r="C14" s="19"/>
      <c r="D14" s="142"/>
      <c r="E14" s="19"/>
      <c r="F14" s="22" t="s">
        <v>33</v>
      </c>
      <c r="G14" s="22" t="s">
        <v>331</v>
      </c>
      <c r="H14" s="47" t="s">
        <v>27</v>
      </c>
      <c r="I14" s="44" t="s">
        <v>62</v>
      </c>
      <c r="J14" s="23"/>
      <c r="K14" s="2" t="s">
        <v>2796</v>
      </c>
      <c r="L14" s="3"/>
    </row>
    <row r="15" spans="1:12">
      <c r="B15" s="51">
        <f t="shared" si="0"/>
        <v>10</v>
      </c>
      <c r="C15" s="19" t="s">
        <v>26</v>
      </c>
      <c r="D15" s="142"/>
      <c r="E15" s="19"/>
      <c r="F15" s="141" t="s">
        <v>83</v>
      </c>
      <c r="G15" s="139" t="s">
        <v>1113</v>
      </c>
      <c r="H15" s="47" t="s">
        <v>62</v>
      </c>
      <c r="I15" s="44" t="s">
        <v>62</v>
      </c>
      <c r="J15" s="23" t="s">
        <v>1112</v>
      </c>
      <c r="K15" s="2" t="s">
        <v>2796</v>
      </c>
      <c r="L15" s="3"/>
    </row>
    <row r="16" spans="1:12">
      <c r="B16" s="21">
        <f t="shared" si="0"/>
        <v>11</v>
      </c>
      <c r="C16" s="140" t="s">
        <v>389</v>
      </c>
      <c r="D16" s="68"/>
      <c r="E16" s="140"/>
      <c r="F16" s="22" t="s">
        <v>613</v>
      </c>
      <c r="G16" s="22" t="s">
        <v>331</v>
      </c>
      <c r="H16" s="47" t="s">
        <v>1111</v>
      </c>
      <c r="I16" s="44" t="s">
        <v>62</v>
      </c>
      <c r="J16" s="23"/>
      <c r="K16" s="2" t="s">
        <v>2796</v>
      </c>
      <c r="L16" s="3"/>
    </row>
    <row r="17" spans="2:12" ht="27">
      <c r="B17" s="21">
        <f t="shared" si="0"/>
        <v>12</v>
      </c>
      <c r="C17" s="19"/>
      <c r="D17" s="19"/>
      <c r="E17" s="19"/>
      <c r="F17" s="22" t="s">
        <v>1110</v>
      </c>
      <c r="G17" s="139" t="s">
        <v>331</v>
      </c>
      <c r="H17" s="47" t="s">
        <v>27</v>
      </c>
      <c r="I17" s="44" t="s">
        <v>28</v>
      </c>
      <c r="J17" s="49"/>
      <c r="K17" s="2" t="s">
        <v>2796</v>
      </c>
      <c r="L17" s="3"/>
    </row>
    <row r="18" spans="2:12">
      <c r="I18" s="46"/>
    </row>
    <row r="19" spans="2:12">
      <c r="I19" s="46"/>
    </row>
    <row r="20" spans="2:12">
      <c r="I20" s="46"/>
    </row>
    <row r="21" spans="2:12">
      <c r="I21" s="46"/>
    </row>
    <row r="22" spans="2:12">
      <c r="I22" s="46"/>
    </row>
    <row r="23" spans="2:12">
      <c r="I23" s="46"/>
    </row>
    <row r="24" spans="2:12">
      <c r="I24" s="46"/>
    </row>
    <row r="25" spans="2:12">
      <c r="I25" s="46"/>
    </row>
    <row r="26" spans="2:12" ht="45.75" customHeight="1">
      <c r="I26" s="46"/>
    </row>
    <row r="27" spans="2:12">
      <c r="I27" s="46"/>
    </row>
    <row r="28" spans="2:12">
      <c r="I28" s="46"/>
    </row>
    <row r="29" spans="2:12">
      <c r="I29" s="46"/>
    </row>
    <row r="30" spans="2:12">
      <c r="I30" s="46"/>
    </row>
    <row r="31" spans="2:12">
      <c r="I31" s="46"/>
    </row>
    <row r="32" spans="2:12">
      <c r="I32" s="46"/>
    </row>
    <row r="33" s="46" customFormat="1"/>
    <row r="34" s="46" customFormat="1"/>
    <row r="35" s="46" customFormat="1"/>
    <row r="36" s="46" customFormat="1"/>
    <row r="37" s="46" customFormat="1"/>
    <row r="38" s="46" customFormat="1"/>
    <row r="39" s="46" customFormat="1"/>
    <row r="40" s="46" customFormat="1"/>
    <row r="41" s="46" customFormat="1"/>
    <row r="42" s="46" customFormat="1" ht="30.75" customHeight="1"/>
    <row r="43" s="46" customFormat="1" ht="33" customHeight="1"/>
    <row r="44" s="46" customFormat="1"/>
    <row r="45" s="46" customFormat="1"/>
    <row r="46" s="46" customFormat="1"/>
    <row r="47" s="46" customFormat="1"/>
    <row r="48" s="46" customFormat="1" ht="31.5" customHeight="1"/>
    <row r="49" s="46" customFormat="1"/>
    <row r="50" s="46" customFormat="1" ht="30.75" customHeight="1"/>
    <row r="51" s="46" customFormat="1"/>
    <row r="52" s="46" customFormat="1" ht="31.5" customHeight="1"/>
    <row r="53" s="46" customFormat="1"/>
    <row r="54" s="46" customFormat="1"/>
    <row r="55" s="46" customFormat="1"/>
    <row r="56" s="46" customFormat="1" ht="33" customHeight="1"/>
    <row r="57" s="46" customFormat="1"/>
    <row r="58" s="46" customFormat="1" ht="30.75" customHeight="1"/>
    <row r="59" s="46" customFormat="1" ht="27" customHeigh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ht="409" customHeigh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ht="2.25" customHeight="1"/>
    <row r="168" s="46" customFormat="1" ht="409.5" customHeigh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sheetData>
  <sheetProtection formatCells="0"/>
  <phoneticPr fontId="14"/>
  <hyperlinks>
    <hyperlink ref="A4" location="パラメータ設定一覧!A1" display="パラメータ設定一覧へ" xr:uid="{18CF5602-EC13-4A81-AA32-E568D58F07B8}"/>
  </hyperlinks>
  <pageMargins left="0.7" right="0.7" top="0.75" bottom="0.75" header="0.3" footer="0.3"/>
  <pageSetup paperSize="9" orientation="portrait" verticalDpi="0"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9DD33-EC12-48ED-B6FA-C3DF761532BB}">
  <sheetPr codeName="Sheet41"/>
  <dimension ref="A1:S11"/>
  <sheetViews>
    <sheetView showGridLines="0" zoomScaleNormal="100" workbookViewId="0">
      <pane xSplit="4" ySplit="7" topLeftCell="E8" activePane="bottomRight" state="frozen"/>
      <selection activeCell="E8" sqref="E8"/>
      <selection pane="topRight" activeCell="E8" sqref="E8"/>
      <selection pane="bottomLeft" activeCell="E8" sqref="E8"/>
      <selection pane="bottomRight" activeCell="E8" sqref="E8"/>
    </sheetView>
  </sheetViews>
  <sheetFormatPr defaultColWidth="8.78515625" defaultRowHeight="13.5"/>
  <cols>
    <col min="1" max="1" width="2.78515625" style="46" customWidth="1"/>
    <col min="2" max="2" width="3.5703125" style="46" bestFit="1" customWidth="1"/>
    <col min="3" max="3" width="17.2109375" style="46" customWidth="1"/>
    <col min="4" max="4" width="19.35546875" style="46" customWidth="1"/>
    <col min="5" max="5" width="25.5703125" style="46" customWidth="1"/>
    <col min="6" max="6" width="38" style="46" bestFit="1" customWidth="1"/>
    <col min="7" max="7" width="19.640625" style="46" bestFit="1" customWidth="1"/>
    <col min="8" max="8" width="18.42578125" style="46" customWidth="1"/>
    <col min="9" max="9" width="19.78515625" style="46" customWidth="1"/>
    <col min="10" max="10" width="19.640625" style="46" bestFit="1" customWidth="1"/>
    <col min="11" max="11" width="18.42578125" style="46" customWidth="1"/>
    <col min="12" max="12" width="19.78515625" style="46" customWidth="1"/>
    <col min="13" max="13" width="29.2109375" style="46" bestFit="1" customWidth="1"/>
    <col min="14" max="14" width="18.42578125" style="46" customWidth="1"/>
    <col min="15" max="15" width="19.640625" style="46" bestFit="1" customWidth="1"/>
    <col min="16" max="16" width="18.42578125" style="46" customWidth="1"/>
    <col min="17" max="17" width="27.78515625" style="46" customWidth="1"/>
    <col min="18" max="18" width="18.42578125" style="46" customWidth="1"/>
    <col min="19" max="19" width="19.640625" style="46" bestFit="1" customWidth="1"/>
    <col min="20" max="29" width="18.42578125" style="46" customWidth="1"/>
    <col min="30" max="16384" width="8.78515625" style="46"/>
  </cols>
  <sheetData>
    <row r="1" spans="1:19" s="86" customFormat="1" ht="19.5">
      <c r="A1" s="99" t="s">
        <v>2713</v>
      </c>
    </row>
    <row r="2" spans="1:19" s="86" customFormat="1" ht="15">
      <c r="A2" s="196" t="s">
        <v>2668</v>
      </c>
      <c r="Q2" s="146" t="s">
        <v>1146</v>
      </c>
    </row>
    <row r="3" spans="1:19" s="86" customFormat="1" ht="15">
      <c r="A3" s="10" t="s">
        <v>363</v>
      </c>
      <c r="Q3" s="86" t="s">
        <v>1145</v>
      </c>
    </row>
    <row r="4" spans="1:19">
      <c r="B4" s="440" t="s">
        <v>1</v>
      </c>
      <c r="C4" s="107" t="s">
        <v>1144</v>
      </c>
      <c r="D4" s="110"/>
      <c r="E4" s="107" t="s">
        <v>23</v>
      </c>
      <c r="F4" s="110"/>
      <c r="G4" s="110"/>
      <c r="H4" s="107" t="s">
        <v>31</v>
      </c>
      <c r="I4" s="110"/>
      <c r="J4" s="110"/>
      <c r="K4" s="110"/>
      <c r="L4" s="110"/>
      <c r="M4" s="110"/>
      <c r="N4" s="110"/>
      <c r="O4" s="110"/>
      <c r="P4" s="110"/>
      <c r="Q4" s="272" t="s">
        <v>26</v>
      </c>
      <c r="R4" s="110" t="s">
        <v>389</v>
      </c>
      <c r="S4" s="218"/>
    </row>
    <row r="5" spans="1:19" ht="47.25" customHeight="1">
      <c r="B5" s="440"/>
      <c r="C5" s="69" t="s">
        <v>1144</v>
      </c>
      <c r="D5" s="69" t="s">
        <v>19</v>
      </c>
      <c r="E5" s="69" t="s">
        <v>1143</v>
      </c>
      <c r="F5" s="69" t="s">
        <v>1142</v>
      </c>
      <c r="G5" s="69" t="s">
        <v>1141</v>
      </c>
      <c r="H5" s="69" t="s">
        <v>1140</v>
      </c>
      <c r="I5" s="69" t="s">
        <v>1139</v>
      </c>
      <c r="J5" s="69" t="s">
        <v>1138</v>
      </c>
      <c r="K5" s="69" t="s">
        <v>1137</v>
      </c>
      <c r="L5" s="69" t="s">
        <v>1136</v>
      </c>
      <c r="M5" s="69" t="s">
        <v>1135</v>
      </c>
      <c r="N5" s="69" t="s">
        <v>1134</v>
      </c>
      <c r="O5" s="69" t="s">
        <v>1133</v>
      </c>
      <c r="P5" s="69" t="s">
        <v>1132</v>
      </c>
      <c r="Q5" s="69" t="s">
        <v>1131</v>
      </c>
      <c r="R5" s="69" t="s">
        <v>1130</v>
      </c>
      <c r="S5" s="69" t="s">
        <v>1129</v>
      </c>
    </row>
    <row r="6" spans="1:19">
      <c r="B6" s="440"/>
      <c r="C6" s="8" t="s">
        <v>20</v>
      </c>
      <c r="D6" s="8" t="s">
        <v>20</v>
      </c>
      <c r="E6" s="8" t="s">
        <v>1128</v>
      </c>
      <c r="F6" s="8" t="s">
        <v>1119</v>
      </c>
      <c r="G6" s="8" t="s">
        <v>27</v>
      </c>
      <c r="H6" s="8" t="s">
        <v>462</v>
      </c>
      <c r="I6" s="8" t="s">
        <v>20</v>
      </c>
      <c r="J6" s="8" t="s">
        <v>2795</v>
      </c>
      <c r="K6" s="8" t="s">
        <v>1127</v>
      </c>
      <c r="L6" s="8" t="s">
        <v>20</v>
      </c>
      <c r="M6" s="8" t="s">
        <v>20</v>
      </c>
      <c r="N6" s="8" t="s">
        <v>123</v>
      </c>
      <c r="O6" s="8" t="s">
        <v>122</v>
      </c>
      <c r="P6" s="8" t="s">
        <v>27</v>
      </c>
      <c r="Q6" s="145"/>
      <c r="R6" s="8" t="s">
        <v>1111</v>
      </c>
      <c r="S6" s="8" t="s">
        <v>27</v>
      </c>
    </row>
    <row r="7" spans="1:19">
      <c r="B7" s="440"/>
      <c r="C7" s="8" t="s">
        <v>2667</v>
      </c>
      <c r="D7" s="8"/>
      <c r="E7" s="8"/>
      <c r="F7" s="8"/>
      <c r="G7" s="8"/>
      <c r="H7" s="8"/>
      <c r="I7" s="8"/>
      <c r="J7" s="8"/>
      <c r="K7" s="8"/>
      <c r="L7" s="8"/>
      <c r="M7" s="8"/>
      <c r="N7" s="8"/>
      <c r="O7" s="8"/>
      <c r="P7" s="8"/>
      <c r="Q7" s="145"/>
      <c r="R7" s="8"/>
      <c r="S7" s="8"/>
    </row>
    <row r="8" spans="1:19">
      <c r="B8" s="372" t="s">
        <v>1226</v>
      </c>
      <c r="C8" s="373" t="s">
        <v>2868</v>
      </c>
      <c r="D8" s="372" t="s">
        <v>2869</v>
      </c>
      <c r="E8" s="372"/>
      <c r="F8" s="372"/>
      <c r="G8" s="372"/>
      <c r="H8" s="374"/>
      <c r="I8" s="372"/>
      <c r="J8" s="372"/>
      <c r="K8" s="372"/>
      <c r="L8" s="372"/>
      <c r="M8" s="372"/>
      <c r="N8" s="372"/>
      <c r="O8" s="372"/>
      <c r="P8" s="372"/>
      <c r="Q8" s="276"/>
      <c r="R8" s="372"/>
      <c r="S8" s="372"/>
    </row>
    <row r="9" spans="1:19">
      <c r="B9" s="273">
        <f>ROW() - 8</f>
        <v>1</v>
      </c>
      <c r="C9" s="274"/>
      <c r="D9" s="273"/>
      <c r="E9" s="273"/>
      <c r="F9" s="273"/>
      <c r="G9" s="235"/>
      <c r="H9" s="275"/>
      <c r="I9" s="273"/>
      <c r="J9" s="273"/>
      <c r="K9" s="273"/>
      <c r="L9" s="273"/>
      <c r="M9" s="273"/>
      <c r="N9" s="273"/>
      <c r="O9" s="273"/>
      <c r="P9" s="273"/>
      <c r="Q9" s="276"/>
      <c r="R9" s="273"/>
      <c r="S9" s="235"/>
    </row>
    <row r="10" spans="1:19" ht="14.25" customHeight="1">
      <c r="B10" s="273">
        <f t="shared" ref="B10:B11" si="0">ROW() - 8</f>
        <v>2</v>
      </c>
      <c r="C10" s="231"/>
      <c r="D10" s="217"/>
      <c r="E10" s="217"/>
      <c r="F10" s="217"/>
      <c r="G10" s="235"/>
      <c r="H10" s="241"/>
      <c r="I10" s="217"/>
      <c r="J10" s="217"/>
      <c r="K10" s="217"/>
      <c r="L10" s="217"/>
      <c r="M10" s="217"/>
      <c r="N10" s="217"/>
      <c r="O10" s="217"/>
      <c r="P10" s="217"/>
      <c r="Q10" s="276"/>
      <c r="R10" s="217"/>
      <c r="S10" s="235"/>
    </row>
    <row r="11" spans="1:19" ht="14.25" customHeight="1">
      <c r="B11" s="273">
        <f t="shared" si="0"/>
        <v>3</v>
      </c>
      <c r="C11" s="231"/>
      <c r="D11" s="217"/>
      <c r="E11" s="217"/>
      <c r="F11" s="217"/>
      <c r="G11" s="235"/>
      <c r="H11" s="241"/>
      <c r="I11" s="217"/>
      <c r="J11" s="217"/>
      <c r="K11" s="217"/>
      <c r="L11" s="217"/>
      <c r="M11" s="217"/>
      <c r="N11" s="217"/>
      <c r="O11" s="217"/>
      <c r="P11" s="217"/>
      <c r="Q11" s="276"/>
      <c r="R11" s="217"/>
      <c r="S11" s="235"/>
    </row>
  </sheetData>
  <sheetProtection insertRows="0" deleteRows="0" sort="0" autoFilter="0"/>
  <mergeCells count="1">
    <mergeCell ref="B4:B7"/>
  </mergeCells>
  <phoneticPr fontId="14"/>
  <hyperlinks>
    <hyperlink ref="A3" location="パラメータ設定一覧!A1" display="パラメータ設定一覧へ" xr:uid="{7F174248-6125-48D3-9721-75B43E7E4B63}"/>
  </hyperlinks>
  <pageMargins left="0.7" right="0.7" top="0.75" bottom="0.75" header="0.3" footer="0.3"/>
  <pageSetup paperSize="9"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DD264-AF68-482C-A0E4-6059AB54A259}">
  <sheetPr codeName="Sheet42"/>
  <dimension ref="A1:L84"/>
  <sheetViews>
    <sheetView showGridLines="0" zoomScaleNormal="100" workbookViewId="0">
      <pane xSplit="6" ySplit="5" topLeftCell="G6" activePane="bottomRight" state="frozen"/>
      <selection pane="topRight"/>
      <selection pane="bottomLeft"/>
      <selection pane="bottomRight" activeCell="G6" sqref="G6"/>
    </sheetView>
  </sheetViews>
  <sheetFormatPr defaultColWidth="8.78515625" defaultRowHeight="13.5"/>
  <cols>
    <col min="1" max="1" width="2.78515625" style="46" customWidth="1"/>
    <col min="2" max="2" width="3.42578125" style="46" customWidth="1"/>
    <col min="3" max="3" width="14.5703125" style="46" customWidth="1"/>
    <col min="4" max="4" width="5.78515625" style="46" customWidth="1"/>
    <col min="5" max="5" width="14.78515625" style="46" customWidth="1"/>
    <col min="6" max="6" width="23.2109375" style="46" customWidth="1"/>
    <col min="7" max="7" width="59.78515625" style="46" customWidth="1"/>
    <col min="8" max="8" width="20.2109375" style="46" customWidth="1"/>
    <col min="9" max="9" width="11.2109375" style="46" customWidth="1"/>
    <col min="10" max="10" width="28.42578125" style="46" bestFit="1" customWidth="1"/>
    <col min="11" max="11" width="18.2109375" style="46" customWidth="1"/>
    <col min="12" max="12" width="13.2109375" style="46" customWidth="1"/>
    <col min="13" max="16384" width="8.78515625" style="46"/>
  </cols>
  <sheetData>
    <row r="1" spans="1:12" s="86" customFormat="1" ht="19.5">
      <c r="A1" s="148" t="s">
        <v>1275</v>
      </c>
    </row>
    <row r="2" spans="1:12" s="86" customFormat="1" ht="19.5">
      <c r="A2" s="148"/>
      <c r="B2" s="86" t="s">
        <v>1274</v>
      </c>
    </row>
    <row r="3" spans="1:12" s="86" customFormat="1" ht="15">
      <c r="B3" s="86" t="s">
        <v>1273</v>
      </c>
    </row>
    <row r="4" spans="1:12" s="86" customFormat="1" ht="15">
      <c r="A4" s="10" t="s">
        <v>363</v>
      </c>
    </row>
    <row r="5" spans="1:12" ht="27">
      <c r="B5" s="11" t="s">
        <v>1</v>
      </c>
      <c r="C5" s="12" t="s">
        <v>9</v>
      </c>
      <c r="D5" s="12" t="s">
        <v>10</v>
      </c>
      <c r="E5" s="12" t="s">
        <v>11</v>
      </c>
      <c r="F5" s="13" t="s">
        <v>12</v>
      </c>
      <c r="G5" s="13" t="s">
        <v>498</v>
      </c>
      <c r="H5" s="12" t="s">
        <v>14</v>
      </c>
      <c r="I5" s="12" t="s">
        <v>15</v>
      </c>
      <c r="J5" s="11" t="s">
        <v>16</v>
      </c>
      <c r="K5" s="14" t="s">
        <v>17</v>
      </c>
      <c r="L5" s="14" t="s">
        <v>18</v>
      </c>
    </row>
    <row r="6" spans="1:12">
      <c r="B6" s="15">
        <f t="shared" ref="B6:B37" si="0">ROW() - 5</f>
        <v>1</v>
      </c>
      <c r="C6" s="16" t="s">
        <v>166</v>
      </c>
      <c r="D6" s="16"/>
      <c r="E6" s="16" t="s">
        <v>389</v>
      </c>
      <c r="F6" s="17" t="s">
        <v>389</v>
      </c>
      <c r="G6" s="17" t="s">
        <v>331</v>
      </c>
      <c r="H6" s="17" t="s">
        <v>20</v>
      </c>
      <c r="I6" s="17" t="s">
        <v>21</v>
      </c>
      <c r="J6" s="17"/>
      <c r="K6" s="147" t="s">
        <v>1648</v>
      </c>
      <c r="L6" s="3"/>
    </row>
    <row r="7" spans="1:12">
      <c r="B7" s="15">
        <f t="shared" si="0"/>
        <v>2</v>
      </c>
      <c r="C7" s="19"/>
      <c r="D7" s="19"/>
      <c r="E7" s="68"/>
      <c r="F7" s="17" t="s">
        <v>19</v>
      </c>
      <c r="G7" s="17" t="s">
        <v>331</v>
      </c>
      <c r="H7" s="17" t="s">
        <v>20</v>
      </c>
      <c r="I7" s="17" t="s">
        <v>21</v>
      </c>
      <c r="J7" s="17"/>
      <c r="K7" s="147" t="s">
        <v>1648</v>
      </c>
      <c r="L7" s="3"/>
    </row>
    <row r="8" spans="1:12">
      <c r="B8" s="15">
        <f t="shared" si="0"/>
        <v>3</v>
      </c>
      <c r="C8" s="16" t="s">
        <v>23</v>
      </c>
      <c r="D8" s="16"/>
      <c r="E8" s="68"/>
      <c r="F8" s="17" t="s">
        <v>695</v>
      </c>
      <c r="G8" s="17" t="s">
        <v>331</v>
      </c>
      <c r="H8" s="17" t="s">
        <v>694</v>
      </c>
      <c r="I8" s="17" t="s">
        <v>21</v>
      </c>
      <c r="J8" s="17"/>
      <c r="K8" s="147" t="s">
        <v>1648</v>
      </c>
      <c r="L8" s="3"/>
    </row>
    <row r="9" spans="1:12" ht="40.5">
      <c r="B9" s="15">
        <f t="shared" si="0"/>
        <v>4</v>
      </c>
      <c r="C9" s="68"/>
      <c r="D9" s="68"/>
      <c r="E9" s="68"/>
      <c r="F9" s="17" t="s">
        <v>46</v>
      </c>
      <c r="G9" s="17" t="s">
        <v>331</v>
      </c>
      <c r="H9" s="17" t="s">
        <v>1272</v>
      </c>
      <c r="I9" s="17" t="s">
        <v>55</v>
      </c>
      <c r="J9" s="17"/>
      <c r="K9" s="147" t="s">
        <v>1648</v>
      </c>
      <c r="L9" s="3"/>
    </row>
    <row r="10" spans="1:12">
      <c r="B10" s="15">
        <f t="shared" si="0"/>
        <v>5</v>
      </c>
      <c r="C10" s="68"/>
      <c r="D10" s="68"/>
      <c r="E10" s="68"/>
      <c r="F10" s="17" t="s">
        <v>1271</v>
      </c>
      <c r="G10" s="17" t="s">
        <v>1270</v>
      </c>
      <c r="H10" s="17" t="s">
        <v>948</v>
      </c>
      <c r="I10" s="17" t="s">
        <v>21</v>
      </c>
      <c r="J10" s="17" t="s">
        <v>2797</v>
      </c>
      <c r="K10" s="147" t="s">
        <v>1648</v>
      </c>
      <c r="L10" s="3"/>
    </row>
    <row r="11" spans="1:12" ht="40.5">
      <c r="B11" s="15">
        <f t="shared" si="0"/>
        <v>6</v>
      </c>
      <c r="C11" s="68"/>
      <c r="D11" s="68"/>
      <c r="E11" s="68"/>
      <c r="F11" s="17" t="s">
        <v>1269</v>
      </c>
      <c r="G11" s="17" t="s">
        <v>1268</v>
      </c>
      <c r="H11" s="17" t="s">
        <v>948</v>
      </c>
      <c r="I11" s="17" t="s">
        <v>21</v>
      </c>
      <c r="J11" s="17" t="s">
        <v>2797</v>
      </c>
      <c r="K11" s="147" t="s">
        <v>1648</v>
      </c>
      <c r="L11" s="3"/>
    </row>
    <row r="12" spans="1:12">
      <c r="B12" s="15">
        <f t="shared" si="0"/>
        <v>7</v>
      </c>
      <c r="C12" s="68"/>
      <c r="D12" s="68"/>
      <c r="E12" s="68"/>
      <c r="F12" s="17" t="s">
        <v>1267</v>
      </c>
      <c r="G12" s="17" t="s">
        <v>331</v>
      </c>
      <c r="H12" s="17" t="s">
        <v>948</v>
      </c>
      <c r="I12" s="17" t="s">
        <v>21</v>
      </c>
      <c r="J12" s="17"/>
      <c r="K12" s="147" t="s">
        <v>1648</v>
      </c>
      <c r="L12" s="3"/>
    </row>
    <row r="13" spans="1:12">
      <c r="B13" s="15">
        <f t="shared" si="0"/>
        <v>8</v>
      </c>
      <c r="C13" s="68"/>
      <c r="D13" s="68"/>
      <c r="E13" s="19"/>
      <c r="F13" s="17" t="s">
        <v>1266</v>
      </c>
      <c r="G13" s="17" t="s">
        <v>331</v>
      </c>
      <c r="H13" s="17" t="s">
        <v>948</v>
      </c>
      <c r="I13" s="17" t="s">
        <v>21</v>
      </c>
      <c r="J13" s="17"/>
      <c r="K13" s="147" t="s">
        <v>1648</v>
      </c>
      <c r="L13" s="3"/>
    </row>
    <row r="14" spans="1:12">
      <c r="B14" s="15">
        <f t="shared" si="0"/>
        <v>9</v>
      </c>
      <c r="C14" s="19"/>
      <c r="D14" s="19"/>
      <c r="E14" s="17" t="s">
        <v>178</v>
      </c>
      <c r="F14" s="17" t="s">
        <v>60</v>
      </c>
      <c r="G14" s="17" t="s">
        <v>331</v>
      </c>
      <c r="H14" s="17" t="s">
        <v>769</v>
      </c>
      <c r="I14" s="17" t="s">
        <v>21</v>
      </c>
      <c r="J14" s="17"/>
      <c r="K14" s="147" t="s">
        <v>1648</v>
      </c>
      <c r="L14" s="3"/>
    </row>
    <row r="15" spans="1:12">
      <c r="B15" s="15">
        <f t="shared" si="0"/>
        <v>10</v>
      </c>
      <c r="C15" s="16" t="s">
        <v>1117</v>
      </c>
      <c r="D15" s="16"/>
      <c r="E15" s="16" t="s">
        <v>1265</v>
      </c>
      <c r="F15" s="17" t="s">
        <v>180</v>
      </c>
      <c r="G15" s="17" t="s">
        <v>331</v>
      </c>
      <c r="H15" s="17" t="s">
        <v>27</v>
      </c>
      <c r="I15" s="17" t="s">
        <v>28</v>
      </c>
      <c r="J15" s="17"/>
      <c r="K15" s="147" t="s">
        <v>1648</v>
      </c>
      <c r="L15" s="3"/>
    </row>
    <row r="16" spans="1:12" ht="27">
      <c r="B16" s="15">
        <f t="shared" si="0"/>
        <v>11</v>
      </c>
      <c r="C16" s="68"/>
      <c r="D16" s="68"/>
      <c r="E16" s="19"/>
      <c r="F16" s="17" t="s">
        <v>1264</v>
      </c>
      <c r="G16" s="17" t="s">
        <v>331</v>
      </c>
      <c r="H16" s="17" t="s">
        <v>938</v>
      </c>
      <c r="I16" s="17" t="s">
        <v>21</v>
      </c>
      <c r="J16" s="17"/>
      <c r="K16" s="147" t="s">
        <v>1648</v>
      </c>
      <c r="L16" s="3"/>
    </row>
    <row r="17" spans="2:12">
      <c r="B17" s="15">
        <f t="shared" si="0"/>
        <v>12</v>
      </c>
      <c r="C17" s="68"/>
      <c r="D17" s="68"/>
      <c r="E17" s="16" t="s">
        <v>1263</v>
      </c>
      <c r="F17" s="17" t="s">
        <v>900</v>
      </c>
      <c r="G17" s="17" t="s">
        <v>331</v>
      </c>
      <c r="H17" s="17" t="s">
        <v>27</v>
      </c>
      <c r="I17" s="17" t="s">
        <v>28</v>
      </c>
      <c r="J17" s="17"/>
      <c r="K17" s="147" t="s">
        <v>1648</v>
      </c>
      <c r="L17" s="3"/>
    </row>
    <row r="18" spans="2:12">
      <c r="B18" s="15">
        <f t="shared" si="0"/>
        <v>13</v>
      </c>
      <c r="C18" s="68"/>
      <c r="D18" s="68"/>
      <c r="E18" s="68"/>
      <c r="F18" s="17" t="s">
        <v>1263</v>
      </c>
      <c r="G18" s="17" t="s">
        <v>331</v>
      </c>
      <c r="H18" s="17" t="s">
        <v>948</v>
      </c>
      <c r="I18" s="17" t="s">
        <v>21</v>
      </c>
      <c r="J18" s="17"/>
      <c r="K18" s="147" t="s">
        <v>1648</v>
      </c>
      <c r="L18" s="3"/>
    </row>
    <row r="19" spans="2:12">
      <c r="B19" s="15">
        <f t="shared" si="0"/>
        <v>14</v>
      </c>
      <c r="C19" s="19"/>
      <c r="D19" s="19"/>
      <c r="E19" s="19"/>
      <c r="F19" s="17" t="s">
        <v>1262</v>
      </c>
      <c r="G19" s="17" t="s">
        <v>331</v>
      </c>
      <c r="H19" s="17" t="s">
        <v>1261</v>
      </c>
      <c r="I19" s="23">
        <v>0</v>
      </c>
      <c r="J19" s="17"/>
      <c r="K19" s="147" t="s">
        <v>1648</v>
      </c>
      <c r="L19" s="3"/>
    </row>
    <row r="20" spans="2:12" ht="40.5">
      <c r="B20" s="15">
        <f t="shared" si="0"/>
        <v>15</v>
      </c>
      <c r="C20" s="16" t="s">
        <v>1260</v>
      </c>
      <c r="D20" s="16"/>
      <c r="E20" s="16"/>
      <c r="F20" s="17" t="s">
        <v>1259</v>
      </c>
      <c r="G20" s="17" t="s">
        <v>1258</v>
      </c>
      <c r="H20" s="17" t="s">
        <v>1237</v>
      </c>
      <c r="I20" s="17" t="s">
        <v>21</v>
      </c>
      <c r="J20" s="17"/>
      <c r="K20" s="147" t="s">
        <v>1648</v>
      </c>
      <c r="L20" s="3"/>
    </row>
    <row r="21" spans="2:12" ht="40.5">
      <c r="B21" s="15">
        <f t="shared" si="0"/>
        <v>16</v>
      </c>
      <c r="C21" s="68"/>
      <c r="D21" s="68"/>
      <c r="E21" s="68"/>
      <c r="F21" s="17" t="s">
        <v>1257</v>
      </c>
      <c r="G21" s="17" t="s">
        <v>1256</v>
      </c>
      <c r="H21" s="17" t="s">
        <v>1237</v>
      </c>
      <c r="I21" s="17" t="s">
        <v>21</v>
      </c>
      <c r="J21" s="17"/>
      <c r="K21" s="147" t="s">
        <v>1648</v>
      </c>
      <c r="L21" s="3"/>
    </row>
    <row r="22" spans="2:12">
      <c r="B22" s="15">
        <f t="shared" si="0"/>
        <v>17</v>
      </c>
      <c r="C22" s="68"/>
      <c r="D22" s="68"/>
      <c r="E22" s="68"/>
      <c r="F22" s="17" t="s">
        <v>1255</v>
      </c>
      <c r="G22" s="17" t="s">
        <v>1254</v>
      </c>
      <c r="H22" s="17" t="s">
        <v>1237</v>
      </c>
      <c r="I22" s="17" t="s">
        <v>21</v>
      </c>
      <c r="J22" s="17"/>
      <c r="K22" s="147" t="s">
        <v>1648</v>
      </c>
      <c r="L22" s="3"/>
    </row>
    <row r="23" spans="2:12">
      <c r="B23" s="15">
        <f t="shared" si="0"/>
        <v>18</v>
      </c>
      <c r="C23" s="68"/>
      <c r="D23" s="68"/>
      <c r="E23" s="68"/>
      <c r="F23" s="17" t="s">
        <v>1253</v>
      </c>
      <c r="G23" s="17" t="s">
        <v>1252</v>
      </c>
      <c r="H23" s="17" t="s">
        <v>1237</v>
      </c>
      <c r="I23" s="17" t="s">
        <v>21</v>
      </c>
      <c r="J23" s="17"/>
      <c r="K23" s="147" t="s">
        <v>1648</v>
      </c>
      <c r="L23" s="3"/>
    </row>
    <row r="24" spans="2:12" ht="40.5">
      <c r="B24" s="15">
        <f t="shared" si="0"/>
        <v>19</v>
      </c>
      <c r="C24" s="68"/>
      <c r="D24" s="68"/>
      <c r="E24" s="68"/>
      <c r="F24" s="17" t="s">
        <v>1251</v>
      </c>
      <c r="G24" s="17" t="s">
        <v>1250</v>
      </c>
      <c r="H24" s="17" t="s">
        <v>1249</v>
      </c>
      <c r="I24" s="17" t="s">
        <v>223</v>
      </c>
      <c r="J24" s="17"/>
      <c r="K24" s="147" t="s">
        <v>1648</v>
      </c>
      <c r="L24" s="3"/>
    </row>
    <row r="25" spans="2:12">
      <c r="B25" s="15">
        <f t="shared" si="0"/>
        <v>20</v>
      </c>
      <c r="C25" s="68"/>
      <c r="D25" s="68"/>
      <c r="E25" s="68"/>
      <c r="F25" s="17" t="s">
        <v>1248</v>
      </c>
      <c r="G25" s="17" t="s">
        <v>1247</v>
      </c>
      <c r="H25" s="17" t="s">
        <v>1237</v>
      </c>
      <c r="I25" s="17" t="s">
        <v>21</v>
      </c>
      <c r="J25" s="17"/>
      <c r="K25" s="147" t="s">
        <v>1648</v>
      </c>
      <c r="L25" s="3"/>
    </row>
    <row r="26" spans="2:12">
      <c r="B26" s="15">
        <f t="shared" si="0"/>
        <v>21</v>
      </c>
      <c r="C26" s="68"/>
      <c r="D26" s="68"/>
      <c r="E26" s="68"/>
      <c r="F26" s="17" t="s">
        <v>1246</v>
      </c>
      <c r="G26" s="17" t="s">
        <v>331</v>
      </c>
      <c r="H26" s="17" t="s">
        <v>1237</v>
      </c>
      <c r="I26" s="17" t="s">
        <v>21</v>
      </c>
      <c r="J26" s="17"/>
      <c r="K26" s="147" t="s">
        <v>1648</v>
      </c>
      <c r="L26" s="3"/>
    </row>
    <row r="27" spans="2:12">
      <c r="B27" s="15">
        <f t="shared" si="0"/>
        <v>22</v>
      </c>
      <c r="C27" s="68"/>
      <c r="D27" s="68"/>
      <c r="E27" s="68"/>
      <c r="F27" s="17" t="s">
        <v>1245</v>
      </c>
      <c r="G27" s="17" t="s">
        <v>331</v>
      </c>
      <c r="H27" s="17" t="s">
        <v>179</v>
      </c>
      <c r="I27" s="17" t="s">
        <v>21</v>
      </c>
      <c r="J27" s="17"/>
      <c r="K27" s="147" t="s">
        <v>1648</v>
      </c>
      <c r="L27" s="3"/>
    </row>
    <row r="28" spans="2:12" ht="27">
      <c r="B28" s="15">
        <f t="shared" si="0"/>
        <v>23</v>
      </c>
      <c r="C28" s="68"/>
      <c r="D28" s="68"/>
      <c r="E28" s="68"/>
      <c r="F28" s="17" t="s">
        <v>1174</v>
      </c>
      <c r="G28" s="17" t="s">
        <v>1173</v>
      </c>
      <c r="H28" s="17" t="s">
        <v>1172</v>
      </c>
      <c r="I28" s="17" t="s">
        <v>21</v>
      </c>
      <c r="J28" s="17"/>
      <c r="K28" s="147" t="s">
        <v>1648</v>
      </c>
      <c r="L28" s="3"/>
    </row>
    <row r="29" spans="2:12">
      <c r="B29" s="15">
        <f t="shared" si="0"/>
        <v>24</v>
      </c>
      <c r="C29" s="68"/>
      <c r="D29" s="68"/>
      <c r="E29" s="68"/>
      <c r="F29" s="17" t="s">
        <v>1244</v>
      </c>
      <c r="G29" s="17"/>
      <c r="H29" s="17" t="s">
        <v>918</v>
      </c>
      <c r="I29" s="17" t="s">
        <v>21</v>
      </c>
      <c r="J29" s="17"/>
      <c r="K29" s="147" t="s">
        <v>1648</v>
      </c>
      <c r="L29" s="3"/>
    </row>
    <row r="30" spans="2:12" ht="27">
      <c r="B30" s="15">
        <f t="shared" si="0"/>
        <v>25</v>
      </c>
      <c r="C30" s="68"/>
      <c r="D30" s="68"/>
      <c r="E30" s="68"/>
      <c r="F30" s="17" t="s">
        <v>1243</v>
      </c>
      <c r="G30" s="17" t="s">
        <v>1242</v>
      </c>
      <c r="H30" s="17" t="s">
        <v>918</v>
      </c>
      <c r="I30" s="17" t="s">
        <v>21</v>
      </c>
      <c r="J30" s="17"/>
      <c r="K30" s="147" t="s">
        <v>1648</v>
      </c>
      <c r="L30" s="3"/>
    </row>
    <row r="31" spans="2:12" ht="27">
      <c r="B31" s="15">
        <f t="shared" si="0"/>
        <v>26</v>
      </c>
      <c r="C31" s="68"/>
      <c r="D31" s="68"/>
      <c r="E31" s="68"/>
      <c r="F31" s="17" t="s">
        <v>1241</v>
      </c>
      <c r="G31" s="17" t="s">
        <v>1240</v>
      </c>
      <c r="H31" s="17" t="s">
        <v>1237</v>
      </c>
      <c r="I31" s="17" t="s">
        <v>21</v>
      </c>
      <c r="J31" s="17"/>
      <c r="K31" s="147" t="s">
        <v>1648</v>
      </c>
      <c r="L31" s="3"/>
    </row>
    <row r="32" spans="2:12" ht="27">
      <c r="B32" s="15">
        <f t="shared" si="0"/>
        <v>27</v>
      </c>
      <c r="C32" s="68"/>
      <c r="D32" s="68"/>
      <c r="E32" s="68"/>
      <c r="F32" s="17" t="s">
        <v>1239</v>
      </c>
      <c r="G32" s="17" t="s">
        <v>1238</v>
      </c>
      <c r="H32" s="17" t="s">
        <v>1237</v>
      </c>
      <c r="I32" s="17" t="s">
        <v>21</v>
      </c>
      <c r="J32" s="17"/>
      <c r="K32" s="147" t="s">
        <v>1648</v>
      </c>
      <c r="L32" s="3"/>
    </row>
    <row r="33" spans="2:12">
      <c r="B33" s="15">
        <f t="shared" si="0"/>
        <v>28</v>
      </c>
      <c r="C33" s="68"/>
      <c r="D33" s="68"/>
      <c r="E33" s="68"/>
      <c r="F33" s="17" t="s">
        <v>1236</v>
      </c>
      <c r="G33" s="17" t="s">
        <v>1235</v>
      </c>
      <c r="H33" s="17" t="s">
        <v>918</v>
      </c>
      <c r="I33" s="17" t="s">
        <v>21</v>
      </c>
      <c r="J33" s="17"/>
      <c r="K33" s="147" t="s">
        <v>1648</v>
      </c>
      <c r="L33" s="3"/>
    </row>
    <row r="34" spans="2:12">
      <c r="B34" s="15">
        <f t="shared" si="0"/>
        <v>29</v>
      </c>
      <c r="C34" s="16" t="s">
        <v>1234</v>
      </c>
      <c r="D34" s="16"/>
      <c r="E34" s="17" t="s">
        <v>1108</v>
      </c>
      <c r="F34" s="17" t="s">
        <v>1233</v>
      </c>
      <c r="G34" s="17" t="s">
        <v>331</v>
      </c>
      <c r="H34" s="17" t="s">
        <v>27</v>
      </c>
      <c r="I34" s="17" t="s">
        <v>28</v>
      </c>
      <c r="J34" s="17"/>
      <c r="K34" s="147" t="s">
        <v>1648</v>
      </c>
      <c r="L34" s="3"/>
    </row>
    <row r="35" spans="2:12">
      <c r="B35" s="15">
        <f t="shared" si="0"/>
        <v>30</v>
      </c>
      <c r="C35" s="68"/>
      <c r="D35" s="68"/>
      <c r="E35" s="16" t="s">
        <v>1232</v>
      </c>
      <c r="F35" s="17" t="s">
        <v>1231</v>
      </c>
      <c r="G35" s="17" t="s">
        <v>331</v>
      </c>
      <c r="H35" s="17" t="s">
        <v>27</v>
      </c>
      <c r="I35" s="17" t="s">
        <v>28</v>
      </c>
      <c r="J35" s="17"/>
      <c r="K35" s="147" t="s">
        <v>1648</v>
      </c>
      <c r="L35" s="3"/>
    </row>
    <row r="36" spans="2:12">
      <c r="B36" s="15">
        <f t="shared" si="0"/>
        <v>31</v>
      </c>
      <c r="C36" s="68"/>
      <c r="D36" s="68"/>
      <c r="E36" s="19"/>
      <c r="F36" s="17" t="s">
        <v>177</v>
      </c>
      <c r="G36" s="17" t="s">
        <v>331</v>
      </c>
      <c r="H36" s="17" t="s">
        <v>918</v>
      </c>
      <c r="I36" s="17" t="s">
        <v>21</v>
      </c>
      <c r="J36" s="17"/>
      <c r="K36" s="147" t="s">
        <v>1648</v>
      </c>
      <c r="L36" s="3"/>
    </row>
    <row r="37" spans="2:12">
      <c r="B37" s="15">
        <f t="shared" si="0"/>
        <v>32</v>
      </c>
      <c r="C37" s="68"/>
      <c r="D37" s="68"/>
      <c r="E37" s="16" t="s">
        <v>1230</v>
      </c>
      <c r="F37" s="17" t="s">
        <v>1229</v>
      </c>
      <c r="G37" s="17" t="s">
        <v>331</v>
      </c>
      <c r="H37" s="17" t="s">
        <v>27</v>
      </c>
      <c r="I37" s="17" t="s">
        <v>28</v>
      </c>
      <c r="J37" s="17"/>
      <c r="K37" s="147" t="s">
        <v>1648</v>
      </c>
      <c r="L37" s="3"/>
    </row>
    <row r="38" spans="2:12">
      <c r="B38" s="15">
        <f t="shared" ref="B38:B69" si="1">ROW() - 5</f>
        <v>33</v>
      </c>
      <c r="C38" s="68"/>
      <c r="D38" s="68"/>
      <c r="E38" s="19"/>
      <c r="F38" s="17" t="s">
        <v>177</v>
      </c>
      <c r="G38" s="17" t="s">
        <v>331</v>
      </c>
      <c r="H38" s="17" t="s">
        <v>918</v>
      </c>
      <c r="I38" s="17" t="s">
        <v>21</v>
      </c>
      <c r="J38" s="17"/>
      <c r="K38" s="147" t="s">
        <v>1648</v>
      </c>
      <c r="L38" s="3"/>
    </row>
    <row r="39" spans="2:12">
      <c r="B39" s="15">
        <f t="shared" si="1"/>
        <v>34</v>
      </c>
      <c r="C39" s="68"/>
      <c r="D39" s="68"/>
      <c r="E39" s="16" t="s">
        <v>1228</v>
      </c>
      <c r="F39" s="17" t="s">
        <v>1227</v>
      </c>
      <c r="G39" s="17" t="s">
        <v>331</v>
      </c>
      <c r="H39" s="17" t="s">
        <v>27</v>
      </c>
      <c r="I39" s="17" t="s">
        <v>28</v>
      </c>
      <c r="J39" s="17"/>
      <c r="K39" s="147" t="s">
        <v>1648</v>
      </c>
      <c r="L39" s="3"/>
    </row>
    <row r="40" spans="2:12">
      <c r="B40" s="15">
        <f t="shared" si="1"/>
        <v>35</v>
      </c>
      <c r="C40" s="68"/>
      <c r="D40" s="68"/>
      <c r="E40" s="19"/>
      <c r="F40" s="17" t="s">
        <v>177</v>
      </c>
      <c r="G40" s="17" t="s">
        <v>331</v>
      </c>
      <c r="H40" s="17" t="s">
        <v>179</v>
      </c>
      <c r="I40" s="17" t="s">
        <v>21</v>
      </c>
      <c r="J40" s="17"/>
      <c r="K40" s="147" t="s">
        <v>1648</v>
      </c>
      <c r="L40" s="3"/>
    </row>
    <row r="41" spans="2:12">
      <c r="B41" s="15">
        <f t="shared" si="1"/>
        <v>36</v>
      </c>
      <c r="C41" s="19"/>
      <c r="D41" s="19"/>
      <c r="E41" s="17" t="s">
        <v>1226</v>
      </c>
      <c r="F41" s="17" t="s">
        <v>193</v>
      </c>
      <c r="G41" s="17" t="s">
        <v>331</v>
      </c>
      <c r="H41" s="17" t="s">
        <v>179</v>
      </c>
      <c r="I41" s="17" t="s">
        <v>21</v>
      </c>
      <c r="J41" s="17"/>
      <c r="K41" s="147" t="s">
        <v>1648</v>
      </c>
      <c r="L41" s="3"/>
    </row>
    <row r="42" spans="2:12">
      <c r="B42" s="15">
        <f t="shared" si="1"/>
        <v>37</v>
      </c>
      <c r="C42" s="16" t="s">
        <v>31</v>
      </c>
      <c r="D42" s="16"/>
      <c r="E42" s="16"/>
      <c r="F42" s="26" t="s">
        <v>30</v>
      </c>
      <c r="G42" s="17" t="s">
        <v>331</v>
      </c>
      <c r="H42" s="22" t="s">
        <v>20</v>
      </c>
      <c r="I42" s="29" t="s">
        <v>21</v>
      </c>
      <c r="J42" s="26"/>
      <c r="K42" s="147" t="s">
        <v>1648</v>
      </c>
      <c r="L42" s="3"/>
    </row>
    <row r="43" spans="2:12" ht="81">
      <c r="B43" s="15">
        <f t="shared" si="1"/>
        <v>38</v>
      </c>
      <c r="C43" s="68"/>
      <c r="D43" s="68"/>
      <c r="E43" s="68"/>
      <c r="F43" s="26" t="s">
        <v>31</v>
      </c>
      <c r="G43" s="17" t="s">
        <v>331</v>
      </c>
      <c r="H43" s="22" t="s">
        <v>20</v>
      </c>
      <c r="I43" s="29" t="s">
        <v>21</v>
      </c>
      <c r="J43" s="26" t="s">
        <v>1225</v>
      </c>
      <c r="K43" s="147" t="s">
        <v>1648</v>
      </c>
      <c r="L43" s="3"/>
    </row>
    <row r="44" spans="2:12" ht="243">
      <c r="B44" s="15">
        <f t="shared" si="1"/>
        <v>39</v>
      </c>
      <c r="C44" s="68"/>
      <c r="D44" s="68"/>
      <c r="E44" s="68"/>
      <c r="F44" s="26" t="s">
        <v>32</v>
      </c>
      <c r="G44" s="17" t="s">
        <v>331</v>
      </c>
      <c r="H44" s="26" t="s">
        <v>789</v>
      </c>
      <c r="I44" s="29" t="s">
        <v>21</v>
      </c>
      <c r="J44" s="26"/>
      <c r="K44" s="147" t="s">
        <v>1648</v>
      </c>
      <c r="L44" s="3"/>
    </row>
    <row r="45" spans="2:12">
      <c r="B45" s="15">
        <f t="shared" si="1"/>
        <v>40</v>
      </c>
      <c r="C45" s="68"/>
      <c r="D45" s="68"/>
      <c r="E45" s="68"/>
      <c r="F45" s="26" t="s">
        <v>33</v>
      </c>
      <c r="G45" s="17" t="s">
        <v>331</v>
      </c>
      <c r="H45" s="26" t="s">
        <v>27</v>
      </c>
      <c r="I45" s="29" t="s">
        <v>21</v>
      </c>
      <c r="J45" s="26"/>
      <c r="K45" s="147" t="s">
        <v>1648</v>
      </c>
      <c r="L45" s="3"/>
    </row>
    <row r="46" spans="2:12">
      <c r="B46" s="15">
        <f t="shared" si="1"/>
        <v>41</v>
      </c>
      <c r="C46" s="68"/>
      <c r="D46" s="68"/>
      <c r="E46" s="68"/>
      <c r="F46" s="26" t="s">
        <v>35</v>
      </c>
      <c r="G46" s="17" t="s">
        <v>331</v>
      </c>
      <c r="H46" s="26" t="s">
        <v>36</v>
      </c>
      <c r="I46" s="29" t="s">
        <v>21</v>
      </c>
      <c r="J46" s="26" t="s">
        <v>1224</v>
      </c>
      <c r="K46" s="147" t="s">
        <v>1648</v>
      </c>
      <c r="L46" s="3"/>
    </row>
    <row r="47" spans="2:12">
      <c r="B47" s="15">
        <f t="shared" si="1"/>
        <v>42</v>
      </c>
      <c r="C47" s="68"/>
      <c r="D47" s="68"/>
      <c r="E47" s="68"/>
      <c r="F47" s="26" t="s">
        <v>38</v>
      </c>
      <c r="G47" s="17" t="s">
        <v>331</v>
      </c>
      <c r="H47" s="26" t="s">
        <v>20</v>
      </c>
      <c r="I47" s="29" t="s">
        <v>21</v>
      </c>
      <c r="J47" s="26" t="s">
        <v>1224</v>
      </c>
      <c r="K47" s="147" t="s">
        <v>1648</v>
      </c>
      <c r="L47" s="3"/>
    </row>
    <row r="48" spans="2:12">
      <c r="B48" s="15">
        <f t="shared" si="1"/>
        <v>43</v>
      </c>
      <c r="C48" s="68"/>
      <c r="D48" s="68"/>
      <c r="E48" s="68"/>
      <c r="F48" s="26" t="s">
        <v>31</v>
      </c>
      <c r="G48" s="17" t="s">
        <v>331</v>
      </c>
      <c r="H48" s="26" t="s">
        <v>20</v>
      </c>
      <c r="I48" s="29" t="s">
        <v>21</v>
      </c>
      <c r="J48" s="26" t="s">
        <v>1224</v>
      </c>
      <c r="K48" s="147" t="s">
        <v>1648</v>
      </c>
      <c r="L48" s="3"/>
    </row>
    <row r="49" spans="2:12">
      <c r="B49" s="15">
        <f t="shared" si="1"/>
        <v>44</v>
      </c>
      <c r="C49" s="68"/>
      <c r="D49" s="68"/>
      <c r="E49" s="68"/>
      <c r="F49" s="26" t="s">
        <v>40</v>
      </c>
      <c r="G49" s="17" t="s">
        <v>331</v>
      </c>
      <c r="H49" s="26" t="s">
        <v>123</v>
      </c>
      <c r="I49" s="29" t="s">
        <v>21</v>
      </c>
      <c r="J49" s="26" t="s">
        <v>1224</v>
      </c>
      <c r="K49" s="147" t="s">
        <v>1648</v>
      </c>
      <c r="L49" s="3"/>
    </row>
    <row r="50" spans="2:12">
      <c r="B50" s="15">
        <f t="shared" si="1"/>
        <v>45</v>
      </c>
      <c r="C50" s="68"/>
      <c r="D50" s="68"/>
      <c r="E50" s="68"/>
      <c r="F50" s="26" t="s">
        <v>42</v>
      </c>
      <c r="G50" s="17" t="s">
        <v>331</v>
      </c>
      <c r="H50" s="26" t="s">
        <v>122</v>
      </c>
      <c r="I50" s="29" t="s">
        <v>21</v>
      </c>
      <c r="J50" s="26" t="s">
        <v>1224</v>
      </c>
      <c r="K50" s="147" t="s">
        <v>1648</v>
      </c>
      <c r="L50" s="3"/>
    </row>
    <row r="51" spans="2:12">
      <c r="B51" s="15">
        <f t="shared" si="1"/>
        <v>46</v>
      </c>
      <c r="C51" s="19"/>
      <c r="D51" s="19"/>
      <c r="E51" s="19"/>
      <c r="F51" s="26" t="s">
        <v>43</v>
      </c>
      <c r="G51" s="17" t="s">
        <v>331</v>
      </c>
      <c r="H51" s="26" t="s">
        <v>27</v>
      </c>
      <c r="I51" s="29" t="s">
        <v>21</v>
      </c>
      <c r="J51" s="26" t="s">
        <v>1224</v>
      </c>
      <c r="K51" s="147" t="s">
        <v>1648</v>
      </c>
      <c r="L51" s="3"/>
    </row>
    <row r="52" spans="2:12">
      <c r="B52" s="15">
        <f t="shared" si="1"/>
        <v>47</v>
      </c>
      <c r="C52" s="17" t="s">
        <v>26</v>
      </c>
      <c r="D52" s="17"/>
      <c r="E52" s="17" t="s">
        <v>83</v>
      </c>
      <c r="F52" s="26"/>
      <c r="G52" s="26" t="s">
        <v>1113</v>
      </c>
      <c r="H52" s="26"/>
      <c r="I52" s="29"/>
      <c r="J52" s="26"/>
      <c r="K52" s="147" t="s">
        <v>1648</v>
      </c>
      <c r="L52" s="3"/>
    </row>
    <row r="53" spans="2:12">
      <c r="B53" s="15">
        <f t="shared" si="1"/>
        <v>48</v>
      </c>
      <c r="C53" s="16" t="s">
        <v>559</v>
      </c>
      <c r="D53" s="68"/>
      <c r="E53" s="16" t="s">
        <v>1223</v>
      </c>
      <c r="F53" s="26" t="s">
        <v>1222</v>
      </c>
      <c r="G53" s="26" t="s">
        <v>331</v>
      </c>
      <c r="H53" s="26" t="s">
        <v>179</v>
      </c>
      <c r="I53" s="29" t="s">
        <v>21</v>
      </c>
      <c r="J53" s="26"/>
      <c r="K53" s="147" t="s">
        <v>1648</v>
      </c>
      <c r="L53" s="3"/>
    </row>
    <row r="54" spans="2:12">
      <c r="B54" s="15">
        <f t="shared" si="1"/>
        <v>49</v>
      </c>
      <c r="C54" s="68"/>
      <c r="D54" s="68"/>
      <c r="E54" s="19"/>
      <c r="F54" s="26" t="s">
        <v>1221</v>
      </c>
      <c r="G54" s="26" t="s">
        <v>331</v>
      </c>
      <c r="H54" s="26" t="s">
        <v>27</v>
      </c>
      <c r="I54" s="29" t="s">
        <v>28</v>
      </c>
      <c r="J54" s="26"/>
      <c r="K54" s="147" t="s">
        <v>1648</v>
      </c>
      <c r="L54" s="3"/>
    </row>
    <row r="55" spans="2:12">
      <c r="B55" s="15">
        <f t="shared" si="1"/>
        <v>50</v>
      </c>
      <c r="C55" s="68"/>
      <c r="D55" s="68"/>
      <c r="E55" s="17" t="s">
        <v>1220</v>
      </c>
      <c r="F55" s="17" t="s">
        <v>1219</v>
      </c>
      <c r="G55" s="26" t="s">
        <v>331</v>
      </c>
      <c r="H55" s="17" t="s">
        <v>1216</v>
      </c>
      <c r="I55" s="17" t="s">
        <v>21</v>
      </c>
      <c r="J55" s="17"/>
      <c r="K55" s="147" t="s">
        <v>1648</v>
      </c>
      <c r="L55" s="3"/>
    </row>
    <row r="56" spans="2:12">
      <c r="B56" s="15">
        <f t="shared" si="1"/>
        <v>51</v>
      </c>
      <c r="C56" s="68"/>
      <c r="D56" s="68"/>
      <c r="E56" s="17" t="s">
        <v>1218</v>
      </c>
      <c r="F56" s="17" t="s">
        <v>1217</v>
      </c>
      <c r="G56" s="26" t="s">
        <v>331</v>
      </c>
      <c r="H56" s="17" t="s">
        <v>1216</v>
      </c>
      <c r="I56" s="17" t="s">
        <v>21</v>
      </c>
      <c r="J56" s="17"/>
      <c r="K56" s="147" t="s">
        <v>1648</v>
      </c>
      <c r="L56" s="3"/>
    </row>
    <row r="57" spans="2:12">
      <c r="B57" s="15">
        <f t="shared" si="1"/>
        <v>52</v>
      </c>
      <c r="C57" s="19"/>
      <c r="D57" s="19"/>
      <c r="E57" s="17" t="s">
        <v>1215</v>
      </c>
      <c r="F57" s="17" t="s">
        <v>1214</v>
      </c>
      <c r="G57" s="26" t="s">
        <v>331</v>
      </c>
      <c r="H57" s="17" t="s">
        <v>1213</v>
      </c>
      <c r="I57" s="17" t="s">
        <v>21</v>
      </c>
      <c r="J57" s="17"/>
      <c r="K57" s="147" t="s">
        <v>1648</v>
      </c>
      <c r="L57" s="3"/>
    </row>
    <row r="58" spans="2:12">
      <c r="B58" s="15">
        <f t="shared" si="1"/>
        <v>53</v>
      </c>
      <c r="C58" s="16" t="s">
        <v>389</v>
      </c>
      <c r="D58" s="16"/>
      <c r="E58" s="16"/>
      <c r="F58" s="17" t="s">
        <v>1212</v>
      </c>
      <c r="G58" s="17" t="s">
        <v>1211</v>
      </c>
      <c r="H58" s="17" t="s">
        <v>27</v>
      </c>
      <c r="I58" s="17" t="s">
        <v>28</v>
      </c>
      <c r="J58" s="17"/>
      <c r="K58" s="147" t="s">
        <v>1648</v>
      </c>
      <c r="L58" s="3"/>
    </row>
    <row r="59" spans="2:12" ht="40.5">
      <c r="B59" s="15">
        <f t="shared" si="1"/>
        <v>54</v>
      </c>
      <c r="C59" s="68"/>
      <c r="D59" s="68"/>
      <c r="E59" s="68"/>
      <c r="F59" s="17" t="s">
        <v>1210</v>
      </c>
      <c r="G59" s="17" t="s">
        <v>1209</v>
      </c>
      <c r="H59" s="17" t="s">
        <v>27</v>
      </c>
      <c r="I59" s="17" t="s">
        <v>28</v>
      </c>
      <c r="J59" s="17" t="s">
        <v>1194</v>
      </c>
      <c r="K59" s="147" t="s">
        <v>1648</v>
      </c>
      <c r="L59" s="3"/>
    </row>
    <row r="60" spans="2:12" ht="27">
      <c r="B60" s="15">
        <f t="shared" si="1"/>
        <v>55</v>
      </c>
      <c r="C60" s="68"/>
      <c r="D60" s="68"/>
      <c r="E60" s="68"/>
      <c r="F60" s="17" t="s">
        <v>1208</v>
      </c>
      <c r="G60" s="17" t="s">
        <v>1207</v>
      </c>
      <c r="H60" s="17" t="s">
        <v>1206</v>
      </c>
      <c r="I60" s="17" t="s">
        <v>331</v>
      </c>
      <c r="J60" s="17" t="s">
        <v>1194</v>
      </c>
      <c r="K60" s="147" t="s">
        <v>1648</v>
      </c>
      <c r="L60" s="3"/>
    </row>
    <row r="61" spans="2:12" ht="54">
      <c r="B61" s="15">
        <f t="shared" si="1"/>
        <v>56</v>
      </c>
      <c r="C61" s="68"/>
      <c r="D61" s="68"/>
      <c r="E61" s="68"/>
      <c r="F61" s="17" t="s">
        <v>1205</v>
      </c>
      <c r="G61" s="17" t="s">
        <v>1204</v>
      </c>
      <c r="H61" s="17" t="s">
        <v>1203</v>
      </c>
      <c r="I61" s="17" t="s">
        <v>331</v>
      </c>
      <c r="J61" s="17" t="s">
        <v>1194</v>
      </c>
      <c r="K61" s="147" t="s">
        <v>1648</v>
      </c>
      <c r="L61" s="3"/>
    </row>
    <row r="62" spans="2:12" ht="27">
      <c r="B62" s="15">
        <f t="shared" si="1"/>
        <v>57</v>
      </c>
      <c r="C62" s="68"/>
      <c r="D62" s="68"/>
      <c r="E62" s="16" t="s">
        <v>217</v>
      </c>
      <c r="F62" s="17" t="s">
        <v>1202</v>
      </c>
      <c r="G62" s="17" t="s">
        <v>331</v>
      </c>
      <c r="H62" s="17" t="s">
        <v>27</v>
      </c>
      <c r="I62" s="17" t="s">
        <v>28</v>
      </c>
      <c r="J62" s="17" t="s">
        <v>1194</v>
      </c>
      <c r="K62" s="147" t="s">
        <v>1648</v>
      </c>
      <c r="L62" s="3"/>
    </row>
    <row r="63" spans="2:12" ht="27">
      <c r="B63" s="15">
        <f t="shared" si="1"/>
        <v>58</v>
      </c>
      <c r="C63" s="68"/>
      <c r="D63" s="68"/>
      <c r="E63" s="68"/>
      <c r="F63" s="17" t="s">
        <v>1201</v>
      </c>
      <c r="G63" s="17" t="s">
        <v>1200</v>
      </c>
      <c r="H63" s="17" t="s">
        <v>27</v>
      </c>
      <c r="I63" s="17" t="s">
        <v>28</v>
      </c>
      <c r="J63" s="17" t="s">
        <v>1194</v>
      </c>
      <c r="K63" s="147" t="s">
        <v>1648</v>
      </c>
      <c r="L63" s="3"/>
    </row>
    <row r="64" spans="2:12" ht="27">
      <c r="B64" s="15">
        <f t="shared" si="1"/>
        <v>59</v>
      </c>
      <c r="C64" s="68"/>
      <c r="D64" s="68"/>
      <c r="E64" s="68"/>
      <c r="F64" s="17" t="s">
        <v>1199</v>
      </c>
      <c r="G64" s="17" t="s">
        <v>1198</v>
      </c>
      <c r="H64" s="17" t="s">
        <v>27</v>
      </c>
      <c r="I64" s="17" t="s">
        <v>28</v>
      </c>
      <c r="J64" s="17" t="s">
        <v>1194</v>
      </c>
      <c r="K64" s="147" t="s">
        <v>1648</v>
      </c>
      <c r="L64" s="3"/>
    </row>
    <row r="65" spans="2:12" ht="40.5">
      <c r="B65" s="15">
        <f t="shared" si="1"/>
        <v>60</v>
      </c>
      <c r="C65" s="68"/>
      <c r="D65" s="68"/>
      <c r="E65" s="68"/>
      <c r="F65" s="17" t="s">
        <v>1197</v>
      </c>
      <c r="G65" s="17" t="s">
        <v>1196</v>
      </c>
      <c r="H65" s="17" t="s">
        <v>1195</v>
      </c>
      <c r="I65" s="17" t="s">
        <v>331</v>
      </c>
      <c r="J65" s="17" t="s">
        <v>1194</v>
      </c>
      <c r="K65" s="147" t="s">
        <v>1648</v>
      </c>
      <c r="L65" s="3"/>
    </row>
    <row r="66" spans="2:12" ht="27">
      <c r="B66" s="15">
        <f t="shared" si="1"/>
        <v>61</v>
      </c>
      <c r="C66" s="68"/>
      <c r="D66" s="68"/>
      <c r="E66" s="68"/>
      <c r="F66" s="17" t="s">
        <v>1193</v>
      </c>
      <c r="G66" s="17"/>
      <c r="H66" s="17" t="s">
        <v>1192</v>
      </c>
      <c r="I66" s="17" t="s">
        <v>331</v>
      </c>
      <c r="J66" s="17" t="s">
        <v>1191</v>
      </c>
      <c r="K66" s="147" t="s">
        <v>1648</v>
      </c>
      <c r="L66" s="3"/>
    </row>
    <row r="67" spans="2:12" ht="67.5">
      <c r="B67" s="15">
        <f t="shared" si="1"/>
        <v>62</v>
      </c>
      <c r="C67" s="68"/>
      <c r="D67" s="68"/>
      <c r="E67" s="16" t="s">
        <v>1190</v>
      </c>
      <c r="F67" s="17" t="s">
        <v>1189</v>
      </c>
      <c r="G67" s="17" t="s">
        <v>1188</v>
      </c>
      <c r="H67" s="17" t="s">
        <v>27</v>
      </c>
      <c r="I67" s="17" t="s">
        <v>28</v>
      </c>
      <c r="J67" s="17"/>
      <c r="K67" s="147" t="s">
        <v>1648</v>
      </c>
      <c r="L67" s="3"/>
    </row>
    <row r="68" spans="2:12">
      <c r="B68" s="15">
        <f t="shared" si="1"/>
        <v>63</v>
      </c>
      <c r="C68" s="68"/>
      <c r="D68" s="68"/>
      <c r="E68" s="19"/>
      <c r="F68" s="17" t="s">
        <v>1187</v>
      </c>
      <c r="G68" s="17" t="s">
        <v>331</v>
      </c>
      <c r="H68" s="17" t="s">
        <v>27</v>
      </c>
      <c r="I68" s="17" t="s">
        <v>28</v>
      </c>
      <c r="J68" s="17"/>
      <c r="K68" s="147" t="s">
        <v>1648</v>
      </c>
      <c r="L68" s="3"/>
    </row>
    <row r="69" spans="2:12" ht="27">
      <c r="B69" s="15">
        <f t="shared" si="1"/>
        <v>64</v>
      </c>
      <c r="C69" s="68"/>
      <c r="D69" s="68"/>
      <c r="E69" s="16" t="s">
        <v>1186</v>
      </c>
      <c r="F69" s="17" t="s">
        <v>1185</v>
      </c>
      <c r="G69" s="17" t="s">
        <v>1184</v>
      </c>
      <c r="H69" s="17" t="s">
        <v>27</v>
      </c>
      <c r="I69" s="17" t="s">
        <v>28</v>
      </c>
      <c r="J69" s="17"/>
      <c r="K69" s="147" t="s">
        <v>1648</v>
      </c>
      <c r="L69" s="3"/>
    </row>
    <row r="70" spans="2:12" ht="27">
      <c r="B70" s="15">
        <f t="shared" ref="B70:B84" si="2">ROW() - 5</f>
        <v>65</v>
      </c>
      <c r="C70" s="68"/>
      <c r="D70" s="68"/>
      <c r="E70" s="17" t="s">
        <v>1183</v>
      </c>
      <c r="F70" s="17" t="s">
        <v>1182</v>
      </c>
      <c r="G70" s="17" t="s">
        <v>1181</v>
      </c>
      <c r="H70" s="17" t="s">
        <v>27</v>
      </c>
      <c r="I70" s="17" t="s">
        <v>28</v>
      </c>
      <c r="J70" s="17"/>
      <c r="K70" s="147" t="s">
        <v>1648</v>
      </c>
      <c r="L70" s="3"/>
    </row>
    <row r="71" spans="2:12" ht="27">
      <c r="B71" s="15">
        <f t="shared" si="2"/>
        <v>66</v>
      </c>
      <c r="C71" s="68"/>
      <c r="D71" s="68"/>
      <c r="E71" s="17" t="s">
        <v>1180</v>
      </c>
      <c r="F71" s="17" t="s">
        <v>1179</v>
      </c>
      <c r="G71" s="17" t="s">
        <v>1178</v>
      </c>
      <c r="H71" s="17" t="s">
        <v>27</v>
      </c>
      <c r="I71" s="17" t="s">
        <v>28</v>
      </c>
      <c r="J71" s="17"/>
      <c r="K71" s="147" t="s">
        <v>1648</v>
      </c>
      <c r="L71" s="3"/>
    </row>
    <row r="72" spans="2:12" ht="27">
      <c r="B72" s="15">
        <f t="shared" si="2"/>
        <v>67</v>
      </c>
      <c r="C72" s="68"/>
      <c r="D72" s="68"/>
      <c r="E72" s="16" t="s">
        <v>1177</v>
      </c>
      <c r="F72" s="17" t="s">
        <v>613</v>
      </c>
      <c r="G72" s="17" t="s">
        <v>1176</v>
      </c>
      <c r="H72" s="17" t="s">
        <v>1175</v>
      </c>
      <c r="I72" s="17" t="s">
        <v>21</v>
      </c>
      <c r="J72" s="17"/>
      <c r="K72" s="147" t="s">
        <v>1648</v>
      </c>
      <c r="L72" s="3"/>
    </row>
    <row r="73" spans="2:12" ht="27">
      <c r="B73" s="15">
        <f t="shared" si="2"/>
        <v>68</v>
      </c>
      <c r="C73" s="68"/>
      <c r="D73" s="68"/>
      <c r="E73" s="19"/>
      <c r="F73" s="17" t="s">
        <v>1174</v>
      </c>
      <c r="G73" s="17" t="s">
        <v>1173</v>
      </c>
      <c r="H73" s="17" t="s">
        <v>1172</v>
      </c>
      <c r="I73" s="17" t="s">
        <v>21</v>
      </c>
      <c r="J73" s="17"/>
      <c r="K73" s="147" t="s">
        <v>1648</v>
      </c>
      <c r="L73" s="3"/>
    </row>
    <row r="74" spans="2:12" ht="40.5">
      <c r="B74" s="15">
        <f t="shared" si="2"/>
        <v>69</v>
      </c>
      <c r="C74" s="68"/>
      <c r="D74" s="68"/>
      <c r="E74" s="16" t="s">
        <v>1171</v>
      </c>
      <c r="F74" s="17" t="s">
        <v>1170</v>
      </c>
      <c r="G74" s="17" t="s">
        <v>1169</v>
      </c>
      <c r="H74" s="17" t="s">
        <v>1168</v>
      </c>
      <c r="I74" s="17" t="s">
        <v>28</v>
      </c>
      <c r="J74" s="17"/>
      <c r="K74" s="147" t="s">
        <v>1648</v>
      </c>
      <c r="L74" s="3"/>
    </row>
    <row r="75" spans="2:12" ht="40.5">
      <c r="B75" s="15">
        <f t="shared" si="2"/>
        <v>70</v>
      </c>
      <c r="C75" s="68"/>
      <c r="D75" s="68"/>
      <c r="E75" s="19"/>
      <c r="F75" s="17" t="s">
        <v>1167</v>
      </c>
      <c r="G75" s="17" t="s">
        <v>1166</v>
      </c>
      <c r="H75" s="17" t="s">
        <v>27</v>
      </c>
      <c r="I75" s="17" t="s">
        <v>28</v>
      </c>
      <c r="J75" s="17"/>
      <c r="K75" s="147" t="s">
        <v>1648</v>
      </c>
      <c r="L75" s="3"/>
    </row>
    <row r="76" spans="2:12" ht="27">
      <c r="B76" s="15">
        <f t="shared" si="2"/>
        <v>71</v>
      </c>
      <c r="C76" s="68"/>
      <c r="D76" s="68"/>
      <c r="E76" s="16" t="s">
        <v>1165</v>
      </c>
      <c r="F76" s="17" t="s">
        <v>1164</v>
      </c>
      <c r="G76" s="17" t="s">
        <v>1163</v>
      </c>
      <c r="H76" s="17" t="s">
        <v>27</v>
      </c>
      <c r="I76" s="17" t="s">
        <v>28</v>
      </c>
      <c r="J76" s="17"/>
      <c r="K76" s="147" t="s">
        <v>1648</v>
      </c>
      <c r="L76" s="3"/>
    </row>
    <row r="77" spans="2:12" ht="40.5">
      <c r="B77" s="15">
        <f t="shared" si="2"/>
        <v>72</v>
      </c>
      <c r="C77" s="68"/>
      <c r="D77" s="68"/>
      <c r="E77" s="19"/>
      <c r="F77" s="17" t="s">
        <v>1162</v>
      </c>
      <c r="G77" s="17" t="s">
        <v>1161</v>
      </c>
      <c r="H77" s="17" t="s">
        <v>27</v>
      </c>
      <c r="I77" s="17" t="s">
        <v>28</v>
      </c>
      <c r="J77" s="17"/>
      <c r="K77" s="147" t="s">
        <v>1648</v>
      </c>
      <c r="L77" s="3"/>
    </row>
    <row r="78" spans="2:12" ht="27">
      <c r="B78" s="15">
        <f t="shared" si="2"/>
        <v>73</v>
      </c>
      <c r="C78" s="68"/>
      <c r="D78" s="68"/>
      <c r="E78" s="16" t="s">
        <v>1160</v>
      </c>
      <c r="F78" s="17" t="s">
        <v>1159</v>
      </c>
      <c r="G78" s="17" t="s">
        <v>1158</v>
      </c>
      <c r="H78" s="17" t="s">
        <v>27</v>
      </c>
      <c r="I78" s="17" t="s">
        <v>28</v>
      </c>
      <c r="J78" s="17"/>
      <c r="K78" s="147" t="s">
        <v>1648</v>
      </c>
      <c r="L78" s="3"/>
    </row>
    <row r="79" spans="2:12">
      <c r="B79" s="15">
        <f t="shared" si="2"/>
        <v>74</v>
      </c>
      <c r="C79" s="68"/>
      <c r="D79" s="68"/>
      <c r="E79" s="16" t="s">
        <v>1157</v>
      </c>
      <c r="F79" s="17" t="s">
        <v>1156</v>
      </c>
      <c r="G79" s="17" t="s">
        <v>1155</v>
      </c>
      <c r="H79" s="17" t="s">
        <v>1152</v>
      </c>
      <c r="I79" s="17" t="s">
        <v>21</v>
      </c>
      <c r="J79" s="17"/>
      <c r="K79" s="147" t="s">
        <v>1648</v>
      </c>
      <c r="L79" s="3"/>
    </row>
    <row r="80" spans="2:12">
      <c r="B80" s="15">
        <f t="shared" si="2"/>
        <v>75</v>
      </c>
      <c r="C80" s="68"/>
      <c r="D80" s="68"/>
      <c r="E80" s="19"/>
      <c r="F80" s="17" t="s">
        <v>1154</v>
      </c>
      <c r="G80" s="17" t="s">
        <v>1153</v>
      </c>
      <c r="H80" s="17" t="s">
        <v>1152</v>
      </c>
      <c r="I80" s="17" t="s">
        <v>21</v>
      </c>
      <c r="J80" s="17"/>
      <c r="K80" s="147" t="s">
        <v>1648</v>
      </c>
      <c r="L80" s="3"/>
    </row>
    <row r="81" spans="2:12">
      <c r="B81" s="15">
        <f t="shared" si="2"/>
        <v>76</v>
      </c>
      <c r="C81" s="16" t="s">
        <v>1151</v>
      </c>
      <c r="D81" s="16"/>
      <c r="E81" s="16"/>
      <c r="F81" s="17" t="s">
        <v>1150</v>
      </c>
      <c r="G81" s="17" t="s">
        <v>331</v>
      </c>
      <c r="H81" s="17" t="s">
        <v>50</v>
      </c>
      <c r="I81" s="23">
        <v>0</v>
      </c>
      <c r="J81" s="17"/>
      <c r="K81" s="147" t="s">
        <v>1648</v>
      </c>
      <c r="L81" s="3"/>
    </row>
    <row r="82" spans="2:12">
      <c r="B82" s="15">
        <f t="shared" si="2"/>
        <v>77</v>
      </c>
      <c r="C82" s="68"/>
      <c r="D82" s="68"/>
      <c r="E82" s="68"/>
      <c r="F82" s="17" t="s">
        <v>1149</v>
      </c>
      <c r="G82" s="17" t="s">
        <v>331</v>
      </c>
      <c r="H82" s="17" t="s">
        <v>50</v>
      </c>
      <c r="I82" s="23">
        <v>0</v>
      </c>
      <c r="J82" s="17"/>
      <c r="K82" s="147" t="s">
        <v>1648</v>
      </c>
      <c r="L82" s="3"/>
    </row>
    <row r="83" spans="2:12">
      <c r="B83" s="15">
        <f t="shared" si="2"/>
        <v>78</v>
      </c>
      <c r="C83" s="68"/>
      <c r="D83" s="68"/>
      <c r="E83" s="68"/>
      <c r="F83" s="17" t="s">
        <v>1148</v>
      </c>
      <c r="G83" s="17" t="s">
        <v>331</v>
      </c>
      <c r="H83" s="17" t="s">
        <v>27</v>
      </c>
      <c r="I83" s="17" t="s">
        <v>28</v>
      </c>
      <c r="J83" s="17"/>
      <c r="K83" s="147" t="s">
        <v>1648</v>
      </c>
      <c r="L83" s="3"/>
    </row>
    <row r="84" spans="2:12">
      <c r="B84" s="15">
        <f t="shared" si="2"/>
        <v>79</v>
      </c>
      <c r="C84" s="19"/>
      <c r="D84" s="19"/>
      <c r="E84" s="19"/>
      <c r="F84" s="17" t="s">
        <v>1147</v>
      </c>
      <c r="G84" s="17" t="s">
        <v>331</v>
      </c>
      <c r="H84" s="17" t="s">
        <v>27</v>
      </c>
      <c r="I84" s="17" t="s">
        <v>28</v>
      </c>
      <c r="J84" s="17"/>
      <c r="K84" s="147" t="s">
        <v>1648</v>
      </c>
      <c r="L84" s="3"/>
    </row>
  </sheetData>
  <phoneticPr fontId="14"/>
  <hyperlinks>
    <hyperlink ref="A4" location="パラメータ設定一覧!A1" display="パラメータ設定一覧へ" xr:uid="{DC970139-B13A-4482-B2F2-4AEAD920A8CC}"/>
  </hyperlinks>
  <pageMargins left="0.7" right="0.7" top="0.75" bottom="0.75" header="0.3" footer="0.3"/>
  <pageSetup paperSize="9" orientation="portrait" verticalDpi="0"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F8080-0B51-4A85-8208-667EDB6CD86B}">
  <sheetPr codeName="Sheet43"/>
  <dimension ref="A1:CC19"/>
  <sheetViews>
    <sheetView showGridLines="0" zoomScaleNormal="100" workbookViewId="0">
      <pane xSplit="4" ySplit="8" topLeftCell="E9" activePane="bottomRight" state="frozen"/>
      <selection pane="topRight"/>
      <selection pane="bottomLeft"/>
      <selection pane="bottomRight" activeCell="E9" sqref="E9"/>
    </sheetView>
  </sheetViews>
  <sheetFormatPr defaultColWidth="8.78515625" defaultRowHeight="13.5"/>
  <cols>
    <col min="1" max="1" width="2.78515625" style="46" customWidth="1"/>
    <col min="2" max="2" width="3.5703125" style="46" bestFit="1" customWidth="1"/>
    <col min="3" max="3" width="10.42578125" style="46" customWidth="1"/>
    <col min="4" max="4" width="20.35546875" style="46" customWidth="1"/>
    <col min="5" max="5" width="14.2109375" style="46" customWidth="1"/>
    <col min="6" max="6" width="13.42578125" style="46" customWidth="1"/>
    <col min="7" max="7" width="16.640625" style="46" customWidth="1"/>
    <col min="8" max="10" width="15.640625" style="46" customWidth="1"/>
    <col min="11" max="11" width="15.2109375" style="46" customWidth="1"/>
    <col min="12" max="12" width="10" style="46" customWidth="1"/>
    <col min="13" max="13" width="15.42578125" style="46" customWidth="1"/>
    <col min="14" max="14" width="10" style="46" customWidth="1"/>
    <col min="15" max="15" width="14.78515625" style="46" customWidth="1"/>
    <col min="16" max="16" width="10" style="46" customWidth="1"/>
    <col min="17" max="17" width="16" style="46" bestFit="1" customWidth="1"/>
    <col min="18" max="18" width="16" style="46" customWidth="1"/>
    <col min="19" max="19" width="20.2109375" style="46" bestFit="1" customWidth="1"/>
    <col min="20" max="20" width="15" style="46" customWidth="1"/>
    <col min="21" max="21" width="22.2109375" style="46" customWidth="1"/>
    <col min="22" max="22" width="18.5703125" style="46" bestFit="1" customWidth="1"/>
    <col min="23" max="23" width="15.35546875" style="46" customWidth="1"/>
    <col min="24" max="24" width="19.2109375" style="46" customWidth="1"/>
    <col min="25" max="29" width="17.640625" style="46" customWidth="1"/>
    <col min="30" max="30" width="15.5703125" style="46" bestFit="1" customWidth="1"/>
    <col min="31" max="35" width="10" style="46" customWidth="1"/>
    <col min="36" max="36" width="12" style="46" customWidth="1"/>
    <col min="37" max="38" width="10" style="46" customWidth="1"/>
    <col min="39" max="39" width="16" style="46" bestFit="1" customWidth="1"/>
    <col min="40" max="40" width="34.35546875" style="46" bestFit="1" customWidth="1"/>
    <col min="41" max="41" width="20.2109375" style="46" bestFit="1" customWidth="1"/>
    <col min="42" max="42" width="15" style="46" customWidth="1"/>
    <col min="43" max="43" width="22.2109375" style="46" customWidth="1"/>
    <col min="44" max="44" width="18.5703125" style="46" bestFit="1" customWidth="1"/>
    <col min="45" max="45" width="34.35546875" style="46" bestFit="1" customWidth="1"/>
    <col min="46" max="47" width="17.640625" style="46" customWidth="1"/>
    <col min="48" max="48" width="15.5703125" style="46" bestFit="1" customWidth="1"/>
    <col min="49" max="49" width="15.5703125" style="46" customWidth="1"/>
    <col min="50" max="50" width="11.42578125" style="46" customWidth="1"/>
    <col min="51" max="51" width="10" style="46" customWidth="1"/>
    <col min="52" max="52" width="18.2109375" style="46" customWidth="1"/>
    <col min="53" max="53" width="18.78515625" style="46" customWidth="1"/>
    <col min="54" max="54" width="20.35546875" style="46" customWidth="1"/>
    <col min="55" max="55" width="15.78515625" style="46" customWidth="1"/>
    <col min="56" max="58" width="18.42578125" style="46" customWidth="1"/>
    <col min="59" max="59" width="19.42578125" style="46" customWidth="1"/>
    <col min="60" max="60" width="19.78515625" style="46" customWidth="1"/>
    <col min="61" max="63" width="17.35546875" style="46" customWidth="1"/>
    <col min="64" max="64" width="13" style="46" customWidth="1"/>
    <col min="65" max="65" width="12.2109375" style="46" customWidth="1"/>
    <col min="66" max="66" width="16.42578125" style="46" customWidth="1"/>
    <col min="67" max="67" width="14.35546875" style="46" customWidth="1"/>
    <col min="68" max="68" width="15.78515625" style="46" customWidth="1"/>
    <col min="69" max="69" width="18" style="46" customWidth="1"/>
    <col min="70" max="71" width="17" style="46" customWidth="1"/>
    <col min="72" max="72" width="13.35546875" style="46" customWidth="1"/>
    <col min="73" max="77" width="12.35546875" style="46" customWidth="1"/>
    <col min="78" max="78" width="17.2109375" style="46" customWidth="1"/>
    <col min="79" max="79" width="17.78515625" style="46" customWidth="1"/>
    <col min="80" max="80" width="11.640625" style="46" bestFit="1" customWidth="1"/>
    <col min="81" max="81" width="11.35546875" style="46" customWidth="1"/>
    <col min="82" max="16384" width="8.78515625" style="46"/>
  </cols>
  <sheetData>
    <row r="1" spans="1:81" s="86" customFormat="1" ht="19.5">
      <c r="A1" s="148" t="s">
        <v>2697</v>
      </c>
      <c r="AE1" s="149"/>
    </row>
    <row r="2" spans="1:81" s="86" customFormat="1" ht="15">
      <c r="A2" s="196" t="s">
        <v>2668</v>
      </c>
      <c r="AW2" s="146" t="s">
        <v>1292</v>
      </c>
    </row>
    <row r="3" spans="1:81" s="86" customFormat="1" ht="15">
      <c r="A3" s="10" t="s">
        <v>363</v>
      </c>
      <c r="AW3" s="86" t="s">
        <v>1145</v>
      </c>
    </row>
    <row r="4" spans="1:81">
      <c r="B4" s="440" t="s">
        <v>1</v>
      </c>
      <c r="C4" s="277" t="s">
        <v>166</v>
      </c>
      <c r="D4" s="278"/>
      <c r="E4" s="277" t="s">
        <v>23</v>
      </c>
      <c r="F4" s="279"/>
      <c r="G4" s="279"/>
      <c r="H4" s="279"/>
      <c r="I4" s="279"/>
      <c r="J4" s="279"/>
      <c r="K4" s="280"/>
      <c r="L4" s="188" t="s">
        <v>1117</v>
      </c>
      <c r="M4" s="281"/>
      <c r="N4" s="281"/>
      <c r="O4" s="281"/>
      <c r="P4" s="280"/>
      <c r="Q4" s="277" t="s">
        <v>1260</v>
      </c>
      <c r="R4" s="279"/>
      <c r="S4" s="279"/>
      <c r="T4" s="279"/>
      <c r="U4" s="279"/>
      <c r="V4" s="279"/>
      <c r="W4" s="279"/>
      <c r="X4" s="279"/>
      <c r="Y4" s="279"/>
      <c r="Z4" s="279"/>
      <c r="AA4" s="279"/>
      <c r="AB4" s="279"/>
      <c r="AC4" s="279"/>
      <c r="AD4" s="278"/>
      <c r="AE4" s="188" t="s">
        <v>1234</v>
      </c>
      <c r="AF4" s="281"/>
      <c r="AG4" s="281"/>
      <c r="AH4" s="281"/>
      <c r="AI4" s="281"/>
      <c r="AJ4" s="281"/>
      <c r="AK4" s="281"/>
      <c r="AL4" s="280"/>
      <c r="AM4" s="277" t="s">
        <v>31</v>
      </c>
      <c r="AN4" s="279"/>
      <c r="AO4" s="279"/>
      <c r="AP4" s="279"/>
      <c r="AQ4" s="279"/>
      <c r="AR4" s="279"/>
      <c r="AS4" s="279"/>
      <c r="AT4" s="279"/>
      <c r="AU4" s="279"/>
      <c r="AV4" s="278"/>
      <c r="AW4" s="455" t="s">
        <v>26</v>
      </c>
      <c r="AX4" s="188" t="s">
        <v>559</v>
      </c>
      <c r="AY4" s="281"/>
      <c r="AZ4" s="281"/>
      <c r="BA4" s="281"/>
      <c r="BB4" s="280"/>
      <c r="BC4" s="277" t="s">
        <v>389</v>
      </c>
      <c r="BD4" s="279"/>
      <c r="BE4" s="279"/>
      <c r="BF4" s="279"/>
      <c r="BG4" s="281"/>
      <c r="BH4" s="281"/>
      <c r="BI4" s="281"/>
      <c r="BJ4" s="281"/>
      <c r="BK4" s="281"/>
      <c r="BL4" s="281"/>
      <c r="BM4" s="281"/>
      <c r="BN4" s="281"/>
      <c r="BO4" s="281"/>
      <c r="BP4" s="281"/>
      <c r="BQ4" s="281"/>
      <c r="BR4" s="281"/>
      <c r="BS4" s="281"/>
      <c r="BT4" s="281"/>
      <c r="BU4" s="281"/>
      <c r="BV4" s="281"/>
      <c r="BW4" s="281"/>
      <c r="BX4" s="281"/>
      <c r="BY4" s="281"/>
      <c r="BZ4" s="277" t="s">
        <v>1151</v>
      </c>
      <c r="CA4" s="279"/>
      <c r="CB4" s="279"/>
      <c r="CC4" s="278"/>
    </row>
    <row r="5" spans="1:81">
      <c r="B5" s="440"/>
      <c r="C5" s="282"/>
      <c r="D5" s="283"/>
      <c r="E5" s="457"/>
      <c r="F5" s="458"/>
      <c r="G5" s="458"/>
      <c r="H5" s="458"/>
      <c r="I5" s="458"/>
      <c r="J5" s="459"/>
      <c r="K5" s="189" t="s">
        <v>178</v>
      </c>
      <c r="L5" s="188" t="s">
        <v>1291</v>
      </c>
      <c r="M5" s="280"/>
      <c r="N5" s="188" t="s">
        <v>1263</v>
      </c>
      <c r="O5" s="281"/>
      <c r="P5" s="280"/>
      <c r="Q5" s="282"/>
      <c r="R5" s="284"/>
      <c r="S5" s="284"/>
      <c r="T5" s="284"/>
      <c r="U5" s="284"/>
      <c r="V5" s="284"/>
      <c r="W5" s="284"/>
      <c r="X5" s="284"/>
      <c r="Y5" s="284"/>
      <c r="Z5" s="284"/>
      <c r="AA5" s="284"/>
      <c r="AB5" s="284"/>
      <c r="AC5" s="284"/>
      <c r="AD5" s="283"/>
      <c r="AE5" s="189" t="s">
        <v>1108</v>
      </c>
      <c r="AF5" s="189" t="s">
        <v>1232</v>
      </c>
      <c r="AG5" s="189"/>
      <c r="AH5" s="188" t="s">
        <v>1230</v>
      </c>
      <c r="AI5" s="280"/>
      <c r="AJ5" s="188" t="s">
        <v>1228</v>
      </c>
      <c r="AK5" s="280"/>
      <c r="AL5" s="189" t="s">
        <v>1226</v>
      </c>
      <c r="AM5" s="282"/>
      <c r="AN5" s="284"/>
      <c r="AO5" s="284"/>
      <c r="AP5" s="284"/>
      <c r="AQ5" s="284"/>
      <c r="AR5" s="284"/>
      <c r="AS5" s="284"/>
      <c r="AT5" s="284"/>
      <c r="AU5" s="284"/>
      <c r="AV5" s="283"/>
      <c r="AW5" s="456"/>
      <c r="AX5" s="188" t="s">
        <v>1223</v>
      </c>
      <c r="AY5" s="280"/>
      <c r="AZ5" s="189" t="s">
        <v>1220</v>
      </c>
      <c r="BA5" s="189" t="s">
        <v>1290</v>
      </c>
      <c r="BB5" s="189" t="s">
        <v>1215</v>
      </c>
      <c r="BC5" s="282"/>
      <c r="BD5" s="284"/>
      <c r="BE5" s="284"/>
      <c r="BF5" s="284"/>
      <c r="BG5" s="188" t="s">
        <v>217</v>
      </c>
      <c r="BH5" s="281"/>
      <c r="BI5" s="281"/>
      <c r="BJ5" s="281"/>
      <c r="BK5" s="281"/>
      <c r="BL5" s="188" t="s">
        <v>1190</v>
      </c>
      <c r="BM5" s="280"/>
      <c r="BN5" s="189" t="s">
        <v>1186</v>
      </c>
      <c r="BO5" s="189" t="s">
        <v>1183</v>
      </c>
      <c r="BP5" s="189" t="s">
        <v>1180</v>
      </c>
      <c r="BQ5" s="188" t="s">
        <v>1177</v>
      </c>
      <c r="BR5" s="280"/>
      <c r="BS5" s="188" t="s">
        <v>1289</v>
      </c>
      <c r="BT5" s="281"/>
      <c r="BU5" s="188" t="s">
        <v>1165</v>
      </c>
      <c r="BV5" s="281"/>
      <c r="BW5" s="189" t="s">
        <v>1160</v>
      </c>
      <c r="BX5" s="281" t="s">
        <v>1157</v>
      </c>
      <c r="BY5" s="281"/>
      <c r="BZ5" s="282"/>
      <c r="CA5" s="284"/>
      <c r="CB5" s="284"/>
      <c r="CC5" s="283"/>
    </row>
    <row r="6" spans="1:81" ht="40.5">
      <c r="B6" s="440"/>
      <c r="C6" s="118" t="s">
        <v>389</v>
      </c>
      <c r="D6" s="118" t="s">
        <v>19</v>
      </c>
      <c r="E6" s="40" t="s">
        <v>695</v>
      </c>
      <c r="F6" s="69" t="s">
        <v>46</v>
      </c>
      <c r="G6" s="69" t="s">
        <v>1271</v>
      </c>
      <c r="H6" s="69" t="s">
        <v>1269</v>
      </c>
      <c r="I6" s="69" t="s">
        <v>1288</v>
      </c>
      <c r="J6" s="69" t="s">
        <v>1287</v>
      </c>
      <c r="K6" s="69" t="s">
        <v>60</v>
      </c>
      <c r="L6" s="69" t="s">
        <v>180</v>
      </c>
      <c r="M6" s="69" t="s">
        <v>1264</v>
      </c>
      <c r="N6" s="69" t="s">
        <v>900</v>
      </c>
      <c r="O6" s="69" t="s">
        <v>1263</v>
      </c>
      <c r="P6" s="69" t="s">
        <v>1286</v>
      </c>
      <c r="Q6" s="118" t="s">
        <v>1259</v>
      </c>
      <c r="R6" s="118" t="s">
        <v>1257</v>
      </c>
      <c r="S6" s="118" t="s">
        <v>1255</v>
      </c>
      <c r="T6" s="69" t="s">
        <v>1253</v>
      </c>
      <c r="U6" s="69" t="s">
        <v>1251</v>
      </c>
      <c r="V6" s="69" t="s">
        <v>1285</v>
      </c>
      <c r="W6" s="69" t="s">
        <v>1246</v>
      </c>
      <c r="X6" s="69" t="s">
        <v>1245</v>
      </c>
      <c r="Y6" s="69" t="s">
        <v>1174</v>
      </c>
      <c r="Z6" s="69" t="s">
        <v>1244</v>
      </c>
      <c r="AA6" s="69" t="s">
        <v>1243</v>
      </c>
      <c r="AB6" s="69" t="s">
        <v>1241</v>
      </c>
      <c r="AC6" s="69" t="s">
        <v>1239</v>
      </c>
      <c r="AD6" s="69" t="s">
        <v>1284</v>
      </c>
      <c r="AE6" s="40" t="s">
        <v>1233</v>
      </c>
      <c r="AF6" s="40" t="s">
        <v>1231</v>
      </c>
      <c r="AG6" s="40" t="s">
        <v>177</v>
      </c>
      <c r="AH6" s="40" t="s">
        <v>1229</v>
      </c>
      <c r="AI6" s="40" t="s">
        <v>177</v>
      </c>
      <c r="AJ6" s="40" t="s">
        <v>1227</v>
      </c>
      <c r="AK6" s="40" t="s">
        <v>177</v>
      </c>
      <c r="AL6" s="40" t="s">
        <v>193</v>
      </c>
      <c r="AM6" s="118" t="s">
        <v>790</v>
      </c>
      <c r="AN6" s="118" t="s">
        <v>31</v>
      </c>
      <c r="AO6" s="118" t="s">
        <v>32</v>
      </c>
      <c r="AP6" s="69" t="s">
        <v>33</v>
      </c>
      <c r="AQ6" s="69" t="s">
        <v>35</v>
      </c>
      <c r="AR6" s="69" t="s">
        <v>38</v>
      </c>
      <c r="AS6" s="69" t="s">
        <v>31</v>
      </c>
      <c r="AT6" s="69" t="s">
        <v>70</v>
      </c>
      <c r="AU6" s="69" t="s">
        <v>42</v>
      </c>
      <c r="AV6" s="69" t="s">
        <v>1283</v>
      </c>
      <c r="AW6" s="69" t="s">
        <v>1131</v>
      </c>
      <c r="AX6" s="181" t="s">
        <v>1222</v>
      </c>
      <c r="AY6" s="181" t="s">
        <v>1221</v>
      </c>
      <c r="AZ6" s="40" t="s">
        <v>1219</v>
      </c>
      <c r="BA6" s="40" t="s">
        <v>1217</v>
      </c>
      <c r="BB6" s="40" t="s">
        <v>1214</v>
      </c>
      <c r="BC6" s="40" t="s">
        <v>1212</v>
      </c>
      <c r="BD6" s="40" t="s">
        <v>1210</v>
      </c>
      <c r="BE6" s="40" t="s">
        <v>1208</v>
      </c>
      <c r="BF6" s="40" t="s">
        <v>1205</v>
      </c>
      <c r="BG6" s="40" t="s">
        <v>1202</v>
      </c>
      <c r="BH6" s="40" t="s">
        <v>1201</v>
      </c>
      <c r="BI6" s="40" t="s">
        <v>1199</v>
      </c>
      <c r="BJ6" s="40" t="s">
        <v>1197</v>
      </c>
      <c r="BK6" s="40" t="s">
        <v>1193</v>
      </c>
      <c r="BL6" s="40" t="s">
        <v>1189</v>
      </c>
      <c r="BM6" s="40" t="s">
        <v>1187</v>
      </c>
      <c r="BN6" s="40" t="s">
        <v>1185</v>
      </c>
      <c r="BO6" s="40" t="s">
        <v>1182</v>
      </c>
      <c r="BP6" s="40" t="s">
        <v>1179</v>
      </c>
      <c r="BQ6" s="40" t="s">
        <v>613</v>
      </c>
      <c r="BR6" s="40" t="s">
        <v>1174</v>
      </c>
      <c r="BS6" s="40" t="s">
        <v>1170</v>
      </c>
      <c r="BT6" s="40" t="s">
        <v>1167</v>
      </c>
      <c r="BU6" s="40" t="s">
        <v>1164</v>
      </c>
      <c r="BV6" s="40" t="s">
        <v>1162</v>
      </c>
      <c r="BW6" s="40" t="s">
        <v>1159</v>
      </c>
      <c r="BX6" s="40" t="s">
        <v>1156</v>
      </c>
      <c r="BY6" s="40" t="s">
        <v>1154</v>
      </c>
      <c r="BZ6" s="40" t="s">
        <v>1150</v>
      </c>
      <c r="CA6" s="40" t="s">
        <v>1149</v>
      </c>
      <c r="CB6" s="40" t="s">
        <v>1148</v>
      </c>
      <c r="CC6" s="40" t="s">
        <v>1147</v>
      </c>
    </row>
    <row r="7" spans="1:81" ht="40.5">
      <c r="B7" s="440"/>
      <c r="C7" s="24" t="s">
        <v>20</v>
      </c>
      <c r="D7" s="24" t="s">
        <v>20</v>
      </c>
      <c r="E7" s="24" t="s">
        <v>1282</v>
      </c>
      <c r="F7" s="24" t="s">
        <v>1281</v>
      </c>
      <c r="G7" s="24" t="s">
        <v>948</v>
      </c>
      <c r="H7" s="24" t="s">
        <v>948</v>
      </c>
      <c r="I7" s="24" t="s">
        <v>948</v>
      </c>
      <c r="J7" s="24" t="s">
        <v>948</v>
      </c>
      <c r="K7" s="24" t="s">
        <v>769</v>
      </c>
      <c r="L7" s="24" t="s">
        <v>27</v>
      </c>
      <c r="M7" s="24" t="s">
        <v>938</v>
      </c>
      <c r="N7" s="24" t="s">
        <v>27</v>
      </c>
      <c r="O7" s="24" t="s">
        <v>948</v>
      </c>
      <c r="P7" s="24" t="s">
        <v>1261</v>
      </c>
      <c r="Q7" s="24" t="s">
        <v>1279</v>
      </c>
      <c r="R7" s="24" t="s">
        <v>1279</v>
      </c>
      <c r="S7" s="24" t="s">
        <v>1279</v>
      </c>
      <c r="T7" s="24" t="s">
        <v>1279</v>
      </c>
      <c r="U7" s="24" t="s">
        <v>1280</v>
      </c>
      <c r="V7" s="24" t="s">
        <v>1279</v>
      </c>
      <c r="W7" s="24" t="s">
        <v>1279</v>
      </c>
      <c r="X7" s="24" t="s">
        <v>179</v>
      </c>
      <c r="Y7" s="24" t="s">
        <v>1278</v>
      </c>
      <c r="Z7" s="24" t="s">
        <v>918</v>
      </c>
      <c r="AA7" s="24" t="s">
        <v>918</v>
      </c>
      <c r="AB7" s="24" t="s">
        <v>1237</v>
      </c>
      <c r="AC7" s="24" t="s">
        <v>1237</v>
      </c>
      <c r="AD7" s="24" t="s">
        <v>179</v>
      </c>
      <c r="AE7" s="24" t="s">
        <v>27</v>
      </c>
      <c r="AF7" s="24" t="s">
        <v>27</v>
      </c>
      <c r="AG7" s="24" t="s">
        <v>918</v>
      </c>
      <c r="AH7" s="24" t="s">
        <v>27</v>
      </c>
      <c r="AI7" s="24" t="s">
        <v>918</v>
      </c>
      <c r="AJ7" s="24" t="s">
        <v>27</v>
      </c>
      <c r="AK7" s="24" t="s">
        <v>179</v>
      </c>
      <c r="AL7" s="24" t="s">
        <v>179</v>
      </c>
      <c r="AM7" s="24" t="s">
        <v>1277</v>
      </c>
      <c r="AN7" s="24" t="s">
        <v>1277</v>
      </c>
      <c r="AO7" s="24" t="s">
        <v>2799</v>
      </c>
      <c r="AP7" s="24" t="s">
        <v>27</v>
      </c>
      <c r="AQ7" s="24" t="s">
        <v>1127</v>
      </c>
      <c r="AR7" s="24" t="s">
        <v>1277</v>
      </c>
      <c r="AS7" s="24" t="s">
        <v>1277</v>
      </c>
      <c r="AT7" s="24" t="s">
        <v>123</v>
      </c>
      <c r="AU7" s="24" t="s">
        <v>122</v>
      </c>
      <c r="AV7" s="24" t="s">
        <v>27</v>
      </c>
      <c r="AW7" s="145"/>
      <c r="AX7" s="18" t="s">
        <v>179</v>
      </c>
      <c r="AY7" s="18" t="s">
        <v>27</v>
      </c>
      <c r="AZ7" s="18" t="s">
        <v>1216</v>
      </c>
      <c r="BA7" s="18" t="s">
        <v>1216</v>
      </c>
      <c r="BB7" s="18" t="s">
        <v>1213</v>
      </c>
      <c r="BC7" s="24" t="s">
        <v>27</v>
      </c>
      <c r="BD7" s="24" t="s">
        <v>27</v>
      </c>
      <c r="BE7" s="24" t="s">
        <v>1206</v>
      </c>
      <c r="BF7" s="24" t="s">
        <v>1203</v>
      </c>
      <c r="BG7" s="24" t="s">
        <v>27</v>
      </c>
      <c r="BH7" s="24" t="s">
        <v>27</v>
      </c>
      <c r="BI7" s="24" t="s">
        <v>27</v>
      </c>
      <c r="BJ7" s="24" t="s">
        <v>1195</v>
      </c>
      <c r="BK7" s="24" t="s">
        <v>1192</v>
      </c>
      <c r="BL7" s="24" t="s">
        <v>27</v>
      </c>
      <c r="BM7" s="24" t="s">
        <v>27</v>
      </c>
      <c r="BN7" s="24" t="s">
        <v>27</v>
      </c>
      <c r="BO7" s="24" t="s">
        <v>27</v>
      </c>
      <c r="BP7" s="24" t="s">
        <v>27</v>
      </c>
      <c r="BQ7" s="24" t="s">
        <v>1175</v>
      </c>
      <c r="BR7" s="24" t="s">
        <v>1172</v>
      </c>
      <c r="BS7" s="24" t="s">
        <v>1276</v>
      </c>
      <c r="BT7" s="24" t="s">
        <v>27</v>
      </c>
      <c r="BU7" s="24" t="s">
        <v>27</v>
      </c>
      <c r="BV7" s="24" t="s">
        <v>27</v>
      </c>
      <c r="BW7" s="24" t="s">
        <v>27</v>
      </c>
      <c r="BX7" s="24" t="s">
        <v>1152</v>
      </c>
      <c r="BY7" s="24" t="s">
        <v>1152</v>
      </c>
      <c r="BZ7" s="24" t="s">
        <v>50</v>
      </c>
      <c r="CA7" s="24" t="s">
        <v>50</v>
      </c>
      <c r="CB7" s="24" t="s">
        <v>27</v>
      </c>
      <c r="CC7" s="24" t="s">
        <v>27</v>
      </c>
    </row>
    <row r="8" spans="1:81">
      <c r="B8" s="440"/>
      <c r="C8" s="24" t="s">
        <v>2667</v>
      </c>
      <c r="D8" s="24"/>
      <c r="E8" s="24" t="s">
        <v>2667</v>
      </c>
      <c r="F8" s="24" t="s">
        <v>2667</v>
      </c>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145"/>
      <c r="AX8" s="18"/>
      <c r="AY8" s="18"/>
      <c r="AZ8" s="18"/>
      <c r="BA8" s="18"/>
      <c r="BB8" s="18"/>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row>
    <row r="9" spans="1:81">
      <c r="B9" s="229" t="s">
        <v>1226</v>
      </c>
      <c r="C9" s="375" t="s">
        <v>2870</v>
      </c>
      <c r="D9" s="375" t="s">
        <v>2871</v>
      </c>
      <c r="E9" s="375" t="s">
        <v>2868</v>
      </c>
      <c r="F9" s="376" t="s">
        <v>55</v>
      </c>
      <c r="G9" s="229"/>
      <c r="H9" s="229"/>
      <c r="I9" s="229"/>
      <c r="J9" s="229"/>
      <c r="K9" s="229"/>
      <c r="L9" s="372"/>
      <c r="M9" s="229"/>
      <c r="N9" s="372"/>
      <c r="O9" s="229"/>
      <c r="P9" s="377"/>
      <c r="Q9" s="229"/>
      <c r="R9" s="229"/>
      <c r="S9" s="229"/>
      <c r="T9" s="229"/>
      <c r="U9" s="372"/>
      <c r="V9" s="229"/>
      <c r="W9" s="229"/>
      <c r="X9" s="229"/>
      <c r="Y9" s="229"/>
      <c r="Z9" s="229"/>
      <c r="AA9" s="229"/>
      <c r="AB9" s="229"/>
      <c r="AC9" s="229"/>
      <c r="AD9" s="229"/>
      <c r="AE9" s="372"/>
      <c r="AF9" s="372"/>
      <c r="AG9" s="229"/>
      <c r="AH9" s="372"/>
      <c r="AI9" s="229"/>
      <c r="AJ9" s="372"/>
      <c r="AK9" s="372"/>
      <c r="AL9" s="372"/>
      <c r="AM9" s="372"/>
      <c r="AN9" s="378"/>
      <c r="AO9" s="372"/>
      <c r="AP9" s="372"/>
      <c r="AQ9" s="372"/>
      <c r="AR9" s="372"/>
      <c r="AS9" s="372"/>
      <c r="AT9" s="372"/>
      <c r="AU9" s="372"/>
      <c r="AV9" s="372"/>
      <c r="AW9" s="145"/>
      <c r="AX9" s="379"/>
      <c r="AY9" s="372"/>
      <c r="AZ9" s="372"/>
      <c r="BA9" s="372"/>
      <c r="BB9" s="372"/>
      <c r="BC9" s="372"/>
      <c r="BD9" s="372"/>
      <c r="BE9" s="372"/>
      <c r="BF9" s="372"/>
      <c r="BG9" s="372"/>
      <c r="BH9" s="372"/>
      <c r="BI9" s="372"/>
      <c r="BJ9" s="372"/>
      <c r="BK9" s="372"/>
      <c r="BL9" s="372"/>
      <c r="BM9" s="372"/>
      <c r="BN9" s="372"/>
      <c r="BO9" s="372"/>
      <c r="BP9" s="372"/>
      <c r="BQ9" s="372"/>
      <c r="BR9" s="372"/>
      <c r="BS9" s="372"/>
      <c r="BT9" s="372"/>
      <c r="BU9" s="372"/>
      <c r="BV9" s="372"/>
      <c r="BW9" s="372"/>
      <c r="BX9" s="372"/>
      <c r="BY9" s="372"/>
      <c r="BZ9" s="380"/>
      <c r="CA9" s="380"/>
      <c r="CB9" s="372"/>
      <c r="CC9" s="372"/>
    </row>
    <row r="10" spans="1:81">
      <c r="B10" s="245">
        <f>ROW() - 9</f>
        <v>1</v>
      </c>
      <c r="C10" s="285"/>
      <c r="D10" s="285"/>
      <c r="E10" s="285"/>
      <c r="F10" s="286"/>
      <c r="G10" s="245"/>
      <c r="H10" s="245"/>
      <c r="I10" s="245"/>
      <c r="J10" s="245"/>
      <c r="K10" s="245"/>
      <c r="L10" s="235"/>
      <c r="M10" s="245"/>
      <c r="N10" s="235"/>
      <c r="O10" s="245"/>
      <c r="P10" s="256"/>
      <c r="Q10" s="245"/>
      <c r="R10" s="245"/>
      <c r="S10" s="245"/>
      <c r="T10" s="245"/>
      <c r="U10" s="235"/>
      <c r="V10" s="245"/>
      <c r="W10" s="245"/>
      <c r="X10" s="245"/>
      <c r="Y10" s="245"/>
      <c r="Z10" s="245"/>
      <c r="AA10" s="245"/>
      <c r="AB10" s="245"/>
      <c r="AC10" s="245"/>
      <c r="AD10" s="245"/>
      <c r="AE10" s="235"/>
      <c r="AF10" s="235"/>
      <c r="AG10" s="245"/>
      <c r="AH10" s="235"/>
      <c r="AI10" s="245"/>
      <c r="AJ10" s="235"/>
      <c r="AK10" s="235"/>
      <c r="AL10" s="235"/>
      <c r="AM10" s="235"/>
      <c r="AN10" s="287"/>
      <c r="AO10" s="235"/>
      <c r="AP10" s="235"/>
      <c r="AQ10" s="235"/>
      <c r="AR10" s="235"/>
      <c r="AS10" s="235"/>
      <c r="AT10" s="235"/>
      <c r="AU10" s="235"/>
      <c r="AV10" s="235"/>
      <c r="AW10" s="145"/>
      <c r="AX10" s="288"/>
      <c r="AY10" s="235"/>
      <c r="AZ10" s="235"/>
      <c r="BA10" s="235"/>
      <c r="BB10" s="235"/>
      <c r="BC10" s="235"/>
      <c r="BD10" s="235"/>
      <c r="BE10" s="235"/>
      <c r="BF10" s="235"/>
      <c r="BG10" s="235"/>
      <c r="BH10" s="235"/>
      <c r="BI10" s="235"/>
      <c r="BJ10" s="235"/>
      <c r="BK10" s="235"/>
      <c r="BL10" s="235"/>
      <c r="BM10" s="235"/>
      <c r="BN10" s="235"/>
      <c r="BO10" s="235"/>
      <c r="BP10" s="235"/>
      <c r="BQ10" s="235"/>
      <c r="BR10" s="235"/>
      <c r="BS10" s="235"/>
      <c r="BT10" s="235"/>
      <c r="BU10" s="235"/>
      <c r="BV10" s="235"/>
      <c r="BW10" s="235"/>
      <c r="BX10" s="235"/>
      <c r="BY10" s="235"/>
      <c r="BZ10" s="289"/>
      <c r="CA10" s="289"/>
      <c r="CB10" s="235"/>
      <c r="CC10" s="235"/>
    </row>
    <row r="11" spans="1:81">
      <c r="B11" s="245">
        <f t="shared" ref="B11:B19" si="0">ROW() - 9</f>
        <v>2</v>
      </c>
      <c r="C11" s="285"/>
      <c r="D11" s="285"/>
      <c r="E11" s="285"/>
      <c r="F11" s="286"/>
      <c r="G11" s="245"/>
      <c r="H11" s="245"/>
      <c r="I11" s="245"/>
      <c r="J11" s="245"/>
      <c r="K11" s="245"/>
      <c r="L11" s="235"/>
      <c r="M11" s="245"/>
      <c r="N11" s="235"/>
      <c r="O11" s="245"/>
      <c r="P11" s="256"/>
      <c r="Q11" s="245"/>
      <c r="R11" s="245"/>
      <c r="S11" s="245"/>
      <c r="T11" s="245"/>
      <c r="U11" s="235"/>
      <c r="V11" s="245"/>
      <c r="W11" s="245"/>
      <c r="X11" s="245"/>
      <c r="Y11" s="245"/>
      <c r="Z11" s="245"/>
      <c r="AA11" s="245"/>
      <c r="AB11" s="245"/>
      <c r="AC11" s="245"/>
      <c r="AD11" s="245"/>
      <c r="AE11" s="235"/>
      <c r="AF11" s="235"/>
      <c r="AG11" s="245"/>
      <c r="AH11" s="235"/>
      <c r="AI11" s="245"/>
      <c r="AJ11" s="235"/>
      <c r="AK11" s="235"/>
      <c r="AL11" s="235"/>
      <c r="AM11" s="235"/>
      <c r="AN11" s="287"/>
      <c r="AO11" s="235"/>
      <c r="AP11" s="235"/>
      <c r="AQ11" s="235"/>
      <c r="AR11" s="235"/>
      <c r="AS11" s="235"/>
      <c r="AT11" s="235"/>
      <c r="AU11" s="235"/>
      <c r="AV11" s="235"/>
      <c r="AW11" s="145"/>
      <c r="AX11" s="288"/>
      <c r="AY11" s="235"/>
      <c r="AZ11" s="235"/>
      <c r="BA11" s="235"/>
      <c r="BB11" s="235"/>
      <c r="BC11" s="235"/>
      <c r="BD11" s="235"/>
      <c r="BE11" s="235"/>
      <c r="BF11" s="235"/>
      <c r="BG11" s="235"/>
      <c r="BH11" s="235"/>
      <c r="BI11" s="235"/>
      <c r="BJ11" s="235"/>
      <c r="BK11" s="235"/>
      <c r="BL11" s="235"/>
      <c r="BM11" s="235"/>
      <c r="BN11" s="235"/>
      <c r="BO11" s="235"/>
      <c r="BP11" s="235"/>
      <c r="BQ11" s="235"/>
      <c r="BR11" s="235"/>
      <c r="BS11" s="235"/>
      <c r="BT11" s="235"/>
      <c r="BU11" s="235"/>
      <c r="BV11" s="235"/>
      <c r="BW11" s="235"/>
      <c r="BX11" s="235"/>
      <c r="BY11" s="235"/>
      <c r="BZ11" s="289"/>
      <c r="CA11" s="289"/>
      <c r="CB11" s="235"/>
      <c r="CC11" s="235"/>
    </row>
    <row r="12" spans="1:81">
      <c r="B12" s="245">
        <f t="shared" si="0"/>
        <v>3</v>
      </c>
      <c r="C12" s="285"/>
      <c r="D12" s="285"/>
      <c r="E12" s="285"/>
      <c r="F12" s="286"/>
      <c r="G12" s="245"/>
      <c r="H12" s="245"/>
      <c r="I12" s="245"/>
      <c r="J12" s="245"/>
      <c r="K12" s="245"/>
      <c r="L12" s="235"/>
      <c r="M12" s="245"/>
      <c r="N12" s="235"/>
      <c r="O12" s="245"/>
      <c r="P12" s="256"/>
      <c r="Q12" s="245"/>
      <c r="R12" s="245"/>
      <c r="S12" s="245"/>
      <c r="T12" s="245"/>
      <c r="U12" s="235"/>
      <c r="V12" s="245"/>
      <c r="W12" s="245"/>
      <c r="X12" s="245"/>
      <c r="Y12" s="245"/>
      <c r="Z12" s="245"/>
      <c r="AA12" s="245"/>
      <c r="AB12" s="245"/>
      <c r="AC12" s="245"/>
      <c r="AD12" s="245"/>
      <c r="AE12" s="235"/>
      <c r="AF12" s="235"/>
      <c r="AG12" s="245"/>
      <c r="AH12" s="235"/>
      <c r="AI12" s="245"/>
      <c r="AJ12" s="235"/>
      <c r="AK12" s="235"/>
      <c r="AL12" s="235"/>
      <c r="AM12" s="235"/>
      <c r="AN12" s="287"/>
      <c r="AO12" s="235"/>
      <c r="AP12" s="235"/>
      <c r="AQ12" s="235"/>
      <c r="AR12" s="235"/>
      <c r="AS12" s="235"/>
      <c r="AT12" s="235"/>
      <c r="AU12" s="235"/>
      <c r="AV12" s="235"/>
      <c r="AW12" s="145"/>
      <c r="AX12" s="288"/>
      <c r="AY12" s="235"/>
      <c r="AZ12" s="235"/>
      <c r="BA12" s="235"/>
      <c r="BB12" s="235"/>
      <c r="BC12" s="235"/>
      <c r="BD12" s="235"/>
      <c r="BE12" s="235"/>
      <c r="BF12" s="235"/>
      <c r="BG12" s="235"/>
      <c r="BH12" s="235"/>
      <c r="BI12" s="235"/>
      <c r="BJ12" s="235"/>
      <c r="BK12" s="235"/>
      <c r="BL12" s="235"/>
      <c r="BM12" s="235"/>
      <c r="BN12" s="235"/>
      <c r="BO12" s="235"/>
      <c r="BP12" s="235"/>
      <c r="BQ12" s="235"/>
      <c r="BR12" s="235"/>
      <c r="BS12" s="235"/>
      <c r="BT12" s="235"/>
      <c r="BU12" s="235"/>
      <c r="BV12" s="235"/>
      <c r="BW12" s="235"/>
      <c r="BX12" s="235"/>
      <c r="BY12" s="235"/>
      <c r="BZ12" s="289"/>
      <c r="CA12" s="289"/>
      <c r="CB12" s="235"/>
      <c r="CC12" s="235"/>
    </row>
    <row r="13" spans="1:81">
      <c r="B13" s="245">
        <f t="shared" si="0"/>
        <v>4</v>
      </c>
      <c r="C13" s="285"/>
      <c r="D13" s="285"/>
      <c r="E13" s="285"/>
      <c r="F13" s="286"/>
      <c r="G13" s="245"/>
      <c r="H13" s="245"/>
      <c r="I13" s="245"/>
      <c r="J13" s="245"/>
      <c r="K13" s="245"/>
      <c r="L13" s="235"/>
      <c r="M13" s="245"/>
      <c r="N13" s="235"/>
      <c r="O13" s="245"/>
      <c r="P13" s="256"/>
      <c r="Q13" s="245"/>
      <c r="R13" s="245"/>
      <c r="S13" s="245"/>
      <c r="T13" s="245"/>
      <c r="U13" s="235"/>
      <c r="V13" s="245"/>
      <c r="W13" s="245"/>
      <c r="X13" s="245"/>
      <c r="Y13" s="245"/>
      <c r="Z13" s="245"/>
      <c r="AA13" s="245"/>
      <c r="AB13" s="245"/>
      <c r="AC13" s="245"/>
      <c r="AD13" s="245"/>
      <c r="AE13" s="235"/>
      <c r="AF13" s="235"/>
      <c r="AG13" s="245"/>
      <c r="AH13" s="235"/>
      <c r="AI13" s="245"/>
      <c r="AJ13" s="235"/>
      <c r="AK13" s="235"/>
      <c r="AL13" s="235"/>
      <c r="AM13" s="235"/>
      <c r="AN13" s="287"/>
      <c r="AO13" s="235"/>
      <c r="AP13" s="235"/>
      <c r="AQ13" s="235"/>
      <c r="AR13" s="235"/>
      <c r="AS13" s="235"/>
      <c r="AT13" s="235"/>
      <c r="AU13" s="235"/>
      <c r="AV13" s="235"/>
      <c r="AW13" s="145"/>
      <c r="AX13" s="288"/>
      <c r="AY13" s="235"/>
      <c r="AZ13" s="235"/>
      <c r="BA13" s="235"/>
      <c r="BB13" s="235"/>
      <c r="BC13" s="235"/>
      <c r="BD13" s="235"/>
      <c r="BE13" s="235"/>
      <c r="BF13" s="235"/>
      <c r="BG13" s="235"/>
      <c r="BH13" s="235"/>
      <c r="BI13" s="235"/>
      <c r="BJ13" s="235"/>
      <c r="BK13" s="235"/>
      <c r="BL13" s="235"/>
      <c r="BM13" s="235"/>
      <c r="BN13" s="235"/>
      <c r="BO13" s="235"/>
      <c r="BP13" s="235"/>
      <c r="BQ13" s="235"/>
      <c r="BR13" s="235"/>
      <c r="BS13" s="235"/>
      <c r="BT13" s="235"/>
      <c r="BU13" s="235"/>
      <c r="BV13" s="235"/>
      <c r="BW13" s="235"/>
      <c r="BX13" s="235"/>
      <c r="BY13" s="235"/>
      <c r="BZ13" s="289"/>
      <c r="CA13" s="289"/>
      <c r="CB13" s="235"/>
      <c r="CC13" s="235"/>
    </row>
    <row r="14" spans="1:81">
      <c r="B14" s="245">
        <f t="shared" si="0"/>
        <v>5</v>
      </c>
      <c r="C14" s="285"/>
      <c r="D14" s="285"/>
      <c r="E14" s="285"/>
      <c r="F14" s="286"/>
      <c r="G14" s="245"/>
      <c r="H14" s="245"/>
      <c r="I14" s="245"/>
      <c r="J14" s="245"/>
      <c r="K14" s="245"/>
      <c r="L14" s="235"/>
      <c r="M14" s="245"/>
      <c r="N14" s="235"/>
      <c r="O14" s="245"/>
      <c r="P14" s="256"/>
      <c r="Q14" s="245"/>
      <c r="R14" s="245"/>
      <c r="S14" s="245"/>
      <c r="T14" s="245"/>
      <c r="U14" s="235"/>
      <c r="V14" s="245"/>
      <c r="W14" s="245"/>
      <c r="X14" s="245"/>
      <c r="Y14" s="245"/>
      <c r="Z14" s="245"/>
      <c r="AA14" s="245"/>
      <c r="AB14" s="245"/>
      <c r="AC14" s="245"/>
      <c r="AD14" s="245"/>
      <c r="AE14" s="235"/>
      <c r="AF14" s="235"/>
      <c r="AG14" s="245"/>
      <c r="AH14" s="235"/>
      <c r="AI14" s="245"/>
      <c r="AJ14" s="235"/>
      <c r="AK14" s="235"/>
      <c r="AL14" s="235"/>
      <c r="AM14" s="235"/>
      <c r="AN14" s="287"/>
      <c r="AO14" s="235"/>
      <c r="AP14" s="235"/>
      <c r="AQ14" s="235"/>
      <c r="AR14" s="235"/>
      <c r="AS14" s="235"/>
      <c r="AT14" s="235"/>
      <c r="AU14" s="235"/>
      <c r="AV14" s="235"/>
      <c r="AW14" s="145"/>
      <c r="AX14" s="288"/>
      <c r="AY14" s="235"/>
      <c r="AZ14" s="235"/>
      <c r="BA14" s="235"/>
      <c r="BB14" s="235"/>
      <c r="BC14" s="235"/>
      <c r="BD14" s="235"/>
      <c r="BE14" s="235"/>
      <c r="BF14" s="235"/>
      <c r="BG14" s="235"/>
      <c r="BH14" s="235"/>
      <c r="BI14" s="235"/>
      <c r="BJ14" s="235"/>
      <c r="BK14" s="235"/>
      <c r="BL14" s="235"/>
      <c r="BM14" s="235"/>
      <c r="BN14" s="235"/>
      <c r="BO14" s="235"/>
      <c r="BP14" s="235"/>
      <c r="BQ14" s="235"/>
      <c r="BR14" s="235"/>
      <c r="BS14" s="235"/>
      <c r="BT14" s="235"/>
      <c r="BU14" s="235"/>
      <c r="BV14" s="235"/>
      <c r="BW14" s="235"/>
      <c r="BX14" s="235"/>
      <c r="BY14" s="235"/>
      <c r="BZ14" s="289"/>
      <c r="CA14" s="289"/>
      <c r="CB14" s="235"/>
      <c r="CC14" s="235"/>
    </row>
    <row r="15" spans="1:81">
      <c r="B15" s="245">
        <f t="shared" si="0"/>
        <v>6</v>
      </c>
      <c r="C15" s="285"/>
      <c r="D15" s="285"/>
      <c r="E15" s="285"/>
      <c r="F15" s="286"/>
      <c r="G15" s="245"/>
      <c r="H15" s="245"/>
      <c r="I15" s="245"/>
      <c r="J15" s="245"/>
      <c r="K15" s="245"/>
      <c r="L15" s="235"/>
      <c r="M15" s="245"/>
      <c r="N15" s="235"/>
      <c r="O15" s="245"/>
      <c r="P15" s="256"/>
      <c r="Q15" s="245"/>
      <c r="R15" s="245"/>
      <c r="S15" s="245"/>
      <c r="T15" s="245"/>
      <c r="U15" s="235"/>
      <c r="V15" s="245"/>
      <c r="W15" s="245"/>
      <c r="X15" s="245"/>
      <c r="Y15" s="245"/>
      <c r="Z15" s="245"/>
      <c r="AA15" s="245"/>
      <c r="AB15" s="245"/>
      <c r="AC15" s="245"/>
      <c r="AD15" s="245"/>
      <c r="AE15" s="235"/>
      <c r="AF15" s="235"/>
      <c r="AG15" s="245"/>
      <c r="AH15" s="235"/>
      <c r="AI15" s="245"/>
      <c r="AJ15" s="235"/>
      <c r="AK15" s="235"/>
      <c r="AL15" s="235"/>
      <c r="AM15" s="235"/>
      <c r="AN15" s="287"/>
      <c r="AO15" s="235"/>
      <c r="AP15" s="235"/>
      <c r="AQ15" s="235"/>
      <c r="AR15" s="235"/>
      <c r="AS15" s="235"/>
      <c r="AT15" s="235"/>
      <c r="AU15" s="235"/>
      <c r="AV15" s="235"/>
      <c r="AW15" s="145"/>
      <c r="AX15" s="288"/>
      <c r="AY15" s="235"/>
      <c r="AZ15" s="235"/>
      <c r="BA15" s="235"/>
      <c r="BB15" s="235"/>
      <c r="BC15" s="235"/>
      <c r="BD15" s="235"/>
      <c r="BE15" s="235"/>
      <c r="BF15" s="235"/>
      <c r="BG15" s="235"/>
      <c r="BH15" s="235"/>
      <c r="BI15" s="235"/>
      <c r="BJ15" s="235"/>
      <c r="BK15" s="235"/>
      <c r="BL15" s="235"/>
      <c r="BM15" s="235"/>
      <c r="BN15" s="235"/>
      <c r="BO15" s="235"/>
      <c r="BP15" s="235"/>
      <c r="BQ15" s="235"/>
      <c r="BR15" s="235"/>
      <c r="BS15" s="235"/>
      <c r="BT15" s="235"/>
      <c r="BU15" s="235"/>
      <c r="BV15" s="235"/>
      <c r="BW15" s="235"/>
      <c r="BX15" s="235"/>
      <c r="BY15" s="235"/>
      <c r="BZ15" s="289"/>
      <c r="CA15" s="289"/>
      <c r="CB15" s="235"/>
      <c r="CC15" s="235"/>
    </row>
    <row r="16" spans="1:81">
      <c r="B16" s="245">
        <f t="shared" si="0"/>
        <v>7</v>
      </c>
      <c r="C16" s="285"/>
      <c r="D16" s="285"/>
      <c r="E16" s="285"/>
      <c r="F16" s="286"/>
      <c r="G16" s="245"/>
      <c r="H16" s="245"/>
      <c r="I16" s="245"/>
      <c r="J16" s="245"/>
      <c r="K16" s="245"/>
      <c r="L16" s="235"/>
      <c r="M16" s="245"/>
      <c r="N16" s="235"/>
      <c r="O16" s="245"/>
      <c r="P16" s="256"/>
      <c r="Q16" s="245"/>
      <c r="R16" s="245"/>
      <c r="S16" s="245"/>
      <c r="T16" s="245"/>
      <c r="U16" s="235"/>
      <c r="V16" s="245"/>
      <c r="W16" s="245"/>
      <c r="X16" s="245"/>
      <c r="Y16" s="245"/>
      <c r="Z16" s="245"/>
      <c r="AA16" s="245"/>
      <c r="AB16" s="245"/>
      <c r="AC16" s="245"/>
      <c r="AD16" s="245"/>
      <c r="AE16" s="235"/>
      <c r="AF16" s="235"/>
      <c r="AG16" s="245"/>
      <c r="AH16" s="235"/>
      <c r="AI16" s="245"/>
      <c r="AJ16" s="235"/>
      <c r="AK16" s="235"/>
      <c r="AL16" s="235"/>
      <c r="AM16" s="235"/>
      <c r="AN16" s="287"/>
      <c r="AO16" s="235"/>
      <c r="AP16" s="235"/>
      <c r="AQ16" s="235"/>
      <c r="AR16" s="235"/>
      <c r="AS16" s="235"/>
      <c r="AT16" s="235"/>
      <c r="AU16" s="235"/>
      <c r="AV16" s="235"/>
      <c r="AW16" s="145"/>
      <c r="AX16" s="288"/>
      <c r="AY16" s="235"/>
      <c r="AZ16" s="235"/>
      <c r="BA16" s="235"/>
      <c r="BB16" s="235"/>
      <c r="BC16" s="235"/>
      <c r="BD16" s="235"/>
      <c r="BE16" s="235"/>
      <c r="BF16" s="235"/>
      <c r="BG16" s="235"/>
      <c r="BH16" s="235"/>
      <c r="BI16" s="235"/>
      <c r="BJ16" s="235"/>
      <c r="BK16" s="235"/>
      <c r="BL16" s="235"/>
      <c r="BM16" s="235"/>
      <c r="BN16" s="235"/>
      <c r="BO16" s="235"/>
      <c r="BP16" s="235"/>
      <c r="BQ16" s="235"/>
      <c r="BR16" s="235"/>
      <c r="BS16" s="235"/>
      <c r="BT16" s="235"/>
      <c r="BU16" s="235"/>
      <c r="BV16" s="235"/>
      <c r="BW16" s="235"/>
      <c r="BX16" s="235"/>
      <c r="BY16" s="235"/>
      <c r="BZ16" s="289"/>
      <c r="CA16" s="289"/>
      <c r="CB16" s="235"/>
      <c r="CC16" s="235"/>
    </row>
    <row r="17" spans="2:81">
      <c r="B17" s="245">
        <f t="shared" si="0"/>
        <v>8</v>
      </c>
      <c r="C17" s="285"/>
      <c r="D17" s="285"/>
      <c r="E17" s="285"/>
      <c r="F17" s="286"/>
      <c r="G17" s="245"/>
      <c r="H17" s="245"/>
      <c r="I17" s="245"/>
      <c r="J17" s="245"/>
      <c r="K17" s="245"/>
      <c r="L17" s="235"/>
      <c r="M17" s="245"/>
      <c r="N17" s="235"/>
      <c r="O17" s="245"/>
      <c r="P17" s="256"/>
      <c r="Q17" s="245"/>
      <c r="R17" s="245"/>
      <c r="S17" s="245"/>
      <c r="T17" s="245"/>
      <c r="U17" s="235"/>
      <c r="V17" s="245"/>
      <c r="W17" s="245"/>
      <c r="X17" s="245"/>
      <c r="Y17" s="245"/>
      <c r="Z17" s="245"/>
      <c r="AA17" s="245"/>
      <c r="AB17" s="245"/>
      <c r="AC17" s="245"/>
      <c r="AD17" s="245"/>
      <c r="AE17" s="235"/>
      <c r="AF17" s="235"/>
      <c r="AG17" s="245"/>
      <c r="AH17" s="235"/>
      <c r="AI17" s="245"/>
      <c r="AJ17" s="235"/>
      <c r="AK17" s="235"/>
      <c r="AL17" s="235"/>
      <c r="AM17" s="235"/>
      <c r="AN17" s="287"/>
      <c r="AO17" s="235"/>
      <c r="AP17" s="235"/>
      <c r="AQ17" s="235"/>
      <c r="AR17" s="235"/>
      <c r="AS17" s="235"/>
      <c r="AT17" s="235"/>
      <c r="AU17" s="235"/>
      <c r="AV17" s="235"/>
      <c r="AW17" s="145"/>
      <c r="AX17" s="288"/>
      <c r="AY17" s="235"/>
      <c r="AZ17" s="235"/>
      <c r="BA17" s="235"/>
      <c r="BB17" s="235"/>
      <c r="BC17" s="235"/>
      <c r="BD17" s="235"/>
      <c r="BE17" s="235"/>
      <c r="BF17" s="235"/>
      <c r="BG17" s="235"/>
      <c r="BH17" s="235"/>
      <c r="BI17" s="235"/>
      <c r="BJ17" s="235"/>
      <c r="BK17" s="235"/>
      <c r="BL17" s="235"/>
      <c r="BM17" s="235"/>
      <c r="BN17" s="235"/>
      <c r="BO17" s="235"/>
      <c r="BP17" s="235"/>
      <c r="BQ17" s="235"/>
      <c r="BR17" s="235"/>
      <c r="BS17" s="235"/>
      <c r="BT17" s="235"/>
      <c r="BU17" s="235"/>
      <c r="BV17" s="235"/>
      <c r="BW17" s="235"/>
      <c r="BX17" s="235"/>
      <c r="BY17" s="235"/>
      <c r="BZ17" s="289"/>
      <c r="CA17" s="289"/>
      <c r="CB17" s="235"/>
      <c r="CC17" s="235"/>
    </row>
    <row r="18" spans="2:81">
      <c r="B18" s="245">
        <f t="shared" si="0"/>
        <v>9</v>
      </c>
      <c r="C18" s="285"/>
      <c r="D18" s="285"/>
      <c r="E18" s="285"/>
      <c r="F18" s="286"/>
      <c r="G18" s="245"/>
      <c r="H18" s="245"/>
      <c r="I18" s="245"/>
      <c r="J18" s="245"/>
      <c r="K18" s="245"/>
      <c r="L18" s="235"/>
      <c r="M18" s="245"/>
      <c r="N18" s="235"/>
      <c r="O18" s="245"/>
      <c r="P18" s="256"/>
      <c r="Q18" s="245"/>
      <c r="R18" s="245"/>
      <c r="S18" s="245"/>
      <c r="T18" s="245"/>
      <c r="U18" s="235"/>
      <c r="V18" s="245"/>
      <c r="W18" s="245"/>
      <c r="X18" s="245"/>
      <c r="Y18" s="245"/>
      <c r="Z18" s="245"/>
      <c r="AA18" s="245"/>
      <c r="AB18" s="245"/>
      <c r="AC18" s="245"/>
      <c r="AD18" s="245"/>
      <c r="AE18" s="235"/>
      <c r="AF18" s="235"/>
      <c r="AG18" s="245"/>
      <c r="AH18" s="235"/>
      <c r="AI18" s="245"/>
      <c r="AJ18" s="235"/>
      <c r="AK18" s="235"/>
      <c r="AL18" s="235"/>
      <c r="AM18" s="235"/>
      <c r="AN18" s="287"/>
      <c r="AO18" s="235"/>
      <c r="AP18" s="235"/>
      <c r="AQ18" s="235"/>
      <c r="AR18" s="235"/>
      <c r="AS18" s="235"/>
      <c r="AT18" s="235"/>
      <c r="AU18" s="235"/>
      <c r="AV18" s="235"/>
      <c r="AW18" s="145"/>
      <c r="AX18" s="288"/>
      <c r="AY18" s="235"/>
      <c r="AZ18" s="235"/>
      <c r="BA18" s="235"/>
      <c r="BB18" s="235"/>
      <c r="BC18" s="235"/>
      <c r="BD18" s="235"/>
      <c r="BE18" s="235"/>
      <c r="BF18" s="235"/>
      <c r="BG18" s="235"/>
      <c r="BH18" s="235"/>
      <c r="BI18" s="235"/>
      <c r="BJ18" s="235"/>
      <c r="BK18" s="235"/>
      <c r="BL18" s="235"/>
      <c r="BM18" s="235"/>
      <c r="BN18" s="235"/>
      <c r="BO18" s="235"/>
      <c r="BP18" s="235"/>
      <c r="BQ18" s="235"/>
      <c r="BR18" s="235"/>
      <c r="BS18" s="235"/>
      <c r="BT18" s="235"/>
      <c r="BU18" s="235"/>
      <c r="BV18" s="235"/>
      <c r="BW18" s="235"/>
      <c r="BX18" s="235"/>
      <c r="BY18" s="235"/>
      <c r="BZ18" s="289"/>
      <c r="CA18" s="289"/>
      <c r="CB18" s="235"/>
      <c r="CC18" s="235"/>
    </row>
    <row r="19" spans="2:81">
      <c r="B19" s="245">
        <f t="shared" si="0"/>
        <v>10</v>
      </c>
      <c r="C19" s="285"/>
      <c r="D19" s="285"/>
      <c r="E19" s="285"/>
      <c r="F19" s="286"/>
      <c r="G19" s="245"/>
      <c r="H19" s="245"/>
      <c r="I19" s="245"/>
      <c r="J19" s="245"/>
      <c r="K19" s="245"/>
      <c r="L19" s="235"/>
      <c r="M19" s="245"/>
      <c r="N19" s="235"/>
      <c r="O19" s="245"/>
      <c r="P19" s="256"/>
      <c r="Q19" s="245"/>
      <c r="R19" s="245"/>
      <c r="S19" s="245"/>
      <c r="T19" s="245"/>
      <c r="U19" s="235"/>
      <c r="V19" s="245"/>
      <c r="W19" s="245"/>
      <c r="X19" s="245"/>
      <c r="Y19" s="245"/>
      <c r="Z19" s="245"/>
      <c r="AA19" s="245"/>
      <c r="AB19" s="245"/>
      <c r="AC19" s="245"/>
      <c r="AD19" s="245"/>
      <c r="AE19" s="235"/>
      <c r="AF19" s="235"/>
      <c r="AG19" s="245"/>
      <c r="AH19" s="235"/>
      <c r="AI19" s="245"/>
      <c r="AJ19" s="235"/>
      <c r="AK19" s="235"/>
      <c r="AL19" s="235"/>
      <c r="AM19" s="235"/>
      <c r="AN19" s="287"/>
      <c r="AO19" s="235"/>
      <c r="AP19" s="235"/>
      <c r="AQ19" s="235"/>
      <c r="AR19" s="235"/>
      <c r="AS19" s="235"/>
      <c r="AT19" s="235"/>
      <c r="AU19" s="235"/>
      <c r="AV19" s="235"/>
      <c r="AW19" s="145"/>
      <c r="AX19" s="288"/>
      <c r="AY19" s="235"/>
      <c r="AZ19" s="235"/>
      <c r="BA19" s="235"/>
      <c r="BB19" s="235"/>
      <c r="BC19" s="235"/>
      <c r="BD19" s="235"/>
      <c r="BE19" s="235"/>
      <c r="BF19" s="235"/>
      <c r="BG19" s="235"/>
      <c r="BH19" s="235"/>
      <c r="BI19" s="235"/>
      <c r="BJ19" s="235"/>
      <c r="BK19" s="235"/>
      <c r="BL19" s="235"/>
      <c r="BM19" s="235"/>
      <c r="BN19" s="235"/>
      <c r="BO19" s="235"/>
      <c r="BP19" s="235"/>
      <c r="BQ19" s="235"/>
      <c r="BR19" s="235"/>
      <c r="BS19" s="235"/>
      <c r="BT19" s="235"/>
      <c r="BU19" s="235"/>
      <c r="BV19" s="235"/>
      <c r="BW19" s="235"/>
      <c r="BX19" s="235"/>
      <c r="BY19" s="235"/>
      <c r="BZ19" s="289"/>
      <c r="CA19" s="289"/>
      <c r="CB19" s="235"/>
      <c r="CC19" s="235"/>
    </row>
  </sheetData>
  <sheetProtection insertRows="0" deleteRows="0" sort="0" autoFilter="0"/>
  <mergeCells count="3">
    <mergeCell ref="B4:B8"/>
    <mergeCell ref="AW4:AW5"/>
    <mergeCell ref="E5:J5"/>
  </mergeCells>
  <phoneticPr fontId="14"/>
  <dataValidations count="1">
    <dataValidation type="list" allowBlank="1" showInputMessage="1" showErrorMessage="1" sqref="BS9:BS19" xr:uid="{86BFF579-10D6-423B-96CC-23849C9A4098}">
      <formula1>引当とマーキングの削除</formula1>
    </dataValidation>
  </dataValidations>
  <hyperlinks>
    <hyperlink ref="A3" location="パラメータ設定一覧!A1" display="パラメータ設定一覧へ" xr:uid="{23CD4AE4-23B7-4962-A8B9-84E7986345EB}"/>
  </hyperlinks>
  <pageMargins left="0.7" right="0.7" top="0.75" bottom="0.75" header="0.3" footer="0.3"/>
  <pageSetup paperSize="9" orientation="portrait" verticalDpi="0"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AFE8-DEF6-406E-A04C-180B8FD10869}">
  <sheetPr codeName="Sheet44"/>
  <dimension ref="A1:L11"/>
  <sheetViews>
    <sheetView showGridLines="0" zoomScaleNormal="100" workbookViewId="0">
      <pane xSplit="6" ySplit="5" topLeftCell="G6" activePane="bottomRight" state="frozen"/>
      <selection activeCell="A6" sqref="A6"/>
      <selection pane="topRight" activeCell="A6" sqref="A6"/>
      <selection pane="bottomLeft" activeCell="A6" sqref="A6"/>
      <selection pane="bottomRight" activeCell="G6" sqref="G6"/>
    </sheetView>
  </sheetViews>
  <sheetFormatPr defaultColWidth="8.78515625" defaultRowHeight="13.5"/>
  <cols>
    <col min="1" max="1" width="2.78515625" style="46" customWidth="1"/>
    <col min="2" max="2" width="3.42578125" style="46" customWidth="1"/>
    <col min="3" max="3" width="14.5703125" style="46" customWidth="1"/>
    <col min="4" max="4" width="5.78515625" style="46" customWidth="1"/>
    <col min="5" max="5" width="14.78515625" style="46" customWidth="1"/>
    <col min="6" max="6" width="23.2109375" style="46" customWidth="1"/>
    <col min="7" max="7" width="59.78515625" style="46" customWidth="1"/>
    <col min="8" max="8" width="20.2109375" style="46" customWidth="1"/>
    <col min="9" max="9" width="11.2109375" style="46" customWidth="1"/>
    <col min="10" max="10" width="28.42578125" style="46" bestFit="1" customWidth="1"/>
    <col min="11" max="11" width="18.2109375" style="46" customWidth="1"/>
    <col min="12" max="12" width="13.2109375" style="46" customWidth="1"/>
    <col min="13" max="16384" width="8.78515625" style="46"/>
  </cols>
  <sheetData>
    <row r="1" spans="1:12" s="86" customFormat="1" ht="19.5">
      <c r="A1" s="148" t="s">
        <v>1635</v>
      </c>
    </row>
    <row r="2" spans="1:12" s="86" customFormat="1" ht="19.5">
      <c r="A2" s="148"/>
      <c r="B2" s="86" t="s">
        <v>1636</v>
      </c>
    </row>
    <row r="3" spans="1:12" s="86" customFormat="1" ht="15">
      <c r="B3" s="86" t="s">
        <v>1637</v>
      </c>
    </row>
    <row r="4" spans="1:12" s="86" customFormat="1" ht="15">
      <c r="A4" s="10" t="s">
        <v>363</v>
      </c>
    </row>
    <row r="5" spans="1:12" ht="27">
      <c r="B5" s="11" t="s">
        <v>1</v>
      </c>
      <c r="C5" s="12" t="s">
        <v>9</v>
      </c>
      <c r="D5" s="12" t="s">
        <v>10</v>
      </c>
      <c r="E5" s="12" t="s">
        <v>11</v>
      </c>
      <c r="F5" s="13" t="s">
        <v>12</v>
      </c>
      <c r="G5" s="13" t="s">
        <v>498</v>
      </c>
      <c r="H5" s="12" t="s">
        <v>14</v>
      </c>
      <c r="I5" s="12" t="s">
        <v>15</v>
      </c>
      <c r="J5" s="11" t="s">
        <v>16</v>
      </c>
      <c r="K5" s="14" t="s">
        <v>17</v>
      </c>
      <c r="L5" s="14" t="s">
        <v>18</v>
      </c>
    </row>
    <row r="6" spans="1:12">
      <c r="B6" s="15">
        <f t="shared" ref="B6:B11" si="0">ROW() - 5</f>
        <v>1</v>
      </c>
      <c r="C6" s="16" t="s">
        <v>1108</v>
      </c>
      <c r="D6" s="16"/>
      <c r="E6" s="16" t="s">
        <v>1108</v>
      </c>
      <c r="F6" s="17" t="s">
        <v>389</v>
      </c>
      <c r="G6" s="17" t="s">
        <v>1640</v>
      </c>
      <c r="H6" s="17" t="s">
        <v>1443</v>
      </c>
      <c r="I6" s="17" t="s">
        <v>21</v>
      </c>
      <c r="J6" s="17"/>
      <c r="K6" s="147" t="s">
        <v>1647</v>
      </c>
      <c r="L6" s="3"/>
    </row>
    <row r="7" spans="1:12">
      <c r="B7" s="15">
        <f t="shared" si="0"/>
        <v>2</v>
      </c>
      <c r="C7" s="68"/>
      <c r="D7" s="68"/>
      <c r="E7" s="68"/>
      <c r="F7" s="17" t="s">
        <v>1108</v>
      </c>
      <c r="G7" s="17" t="s">
        <v>1641</v>
      </c>
      <c r="H7" s="17" t="s">
        <v>20</v>
      </c>
      <c r="I7" s="17" t="s">
        <v>21</v>
      </c>
      <c r="J7" s="17"/>
      <c r="K7" s="147" t="s">
        <v>1647</v>
      </c>
      <c r="L7" s="3"/>
    </row>
    <row r="8" spans="1:12">
      <c r="B8" s="15">
        <f t="shared" si="0"/>
        <v>3</v>
      </c>
      <c r="C8" s="68"/>
      <c r="D8" s="68"/>
      <c r="E8" s="68"/>
      <c r="F8" s="17" t="s">
        <v>1638</v>
      </c>
      <c r="G8" s="17" t="s">
        <v>331</v>
      </c>
      <c r="H8" s="17" t="s">
        <v>50</v>
      </c>
      <c r="I8" s="169" t="s">
        <v>1644</v>
      </c>
      <c r="J8" s="17"/>
      <c r="K8" s="147" t="s">
        <v>1647</v>
      </c>
      <c r="L8" s="3"/>
    </row>
    <row r="9" spans="1:12">
      <c r="B9" s="15">
        <f t="shared" si="0"/>
        <v>4</v>
      </c>
      <c r="C9" s="68"/>
      <c r="D9" s="68"/>
      <c r="E9" s="68"/>
      <c r="F9" s="17" t="s">
        <v>250</v>
      </c>
      <c r="G9" s="17" t="s">
        <v>1642</v>
      </c>
      <c r="H9" s="17" t="s">
        <v>1646</v>
      </c>
      <c r="I9" s="17" t="s">
        <v>1645</v>
      </c>
      <c r="J9" s="17"/>
      <c r="K9" s="147" t="s">
        <v>1647</v>
      </c>
      <c r="L9" s="3"/>
    </row>
    <row r="10" spans="1:12">
      <c r="B10" s="15">
        <f t="shared" si="0"/>
        <v>5</v>
      </c>
      <c r="C10" s="68"/>
      <c r="D10" s="68"/>
      <c r="E10" s="68"/>
      <c r="F10" s="17" t="s">
        <v>1639</v>
      </c>
      <c r="G10" s="17" t="s">
        <v>1643</v>
      </c>
      <c r="H10" s="17" t="s">
        <v>50</v>
      </c>
      <c r="I10" s="169" t="s">
        <v>1644</v>
      </c>
      <c r="J10" s="17"/>
      <c r="K10" s="147" t="s">
        <v>1647</v>
      </c>
      <c r="L10" s="3"/>
    </row>
    <row r="11" spans="1:12">
      <c r="B11" s="15">
        <f t="shared" si="0"/>
        <v>6</v>
      </c>
      <c r="C11" s="19"/>
      <c r="D11" s="19"/>
      <c r="E11" s="19"/>
      <c r="F11" s="17" t="s">
        <v>19</v>
      </c>
      <c r="G11" s="17" t="s">
        <v>331</v>
      </c>
      <c r="H11" s="17" t="s">
        <v>20</v>
      </c>
      <c r="I11" s="17" t="s">
        <v>21</v>
      </c>
      <c r="J11" s="17"/>
      <c r="K11" s="147" t="s">
        <v>1647</v>
      </c>
      <c r="L11" s="3"/>
    </row>
  </sheetData>
  <phoneticPr fontId="14"/>
  <hyperlinks>
    <hyperlink ref="A4" location="パラメータ設定一覧!A1" display="パラメータ設定一覧へ" xr:uid="{2C1DB8A3-1D24-4DCE-B48E-46A500CCDC6F}"/>
  </hyperlinks>
  <pageMargins left="0.7" right="0.7" top="0.75" bottom="0.75" header="0.3" footer="0.3"/>
  <pageSetup paperSize="9" orientation="portrait" verticalDpi="0"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D481C-9C95-4EE2-B50B-ADF8AD69D4DA}">
  <sheetPr codeName="Sheet45"/>
  <dimension ref="A1:H17"/>
  <sheetViews>
    <sheetView showGridLines="0" zoomScaleNormal="100" workbookViewId="0">
      <pane xSplit="4" ySplit="6" topLeftCell="E7" activePane="bottomRight" state="frozen"/>
      <selection activeCell="A6" sqref="A6"/>
      <selection pane="topRight" activeCell="A6" sqref="A6"/>
      <selection pane="bottomLeft" activeCell="A6" sqref="A6"/>
      <selection pane="bottomRight" activeCell="D7" sqref="D7"/>
    </sheetView>
  </sheetViews>
  <sheetFormatPr defaultColWidth="8.78515625" defaultRowHeight="13.5"/>
  <cols>
    <col min="1" max="1" width="2.78515625" style="177" customWidth="1"/>
    <col min="2" max="2" width="3.5703125" style="177" bestFit="1" customWidth="1"/>
    <col min="3" max="3" width="14.78515625" style="177" bestFit="1" customWidth="1"/>
    <col min="4" max="4" width="20.35546875" style="177" customWidth="1"/>
    <col min="5" max="5" width="14.2109375" style="177" customWidth="1"/>
    <col min="6" max="6" width="13.42578125" style="177" customWidth="1"/>
    <col min="7" max="7" width="16.640625" style="177" customWidth="1"/>
    <col min="8" max="8" width="15.640625" style="177" customWidth="1"/>
    <col min="9" max="16384" width="8.78515625" style="177"/>
  </cols>
  <sheetData>
    <row r="1" spans="1:8" s="362" customFormat="1" ht="19.5">
      <c r="A1" s="381" t="s">
        <v>2698</v>
      </c>
    </row>
    <row r="2" spans="1:8" s="362" customFormat="1" ht="15">
      <c r="A2" s="308" t="s">
        <v>2668</v>
      </c>
    </row>
    <row r="3" spans="1:8" s="362" customFormat="1" ht="15">
      <c r="A3" s="179" t="s">
        <v>363</v>
      </c>
    </row>
    <row r="4" spans="1:8">
      <c r="B4" s="454" t="s">
        <v>463</v>
      </c>
      <c r="C4" s="118" t="s">
        <v>389</v>
      </c>
      <c r="D4" s="118" t="s">
        <v>1635</v>
      </c>
      <c r="E4" s="40" t="s">
        <v>1649</v>
      </c>
      <c r="F4" s="40" t="s">
        <v>1650</v>
      </c>
      <c r="G4" s="40" t="s">
        <v>1651</v>
      </c>
      <c r="H4" s="40" t="s">
        <v>266</v>
      </c>
    </row>
    <row r="5" spans="1:8">
      <c r="B5" s="454"/>
      <c r="C5" s="24" t="s">
        <v>1443</v>
      </c>
      <c r="D5" s="24" t="s">
        <v>20</v>
      </c>
      <c r="E5" s="24" t="s">
        <v>50</v>
      </c>
      <c r="F5" s="24" t="s">
        <v>1652</v>
      </c>
      <c r="G5" s="24" t="s">
        <v>50</v>
      </c>
      <c r="H5" s="24" t="s">
        <v>20</v>
      </c>
    </row>
    <row r="6" spans="1:8">
      <c r="B6" s="454"/>
      <c r="C6" s="24" t="s">
        <v>2667</v>
      </c>
      <c r="D6" s="24" t="s">
        <v>2667</v>
      </c>
      <c r="E6" s="24"/>
      <c r="F6" s="24"/>
      <c r="G6" s="24"/>
      <c r="H6" s="24"/>
    </row>
    <row r="7" spans="1:8">
      <c r="B7" s="364" t="s">
        <v>1226</v>
      </c>
      <c r="C7" s="382" t="s">
        <v>2870</v>
      </c>
      <c r="D7" s="382" t="s">
        <v>2872</v>
      </c>
      <c r="E7" s="382"/>
      <c r="F7" s="383"/>
      <c r="G7" s="364"/>
      <c r="H7" s="364"/>
    </row>
    <row r="8" spans="1:8">
      <c r="B8" s="368">
        <f>ROW() - 7</f>
        <v>1</v>
      </c>
      <c r="C8" s="384"/>
      <c r="D8" s="384"/>
      <c r="E8" s="384"/>
      <c r="F8" s="385"/>
      <c r="G8" s="368"/>
      <c r="H8" s="368"/>
    </row>
    <row r="9" spans="1:8">
      <c r="B9" s="368">
        <f t="shared" ref="B9:B17" si="0">ROW() - 7</f>
        <v>2</v>
      </c>
      <c r="C9" s="384"/>
      <c r="D9" s="384"/>
      <c r="E9" s="384"/>
      <c r="F9" s="385"/>
      <c r="G9" s="368"/>
      <c r="H9" s="368"/>
    </row>
    <row r="10" spans="1:8">
      <c r="B10" s="368">
        <f t="shared" si="0"/>
        <v>3</v>
      </c>
      <c r="C10" s="384"/>
      <c r="D10" s="384"/>
      <c r="E10" s="384"/>
      <c r="F10" s="385"/>
      <c r="G10" s="368"/>
      <c r="H10" s="368"/>
    </row>
    <row r="11" spans="1:8">
      <c r="B11" s="368">
        <f t="shared" si="0"/>
        <v>4</v>
      </c>
      <c r="C11" s="384"/>
      <c r="D11" s="384"/>
      <c r="E11" s="384"/>
      <c r="F11" s="385"/>
      <c r="G11" s="368"/>
      <c r="H11" s="368"/>
    </row>
    <row r="12" spans="1:8">
      <c r="B12" s="368">
        <f t="shared" si="0"/>
        <v>5</v>
      </c>
      <c r="C12" s="384"/>
      <c r="D12" s="384"/>
      <c r="E12" s="384"/>
      <c r="F12" s="385"/>
      <c r="G12" s="368"/>
      <c r="H12" s="368"/>
    </row>
    <row r="13" spans="1:8">
      <c r="B13" s="368">
        <f t="shared" si="0"/>
        <v>6</v>
      </c>
      <c r="C13" s="384"/>
      <c r="D13" s="384"/>
      <c r="E13" s="384"/>
      <c r="F13" s="385"/>
      <c r="G13" s="368"/>
      <c r="H13" s="368"/>
    </row>
    <row r="14" spans="1:8">
      <c r="B14" s="368">
        <f t="shared" si="0"/>
        <v>7</v>
      </c>
      <c r="C14" s="384"/>
      <c r="D14" s="384"/>
      <c r="E14" s="384"/>
      <c r="F14" s="385"/>
      <c r="G14" s="368"/>
      <c r="H14" s="368"/>
    </row>
    <row r="15" spans="1:8">
      <c r="B15" s="368">
        <f t="shared" si="0"/>
        <v>8</v>
      </c>
      <c r="C15" s="384"/>
      <c r="D15" s="384"/>
      <c r="E15" s="384"/>
      <c r="F15" s="385"/>
      <c r="G15" s="368"/>
      <c r="H15" s="368"/>
    </row>
    <row r="16" spans="1:8">
      <c r="B16" s="368">
        <f t="shared" si="0"/>
        <v>9</v>
      </c>
      <c r="C16" s="384"/>
      <c r="D16" s="384"/>
      <c r="E16" s="384"/>
      <c r="F16" s="385"/>
      <c r="G16" s="368"/>
      <c r="H16" s="368"/>
    </row>
    <row r="17" spans="2:8">
      <c r="B17" s="368">
        <f t="shared" si="0"/>
        <v>10</v>
      </c>
      <c r="C17" s="384"/>
      <c r="D17" s="384"/>
      <c r="E17" s="384"/>
      <c r="F17" s="385"/>
      <c r="G17" s="368"/>
      <c r="H17" s="368"/>
    </row>
  </sheetData>
  <sheetProtection insertRows="0" deleteRows="0" sort="0" autoFilter="0"/>
  <mergeCells count="1">
    <mergeCell ref="B4:B6"/>
  </mergeCells>
  <phoneticPr fontId="14"/>
  <hyperlinks>
    <hyperlink ref="A3" location="パラメータ設定一覧!A1" display="パラメータ設定一覧へ" xr:uid="{B2CAFE65-2CB6-4EEE-8032-20DA4F1C2542}"/>
  </hyperlinks>
  <pageMargins left="0.7" right="0.7" top="0.75" bottom="0.75" header="0.3" footer="0.3"/>
  <pageSetup paperSize="9" orientation="portrait" verticalDpi="0"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768E2-AC69-45F5-B796-3E99220792C9}">
  <sheetPr codeName="Sheet46"/>
  <dimension ref="A1:L36"/>
  <sheetViews>
    <sheetView showGridLines="0" zoomScaleNormal="100" workbookViewId="0">
      <pane xSplit="6" ySplit="5" topLeftCell="G6" activePane="bottomRight" state="frozen"/>
      <selection pane="topRight"/>
      <selection pane="bottomLeft"/>
      <selection pane="bottomRight" activeCell="G6" sqref="G6"/>
    </sheetView>
  </sheetViews>
  <sheetFormatPr defaultColWidth="8.78515625" defaultRowHeight="13.5"/>
  <cols>
    <col min="1" max="1" width="2.78515625" style="46" customWidth="1"/>
    <col min="2" max="2" width="3.42578125" style="46" customWidth="1"/>
    <col min="3" max="3" width="14.5703125" style="46" customWidth="1"/>
    <col min="4" max="4" width="5.78515625" style="46" customWidth="1"/>
    <col min="5" max="5" width="14.78515625" style="46" customWidth="1"/>
    <col min="6" max="6" width="23.2109375" style="46" customWidth="1"/>
    <col min="7" max="7" width="59.78515625" style="46" customWidth="1"/>
    <col min="8" max="8" width="20.2109375" style="46" customWidth="1"/>
    <col min="9" max="9" width="11.2109375" style="46" customWidth="1"/>
    <col min="10" max="10" width="28.42578125" style="46" bestFit="1" customWidth="1"/>
    <col min="11" max="11" width="18.2109375" style="46" customWidth="1"/>
    <col min="12" max="12" width="13.2109375" style="46" customWidth="1"/>
    <col min="13" max="16384" width="8.78515625" style="46"/>
  </cols>
  <sheetData>
    <row r="1" spans="1:12" s="86" customFormat="1" ht="19.5">
      <c r="A1" s="148" t="s">
        <v>1653</v>
      </c>
    </row>
    <row r="2" spans="1:12" s="86" customFormat="1" ht="19.5">
      <c r="A2" s="148"/>
      <c r="B2" s="86" t="s">
        <v>1654</v>
      </c>
    </row>
    <row r="3" spans="1:12" s="86" customFormat="1" ht="15">
      <c r="B3" s="86" t="s">
        <v>1655</v>
      </c>
    </row>
    <row r="4" spans="1:12" s="86" customFormat="1" ht="15">
      <c r="A4" s="10" t="s">
        <v>363</v>
      </c>
    </row>
    <row r="5" spans="1:12" ht="27">
      <c r="B5" s="11" t="s">
        <v>1</v>
      </c>
      <c r="C5" s="12" t="s">
        <v>9</v>
      </c>
      <c r="D5" s="12" t="s">
        <v>10</v>
      </c>
      <c r="E5" s="12" t="s">
        <v>11</v>
      </c>
      <c r="F5" s="13" t="s">
        <v>12</v>
      </c>
      <c r="G5" s="13" t="s">
        <v>498</v>
      </c>
      <c r="H5" s="12" t="s">
        <v>14</v>
      </c>
      <c r="I5" s="12" t="s">
        <v>15</v>
      </c>
      <c r="J5" s="11" t="s">
        <v>16</v>
      </c>
      <c r="K5" s="14" t="s">
        <v>17</v>
      </c>
      <c r="L5" s="14" t="s">
        <v>18</v>
      </c>
    </row>
    <row r="6" spans="1:12">
      <c r="B6" s="15">
        <f t="shared" ref="B6:B30" si="0">ROW() - 5</f>
        <v>1</v>
      </c>
      <c r="C6" s="16" t="s">
        <v>1109</v>
      </c>
      <c r="D6" s="167"/>
      <c r="E6" s="16"/>
      <c r="F6" s="17" t="s">
        <v>389</v>
      </c>
      <c r="G6" s="17" t="s">
        <v>1681</v>
      </c>
      <c r="H6" s="17" t="s">
        <v>1479</v>
      </c>
      <c r="I6" s="17" t="s">
        <v>21</v>
      </c>
      <c r="J6" s="17"/>
      <c r="K6" s="147" t="s">
        <v>1684</v>
      </c>
      <c r="L6" s="3"/>
    </row>
    <row r="7" spans="1:12" ht="54">
      <c r="B7" s="15">
        <f t="shared" si="0"/>
        <v>2</v>
      </c>
      <c r="C7" s="68"/>
      <c r="D7" s="143"/>
      <c r="E7" s="68"/>
      <c r="F7" s="17" t="s">
        <v>193</v>
      </c>
      <c r="G7" s="17" t="s">
        <v>1682</v>
      </c>
      <c r="H7" s="170" t="s">
        <v>1696</v>
      </c>
      <c r="I7" s="17" t="s">
        <v>21</v>
      </c>
      <c r="J7" s="17"/>
      <c r="K7" s="147" t="s">
        <v>1684</v>
      </c>
      <c r="L7" s="3"/>
    </row>
    <row r="8" spans="1:12" ht="108">
      <c r="B8" s="15">
        <f t="shared" si="0"/>
        <v>3</v>
      </c>
      <c r="C8" s="68"/>
      <c r="D8" s="143"/>
      <c r="E8" s="68"/>
      <c r="F8" s="17" t="s">
        <v>1656</v>
      </c>
      <c r="G8" s="17" t="s">
        <v>1683</v>
      </c>
      <c r="H8" s="17" t="s">
        <v>1698</v>
      </c>
      <c r="I8" s="17" t="s">
        <v>21</v>
      </c>
      <c r="J8" s="17"/>
      <c r="K8" s="147" t="s">
        <v>1684</v>
      </c>
      <c r="L8" s="3"/>
    </row>
    <row r="9" spans="1:12">
      <c r="B9" s="15">
        <f t="shared" si="0"/>
        <v>4</v>
      </c>
      <c r="C9" s="16" t="s">
        <v>23</v>
      </c>
      <c r="D9" s="167"/>
      <c r="E9" s="16" t="s">
        <v>52</v>
      </c>
      <c r="F9" s="17" t="s">
        <v>1108</v>
      </c>
      <c r="G9" s="17" t="s">
        <v>1685</v>
      </c>
      <c r="H9" s="17" t="s">
        <v>1697</v>
      </c>
      <c r="I9" s="17" t="s">
        <v>21</v>
      </c>
      <c r="J9" s="17"/>
      <c r="K9" s="147" t="s">
        <v>1684</v>
      </c>
      <c r="L9" s="3"/>
    </row>
    <row r="10" spans="1:12">
      <c r="B10" s="15">
        <f t="shared" si="0"/>
        <v>5</v>
      </c>
      <c r="C10" s="68"/>
      <c r="D10" s="143"/>
      <c r="E10" s="68"/>
      <c r="F10" s="17" t="s">
        <v>1232</v>
      </c>
      <c r="G10" s="17"/>
      <c r="H10" s="17" t="s">
        <v>50</v>
      </c>
      <c r="I10" s="169" t="s">
        <v>1644</v>
      </c>
      <c r="J10" s="17"/>
      <c r="K10" s="147" t="s">
        <v>1684</v>
      </c>
      <c r="L10" s="3"/>
    </row>
    <row r="11" spans="1:12">
      <c r="B11" s="15">
        <f t="shared" si="0"/>
        <v>6</v>
      </c>
      <c r="C11" s="68"/>
      <c r="D11" s="143"/>
      <c r="E11" s="68"/>
      <c r="F11" s="17" t="s">
        <v>1659</v>
      </c>
      <c r="G11" s="17"/>
      <c r="H11" s="17" t="s">
        <v>50</v>
      </c>
      <c r="I11" s="169" t="s">
        <v>1644</v>
      </c>
      <c r="J11" s="17"/>
      <c r="K11" s="147" t="s">
        <v>1684</v>
      </c>
      <c r="L11" s="3"/>
    </row>
    <row r="12" spans="1:12" ht="40.5">
      <c r="B12" s="15">
        <f t="shared" si="0"/>
        <v>7</v>
      </c>
      <c r="C12" s="68"/>
      <c r="D12" s="143"/>
      <c r="E12" s="68"/>
      <c r="F12" s="17" t="s">
        <v>1660</v>
      </c>
      <c r="G12" s="17" t="s">
        <v>1686</v>
      </c>
      <c r="H12" s="17" t="s">
        <v>50</v>
      </c>
      <c r="I12" s="169" t="s">
        <v>1644</v>
      </c>
      <c r="J12" s="17"/>
      <c r="K12" s="147" t="s">
        <v>1684</v>
      </c>
      <c r="L12" s="3"/>
    </row>
    <row r="13" spans="1:12">
      <c r="B13" s="15">
        <f t="shared" si="0"/>
        <v>8</v>
      </c>
      <c r="C13" s="68"/>
      <c r="D13" s="143"/>
      <c r="E13" s="19"/>
      <c r="F13" s="17" t="s">
        <v>1661</v>
      </c>
      <c r="G13" s="17" t="s">
        <v>1687</v>
      </c>
      <c r="H13" s="17" t="s">
        <v>27</v>
      </c>
      <c r="I13" s="169" t="s">
        <v>28</v>
      </c>
      <c r="J13" s="17"/>
      <c r="K13" s="147" t="s">
        <v>1684</v>
      </c>
      <c r="L13" s="3"/>
    </row>
    <row r="14" spans="1:12">
      <c r="B14" s="15">
        <f t="shared" si="0"/>
        <v>9</v>
      </c>
      <c r="C14" s="68"/>
      <c r="D14" s="143"/>
      <c r="E14" s="16" t="s">
        <v>1662</v>
      </c>
      <c r="F14" s="17" t="s">
        <v>1663</v>
      </c>
      <c r="G14" s="17"/>
      <c r="H14" s="17" t="s">
        <v>50</v>
      </c>
      <c r="I14" s="169" t="s">
        <v>1393</v>
      </c>
      <c r="J14" s="17"/>
      <c r="K14" s="147" t="s">
        <v>1684</v>
      </c>
      <c r="L14" s="3"/>
    </row>
    <row r="15" spans="1:12">
      <c r="B15" s="15">
        <f t="shared" si="0"/>
        <v>10</v>
      </c>
      <c r="C15" s="68"/>
      <c r="D15" s="143"/>
      <c r="E15" s="68"/>
      <c r="F15" s="17" t="s">
        <v>1664</v>
      </c>
      <c r="G15" s="17"/>
      <c r="H15" s="17" t="s">
        <v>50</v>
      </c>
      <c r="I15" s="169" t="s">
        <v>1393</v>
      </c>
      <c r="J15" s="17"/>
      <c r="K15" s="147" t="s">
        <v>1684</v>
      </c>
      <c r="L15" s="3"/>
    </row>
    <row r="16" spans="1:12">
      <c r="B16" s="15">
        <f t="shared" si="0"/>
        <v>11</v>
      </c>
      <c r="C16" s="68"/>
      <c r="D16" s="143"/>
      <c r="E16" s="68"/>
      <c r="F16" s="17" t="s">
        <v>1699</v>
      </c>
      <c r="G16" s="17"/>
      <c r="H16" s="17" t="s">
        <v>50</v>
      </c>
      <c r="I16" s="169" t="s">
        <v>1393</v>
      </c>
      <c r="J16" s="17"/>
      <c r="K16" s="147" t="s">
        <v>1684</v>
      </c>
      <c r="L16" s="3"/>
    </row>
    <row r="17" spans="2:12">
      <c r="B17" s="15">
        <f t="shared" si="0"/>
        <v>12</v>
      </c>
      <c r="C17" s="68"/>
      <c r="D17" s="143"/>
      <c r="E17" s="68"/>
      <c r="F17" s="17" t="s">
        <v>1665</v>
      </c>
      <c r="G17" s="17" t="s">
        <v>1688</v>
      </c>
      <c r="H17" s="17" t="s">
        <v>50</v>
      </c>
      <c r="I17" s="169" t="s">
        <v>1393</v>
      </c>
      <c r="J17" s="17"/>
      <c r="K17" s="147" t="s">
        <v>1684</v>
      </c>
      <c r="L17" s="3"/>
    </row>
    <row r="18" spans="2:12" ht="27">
      <c r="B18" s="15">
        <f t="shared" si="0"/>
        <v>13</v>
      </c>
      <c r="C18" s="19"/>
      <c r="D18" s="142"/>
      <c r="E18" s="19"/>
      <c r="F18" s="17" t="s">
        <v>1666</v>
      </c>
      <c r="G18" s="17" t="s">
        <v>1689</v>
      </c>
      <c r="H18" s="17" t="s">
        <v>50</v>
      </c>
      <c r="I18" s="169" t="s">
        <v>1450</v>
      </c>
      <c r="J18" s="17"/>
      <c r="K18" s="147" t="s">
        <v>1684</v>
      </c>
      <c r="L18" s="3"/>
    </row>
    <row r="19" spans="2:12">
      <c r="B19" s="15">
        <f t="shared" si="0"/>
        <v>14</v>
      </c>
      <c r="C19" s="16" t="s">
        <v>1657</v>
      </c>
      <c r="D19" s="167"/>
      <c r="E19" s="16" t="s">
        <v>1665</v>
      </c>
      <c r="F19" s="17" t="s">
        <v>1667</v>
      </c>
      <c r="G19" s="17"/>
      <c r="H19" s="17" t="s">
        <v>50</v>
      </c>
      <c r="I19" s="169" t="s">
        <v>1450</v>
      </c>
      <c r="J19" s="17"/>
      <c r="K19" s="147" t="s">
        <v>1684</v>
      </c>
      <c r="L19" s="3"/>
    </row>
    <row r="20" spans="2:12">
      <c r="B20" s="15">
        <f t="shared" si="0"/>
        <v>15</v>
      </c>
      <c r="C20" s="68"/>
      <c r="D20" s="143"/>
      <c r="E20" s="68"/>
      <c r="F20" s="17" t="s">
        <v>1668</v>
      </c>
      <c r="G20" s="17"/>
      <c r="H20" s="17" t="s">
        <v>50</v>
      </c>
      <c r="I20" s="169" t="s">
        <v>1393</v>
      </c>
      <c r="J20" s="17"/>
      <c r="K20" s="147" t="s">
        <v>1684</v>
      </c>
      <c r="L20" s="3"/>
    </row>
    <row r="21" spans="2:12">
      <c r="B21" s="15">
        <f t="shared" si="0"/>
        <v>16</v>
      </c>
      <c r="C21" s="68"/>
      <c r="D21" s="143"/>
      <c r="E21" s="19"/>
      <c r="F21" s="17" t="s">
        <v>1669</v>
      </c>
      <c r="G21" s="17"/>
      <c r="H21" s="17" t="s">
        <v>50</v>
      </c>
      <c r="I21" s="169" t="s">
        <v>1393</v>
      </c>
      <c r="J21" s="17"/>
      <c r="K21" s="147" t="s">
        <v>1684</v>
      </c>
      <c r="L21" s="3"/>
    </row>
    <row r="22" spans="2:12">
      <c r="B22" s="15">
        <f t="shared" si="0"/>
        <v>17</v>
      </c>
      <c r="C22" s="68"/>
      <c r="D22" s="143"/>
      <c r="E22" s="16" t="s">
        <v>1222</v>
      </c>
      <c r="F22" s="17" t="s">
        <v>1670</v>
      </c>
      <c r="G22" s="17"/>
      <c r="H22" s="17" t="s">
        <v>50</v>
      </c>
      <c r="I22" s="169" t="s">
        <v>1450</v>
      </c>
      <c r="J22" s="17"/>
      <c r="K22" s="147" t="s">
        <v>1684</v>
      </c>
      <c r="L22" s="3"/>
    </row>
    <row r="23" spans="2:12">
      <c r="B23" s="15">
        <f t="shared" si="0"/>
        <v>18</v>
      </c>
      <c r="C23" s="68"/>
      <c r="D23" s="143"/>
      <c r="E23" s="68"/>
      <c r="F23" s="17" t="s">
        <v>1671</v>
      </c>
      <c r="G23" s="17"/>
      <c r="H23" s="17" t="s">
        <v>50</v>
      </c>
      <c r="I23" s="169" t="s">
        <v>1450</v>
      </c>
      <c r="J23" s="17"/>
      <c r="K23" s="147" t="s">
        <v>1684</v>
      </c>
      <c r="L23" s="3"/>
    </row>
    <row r="24" spans="2:12">
      <c r="B24" s="15">
        <f t="shared" si="0"/>
        <v>19</v>
      </c>
      <c r="C24" s="19"/>
      <c r="D24" s="143"/>
      <c r="E24" s="19"/>
      <c r="F24" s="17" t="s">
        <v>1672</v>
      </c>
      <c r="G24" s="17"/>
      <c r="H24" s="17" t="s">
        <v>50</v>
      </c>
      <c r="I24" s="17" t="s">
        <v>21</v>
      </c>
      <c r="J24" s="17"/>
      <c r="K24" s="147" t="s">
        <v>1684</v>
      </c>
      <c r="L24" s="3"/>
    </row>
    <row r="25" spans="2:12">
      <c r="B25" s="15">
        <f t="shared" si="0"/>
        <v>20</v>
      </c>
      <c r="C25" s="16" t="s">
        <v>54</v>
      </c>
      <c r="D25" s="167"/>
      <c r="E25" s="16" t="s">
        <v>54</v>
      </c>
      <c r="F25" s="17" t="s">
        <v>1674</v>
      </c>
      <c r="G25" s="17"/>
      <c r="H25" s="17" t="s">
        <v>20</v>
      </c>
      <c r="I25" s="17" t="s">
        <v>21</v>
      </c>
      <c r="J25" s="17"/>
      <c r="K25" s="147" t="s">
        <v>1684</v>
      </c>
      <c r="L25" s="3"/>
    </row>
    <row r="26" spans="2:12" ht="40.5">
      <c r="B26" s="15">
        <f t="shared" si="0"/>
        <v>21</v>
      </c>
      <c r="C26" s="68"/>
      <c r="D26" s="143"/>
      <c r="E26" s="19"/>
      <c r="F26" s="17" t="s">
        <v>1675</v>
      </c>
      <c r="G26" s="17" t="s">
        <v>1690</v>
      </c>
      <c r="H26" s="17" t="s">
        <v>1478</v>
      </c>
      <c r="I26" s="17"/>
      <c r="J26" s="17"/>
      <c r="K26" s="147" t="s">
        <v>1684</v>
      </c>
      <c r="L26" s="3"/>
    </row>
    <row r="27" spans="2:12" ht="27">
      <c r="B27" s="15">
        <f t="shared" si="0"/>
        <v>22</v>
      </c>
      <c r="C27" s="68"/>
      <c r="D27" s="143"/>
      <c r="E27" s="16" t="s">
        <v>1676</v>
      </c>
      <c r="F27" s="17" t="s">
        <v>1677</v>
      </c>
      <c r="G27" s="17" t="s">
        <v>1691</v>
      </c>
      <c r="H27" s="17" t="s">
        <v>1700</v>
      </c>
      <c r="I27" s="169"/>
      <c r="J27" s="17"/>
      <c r="K27" s="147" t="s">
        <v>1684</v>
      </c>
      <c r="L27" s="3"/>
    </row>
    <row r="28" spans="2:12">
      <c r="B28" s="15">
        <f t="shared" si="0"/>
        <v>23</v>
      </c>
      <c r="C28" s="68"/>
      <c r="D28" s="143"/>
      <c r="E28" s="19"/>
      <c r="F28" s="17" t="s">
        <v>1678</v>
      </c>
      <c r="G28" s="17" t="s">
        <v>1692</v>
      </c>
      <c r="H28" s="17" t="s">
        <v>1700</v>
      </c>
      <c r="I28" s="17"/>
      <c r="J28" s="17"/>
      <c r="K28" s="147" t="s">
        <v>1684</v>
      </c>
      <c r="L28" s="3"/>
    </row>
    <row r="29" spans="2:12" ht="40.5">
      <c r="B29" s="15">
        <f t="shared" si="0"/>
        <v>24</v>
      </c>
      <c r="C29" s="68"/>
      <c r="D29" s="143"/>
      <c r="E29" s="16" t="s">
        <v>1679</v>
      </c>
      <c r="F29" s="17" t="s">
        <v>1661</v>
      </c>
      <c r="G29" s="17" t="s">
        <v>1686</v>
      </c>
      <c r="H29" s="17" t="s">
        <v>27</v>
      </c>
      <c r="I29" s="169" t="s">
        <v>28</v>
      </c>
      <c r="J29" s="17"/>
      <c r="K29" s="147" t="s">
        <v>1684</v>
      </c>
      <c r="L29" s="3"/>
    </row>
    <row r="30" spans="2:12" ht="27">
      <c r="B30" s="15">
        <f t="shared" si="0"/>
        <v>25</v>
      </c>
      <c r="C30" s="68"/>
      <c r="D30" s="143"/>
      <c r="E30" s="19"/>
      <c r="F30" s="17" t="s">
        <v>1680</v>
      </c>
      <c r="G30" s="17" t="s">
        <v>1693</v>
      </c>
      <c r="H30" s="17" t="s">
        <v>50</v>
      </c>
      <c r="I30" s="169" t="s">
        <v>1644</v>
      </c>
      <c r="J30" s="17"/>
      <c r="K30" s="147" t="s">
        <v>1684</v>
      </c>
      <c r="L30" s="3"/>
    </row>
    <row r="31" spans="2:12">
      <c r="B31" s="15">
        <f t="shared" ref="B31:B36" si="1">ROW() - 5</f>
        <v>26</v>
      </c>
      <c r="C31" s="16" t="s">
        <v>1658</v>
      </c>
      <c r="D31" s="16"/>
      <c r="E31" s="16" t="s">
        <v>1658</v>
      </c>
      <c r="F31" s="17" t="s">
        <v>1658</v>
      </c>
      <c r="G31" s="17"/>
      <c r="H31" s="17" t="s">
        <v>1695</v>
      </c>
      <c r="I31" s="17"/>
      <c r="J31" s="17"/>
      <c r="K31" s="147" t="s">
        <v>1684</v>
      </c>
      <c r="L31" s="3"/>
    </row>
    <row r="32" spans="2:12">
      <c r="B32" s="15">
        <f t="shared" si="1"/>
        <v>27</v>
      </c>
      <c r="C32" s="68"/>
      <c r="D32" s="43"/>
      <c r="E32" s="16" t="s">
        <v>1694</v>
      </c>
      <c r="F32" s="115" t="s">
        <v>389</v>
      </c>
      <c r="G32" s="17"/>
      <c r="H32" s="17" t="s">
        <v>27</v>
      </c>
      <c r="I32" s="17" t="s">
        <v>57</v>
      </c>
      <c r="J32" s="17"/>
      <c r="K32" s="147" t="s">
        <v>1684</v>
      </c>
      <c r="L32" s="3"/>
    </row>
    <row r="33" spans="2:12">
      <c r="B33" s="15">
        <f t="shared" si="1"/>
        <v>28</v>
      </c>
      <c r="C33" s="68"/>
      <c r="D33" s="43"/>
      <c r="E33" s="68"/>
      <c r="F33" s="115" t="s">
        <v>193</v>
      </c>
      <c r="G33" s="17"/>
      <c r="H33" s="17" t="s">
        <v>27</v>
      </c>
      <c r="I33" s="17" t="s">
        <v>57</v>
      </c>
      <c r="J33" s="17"/>
      <c r="K33" s="147" t="s">
        <v>1684</v>
      </c>
      <c r="L33" s="3"/>
    </row>
    <row r="34" spans="2:12">
      <c r="B34" s="15">
        <f t="shared" si="1"/>
        <v>29</v>
      </c>
      <c r="C34" s="68"/>
      <c r="D34" s="43"/>
      <c r="E34" s="68"/>
      <c r="F34" s="115" t="s">
        <v>1656</v>
      </c>
      <c r="G34" s="17"/>
      <c r="H34" s="17" t="s">
        <v>27</v>
      </c>
      <c r="I34" s="17" t="s">
        <v>57</v>
      </c>
      <c r="J34" s="17"/>
      <c r="K34" s="147" t="s">
        <v>1684</v>
      </c>
      <c r="L34" s="3"/>
    </row>
    <row r="35" spans="2:12">
      <c r="B35" s="15">
        <f t="shared" si="1"/>
        <v>30</v>
      </c>
      <c r="C35" s="68"/>
      <c r="D35" s="43"/>
      <c r="E35" s="68"/>
      <c r="F35" s="115" t="s">
        <v>1663</v>
      </c>
      <c r="G35" s="17"/>
      <c r="H35" s="17" t="s">
        <v>27</v>
      </c>
      <c r="I35" s="17" t="s">
        <v>28</v>
      </c>
      <c r="J35" s="17"/>
      <c r="K35" s="147" t="s">
        <v>1684</v>
      </c>
      <c r="L35" s="3"/>
    </row>
    <row r="36" spans="2:12">
      <c r="B36" s="15">
        <f t="shared" si="1"/>
        <v>31</v>
      </c>
      <c r="C36" s="19"/>
      <c r="D36" s="128"/>
      <c r="E36" s="19"/>
      <c r="F36" s="115" t="s">
        <v>280</v>
      </c>
      <c r="G36" s="17"/>
      <c r="H36" s="17" t="s">
        <v>27</v>
      </c>
      <c r="I36" s="17" t="s">
        <v>28</v>
      </c>
      <c r="J36" s="17"/>
      <c r="K36" s="147" t="s">
        <v>1684</v>
      </c>
      <c r="L36" s="3"/>
    </row>
  </sheetData>
  <phoneticPr fontId="14"/>
  <hyperlinks>
    <hyperlink ref="A4" location="パラメータ設定一覧!A1" display="パラメータ設定一覧へ" xr:uid="{51587D9E-A58E-4467-839F-117EF9BC82CD}"/>
  </hyperlinks>
  <pageMargins left="0.7" right="0.7" top="0.75" bottom="0.75" header="0.3" footer="0.3"/>
  <pageSetup paperSize="9" orientation="portrait" verticalDpi="0"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9E50E-F53A-479B-AAA6-47C0D16CC543}">
  <sheetPr codeName="Sheet47"/>
  <dimension ref="A1:AG19"/>
  <sheetViews>
    <sheetView showGridLines="0" zoomScaleNormal="100" workbookViewId="0">
      <pane xSplit="4" ySplit="6" topLeftCell="E7" activePane="bottomRight" state="frozen"/>
      <selection pane="topRight"/>
      <selection pane="bottomLeft"/>
      <selection pane="bottomRight" activeCell="E7" sqref="E7"/>
    </sheetView>
  </sheetViews>
  <sheetFormatPr defaultColWidth="8.78515625" defaultRowHeight="13.5"/>
  <cols>
    <col min="1" max="1" width="2.78515625" style="46" customWidth="1"/>
    <col min="2" max="2" width="3.5703125" style="46" bestFit="1" customWidth="1"/>
    <col min="3" max="3" width="14.78515625" style="46" bestFit="1" customWidth="1"/>
    <col min="4" max="4" width="20.35546875" style="46" customWidth="1"/>
    <col min="5" max="5" width="16.35546875" style="46" bestFit="1" customWidth="1"/>
    <col min="6" max="6" width="13.42578125" style="46" customWidth="1"/>
    <col min="7" max="7" width="16.640625" style="46" customWidth="1"/>
    <col min="8" max="33" width="15.640625" style="46" customWidth="1"/>
    <col min="34" max="16384" width="8.78515625" style="46"/>
  </cols>
  <sheetData>
    <row r="1" spans="1:33" s="86" customFormat="1" ht="19.5">
      <c r="A1" s="148" t="s">
        <v>2699</v>
      </c>
    </row>
    <row r="2" spans="1:33" s="86" customFormat="1" ht="15">
      <c r="A2" s="196" t="s">
        <v>2668</v>
      </c>
    </row>
    <row r="3" spans="1:33" s="86" customFormat="1" ht="15">
      <c r="A3" s="10" t="s">
        <v>363</v>
      </c>
    </row>
    <row r="4" spans="1:33">
      <c r="B4" s="439" t="s">
        <v>463</v>
      </c>
      <c r="C4" s="263" t="s">
        <v>1109</v>
      </c>
      <c r="D4" s="264"/>
      <c r="E4" s="36"/>
      <c r="F4" s="38" t="s">
        <v>741</v>
      </c>
      <c r="G4" s="38"/>
      <c r="H4" s="38"/>
      <c r="I4" s="38"/>
      <c r="J4" s="38"/>
      <c r="K4" s="38"/>
      <c r="L4" s="38"/>
      <c r="M4" s="38"/>
      <c r="N4" s="38"/>
      <c r="O4" s="38"/>
      <c r="P4" s="37" t="s">
        <v>1657</v>
      </c>
      <c r="Q4" s="38"/>
      <c r="R4" s="38"/>
      <c r="S4" s="38"/>
      <c r="T4" s="38"/>
      <c r="U4" s="38"/>
      <c r="V4" s="37" t="s">
        <v>54</v>
      </c>
      <c r="W4" s="38"/>
      <c r="X4" s="38"/>
      <c r="Y4" s="38"/>
      <c r="Z4" s="38"/>
      <c r="AA4" s="39"/>
      <c r="AB4" s="39" t="s">
        <v>1658</v>
      </c>
      <c r="AC4" s="40"/>
      <c r="AD4" s="40"/>
      <c r="AE4" s="40"/>
      <c r="AF4" s="40"/>
      <c r="AG4" s="40"/>
    </row>
    <row r="5" spans="1:33">
      <c r="B5" s="439"/>
      <c r="C5" s="291"/>
      <c r="D5" s="292"/>
      <c r="E5" s="42"/>
      <c r="F5" s="41" t="s">
        <v>52</v>
      </c>
      <c r="G5" s="41"/>
      <c r="H5" s="41"/>
      <c r="I5" s="41"/>
      <c r="J5" s="41"/>
      <c r="K5" s="56" t="s">
        <v>1705</v>
      </c>
      <c r="L5" s="41"/>
      <c r="M5" s="41"/>
      <c r="N5" s="41"/>
      <c r="O5" s="41"/>
      <c r="P5" s="56" t="s">
        <v>1665</v>
      </c>
      <c r="Q5" s="41"/>
      <c r="R5" s="41"/>
      <c r="S5" s="56" t="s">
        <v>1222</v>
      </c>
      <c r="T5" s="41"/>
      <c r="U5" s="41"/>
      <c r="V5" s="56" t="s">
        <v>54</v>
      </c>
      <c r="W5" s="42"/>
      <c r="X5" s="41" t="s">
        <v>1676</v>
      </c>
      <c r="Y5" s="42"/>
      <c r="Z5" s="41" t="s">
        <v>1679</v>
      </c>
      <c r="AA5" s="42"/>
      <c r="AB5" s="39" t="s">
        <v>1658</v>
      </c>
      <c r="AC5" s="40" t="s">
        <v>1694</v>
      </c>
      <c r="AD5" s="39"/>
      <c r="AE5" s="40"/>
      <c r="AF5" s="39"/>
      <c r="AG5" s="40"/>
    </row>
    <row r="6" spans="1:33">
      <c r="B6" s="440"/>
      <c r="C6" s="185" t="s">
        <v>1701</v>
      </c>
      <c r="D6" s="185" t="s">
        <v>1702</v>
      </c>
      <c r="E6" s="125" t="s">
        <v>1703</v>
      </c>
      <c r="F6" s="125" t="s">
        <v>1108</v>
      </c>
      <c r="G6" s="125" t="s">
        <v>1232</v>
      </c>
      <c r="H6" s="125" t="s">
        <v>1659</v>
      </c>
      <c r="I6" s="125" t="s">
        <v>1660</v>
      </c>
      <c r="J6" s="125" t="s">
        <v>1661</v>
      </c>
      <c r="K6" s="125" t="s">
        <v>1663</v>
      </c>
      <c r="L6" s="125" t="s">
        <v>1664</v>
      </c>
      <c r="M6" s="125" t="s">
        <v>1699</v>
      </c>
      <c r="N6" s="125" t="s">
        <v>1665</v>
      </c>
      <c r="O6" s="125" t="s">
        <v>1666</v>
      </c>
      <c r="P6" s="125" t="s">
        <v>1667</v>
      </c>
      <c r="Q6" s="125" t="s">
        <v>1668</v>
      </c>
      <c r="R6" s="125" t="s">
        <v>1669</v>
      </c>
      <c r="S6" s="125" t="s">
        <v>1670</v>
      </c>
      <c r="T6" s="125" t="s">
        <v>1671</v>
      </c>
      <c r="U6" s="125" t="s">
        <v>1672</v>
      </c>
      <c r="V6" s="125" t="s">
        <v>1673</v>
      </c>
      <c r="W6" s="125" t="s">
        <v>1675</v>
      </c>
      <c r="X6" s="125" t="s">
        <v>1706</v>
      </c>
      <c r="Y6" s="125" t="s">
        <v>1707</v>
      </c>
      <c r="Z6" s="125" t="s">
        <v>1708</v>
      </c>
      <c r="AA6" s="125" t="s">
        <v>1709</v>
      </c>
      <c r="AB6" s="39" t="s">
        <v>1658</v>
      </c>
      <c r="AC6" s="40" t="s">
        <v>389</v>
      </c>
      <c r="AD6" s="40" t="s">
        <v>193</v>
      </c>
      <c r="AE6" s="40" t="s">
        <v>1656</v>
      </c>
      <c r="AF6" s="40" t="s">
        <v>1663</v>
      </c>
      <c r="AG6" s="40" t="s">
        <v>280</v>
      </c>
    </row>
    <row r="7" spans="1:33" ht="94.5">
      <c r="B7" s="440"/>
      <c r="C7" s="24" t="s">
        <v>1479</v>
      </c>
      <c r="D7" s="24"/>
      <c r="E7" s="24" t="s">
        <v>1704</v>
      </c>
      <c r="F7" s="24" t="s">
        <v>1697</v>
      </c>
      <c r="G7" s="24" t="s">
        <v>50</v>
      </c>
      <c r="H7" s="24" t="s">
        <v>50</v>
      </c>
      <c r="I7" s="24" t="s">
        <v>50</v>
      </c>
      <c r="J7" s="24" t="s">
        <v>833</v>
      </c>
      <c r="K7" s="24" t="s">
        <v>50</v>
      </c>
      <c r="L7" s="24" t="s">
        <v>50</v>
      </c>
      <c r="M7" s="24" t="s">
        <v>50</v>
      </c>
      <c r="N7" s="24" t="s">
        <v>50</v>
      </c>
      <c r="O7" s="24" t="s">
        <v>50</v>
      </c>
      <c r="P7" s="24" t="s">
        <v>50</v>
      </c>
      <c r="Q7" s="24" t="s">
        <v>50</v>
      </c>
      <c r="R7" s="24" t="s">
        <v>50</v>
      </c>
      <c r="S7" s="24" t="s">
        <v>50</v>
      </c>
      <c r="T7" s="24" t="s">
        <v>50</v>
      </c>
      <c r="U7" s="24" t="s">
        <v>50</v>
      </c>
      <c r="V7" s="24" t="s">
        <v>20</v>
      </c>
      <c r="W7" s="24" t="s">
        <v>1710</v>
      </c>
      <c r="X7" s="24" t="s">
        <v>1711</v>
      </c>
      <c r="Y7" s="24" t="s">
        <v>1711</v>
      </c>
      <c r="Z7" s="24" t="s">
        <v>27</v>
      </c>
      <c r="AA7" s="24" t="s">
        <v>50</v>
      </c>
      <c r="AB7" s="24" t="s">
        <v>1712</v>
      </c>
      <c r="AC7" s="24" t="s">
        <v>27</v>
      </c>
      <c r="AD7" s="24" t="s">
        <v>27</v>
      </c>
      <c r="AE7" s="24" t="s">
        <v>27</v>
      </c>
      <c r="AF7" s="24" t="s">
        <v>27</v>
      </c>
      <c r="AG7" s="24" t="s">
        <v>27</v>
      </c>
    </row>
    <row r="8" spans="1:33">
      <c r="B8" s="440"/>
      <c r="C8" s="24" t="s">
        <v>2667</v>
      </c>
      <c r="D8" s="24" t="s">
        <v>2667</v>
      </c>
      <c r="E8" s="24" t="s">
        <v>2667</v>
      </c>
      <c r="F8" s="24" t="s">
        <v>2667</v>
      </c>
      <c r="G8" s="24"/>
      <c r="H8" s="24"/>
      <c r="I8" s="24"/>
      <c r="J8" s="24"/>
      <c r="K8" s="24"/>
      <c r="L8" s="24"/>
      <c r="M8" s="24"/>
      <c r="N8" s="24"/>
      <c r="O8" s="24"/>
      <c r="P8" s="24"/>
      <c r="Q8" s="24"/>
      <c r="R8" s="24"/>
      <c r="S8" s="24"/>
      <c r="T8" s="24"/>
      <c r="U8" s="24"/>
      <c r="V8" s="24"/>
      <c r="W8" s="24"/>
      <c r="X8" s="24"/>
      <c r="Y8" s="24"/>
      <c r="Z8" s="24"/>
      <c r="AA8" s="24"/>
      <c r="AB8" s="24"/>
      <c r="AC8" s="24"/>
      <c r="AD8" s="24"/>
      <c r="AE8" s="24"/>
      <c r="AF8" s="24"/>
      <c r="AG8" s="24"/>
    </row>
    <row r="9" spans="1:33">
      <c r="B9" s="229" t="s">
        <v>1226</v>
      </c>
      <c r="C9" s="375" t="s">
        <v>2870</v>
      </c>
      <c r="D9" s="375" t="s">
        <v>2874</v>
      </c>
      <c r="E9" s="375" t="s">
        <v>2875</v>
      </c>
      <c r="F9" s="376" t="s">
        <v>2873</v>
      </c>
      <c r="G9" s="229"/>
      <c r="H9" s="229"/>
      <c r="I9" s="229"/>
      <c r="J9" s="229" t="s">
        <v>57</v>
      </c>
      <c r="K9" s="229"/>
      <c r="L9" s="229"/>
      <c r="M9" s="229"/>
      <c r="N9" s="229"/>
      <c r="O9" s="229"/>
      <c r="P9" s="229"/>
      <c r="Q9" s="229"/>
      <c r="R9" s="229"/>
      <c r="S9" s="229"/>
      <c r="T9" s="229"/>
      <c r="U9" s="229"/>
      <c r="V9" s="229"/>
      <c r="W9" s="229"/>
      <c r="X9" s="229"/>
      <c r="Y9" s="229"/>
      <c r="Z9" s="229"/>
      <c r="AA9" s="229"/>
      <c r="AB9" s="293"/>
      <c r="AC9" s="229"/>
      <c r="AD9" s="229"/>
      <c r="AE9" s="229"/>
      <c r="AF9" s="229"/>
      <c r="AG9" s="229"/>
    </row>
    <row r="10" spans="1:33">
      <c r="B10" s="245">
        <f>ROW() - 9</f>
        <v>1</v>
      </c>
      <c r="C10" s="285"/>
      <c r="D10" s="285"/>
      <c r="E10" s="285"/>
      <c r="F10" s="286"/>
      <c r="G10" s="245"/>
      <c r="H10" s="245"/>
      <c r="I10" s="245"/>
      <c r="J10" s="245"/>
      <c r="K10" s="245"/>
      <c r="L10" s="245"/>
      <c r="M10" s="245"/>
      <c r="N10" s="245"/>
      <c r="O10" s="245"/>
      <c r="P10" s="245"/>
      <c r="Q10" s="245"/>
      <c r="R10" s="245"/>
      <c r="S10" s="245"/>
      <c r="T10" s="245"/>
      <c r="U10" s="245"/>
      <c r="V10" s="245"/>
      <c r="W10" s="245"/>
      <c r="X10" s="245"/>
      <c r="Y10" s="245"/>
      <c r="Z10" s="245"/>
      <c r="AA10" s="245"/>
      <c r="AB10" s="293"/>
      <c r="AC10" s="245"/>
      <c r="AD10" s="245"/>
      <c r="AE10" s="245"/>
      <c r="AF10" s="245"/>
      <c r="AG10" s="245"/>
    </row>
    <row r="11" spans="1:33">
      <c r="B11" s="245">
        <f t="shared" ref="B11:B19" si="0">ROW() - 9</f>
        <v>2</v>
      </c>
      <c r="C11" s="285"/>
      <c r="D11" s="285"/>
      <c r="E11" s="285"/>
      <c r="F11" s="286"/>
      <c r="G11" s="245"/>
      <c r="H11" s="245"/>
      <c r="I11" s="245"/>
      <c r="J11" s="245"/>
      <c r="K11" s="245"/>
      <c r="L11" s="245"/>
      <c r="M11" s="245"/>
      <c r="N11" s="245"/>
      <c r="O11" s="245"/>
      <c r="P11" s="245"/>
      <c r="Q11" s="245"/>
      <c r="R11" s="245"/>
      <c r="S11" s="245"/>
      <c r="T11" s="245"/>
      <c r="U11" s="245"/>
      <c r="V11" s="245"/>
      <c r="W11" s="245"/>
      <c r="X11" s="245"/>
      <c r="Y11" s="245"/>
      <c r="Z11" s="245"/>
      <c r="AA11" s="245"/>
      <c r="AB11" s="293"/>
      <c r="AC11" s="245"/>
      <c r="AD11" s="245"/>
      <c r="AE11" s="245"/>
      <c r="AF11" s="245"/>
      <c r="AG11" s="245"/>
    </row>
    <row r="12" spans="1:33">
      <c r="B12" s="245">
        <f t="shared" si="0"/>
        <v>3</v>
      </c>
      <c r="C12" s="285"/>
      <c r="D12" s="285"/>
      <c r="E12" s="285"/>
      <c r="F12" s="286"/>
      <c r="G12" s="245"/>
      <c r="H12" s="245"/>
      <c r="I12" s="245"/>
      <c r="J12" s="245"/>
      <c r="K12" s="245"/>
      <c r="L12" s="245"/>
      <c r="M12" s="245"/>
      <c r="N12" s="245"/>
      <c r="O12" s="245"/>
      <c r="P12" s="245"/>
      <c r="Q12" s="245"/>
      <c r="R12" s="245"/>
      <c r="S12" s="245"/>
      <c r="T12" s="245"/>
      <c r="U12" s="245"/>
      <c r="V12" s="245"/>
      <c r="W12" s="245"/>
      <c r="X12" s="245"/>
      <c r="Y12" s="245"/>
      <c r="Z12" s="245"/>
      <c r="AA12" s="245"/>
      <c r="AB12" s="293"/>
      <c r="AC12" s="245"/>
      <c r="AD12" s="245"/>
      <c r="AE12" s="245"/>
      <c r="AF12" s="245"/>
      <c r="AG12" s="245"/>
    </row>
    <row r="13" spans="1:33">
      <c r="B13" s="245">
        <f t="shared" si="0"/>
        <v>4</v>
      </c>
      <c r="C13" s="285"/>
      <c r="D13" s="285"/>
      <c r="E13" s="285"/>
      <c r="F13" s="286"/>
      <c r="G13" s="245"/>
      <c r="H13" s="245"/>
      <c r="I13" s="245"/>
      <c r="J13" s="245"/>
      <c r="K13" s="245"/>
      <c r="L13" s="245"/>
      <c r="M13" s="245"/>
      <c r="N13" s="245"/>
      <c r="O13" s="245"/>
      <c r="P13" s="245"/>
      <c r="Q13" s="245"/>
      <c r="R13" s="245"/>
      <c r="S13" s="245"/>
      <c r="T13" s="245"/>
      <c r="U13" s="245"/>
      <c r="V13" s="245"/>
      <c r="W13" s="245"/>
      <c r="X13" s="245"/>
      <c r="Y13" s="245"/>
      <c r="Z13" s="245"/>
      <c r="AA13" s="245"/>
      <c r="AB13" s="293"/>
      <c r="AC13" s="245"/>
      <c r="AD13" s="245"/>
      <c r="AE13" s="245"/>
      <c r="AF13" s="245"/>
      <c r="AG13" s="245"/>
    </row>
    <row r="14" spans="1:33">
      <c r="B14" s="245">
        <f t="shared" si="0"/>
        <v>5</v>
      </c>
      <c r="C14" s="285"/>
      <c r="D14" s="285"/>
      <c r="E14" s="285"/>
      <c r="F14" s="286"/>
      <c r="G14" s="245"/>
      <c r="H14" s="245"/>
      <c r="I14" s="245"/>
      <c r="J14" s="245"/>
      <c r="K14" s="245"/>
      <c r="L14" s="245"/>
      <c r="M14" s="245"/>
      <c r="N14" s="245"/>
      <c r="O14" s="245"/>
      <c r="P14" s="245"/>
      <c r="Q14" s="245"/>
      <c r="R14" s="245"/>
      <c r="S14" s="245"/>
      <c r="T14" s="245"/>
      <c r="U14" s="245"/>
      <c r="V14" s="245"/>
      <c r="W14" s="245"/>
      <c r="X14" s="245"/>
      <c r="Y14" s="245"/>
      <c r="Z14" s="245"/>
      <c r="AA14" s="245"/>
      <c r="AB14" s="293"/>
      <c r="AC14" s="245"/>
      <c r="AD14" s="245"/>
      <c r="AE14" s="245"/>
      <c r="AF14" s="245"/>
      <c r="AG14" s="245"/>
    </row>
    <row r="15" spans="1:33">
      <c r="B15" s="245">
        <f t="shared" si="0"/>
        <v>6</v>
      </c>
      <c r="C15" s="285"/>
      <c r="D15" s="285"/>
      <c r="E15" s="285"/>
      <c r="F15" s="286"/>
      <c r="G15" s="245"/>
      <c r="H15" s="245"/>
      <c r="I15" s="245"/>
      <c r="J15" s="245"/>
      <c r="K15" s="245"/>
      <c r="L15" s="245"/>
      <c r="M15" s="245"/>
      <c r="N15" s="245"/>
      <c r="O15" s="245"/>
      <c r="P15" s="245"/>
      <c r="Q15" s="245"/>
      <c r="R15" s="245"/>
      <c r="S15" s="245"/>
      <c r="T15" s="245"/>
      <c r="U15" s="245"/>
      <c r="V15" s="245"/>
      <c r="W15" s="245"/>
      <c r="X15" s="245"/>
      <c r="Y15" s="245"/>
      <c r="Z15" s="245"/>
      <c r="AA15" s="245"/>
      <c r="AB15" s="293"/>
      <c r="AC15" s="245"/>
      <c r="AD15" s="245"/>
      <c r="AE15" s="245"/>
      <c r="AF15" s="245"/>
      <c r="AG15" s="245"/>
    </row>
    <row r="16" spans="1:33">
      <c r="B16" s="245">
        <f t="shared" si="0"/>
        <v>7</v>
      </c>
      <c r="C16" s="285"/>
      <c r="D16" s="285"/>
      <c r="E16" s="285"/>
      <c r="F16" s="286"/>
      <c r="G16" s="245"/>
      <c r="H16" s="245"/>
      <c r="I16" s="245"/>
      <c r="J16" s="245"/>
      <c r="K16" s="245"/>
      <c r="L16" s="245"/>
      <c r="M16" s="245"/>
      <c r="N16" s="245"/>
      <c r="O16" s="245"/>
      <c r="P16" s="245"/>
      <c r="Q16" s="245"/>
      <c r="R16" s="245"/>
      <c r="S16" s="245"/>
      <c r="T16" s="245"/>
      <c r="U16" s="245"/>
      <c r="V16" s="245"/>
      <c r="W16" s="245"/>
      <c r="X16" s="245"/>
      <c r="Y16" s="245"/>
      <c r="Z16" s="245"/>
      <c r="AA16" s="245"/>
      <c r="AB16" s="293"/>
      <c r="AC16" s="245"/>
      <c r="AD16" s="245"/>
      <c r="AE16" s="245"/>
      <c r="AF16" s="245"/>
      <c r="AG16" s="245"/>
    </row>
    <row r="17" spans="2:33">
      <c r="B17" s="245">
        <f t="shared" si="0"/>
        <v>8</v>
      </c>
      <c r="C17" s="285"/>
      <c r="D17" s="285"/>
      <c r="E17" s="285"/>
      <c r="F17" s="286"/>
      <c r="G17" s="245"/>
      <c r="H17" s="245"/>
      <c r="I17" s="245"/>
      <c r="J17" s="245"/>
      <c r="K17" s="245"/>
      <c r="L17" s="245"/>
      <c r="M17" s="245"/>
      <c r="N17" s="245"/>
      <c r="O17" s="245"/>
      <c r="P17" s="245"/>
      <c r="Q17" s="245"/>
      <c r="R17" s="245"/>
      <c r="S17" s="245"/>
      <c r="T17" s="245"/>
      <c r="U17" s="245"/>
      <c r="V17" s="245"/>
      <c r="W17" s="245"/>
      <c r="X17" s="245"/>
      <c r="Y17" s="245"/>
      <c r="Z17" s="245"/>
      <c r="AA17" s="245"/>
      <c r="AB17" s="293"/>
      <c r="AC17" s="245"/>
      <c r="AD17" s="245"/>
      <c r="AE17" s="245"/>
      <c r="AF17" s="245"/>
      <c r="AG17" s="245"/>
    </row>
    <row r="18" spans="2:33">
      <c r="B18" s="245">
        <f t="shared" si="0"/>
        <v>9</v>
      </c>
      <c r="C18" s="285"/>
      <c r="D18" s="285"/>
      <c r="E18" s="285"/>
      <c r="F18" s="286"/>
      <c r="G18" s="245"/>
      <c r="H18" s="245"/>
      <c r="I18" s="245"/>
      <c r="J18" s="245"/>
      <c r="K18" s="245"/>
      <c r="L18" s="245"/>
      <c r="M18" s="245"/>
      <c r="N18" s="245"/>
      <c r="O18" s="245"/>
      <c r="P18" s="245"/>
      <c r="Q18" s="245"/>
      <c r="R18" s="245"/>
      <c r="S18" s="245"/>
      <c r="T18" s="245"/>
      <c r="U18" s="245"/>
      <c r="V18" s="245"/>
      <c r="W18" s="245"/>
      <c r="X18" s="245"/>
      <c r="Y18" s="245"/>
      <c r="Z18" s="245"/>
      <c r="AA18" s="245"/>
      <c r="AB18" s="293"/>
      <c r="AC18" s="245"/>
      <c r="AD18" s="245"/>
      <c r="AE18" s="245"/>
      <c r="AF18" s="245"/>
      <c r="AG18" s="245"/>
    </row>
    <row r="19" spans="2:33">
      <c r="B19" s="245">
        <f t="shared" si="0"/>
        <v>10</v>
      </c>
      <c r="C19" s="285"/>
      <c r="D19" s="285"/>
      <c r="E19" s="285"/>
      <c r="F19" s="286"/>
      <c r="G19" s="245"/>
      <c r="H19" s="245"/>
      <c r="I19" s="245"/>
      <c r="J19" s="245"/>
      <c r="K19" s="245"/>
      <c r="L19" s="245"/>
      <c r="M19" s="245"/>
      <c r="N19" s="245"/>
      <c r="O19" s="245"/>
      <c r="P19" s="245"/>
      <c r="Q19" s="245"/>
      <c r="R19" s="245"/>
      <c r="S19" s="245"/>
      <c r="T19" s="245"/>
      <c r="U19" s="245"/>
      <c r="V19" s="245"/>
      <c r="W19" s="245"/>
      <c r="X19" s="245"/>
      <c r="Y19" s="245"/>
      <c r="Z19" s="245"/>
      <c r="AA19" s="245"/>
      <c r="AB19" s="293"/>
      <c r="AC19" s="245"/>
      <c r="AD19" s="245"/>
      <c r="AE19" s="245"/>
      <c r="AF19" s="245"/>
      <c r="AG19" s="245"/>
    </row>
  </sheetData>
  <sheetProtection insertRows="0" deleteRows="0" sort="0" autoFilter="0"/>
  <mergeCells count="1">
    <mergeCell ref="B4:B8"/>
  </mergeCells>
  <phoneticPr fontId="14"/>
  <hyperlinks>
    <hyperlink ref="A3" location="パラメータ設定一覧!A1" display="パラメータ設定一覧へ" xr:uid="{FAC53806-7359-47B3-9BE2-CAE2002F3466}"/>
  </hyperlinks>
  <pageMargins left="0.7" right="0.7" top="0.75" bottom="0.75" header="0.3" footer="0.3"/>
  <pageSetup paperSize="9" orientation="portrait" verticalDpi="0"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CA639-B15A-4AB0-A207-21DB9101C423}">
  <sheetPr codeName="Sheet48"/>
  <dimension ref="A1:L17"/>
  <sheetViews>
    <sheetView showGridLines="0" zoomScaleNormal="100" workbookViewId="0">
      <pane xSplit="6" ySplit="5" topLeftCell="G6" activePane="bottomRight" state="frozen"/>
      <selection pane="topRight"/>
      <selection pane="bottomLeft"/>
      <selection pane="bottomRight" activeCell="G6" sqref="G6"/>
    </sheetView>
  </sheetViews>
  <sheetFormatPr defaultColWidth="8.78515625" defaultRowHeight="13.5"/>
  <cols>
    <col min="1" max="1" width="2.640625" style="46" customWidth="1"/>
    <col min="2" max="2" width="3.42578125" style="46" customWidth="1"/>
    <col min="3" max="3" width="14.5703125" style="46" customWidth="1"/>
    <col min="4" max="4" width="5.78515625" style="46" customWidth="1"/>
    <col min="5" max="5" width="14.78515625" style="46" customWidth="1"/>
    <col min="6" max="6" width="23.2109375" style="46" customWidth="1"/>
    <col min="7" max="7" width="59.78515625" style="46" customWidth="1"/>
    <col min="8" max="8" width="20.2109375" style="46" customWidth="1"/>
    <col min="9" max="9" width="11.2109375" style="46" customWidth="1"/>
    <col min="10" max="10" width="28.42578125" style="46" bestFit="1" customWidth="1"/>
    <col min="11" max="11" width="18.2109375" style="46" customWidth="1"/>
    <col min="12" max="12" width="13.2109375" style="46" customWidth="1"/>
    <col min="13" max="16384" width="8.78515625" style="46"/>
  </cols>
  <sheetData>
    <row r="1" spans="1:12" s="86" customFormat="1" ht="19.5">
      <c r="A1" s="148" t="s">
        <v>1713</v>
      </c>
    </row>
    <row r="2" spans="1:12" s="86" customFormat="1" ht="19.5">
      <c r="A2" s="148"/>
      <c r="B2" s="86" t="s">
        <v>1714</v>
      </c>
    </row>
    <row r="3" spans="1:12" s="86" customFormat="1" ht="15">
      <c r="B3" s="86" t="s">
        <v>1715</v>
      </c>
    </row>
    <row r="4" spans="1:12" s="86" customFormat="1" ht="15">
      <c r="A4" s="10" t="s">
        <v>363</v>
      </c>
    </row>
    <row r="5" spans="1:12" ht="27">
      <c r="B5" s="11" t="s">
        <v>1</v>
      </c>
      <c r="C5" s="12" t="s">
        <v>9</v>
      </c>
      <c r="D5" s="12" t="s">
        <v>10</v>
      </c>
      <c r="E5" s="12" t="s">
        <v>11</v>
      </c>
      <c r="F5" s="13" t="s">
        <v>12</v>
      </c>
      <c r="G5" s="13" t="s">
        <v>498</v>
      </c>
      <c r="H5" s="12" t="s">
        <v>14</v>
      </c>
      <c r="I5" s="12" t="s">
        <v>15</v>
      </c>
      <c r="J5" s="11" t="s">
        <v>16</v>
      </c>
      <c r="K5" s="14" t="s">
        <v>17</v>
      </c>
      <c r="L5" s="14" t="s">
        <v>18</v>
      </c>
    </row>
    <row r="6" spans="1:12" ht="27">
      <c r="B6" s="15">
        <f t="shared" ref="B6:B17" si="0">ROW() - 5</f>
        <v>1</v>
      </c>
      <c r="C6" s="16" t="s">
        <v>23</v>
      </c>
      <c r="D6" s="167"/>
      <c r="E6" s="17" t="s">
        <v>1442</v>
      </c>
      <c r="F6" s="17" t="s">
        <v>1444</v>
      </c>
      <c r="G6" s="17" t="s">
        <v>1721</v>
      </c>
      <c r="H6" s="17" t="s">
        <v>1479</v>
      </c>
      <c r="I6" s="17" t="s">
        <v>21</v>
      </c>
      <c r="J6" s="17"/>
      <c r="K6" s="147" t="s">
        <v>1716</v>
      </c>
      <c r="L6" s="3"/>
    </row>
    <row r="7" spans="1:12">
      <c r="B7" s="15">
        <f t="shared" si="0"/>
        <v>2</v>
      </c>
      <c r="C7" s="68"/>
      <c r="D7" s="143"/>
      <c r="E7" s="17" t="s">
        <v>1717</v>
      </c>
      <c r="F7" s="17" t="s">
        <v>1718</v>
      </c>
      <c r="G7" s="17"/>
      <c r="H7" s="17" t="s">
        <v>50</v>
      </c>
      <c r="I7" s="169" t="s">
        <v>1644</v>
      </c>
      <c r="J7" s="17"/>
      <c r="K7" s="147" t="s">
        <v>1716</v>
      </c>
      <c r="L7" s="3"/>
    </row>
    <row r="8" spans="1:12" ht="27">
      <c r="B8" s="15">
        <f t="shared" si="0"/>
        <v>3</v>
      </c>
      <c r="C8" s="68"/>
      <c r="D8" s="143"/>
      <c r="E8" s="16" t="s">
        <v>1719</v>
      </c>
      <c r="F8" s="17" t="s">
        <v>1720</v>
      </c>
      <c r="G8" s="17" t="s">
        <v>1722</v>
      </c>
      <c r="H8" s="170"/>
      <c r="I8" s="17" t="s">
        <v>21</v>
      </c>
      <c r="J8" s="17"/>
      <c r="K8" s="147" t="s">
        <v>1716</v>
      </c>
      <c r="L8" s="3"/>
    </row>
    <row r="9" spans="1:12" ht="27">
      <c r="B9" s="15">
        <f t="shared" si="0"/>
        <v>4</v>
      </c>
      <c r="C9" s="68"/>
      <c r="D9" s="143"/>
      <c r="E9" s="68"/>
      <c r="F9" s="17" t="s">
        <v>35</v>
      </c>
      <c r="G9" s="17" t="s">
        <v>1723</v>
      </c>
      <c r="H9" s="17" t="s">
        <v>1736</v>
      </c>
      <c r="I9" s="17" t="s">
        <v>21</v>
      </c>
      <c r="J9" s="17"/>
      <c r="K9" s="147" t="s">
        <v>1716</v>
      </c>
      <c r="L9" s="3"/>
    </row>
    <row r="10" spans="1:12" ht="40.5">
      <c r="B10" s="15">
        <f t="shared" si="0"/>
        <v>5</v>
      </c>
      <c r="C10" s="68"/>
      <c r="D10" s="143"/>
      <c r="E10" s="68"/>
      <c r="F10" s="17" t="s">
        <v>42</v>
      </c>
      <c r="G10" s="17" t="s">
        <v>1724</v>
      </c>
      <c r="H10" s="17" t="s">
        <v>514</v>
      </c>
      <c r="I10" s="17" t="s">
        <v>21</v>
      </c>
      <c r="J10" s="17"/>
      <c r="K10" s="147" t="s">
        <v>1716</v>
      </c>
      <c r="L10" s="3"/>
    </row>
    <row r="11" spans="1:12" ht="40.5">
      <c r="B11" s="15">
        <f t="shared" si="0"/>
        <v>6</v>
      </c>
      <c r="C11" s="68"/>
      <c r="D11" s="143"/>
      <c r="E11" s="68"/>
      <c r="F11" s="17" t="s">
        <v>322</v>
      </c>
      <c r="G11" s="17" t="s">
        <v>1725</v>
      </c>
      <c r="H11" s="17" t="s">
        <v>1737</v>
      </c>
      <c r="I11" s="17" t="s">
        <v>21</v>
      </c>
      <c r="J11" s="17"/>
      <c r="K11" s="147" t="s">
        <v>1716</v>
      </c>
      <c r="L11" s="3"/>
    </row>
    <row r="12" spans="1:12" ht="27">
      <c r="B12" s="15">
        <f t="shared" si="0"/>
        <v>7</v>
      </c>
      <c r="C12" s="68"/>
      <c r="D12" s="143"/>
      <c r="E12" s="68"/>
      <c r="F12" s="17" t="s">
        <v>70</v>
      </c>
      <c r="G12" s="17" t="s">
        <v>1726</v>
      </c>
      <c r="H12" s="17" t="s">
        <v>20</v>
      </c>
      <c r="I12" s="17" t="s">
        <v>21</v>
      </c>
      <c r="J12" s="17"/>
      <c r="K12" s="147" t="s">
        <v>1716</v>
      </c>
      <c r="L12" s="3"/>
    </row>
    <row r="13" spans="1:12" ht="40.5">
      <c r="B13" s="15">
        <f t="shared" si="0"/>
        <v>8</v>
      </c>
      <c r="C13" s="68"/>
      <c r="D13" s="143"/>
      <c r="E13" s="19"/>
      <c r="F13" s="17" t="s">
        <v>38</v>
      </c>
      <c r="G13" s="17" t="s">
        <v>1727</v>
      </c>
      <c r="H13" s="17" t="s">
        <v>1735</v>
      </c>
      <c r="I13" s="17" t="s">
        <v>21</v>
      </c>
      <c r="J13" s="17"/>
      <c r="K13" s="147" t="s">
        <v>1716</v>
      </c>
      <c r="L13" s="3"/>
    </row>
    <row r="14" spans="1:12" ht="27">
      <c r="B14" s="15">
        <f t="shared" si="0"/>
        <v>9</v>
      </c>
      <c r="C14" s="16" t="s">
        <v>1728</v>
      </c>
      <c r="D14" s="167"/>
      <c r="E14" s="16"/>
      <c r="F14" s="17" t="s">
        <v>534</v>
      </c>
      <c r="G14" s="17" t="s">
        <v>1729</v>
      </c>
      <c r="H14" s="17" t="s">
        <v>596</v>
      </c>
      <c r="I14" s="17" t="s">
        <v>21</v>
      </c>
      <c r="J14" s="17"/>
      <c r="K14" s="147" t="s">
        <v>1716</v>
      </c>
      <c r="L14" s="3"/>
    </row>
    <row r="15" spans="1:12" ht="27">
      <c r="B15" s="15">
        <f t="shared" si="0"/>
        <v>10</v>
      </c>
      <c r="C15" s="68"/>
      <c r="D15" s="143"/>
      <c r="E15" s="68"/>
      <c r="F15" s="17" t="s">
        <v>45</v>
      </c>
      <c r="G15" s="17" t="s">
        <v>1730</v>
      </c>
      <c r="H15" s="169" t="s">
        <v>1734</v>
      </c>
      <c r="I15" s="17" t="s">
        <v>21</v>
      </c>
      <c r="J15" s="17"/>
      <c r="K15" s="147" t="s">
        <v>1716</v>
      </c>
      <c r="L15" s="3"/>
    </row>
    <row r="16" spans="1:12">
      <c r="B16" s="15">
        <f t="shared" si="0"/>
        <v>11</v>
      </c>
      <c r="C16" s="68"/>
      <c r="D16" s="143"/>
      <c r="E16" s="68"/>
      <c r="F16" s="17" t="s">
        <v>1718</v>
      </c>
      <c r="G16" s="17"/>
      <c r="H16" s="17" t="s">
        <v>50</v>
      </c>
      <c r="I16" s="169" t="s">
        <v>1644</v>
      </c>
      <c r="J16" s="17"/>
      <c r="K16" s="147" t="s">
        <v>1716</v>
      </c>
      <c r="L16" s="3"/>
    </row>
    <row r="17" spans="2:12">
      <c r="B17" s="15">
        <f t="shared" si="0"/>
        <v>12</v>
      </c>
      <c r="C17" s="19"/>
      <c r="D17" s="142"/>
      <c r="E17" s="19"/>
      <c r="F17" s="17" t="s">
        <v>55</v>
      </c>
      <c r="G17" s="17"/>
      <c r="H17" s="17" t="s">
        <v>1732</v>
      </c>
      <c r="I17" s="169" t="s">
        <v>1731</v>
      </c>
      <c r="J17" s="17"/>
      <c r="K17" s="147" t="s">
        <v>1716</v>
      </c>
      <c r="L17" s="3"/>
    </row>
  </sheetData>
  <phoneticPr fontId="14"/>
  <hyperlinks>
    <hyperlink ref="A4" location="パラメータ設定一覧!A1" display="パラメータ設定一覧へ" xr:uid="{83EFB9FB-A91D-4145-962A-FDCA05193950}"/>
  </hyperlinks>
  <pageMargins left="0.7" right="0.7" top="0.75" bottom="0.75" header="0.3" footer="0.3"/>
  <pageSetup paperSize="9" orientation="portrait" verticalDpi="0"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5F8FD-E917-4621-B0B5-A7954E9914F4}">
  <sheetPr codeName="Sheet49"/>
  <dimension ref="A1:N16"/>
  <sheetViews>
    <sheetView showGridLines="0" zoomScaleNormal="100" workbookViewId="0">
      <pane xSplit="4" ySplit="6" topLeftCell="E7" activePane="bottomRight" state="frozen"/>
      <selection pane="topRight" activeCell="E1" sqref="E1"/>
      <selection pane="bottomLeft" activeCell="A7" sqref="A7"/>
      <selection pane="bottomRight" activeCell="E7" sqref="E7"/>
    </sheetView>
  </sheetViews>
  <sheetFormatPr defaultColWidth="8.78515625" defaultRowHeight="13.5"/>
  <cols>
    <col min="1" max="1" width="2.78515625" style="46" customWidth="1"/>
    <col min="2" max="2" width="3.5703125" style="46" bestFit="1" customWidth="1"/>
    <col min="3" max="3" width="14.78515625" style="46" bestFit="1" customWidth="1"/>
    <col min="4" max="4" width="20.35546875" style="46" customWidth="1"/>
    <col min="5" max="5" width="16.35546875" style="46" bestFit="1" customWidth="1"/>
    <col min="6" max="6" width="13.42578125" style="46" customWidth="1"/>
    <col min="7" max="7" width="16.640625" style="46" customWidth="1"/>
    <col min="8" max="14" width="15.640625" style="46" customWidth="1"/>
    <col min="15" max="16384" width="8.78515625" style="46"/>
  </cols>
  <sheetData>
    <row r="1" spans="1:14" s="86" customFormat="1" ht="19.5">
      <c r="A1" s="148" t="s">
        <v>2700</v>
      </c>
    </row>
    <row r="2" spans="1:14" s="86" customFormat="1" ht="15">
      <c r="A2" s="196" t="s">
        <v>2668</v>
      </c>
    </row>
    <row r="3" spans="1:14" s="86" customFormat="1" ht="15">
      <c r="A3" s="10" t="s">
        <v>363</v>
      </c>
    </row>
    <row r="4" spans="1:14">
      <c r="B4" s="439" t="s">
        <v>463</v>
      </c>
      <c r="C4" s="200" t="s">
        <v>23</v>
      </c>
      <c r="D4" s="290"/>
      <c r="E4" s="38"/>
      <c r="F4" s="38"/>
      <c r="G4" s="38"/>
      <c r="H4" s="38"/>
      <c r="I4" s="38"/>
      <c r="J4" s="38"/>
      <c r="K4" s="263" t="s">
        <v>1739</v>
      </c>
      <c r="L4" s="35"/>
      <c r="M4" s="35"/>
      <c r="N4" s="36"/>
    </row>
    <row r="5" spans="1:14">
      <c r="B5" s="439"/>
      <c r="C5" s="185" t="s">
        <v>1442</v>
      </c>
      <c r="D5" s="185" t="s">
        <v>1717</v>
      </c>
      <c r="E5" s="56" t="s">
        <v>1719</v>
      </c>
      <c r="F5" s="41"/>
      <c r="G5" s="41"/>
      <c r="H5" s="41"/>
      <c r="I5" s="41"/>
      <c r="J5" s="41"/>
      <c r="K5" s="56"/>
      <c r="L5" s="41"/>
      <c r="M5" s="41"/>
      <c r="N5" s="42"/>
    </row>
    <row r="6" spans="1:14">
      <c r="B6" s="440"/>
      <c r="C6" s="185" t="s">
        <v>1738</v>
      </c>
      <c r="D6" s="185" t="s">
        <v>1718</v>
      </c>
      <c r="E6" s="125" t="s">
        <v>1720</v>
      </c>
      <c r="F6" s="125" t="s">
        <v>35</v>
      </c>
      <c r="G6" s="125" t="s">
        <v>42</v>
      </c>
      <c r="H6" s="125" t="s">
        <v>322</v>
      </c>
      <c r="I6" s="125" t="s">
        <v>70</v>
      </c>
      <c r="J6" s="125" t="s">
        <v>38</v>
      </c>
      <c r="K6" s="125" t="s">
        <v>534</v>
      </c>
      <c r="L6" s="125" t="s">
        <v>45</v>
      </c>
      <c r="M6" s="125" t="s">
        <v>1718</v>
      </c>
      <c r="N6" s="125" t="s">
        <v>55</v>
      </c>
    </row>
    <row r="7" spans="1:14" ht="27">
      <c r="B7" s="440"/>
      <c r="C7" s="24" t="s">
        <v>1479</v>
      </c>
      <c r="D7" s="24" t="s">
        <v>50</v>
      </c>
      <c r="E7" s="24"/>
      <c r="F7" s="24" t="s">
        <v>1736</v>
      </c>
      <c r="G7" s="24" t="s">
        <v>514</v>
      </c>
      <c r="H7" s="24" t="s">
        <v>1737</v>
      </c>
      <c r="I7" s="24" t="s">
        <v>20</v>
      </c>
      <c r="J7" s="24" t="s">
        <v>1735</v>
      </c>
      <c r="K7" s="24" t="s">
        <v>596</v>
      </c>
      <c r="L7" s="24" t="s">
        <v>1733</v>
      </c>
      <c r="M7" s="24" t="s">
        <v>50</v>
      </c>
      <c r="N7" s="24" t="s">
        <v>1732</v>
      </c>
    </row>
    <row r="8" spans="1:14" ht="40.5">
      <c r="B8" s="440"/>
      <c r="C8" s="24" t="s">
        <v>2667</v>
      </c>
      <c r="D8" s="24"/>
      <c r="E8" s="24"/>
      <c r="F8" s="24" t="s">
        <v>2798</v>
      </c>
      <c r="G8" s="24"/>
      <c r="H8" s="24"/>
      <c r="I8" s="24"/>
      <c r="J8" s="24"/>
      <c r="K8" s="24"/>
      <c r="L8" s="24"/>
      <c r="M8" s="24"/>
      <c r="N8" s="24"/>
    </row>
    <row r="9" spans="1:14">
      <c r="B9" s="245">
        <f>ROW() - 8</f>
        <v>1</v>
      </c>
      <c r="C9" s="285"/>
      <c r="D9" s="285"/>
      <c r="E9" s="285"/>
      <c r="F9" s="286"/>
      <c r="G9" s="245"/>
      <c r="H9" s="245"/>
      <c r="I9" s="245"/>
      <c r="J9" s="245"/>
      <c r="K9" s="245"/>
      <c r="L9" s="245"/>
      <c r="M9" s="245"/>
      <c r="N9" s="245"/>
    </row>
    <row r="10" spans="1:14">
      <c r="B10" s="245">
        <f t="shared" ref="B10:B16" si="0">ROW() - 8</f>
        <v>2</v>
      </c>
      <c r="C10" s="285"/>
      <c r="D10" s="285"/>
      <c r="E10" s="285"/>
      <c r="F10" s="286"/>
      <c r="G10" s="245"/>
      <c r="H10" s="245"/>
      <c r="I10" s="245"/>
      <c r="J10" s="245"/>
      <c r="K10" s="245"/>
      <c r="L10" s="245"/>
      <c r="M10" s="245"/>
      <c r="N10" s="245"/>
    </row>
    <row r="11" spans="1:14">
      <c r="B11" s="245">
        <f t="shared" si="0"/>
        <v>3</v>
      </c>
      <c r="C11" s="285"/>
      <c r="D11" s="285"/>
      <c r="E11" s="285"/>
      <c r="F11" s="286"/>
      <c r="G11" s="245"/>
      <c r="H11" s="245"/>
      <c r="I11" s="245"/>
      <c r="J11" s="245"/>
      <c r="K11" s="245"/>
      <c r="L11" s="245"/>
      <c r="M11" s="245"/>
      <c r="N11" s="245"/>
    </row>
    <row r="12" spans="1:14">
      <c r="B12" s="245">
        <f t="shared" si="0"/>
        <v>4</v>
      </c>
      <c r="C12" s="285"/>
      <c r="D12" s="285"/>
      <c r="E12" s="285"/>
      <c r="F12" s="286"/>
      <c r="G12" s="245"/>
      <c r="H12" s="245"/>
      <c r="I12" s="245"/>
      <c r="J12" s="245"/>
      <c r="K12" s="245"/>
      <c r="L12" s="245"/>
      <c r="M12" s="245"/>
      <c r="N12" s="245"/>
    </row>
    <row r="13" spans="1:14">
      <c r="B13" s="245">
        <f t="shared" si="0"/>
        <v>5</v>
      </c>
      <c r="C13" s="285"/>
      <c r="D13" s="285"/>
      <c r="E13" s="285"/>
      <c r="F13" s="286"/>
      <c r="G13" s="245"/>
      <c r="H13" s="245"/>
      <c r="I13" s="245"/>
      <c r="J13" s="245"/>
      <c r="K13" s="245"/>
      <c r="L13" s="245"/>
      <c r="M13" s="245"/>
      <c r="N13" s="245"/>
    </row>
    <row r="14" spans="1:14">
      <c r="B14" s="245">
        <f t="shared" si="0"/>
        <v>6</v>
      </c>
      <c r="C14" s="285"/>
      <c r="D14" s="285"/>
      <c r="E14" s="285"/>
      <c r="F14" s="286"/>
      <c r="G14" s="245"/>
      <c r="H14" s="245"/>
      <c r="I14" s="245"/>
      <c r="J14" s="245"/>
      <c r="K14" s="245"/>
      <c r="L14" s="245"/>
      <c r="M14" s="245"/>
      <c r="N14" s="245"/>
    </row>
    <row r="15" spans="1:14">
      <c r="B15" s="245">
        <f t="shared" si="0"/>
        <v>7</v>
      </c>
      <c r="C15" s="285"/>
      <c r="D15" s="285"/>
      <c r="E15" s="285"/>
      <c r="F15" s="286"/>
      <c r="G15" s="245"/>
      <c r="H15" s="245"/>
      <c r="I15" s="245"/>
      <c r="J15" s="245"/>
      <c r="K15" s="245"/>
      <c r="L15" s="245"/>
      <c r="M15" s="245"/>
      <c r="N15" s="245"/>
    </row>
    <row r="16" spans="1:14">
      <c r="B16" s="245">
        <f t="shared" si="0"/>
        <v>8</v>
      </c>
      <c r="C16" s="285"/>
      <c r="D16" s="285"/>
      <c r="E16" s="285"/>
      <c r="F16" s="286"/>
      <c r="G16" s="245"/>
      <c r="H16" s="245"/>
      <c r="I16" s="245"/>
      <c r="J16" s="245"/>
      <c r="K16" s="245"/>
      <c r="L16" s="245"/>
      <c r="M16" s="245"/>
      <c r="N16" s="245"/>
    </row>
  </sheetData>
  <sheetProtection insertRows="0" deleteRows="0" sort="0" autoFilter="0"/>
  <mergeCells count="1">
    <mergeCell ref="B4:B8"/>
  </mergeCells>
  <phoneticPr fontId="14"/>
  <hyperlinks>
    <hyperlink ref="A3" location="パラメータ設定一覧!A1" display="パラメータ設定一覧へ" xr:uid="{2D909AB4-F2F8-4455-A4BA-47481BB14601}"/>
  </hyperlinks>
  <pageMargins left="0.7" right="0.7" top="0.75" bottom="0.75" header="0.3" footer="0.3"/>
  <pageSetup paperSize="9" orientation="portrait" verticalDpi="0"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E94A0-4120-46E6-8C24-FAB77389C384}">
  <sheetPr codeName="Sheet50"/>
  <dimension ref="A1:L45"/>
  <sheetViews>
    <sheetView showGridLines="0" zoomScaleNormal="100" workbookViewId="0">
      <pane xSplit="6" ySplit="5" topLeftCell="G6" activePane="bottomRight" state="frozen"/>
      <selection pane="topRight"/>
      <selection pane="bottomLeft"/>
      <selection pane="bottomRight" activeCell="G6" sqref="G6"/>
    </sheetView>
  </sheetViews>
  <sheetFormatPr defaultColWidth="8.78515625" defaultRowHeight="13.5"/>
  <cols>
    <col min="1" max="1" width="2.78515625" style="46" customWidth="1"/>
    <col min="2" max="2" width="3.42578125" style="46" customWidth="1"/>
    <col min="3" max="3" width="14.5703125" style="46" customWidth="1"/>
    <col min="4" max="4" width="5.78515625" style="46" customWidth="1"/>
    <col min="5" max="5" width="14.78515625" style="46" customWidth="1"/>
    <col min="6" max="6" width="23.2109375" style="46" customWidth="1"/>
    <col min="7" max="7" width="59.78515625" style="46" customWidth="1"/>
    <col min="8" max="8" width="22.35546875" style="46" customWidth="1"/>
    <col min="9" max="9" width="11.2109375" style="46" customWidth="1"/>
    <col min="10" max="10" width="28.42578125" style="46" bestFit="1" customWidth="1"/>
    <col min="11" max="11" width="24.0703125" style="46" customWidth="1"/>
    <col min="12" max="12" width="13.2109375" style="46" customWidth="1"/>
    <col min="13" max="16384" width="8.78515625" style="46"/>
  </cols>
  <sheetData>
    <row r="1" spans="1:12" s="86" customFormat="1" ht="19.5">
      <c r="A1" s="148" t="s">
        <v>1335</v>
      </c>
    </row>
    <row r="2" spans="1:12" s="86" customFormat="1" ht="19.5">
      <c r="A2" s="148"/>
      <c r="B2" s="86" t="s">
        <v>1334</v>
      </c>
    </row>
    <row r="3" spans="1:12" s="86" customFormat="1" ht="15">
      <c r="B3" s="86" t="s">
        <v>1333</v>
      </c>
    </row>
    <row r="4" spans="1:12" s="86" customFormat="1" ht="15">
      <c r="A4" s="10" t="s">
        <v>363</v>
      </c>
    </row>
    <row r="5" spans="1:12" ht="27">
      <c r="B5" s="11" t="s">
        <v>1</v>
      </c>
      <c r="C5" s="12" t="s">
        <v>9</v>
      </c>
      <c r="D5" s="12" t="s">
        <v>10</v>
      </c>
      <c r="E5" s="12" t="s">
        <v>11</v>
      </c>
      <c r="F5" s="13" t="s">
        <v>12</v>
      </c>
      <c r="G5" s="13" t="s">
        <v>498</v>
      </c>
      <c r="H5" s="12" t="s">
        <v>14</v>
      </c>
      <c r="I5" s="12" t="s">
        <v>15</v>
      </c>
      <c r="J5" s="11" t="s">
        <v>16</v>
      </c>
      <c r="K5" s="14" t="s">
        <v>17</v>
      </c>
      <c r="L5" s="14" t="s">
        <v>18</v>
      </c>
    </row>
    <row r="6" spans="1:12">
      <c r="B6" s="15">
        <f t="shared" ref="B6:B45" si="0">ROW() - 5</f>
        <v>1</v>
      </c>
      <c r="C6" s="16" t="s">
        <v>1332</v>
      </c>
      <c r="D6" s="16"/>
      <c r="E6" s="16"/>
      <c r="F6" s="17" t="s">
        <v>1331</v>
      </c>
      <c r="G6" s="17" t="s">
        <v>331</v>
      </c>
      <c r="H6" s="17" t="s">
        <v>20</v>
      </c>
      <c r="I6" s="17" t="s">
        <v>21</v>
      </c>
      <c r="J6" s="17"/>
      <c r="K6" s="147" t="s">
        <v>1293</v>
      </c>
      <c r="L6" s="3"/>
    </row>
    <row r="7" spans="1:12">
      <c r="B7" s="15">
        <f t="shared" si="0"/>
        <v>2</v>
      </c>
      <c r="C7" s="68"/>
      <c r="D7" s="68"/>
      <c r="E7" s="68"/>
      <c r="F7" s="17" t="s">
        <v>19</v>
      </c>
      <c r="G7" s="17" t="s">
        <v>331</v>
      </c>
      <c r="H7" s="17" t="s">
        <v>20</v>
      </c>
      <c r="I7" s="17" t="s">
        <v>21</v>
      </c>
      <c r="J7" s="17"/>
      <c r="K7" s="147" t="s">
        <v>1293</v>
      </c>
      <c r="L7" s="3"/>
    </row>
    <row r="8" spans="1:12">
      <c r="B8" s="15">
        <f t="shared" si="0"/>
        <v>3</v>
      </c>
      <c r="C8" s="19"/>
      <c r="D8" s="19"/>
      <c r="E8" s="19"/>
      <c r="F8" s="17" t="s">
        <v>1330</v>
      </c>
      <c r="G8" s="17" t="s">
        <v>331</v>
      </c>
      <c r="H8" s="17" t="s">
        <v>1311</v>
      </c>
      <c r="I8" s="17" t="s">
        <v>21</v>
      </c>
      <c r="J8" s="17"/>
      <c r="K8" s="147" t="s">
        <v>1293</v>
      </c>
      <c r="L8" s="3"/>
    </row>
    <row r="9" spans="1:12">
      <c r="B9" s="15">
        <f t="shared" si="0"/>
        <v>4</v>
      </c>
      <c r="C9" s="16" t="s">
        <v>166</v>
      </c>
      <c r="D9" s="16"/>
      <c r="E9" s="68"/>
      <c r="F9" s="17" t="s">
        <v>1329</v>
      </c>
      <c r="G9" s="17" t="s">
        <v>331</v>
      </c>
      <c r="H9" s="17" t="s">
        <v>27</v>
      </c>
      <c r="I9" s="17" t="s">
        <v>28</v>
      </c>
      <c r="J9" s="17"/>
      <c r="K9" s="147" t="s">
        <v>1293</v>
      </c>
      <c r="L9" s="3"/>
    </row>
    <row r="10" spans="1:12">
      <c r="B10" s="15">
        <f t="shared" si="0"/>
        <v>5</v>
      </c>
      <c r="C10" s="68"/>
      <c r="D10" s="68"/>
      <c r="E10" s="68"/>
      <c r="F10" s="17" t="s">
        <v>1328</v>
      </c>
      <c r="G10" s="17" t="s">
        <v>331</v>
      </c>
      <c r="H10" s="17" t="s">
        <v>20</v>
      </c>
      <c r="I10" s="17" t="s">
        <v>331</v>
      </c>
      <c r="J10" s="17"/>
      <c r="K10" s="147" t="s">
        <v>1293</v>
      </c>
      <c r="L10" s="3"/>
    </row>
    <row r="11" spans="1:12">
      <c r="B11" s="15">
        <f t="shared" si="0"/>
        <v>6</v>
      </c>
      <c r="C11" s="68"/>
      <c r="D11" s="68"/>
      <c r="E11" s="68"/>
      <c r="F11" s="17" t="s">
        <v>1327</v>
      </c>
      <c r="G11" s="17" t="s">
        <v>331</v>
      </c>
      <c r="H11" s="17" t="s">
        <v>20</v>
      </c>
      <c r="I11" s="17" t="s">
        <v>21</v>
      </c>
      <c r="J11" s="17"/>
      <c r="K11" s="147" t="s">
        <v>1293</v>
      </c>
      <c r="L11" s="3"/>
    </row>
    <row r="12" spans="1:12">
      <c r="B12" s="15">
        <f t="shared" si="0"/>
        <v>7</v>
      </c>
      <c r="C12" s="68"/>
      <c r="D12" s="68"/>
      <c r="E12" s="68"/>
      <c r="F12" s="17" t="s">
        <v>60</v>
      </c>
      <c r="G12" s="17" t="s">
        <v>331</v>
      </c>
      <c r="H12" s="17" t="s">
        <v>769</v>
      </c>
      <c r="I12" s="17" t="s">
        <v>21</v>
      </c>
      <c r="J12" s="17"/>
      <c r="K12" s="147" t="s">
        <v>1293</v>
      </c>
      <c r="L12" s="3"/>
    </row>
    <row r="13" spans="1:12" ht="40.5">
      <c r="B13" s="15">
        <f t="shared" si="0"/>
        <v>8</v>
      </c>
      <c r="C13" s="68"/>
      <c r="D13" s="68"/>
      <c r="E13" s="68"/>
      <c r="F13" s="17" t="s">
        <v>1326</v>
      </c>
      <c r="G13" s="17" t="s">
        <v>1325</v>
      </c>
      <c r="H13" s="17" t="s">
        <v>1324</v>
      </c>
      <c r="I13" s="17" t="s">
        <v>170</v>
      </c>
      <c r="J13" s="17"/>
      <c r="K13" s="147" t="s">
        <v>1293</v>
      </c>
      <c r="L13" s="3"/>
    </row>
    <row r="14" spans="1:12">
      <c r="B14" s="15">
        <f t="shared" si="0"/>
        <v>9</v>
      </c>
      <c r="C14" s="68"/>
      <c r="D14" s="68"/>
      <c r="E14" s="68"/>
      <c r="F14" s="17" t="s">
        <v>1323</v>
      </c>
      <c r="G14" s="17" t="s">
        <v>1322</v>
      </c>
      <c r="H14" s="17" t="s">
        <v>20</v>
      </c>
      <c r="I14" s="17" t="s">
        <v>331</v>
      </c>
      <c r="J14" s="17"/>
      <c r="K14" s="147" t="s">
        <v>1293</v>
      </c>
      <c r="L14" s="3"/>
    </row>
    <row r="15" spans="1:12">
      <c r="B15" s="15">
        <f t="shared" si="0"/>
        <v>10</v>
      </c>
      <c r="C15" s="68"/>
      <c r="D15" s="68"/>
      <c r="E15" s="68"/>
      <c r="F15" s="17" t="s">
        <v>1321</v>
      </c>
      <c r="G15" s="17" t="s">
        <v>1320</v>
      </c>
      <c r="H15" s="17" t="s">
        <v>1319</v>
      </c>
      <c r="I15" s="17" t="s">
        <v>21</v>
      </c>
      <c r="J15" s="17"/>
      <c r="K15" s="147" t="s">
        <v>1293</v>
      </c>
      <c r="L15" s="3"/>
    </row>
    <row r="16" spans="1:12">
      <c r="B16" s="15">
        <f t="shared" si="0"/>
        <v>11</v>
      </c>
      <c r="C16" s="68"/>
      <c r="D16" s="68"/>
      <c r="E16" s="68"/>
      <c r="F16" s="17" t="s">
        <v>1318</v>
      </c>
      <c r="G16" s="17" t="s">
        <v>331</v>
      </c>
      <c r="H16" s="17" t="s">
        <v>27</v>
      </c>
      <c r="I16" s="17" t="s">
        <v>28</v>
      </c>
      <c r="J16" s="17"/>
      <c r="K16" s="147" t="s">
        <v>1293</v>
      </c>
      <c r="L16" s="3"/>
    </row>
    <row r="17" spans="2:12">
      <c r="B17" s="15">
        <f t="shared" si="0"/>
        <v>12</v>
      </c>
      <c r="C17" s="68"/>
      <c r="D17" s="68"/>
      <c r="E17" s="19"/>
      <c r="F17" s="17" t="s">
        <v>1317</v>
      </c>
      <c r="G17" s="17" t="s">
        <v>331</v>
      </c>
      <c r="H17" s="17" t="s">
        <v>50</v>
      </c>
      <c r="I17" s="17">
        <v>0</v>
      </c>
      <c r="J17" s="17"/>
      <c r="K17" s="147" t="s">
        <v>1293</v>
      </c>
      <c r="L17" s="3"/>
    </row>
    <row r="18" spans="2:12">
      <c r="B18" s="15">
        <f t="shared" si="0"/>
        <v>13</v>
      </c>
      <c r="C18" s="16" t="s">
        <v>1316</v>
      </c>
      <c r="D18" s="16"/>
      <c r="E18" s="16"/>
      <c r="F18" s="17" t="s">
        <v>1315</v>
      </c>
      <c r="G18" s="17" t="s">
        <v>331</v>
      </c>
      <c r="H18" s="22" t="s">
        <v>20</v>
      </c>
      <c r="I18" s="29" t="s">
        <v>21</v>
      </c>
      <c r="J18" s="17"/>
      <c r="K18" s="147" t="s">
        <v>1293</v>
      </c>
      <c r="L18" s="3"/>
    </row>
    <row r="19" spans="2:12">
      <c r="B19" s="15">
        <f t="shared" si="0"/>
        <v>14</v>
      </c>
      <c r="C19" s="68"/>
      <c r="D19" s="68"/>
      <c r="E19" s="68"/>
      <c r="F19" s="17" t="s">
        <v>19</v>
      </c>
      <c r="G19" s="17" t="s">
        <v>331</v>
      </c>
      <c r="H19" s="22" t="s">
        <v>20</v>
      </c>
      <c r="I19" s="29" t="s">
        <v>21</v>
      </c>
      <c r="J19" s="17"/>
      <c r="K19" s="147" t="s">
        <v>1293</v>
      </c>
      <c r="L19" s="3"/>
    </row>
    <row r="20" spans="2:12">
      <c r="B20" s="15">
        <f t="shared" si="0"/>
        <v>15</v>
      </c>
      <c r="C20" s="68"/>
      <c r="D20" s="68"/>
      <c r="E20" s="68"/>
      <c r="F20" s="17" t="s">
        <v>1314</v>
      </c>
      <c r="G20" s="17" t="s">
        <v>331</v>
      </c>
      <c r="H20" s="17" t="s">
        <v>1313</v>
      </c>
      <c r="I20" s="17" t="s">
        <v>21</v>
      </c>
      <c r="J20" s="17"/>
      <c r="K20" s="147" t="s">
        <v>1293</v>
      </c>
      <c r="L20" s="3"/>
    </row>
    <row r="21" spans="2:12">
      <c r="B21" s="15">
        <f t="shared" si="0"/>
        <v>16</v>
      </c>
      <c r="C21" s="68"/>
      <c r="D21" s="68"/>
      <c r="E21" s="68"/>
      <c r="F21" s="17" t="s">
        <v>1312</v>
      </c>
      <c r="G21" s="17" t="s">
        <v>331</v>
      </c>
      <c r="H21" s="17" t="s">
        <v>1311</v>
      </c>
      <c r="I21" s="17" t="s">
        <v>21</v>
      </c>
      <c r="J21" s="17"/>
      <c r="K21" s="147" t="s">
        <v>1293</v>
      </c>
      <c r="L21" s="3"/>
    </row>
    <row r="22" spans="2:12" ht="27">
      <c r="B22" s="15">
        <f t="shared" si="0"/>
        <v>17</v>
      </c>
      <c r="C22" s="68"/>
      <c r="D22" s="68"/>
      <c r="E22" s="68"/>
      <c r="F22" s="17" t="s">
        <v>1310</v>
      </c>
      <c r="G22" s="17" t="s">
        <v>331</v>
      </c>
      <c r="H22" s="22" t="s">
        <v>179</v>
      </c>
      <c r="I22" s="29" t="s">
        <v>21</v>
      </c>
      <c r="J22" s="17" t="s">
        <v>1309</v>
      </c>
      <c r="K22" s="147" t="s">
        <v>1293</v>
      </c>
      <c r="L22" s="3"/>
    </row>
    <row r="23" spans="2:12">
      <c r="B23" s="15">
        <f t="shared" si="0"/>
        <v>18</v>
      </c>
      <c r="C23" s="68"/>
      <c r="D23" s="68"/>
      <c r="E23" s="68"/>
      <c r="F23" s="17" t="s">
        <v>1308</v>
      </c>
      <c r="G23" s="17" t="s">
        <v>331</v>
      </c>
      <c r="H23" s="22" t="s">
        <v>20</v>
      </c>
      <c r="I23" s="29" t="s">
        <v>21</v>
      </c>
      <c r="J23" s="17"/>
      <c r="K23" s="147" t="s">
        <v>1293</v>
      </c>
      <c r="L23" s="3"/>
    </row>
    <row r="24" spans="2:12">
      <c r="B24" s="15">
        <f t="shared" si="0"/>
        <v>19</v>
      </c>
      <c r="C24" s="68"/>
      <c r="D24" s="68"/>
      <c r="E24" s="68"/>
      <c r="F24" s="17" t="s">
        <v>1307</v>
      </c>
      <c r="G24" s="17" t="s">
        <v>331</v>
      </c>
      <c r="H24" s="17" t="s">
        <v>1306</v>
      </c>
      <c r="I24" s="17" t="s">
        <v>21</v>
      </c>
      <c r="J24" s="17"/>
      <c r="K24" s="147" t="s">
        <v>1293</v>
      </c>
      <c r="L24" s="3"/>
    </row>
    <row r="25" spans="2:12">
      <c r="B25" s="15">
        <f t="shared" si="0"/>
        <v>20</v>
      </c>
      <c r="C25" s="68"/>
      <c r="D25" s="68"/>
      <c r="E25" s="19"/>
      <c r="F25" s="17" t="s">
        <v>1305</v>
      </c>
      <c r="G25" s="17" t="s">
        <v>331</v>
      </c>
      <c r="H25" s="17" t="s">
        <v>50</v>
      </c>
      <c r="I25" s="17">
        <v>0</v>
      </c>
      <c r="J25" s="17"/>
      <c r="K25" s="147" t="s">
        <v>1293</v>
      </c>
      <c r="L25" s="3"/>
    </row>
    <row r="26" spans="2:12">
      <c r="B26" s="15">
        <f t="shared" si="0"/>
        <v>21</v>
      </c>
      <c r="C26" s="16" t="s">
        <v>31</v>
      </c>
      <c r="D26" s="16"/>
      <c r="E26" s="16"/>
      <c r="F26" s="26" t="s">
        <v>30</v>
      </c>
      <c r="G26" s="17" t="s">
        <v>331</v>
      </c>
      <c r="H26" s="22" t="s">
        <v>20</v>
      </c>
      <c r="I26" s="29" t="s">
        <v>21</v>
      </c>
      <c r="J26" s="26"/>
      <c r="K26" s="147" t="s">
        <v>1293</v>
      </c>
      <c r="L26" s="3"/>
    </row>
    <row r="27" spans="2:12" ht="81">
      <c r="B27" s="15">
        <f t="shared" si="0"/>
        <v>22</v>
      </c>
      <c r="C27" s="68"/>
      <c r="D27" s="68"/>
      <c r="E27" s="68"/>
      <c r="F27" s="26" t="s">
        <v>31</v>
      </c>
      <c r="G27" s="17" t="s">
        <v>331</v>
      </c>
      <c r="H27" s="22" t="s">
        <v>20</v>
      </c>
      <c r="I27" s="29" t="s">
        <v>21</v>
      </c>
      <c r="J27" s="26" t="s">
        <v>1225</v>
      </c>
      <c r="K27" s="147" t="s">
        <v>1293</v>
      </c>
      <c r="L27" s="3"/>
    </row>
    <row r="28" spans="2:12" ht="243">
      <c r="B28" s="15">
        <f t="shared" si="0"/>
        <v>23</v>
      </c>
      <c r="C28" s="68"/>
      <c r="D28" s="68"/>
      <c r="E28" s="68"/>
      <c r="F28" s="26" t="s">
        <v>32</v>
      </c>
      <c r="G28" s="17" t="s">
        <v>331</v>
      </c>
      <c r="H28" s="26" t="s">
        <v>789</v>
      </c>
      <c r="I28" s="29" t="s">
        <v>21</v>
      </c>
      <c r="J28" s="26"/>
      <c r="K28" s="147" t="s">
        <v>1293</v>
      </c>
      <c r="L28" s="3"/>
    </row>
    <row r="29" spans="2:12">
      <c r="B29" s="15">
        <f t="shared" si="0"/>
        <v>24</v>
      </c>
      <c r="C29" s="68"/>
      <c r="D29" s="68"/>
      <c r="E29" s="68"/>
      <c r="F29" s="26" t="s">
        <v>33</v>
      </c>
      <c r="G29" s="17" t="s">
        <v>331</v>
      </c>
      <c r="H29" s="26" t="s">
        <v>27</v>
      </c>
      <c r="I29" s="29" t="s">
        <v>21</v>
      </c>
      <c r="J29" s="26"/>
      <c r="K29" s="147" t="s">
        <v>1293</v>
      </c>
      <c r="L29" s="3"/>
    </row>
    <row r="30" spans="2:12">
      <c r="B30" s="15">
        <f t="shared" si="0"/>
        <v>25</v>
      </c>
      <c r="C30" s="68"/>
      <c r="D30" s="68"/>
      <c r="E30" s="68"/>
      <c r="F30" s="26" t="s">
        <v>35</v>
      </c>
      <c r="G30" s="17" t="s">
        <v>331</v>
      </c>
      <c r="H30" s="26" t="s">
        <v>36</v>
      </c>
      <c r="I30" s="29" t="s">
        <v>21</v>
      </c>
      <c r="J30" s="26" t="s">
        <v>1224</v>
      </c>
      <c r="K30" s="147" t="s">
        <v>1293</v>
      </c>
      <c r="L30" s="3"/>
    </row>
    <row r="31" spans="2:12">
      <c r="B31" s="15">
        <f t="shared" si="0"/>
        <v>26</v>
      </c>
      <c r="C31" s="68"/>
      <c r="D31" s="68"/>
      <c r="E31" s="68"/>
      <c r="F31" s="26" t="s">
        <v>38</v>
      </c>
      <c r="G31" s="17" t="s">
        <v>331</v>
      </c>
      <c r="H31" s="26" t="s">
        <v>20</v>
      </c>
      <c r="I31" s="29" t="s">
        <v>21</v>
      </c>
      <c r="J31" s="26" t="s">
        <v>1224</v>
      </c>
      <c r="K31" s="147" t="s">
        <v>1293</v>
      </c>
      <c r="L31" s="3"/>
    </row>
    <row r="32" spans="2:12">
      <c r="B32" s="15">
        <f t="shared" si="0"/>
        <v>27</v>
      </c>
      <c r="C32" s="68"/>
      <c r="D32" s="68"/>
      <c r="E32" s="68"/>
      <c r="F32" s="26" t="s">
        <v>31</v>
      </c>
      <c r="G32" s="17" t="s">
        <v>331</v>
      </c>
      <c r="H32" s="26" t="s">
        <v>20</v>
      </c>
      <c r="I32" s="29" t="s">
        <v>21</v>
      </c>
      <c r="J32" s="26" t="s">
        <v>1224</v>
      </c>
      <c r="K32" s="147" t="s">
        <v>1293</v>
      </c>
      <c r="L32" s="3"/>
    </row>
    <row r="33" spans="2:12">
      <c r="B33" s="15">
        <f t="shared" si="0"/>
        <v>28</v>
      </c>
      <c r="C33" s="68"/>
      <c r="D33" s="68"/>
      <c r="E33" s="68"/>
      <c r="F33" s="26" t="s">
        <v>40</v>
      </c>
      <c r="G33" s="17" t="s">
        <v>331</v>
      </c>
      <c r="H33" s="26" t="s">
        <v>123</v>
      </c>
      <c r="I33" s="29" t="s">
        <v>21</v>
      </c>
      <c r="J33" s="26" t="s">
        <v>1224</v>
      </c>
      <c r="K33" s="147" t="s">
        <v>1293</v>
      </c>
      <c r="L33" s="3"/>
    </row>
    <row r="34" spans="2:12">
      <c r="B34" s="15">
        <f t="shared" si="0"/>
        <v>29</v>
      </c>
      <c r="C34" s="68"/>
      <c r="D34" s="68"/>
      <c r="E34" s="68"/>
      <c r="F34" s="26" t="s">
        <v>42</v>
      </c>
      <c r="G34" s="17" t="s">
        <v>331</v>
      </c>
      <c r="H34" s="26" t="s">
        <v>122</v>
      </c>
      <c r="I34" s="29" t="s">
        <v>21</v>
      </c>
      <c r="J34" s="26" t="s">
        <v>1224</v>
      </c>
      <c r="K34" s="147" t="s">
        <v>1293</v>
      </c>
      <c r="L34" s="3"/>
    </row>
    <row r="35" spans="2:12">
      <c r="B35" s="15">
        <f t="shared" si="0"/>
        <v>30</v>
      </c>
      <c r="C35" s="19"/>
      <c r="D35" s="19"/>
      <c r="E35" s="19"/>
      <c r="F35" s="26" t="s">
        <v>43</v>
      </c>
      <c r="G35" s="17" t="s">
        <v>331</v>
      </c>
      <c r="H35" s="26" t="s">
        <v>27</v>
      </c>
      <c r="I35" s="29" t="s">
        <v>21</v>
      </c>
      <c r="J35" s="26" t="s">
        <v>1224</v>
      </c>
      <c r="K35" s="147" t="s">
        <v>1293</v>
      </c>
      <c r="L35" s="3"/>
    </row>
    <row r="36" spans="2:12">
      <c r="B36" s="15">
        <f t="shared" si="0"/>
        <v>31</v>
      </c>
      <c r="C36" s="16" t="s">
        <v>1304</v>
      </c>
      <c r="D36" s="68"/>
      <c r="E36" s="16"/>
      <c r="F36" s="26" t="s">
        <v>1304</v>
      </c>
      <c r="G36" s="17" t="s">
        <v>331</v>
      </c>
      <c r="H36" s="26" t="s">
        <v>20</v>
      </c>
      <c r="I36" s="29" t="s">
        <v>21</v>
      </c>
      <c r="J36" s="26"/>
      <c r="K36" s="147" t="s">
        <v>1293</v>
      </c>
      <c r="L36" s="3"/>
    </row>
    <row r="37" spans="2:12">
      <c r="B37" s="15">
        <f t="shared" si="0"/>
        <v>32</v>
      </c>
      <c r="C37" s="68"/>
      <c r="D37" s="68"/>
      <c r="E37" s="68"/>
      <c r="F37" s="26" t="s">
        <v>19</v>
      </c>
      <c r="G37" s="17" t="s">
        <v>331</v>
      </c>
      <c r="H37" s="26" t="s">
        <v>20</v>
      </c>
      <c r="I37" s="29" t="s">
        <v>21</v>
      </c>
      <c r="J37" s="26"/>
      <c r="K37" s="147" t="s">
        <v>1293</v>
      </c>
      <c r="L37" s="3"/>
    </row>
    <row r="38" spans="2:12">
      <c r="B38" s="15">
        <f t="shared" si="0"/>
        <v>33</v>
      </c>
      <c r="C38" s="68"/>
      <c r="D38" s="68"/>
      <c r="E38" s="68"/>
      <c r="F38" s="26" t="s">
        <v>695</v>
      </c>
      <c r="G38" s="17" t="s">
        <v>331</v>
      </c>
      <c r="H38" s="17" t="s">
        <v>694</v>
      </c>
      <c r="I38" s="17" t="s">
        <v>21</v>
      </c>
      <c r="J38" s="26"/>
      <c r="K38" s="147" t="s">
        <v>1293</v>
      </c>
      <c r="L38" s="3"/>
    </row>
    <row r="39" spans="2:12">
      <c r="B39" s="15">
        <f t="shared" si="0"/>
        <v>34</v>
      </c>
      <c r="C39" s="68"/>
      <c r="D39" s="68"/>
      <c r="E39" s="68"/>
      <c r="F39" s="26" t="s">
        <v>389</v>
      </c>
      <c r="G39" s="17" t="s">
        <v>331</v>
      </c>
      <c r="H39" s="17" t="s">
        <v>948</v>
      </c>
      <c r="I39" s="17" t="s">
        <v>21</v>
      </c>
      <c r="J39" s="26"/>
      <c r="K39" s="147" t="s">
        <v>1293</v>
      </c>
      <c r="L39" s="3"/>
    </row>
    <row r="40" spans="2:12">
      <c r="B40" s="15">
        <f t="shared" si="0"/>
        <v>35</v>
      </c>
      <c r="C40" s="68"/>
      <c r="D40" s="68"/>
      <c r="E40" s="68"/>
      <c r="F40" s="26" t="s">
        <v>1303</v>
      </c>
      <c r="G40" s="17" t="s">
        <v>331</v>
      </c>
      <c r="H40" s="17" t="s">
        <v>1302</v>
      </c>
      <c r="I40" s="17" t="s">
        <v>21</v>
      </c>
      <c r="J40" s="26"/>
      <c r="K40" s="147" t="s">
        <v>1293</v>
      </c>
      <c r="L40" s="3"/>
    </row>
    <row r="41" spans="2:12">
      <c r="B41" s="15">
        <f t="shared" si="0"/>
        <v>36</v>
      </c>
      <c r="C41" s="68"/>
      <c r="D41" s="68"/>
      <c r="E41" s="68"/>
      <c r="F41" s="26" t="s">
        <v>1301</v>
      </c>
      <c r="G41" s="17" t="s">
        <v>331</v>
      </c>
      <c r="H41" s="26" t="s">
        <v>918</v>
      </c>
      <c r="I41" s="17" t="s">
        <v>21</v>
      </c>
      <c r="J41" s="26"/>
      <c r="K41" s="147" t="s">
        <v>1293</v>
      </c>
      <c r="L41" s="3"/>
    </row>
    <row r="42" spans="2:12">
      <c r="B42" s="15">
        <f t="shared" si="0"/>
        <v>37</v>
      </c>
      <c r="C42" s="68"/>
      <c r="D42" s="68"/>
      <c r="E42" s="68"/>
      <c r="F42" s="26" t="s">
        <v>1300</v>
      </c>
      <c r="G42" s="17" t="s">
        <v>331</v>
      </c>
      <c r="H42" s="17" t="s">
        <v>1299</v>
      </c>
      <c r="I42" s="17" t="s">
        <v>21</v>
      </c>
      <c r="J42" s="26"/>
      <c r="K42" s="147" t="s">
        <v>1293</v>
      </c>
      <c r="L42" s="3"/>
    </row>
    <row r="43" spans="2:12" ht="27">
      <c r="B43" s="15">
        <f t="shared" si="0"/>
        <v>38</v>
      </c>
      <c r="C43" s="68"/>
      <c r="D43" s="68"/>
      <c r="E43" s="68"/>
      <c r="F43" s="26" t="s">
        <v>1298</v>
      </c>
      <c r="G43" s="17" t="s">
        <v>331</v>
      </c>
      <c r="H43" s="17" t="s">
        <v>1297</v>
      </c>
      <c r="I43" s="17" t="s">
        <v>21</v>
      </c>
      <c r="J43" s="26"/>
      <c r="K43" s="147" t="s">
        <v>1293</v>
      </c>
      <c r="L43" s="3"/>
    </row>
    <row r="44" spans="2:12">
      <c r="B44" s="15">
        <f t="shared" si="0"/>
        <v>39</v>
      </c>
      <c r="C44" s="68"/>
      <c r="D44" s="68"/>
      <c r="E44" s="68"/>
      <c r="F44" s="17" t="s">
        <v>1296</v>
      </c>
      <c r="G44" s="17" t="s">
        <v>331</v>
      </c>
      <c r="H44" s="17" t="s">
        <v>1294</v>
      </c>
      <c r="I44" s="17" t="s">
        <v>21</v>
      </c>
      <c r="J44" s="17"/>
      <c r="K44" s="147" t="s">
        <v>1293</v>
      </c>
      <c r="L44" s="3"/>
    </row>
    <row r="45" spans="2:12">
      <c r="B45" s="15">
        <f t="shared" si="0"/>
        <v>40</v>
      </c>
      <c r="C45" s="19"/>
      <c r="D45" s="19"/>
      <c r="E45" s="19"/>
      <c r="F45" s="17" t="s">
        <v>1295</v>
      </c>
      <c r="G45" s="17" t="s">
        <v>331</v>
      </c>
      <c r="H45" s="17" t="s">
        <v>1294</v>
      </c>
      <c r="I45" s="17" t="s">
        <v>21</v>
      </c>
      <c r="J45" s="17"/>
      <c r="K45" s="147" t="s">
        <v>1293</v>
      </c>
      <c r="L45" s="3"/>
    </row>
  </sheetData>
  <phoneticPr fontId="14"/>
  <hyperlinks>
    <hyperlink ref="A4" location="パラメータ設定一覧!A1" display="パラメータ設定一覧へ" xr:uid="{7292C936-9E98-461B-BDBA-40F189D7892E}"/>
  </hyperlinks>
  <pageMargins left="0.7" right="0.7" top="0.75" bottom="0.75" header="0.3" footer="0.3"/>
  <pageSetup paperSize="9" orientation="portrait" verticalDpi="0"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5AF95-7EC7-4732-A07C-BEF23CC8883F}">
  <sheetPr codeName="Sheet51"/>
  <dimension ref="A1:AP15"/>
  <sheetViews>
    <sheetView showGridLines="0" zoomScaleNormal="100" workbookViewId="0">
      <pane xSplit="4" ySplit="7" topLeftCell="E8" activePane="bottomRight" state="frozen"/>
      <selection pane="topRight"/>
      <selection pane="bottomLeft"/>
      <selection pane="bottomRight" activeCell="E8" sqref="E8"/>
    </sheetView>
  </sheetViews>
  <sheetFormatPr defaultColWidth="8.78515625" defaultRowHeight="13.5"/>
  <cols>
    <col min="1" max="1" width="2.78515625" style="46" customWidth="1"/>
    <col min="2" max="2" width="3.5703125" style="46" bestFit="1" customWidth="1"/>
    <col min="3" max="3" width="12.640625" style="46" bestFit="1" customWidth="1"/>
    <col min="4" max="5" width="20.35546875" style="46" customWidth="1"/>
    <col min="6" max="6" width="14.2109375" style="46" customWidth="1"/>
    <col min="7" max="11" width="13.42578125" style="46" customWidth="1"/>
    <col min="12" max="12" width="12.92578125" style="46" customWidth="1"/>
    <col min="13" max="13" width="16.640625" style="46" customWidth="1"/>
    <col min="14" max="14" width="15.640625" style="46" customWidth="1"/>
    <col min="15" max="16" width="10" style="46" customWidth="1"/>
    <col min="17" max="17" width="13.640625" style="46" customWidth="1"/>
    <col min="18" max="18" width="14.0703125" style="46" customWidth="1"/>
    <col min="19" max="20" width="10" style="46" customWidth="1"/>
    <col min="21" max="21" width="14.2109375" style="46" customWidth="1"/>
    <col min="22" max="22" width="15.42578125" style="46" customWidth="1"/>
    <col min="23" max="23" width="11.28515625" style="46" customWidth="1"/>
    <col min="24" max="24" width="34.35546875" style="46" customWidth="1"/>
    <col min="25" max="25" width="20.2109375" style="46" customWidth="1"/>
    <col min="26" max="26" width="15" style="46" customWidth="1"/>
    <col min="27" max="27" width="22.2109375" style="46" customWidth="1"/>
    <col min="28" max="28" width="18.5703125" style="46" customWidth="1"/>
    <col min="29" max="29" width="34.35546875" style="46" customWidth="1"/>
    <col min="30" max="31" width="17.640625" style="46" customWidth="1"/>
    <col min="32" max="32" width="15.5703125" style="46" customWidth="1"/>
    <col min="33" max="33" width="11.42578125" style="46" customWidth="1" collapsed="1"/>
    <col min="34" max="34" width="10" style="46" customWidth="1"/>
    <col min="35" max="36" width="14.7109375" style="46" customWidth="1"/>
    <col min="37" max="37" width="14" style="46" customWidth="1"/>
    <col min="38" max="38" width="10" style="46" customWidth="1"/>
    <col min="39" max="39" width="15.7109375" style="46" customWidth="1"/>
    <col min="40" max="40" width="18.2109375" style="46" customWidth="1"/>
    <col min="41" max="41" width="18.78515625" style="46" customWidth="1"/>
    <col min="42" max="42" width="20.35546875" style="46" customWidth="1"/>
    <col min="43" max="16384" width="8.78515625" style="46"/>
  </cols>
  <sheetData>
    <row r="1" spans="1:42" s="86" customFormat="1" ht="19.5">
      <c r="A1" s="148" t="s">
        <v>2701</v>
      </c>
    </row>
    <row r="2" spans="1:42" s="86" customFormat="1" ht="15">
      <c r="A2" s="196" t="s">
        <v>2668</v>
      </c>
    </row>
    <row r="3" spans="1:42" s="86" customFormat="1" ht="15">
      <c r="A3" s="10" t="s">
        <v>363</v>
      </c>
    </row>
    <row r="4" spans="1:42">
      <c r="B4" s="440" t="s">
        <v>1</v>
      </c>
      <c r="C4" s="277" t="s">
        <v>166</v>
      </c>
      <c r="D4" s="278"/>
      <c r="E4" s="279"/>
      <c r="F4" s="277" t="s">
        <v>166</v>
      </c>
      <c r="G4" s="279"/>
      <c r="H4" s="279"/>
      <c r="I4" s="279"/>
      <c r="J4" s="279"/>
      <c r="K4" s="279"/>
      <c r="L4" s="279"/>
      <c r="M4" s="279"/>
      <c r="N4" s="279"/>
      <c r="O4" s="188" t="s">
        <v>1316</v>
      </c>
      <c r="P4" s="281"/>
      <c r="Q4" s="281"/>
      <c r="R4" s="281"/>
      <c r="S4" s="281"/>
      <c r="T4" s="281"/>
      <c r="U4" s="281"/>
      <c r="V4" s="281"/>
      <c r="W4" s="277" t="s">
        <v>31</v>
      </c>
      <c r="X4" s="279"/>
      <c r="Y4" s="279"/>
      <c r="Z4" s="279"/>
      <c r="AA4" s="279"/>
      <c r="AB4" s="279"/>
      <c r="AC4" s="279"/>
      <c r="AD4" s="279"/>
      <c r="AE4" s="279"/>
      <c r="AF4" s="278"/>
      <c r="AG4" s="188" t="s">
        <v>1304</v>
      </c>
      <c r="AH4" s="281"/>
      <c r="AI4" s="281"/>
      <c r="AJ4" s="281"/>
      <c r="AK4" s="281"/>
      <c r="AL4" s="281"/>
      <c r="AM4" s="281"/>
      <c r="AN4" s="281"/>
      <c r="AO4" s="281"/>
      <c r="AP4" s="280"/>
    </row>
    <row r="5" spans="1:42" ht="27">
      <c r="B5" s="440"/>
      <c r="C5" s="118" t="s">
        <v>1331</v>
      </c>
      <c r="D5" s="118" t="s">
        <v>19</v>
      </c>
      <c r="E5" s="118" t="s">
        <v>1330</v>
      </c>
      <c r="F5" s="40" t="s">
        <v>1329</v>
      </c>
      <c r="G5" s="69" t="s">
        <v>1339</v>
      </c>
      <c r="H5" s="69" t="s">
        <v>1327</v>
      </c>
      <c r="I5" s="69" t="s">
        <v>60</v>
      </c>
      <c r="J5" s="69" t="s">
        <v>1326</v>
      </c>
      <c r="K5" s="69" t="s">
        <v>1338</v>
      </c>
      <c r="L5" s="69" t="s">
        <v>1321</v>
      </c>
      <c r="M5" s="69" t="s">
        <v>1318</v>
      </c>
      <c r="N5" s="69" t="s">
        <v>1317</v>
      </c>
      <c r="O5" s="69" t="s">
        <v>1315</v>
      </c>
      <c r="P5" s="69" t="s">
        <v>19</v>
      </c>
      <c r="Q5" s="69" t="s">
        <v>1314</v>
      </c>
      <c r="R5" s="69" t="s">
        <v>1312</v>
      </c>
      <c r="S5" s="69" t="s">
        <v>1310</v>
      </c>
      <c r="T5" s="69" t="s">
        <v>1308</v>
      </c>
      <c r="U5" s="69" t="s">
        <v>1307</v>
      </c>
      <c r="V5" s="69" t="s">
        <v>1305</v>
      </c>
      <c r="W5" s="118" t="s">
        <v>790</v>
      </c>
      <c r="X5" s="118" t="s">
        <v>31</v>
      </c>
      <c r="Y5" s="118" t="s">
        <v>32</v>
      </c>
      <c r="Z5" s="69" t="s">
        <v>33</v>
      </c>
      <c r="AA5" s="69" t="s">
        <v>35</v>
      </c>
      <c r="AB5" s="69" t="s">
        <v>38</v>
      </c>
      <c r="AC5" s="69" t="s">
        <v>31</v>
      </c>
      <c r="AD5" s="69" t="s">
        <v>70</v>
      </c>
      <c r="AE5" s="69" t="s">
        <v>42</v>
      </c>
      <c r="AF5" s="69" t="s">
        <v>1283</v>
      </c>
      <c r="AG5" s="181" t="s">
        <v>1304</v>
      </c>
      <c r="AH5" s="181" t="s">
        <v>19</v>
      </c>
      <c r="AI5" s="181" t="s">
        <v>1107</v>
      </c>
      <c r="AJ5" s="181" t="s">
        <v>389</v>
      </c>
      <c r="AK5" s="181" t="s">
        <v>1337</v>
      </c>
      <c r="AL5" s="181" t="s">
        <v>1336</v>
      </c>
      <c r="AM5" s="181" t="s">
        <v>1300</v>
      </c>
      <c r="AN5" s="40" t="s">
        <v>1298</v>
      </c>
      <c r="AO5" s="40" t="s">
        <v>1296</v>
      </c>
      <c r="AP5" s="40" t="s">
        <v>1295</v>
      </c>
    </row>
    <row r="6" spans="1:42" ht="40.5">
      <c r="B6" s="440"/>
      <c r="C6" s="24" t="s">
        <v>20</v>
      </c>
      <c r="D6" s="24" t="s">
        <v>20</v>
      </c>
      <c r="E6" s="24" t="s">
        <v>1311</v>
      </c>
      <c r="F6" s="24" t="s">
        <v>833</v>
      </c>
      <c r="G6" s="24" t="s">
        <v>20</v>
      </c>
      <c r="H6" s="24" t="s">
        <v>20</v>
      </c>
      <c r="I6" s="24" t="s">
        <v>769</v>
      </c>
      <c r="J6" s="24" t="s">
        <v>1324</v>
      </c>
      <c r="K6" s="24" t="s">
        <v>20</v>
      </c>
      <c r="L6" s="24" t="s">
        <v>1319</v>
      </c>
      <c r="M6" s="24" t="s">
        <v>833</v>
      </c>
      <c r="N6" s="24" t="s">
        <v>50</v>
      </c>
      <c r="O6" s="24" t="s">
        <v>20</v>
      </c>
      <c r="P6" s="24" t="s">
        <v>20</v>
      </c>
      <c r="Q6" s="24" t="s">
        <v>1313</v>
      </c>
      <c r="R6" s="24" t="s">
        <v>1311</v>
      </c>
      <c r="S6" s="24" t="s">
        <v>179</v>
      </c>
      <c r="T6" s="24" t="s">
        <v>20</v>
      </c>
      <c r="U6" s="24" t="s">
        <v>1306</v>
      </c>
      <c r="V6" s="24" t="s">
        <v>50</v>
      </c>
      <c r="W6" s="24" t="s">
        <v>20</v>
      </c>
      <c r="X6" s="24" t="s">
        <v>20</v>
      </c>
      <c r="Y6" s="24" t="s">
        <v>2490</v>
      </c>
      <c r="Z6" s="24" t="s">
        <v>27</v>
      </c>
      <c r="AA6" s="18" t="s">
        <v>36</v>
      </c>
      <c r="AB6" s="18" t="s">
        <v>20</v>
      </c>
      <c r="AC6" s="18" t="s">
        <v>20</v>
      </c>
      <c r="AD6" s="18" t="s">
        <v>123</v>
      </c>
      <c r="AE6" s="18" t="s">
        <v>122</v>
      </c>
      <c r="AF6" s="18" t="s">
        <v>27</v>
      </c>
      <c r="AG6" s="18" t="s">
        <v>20</v>
      </c>
      <c r="AH6" s="18" t="s">
        <v>20</v>
      </c>
      <c r="AI6" s="18" t="s">
        <v>694</v>
      </c>
      <c r="AJ6" s="18" t="s">
        <v>948</v>
      </c>
      <c r="AK6" s="18" t="s">
        <v>1302</v>
      </c>
      <c r="AL6" s="18" t="s">
        <v>918</v>
      </c>
      <c r="AM6" s="18" t="s">
        <v>1299</v>
      </c>
      <c r="AN6" s="24" t="s">
        <v>1297</v>
      </c>
      <c r="AO6" s="24" t="s">
        <v>1294</v>
      </c>
      <c r="AP6" s="24" t="s">
        <v>1294</v>
      </c>
    </row>
    <row r="7" spans="1:42">
      <c r="B7" s="440"/>
      <c r="C7" s="24" t="s">
        <v>2667</v>
      </c>
      <c r="D7" s="24"/>
      <c r="E7" s="24"/>
      <c r="F7" s="24"/>
      <c r="G7" s="24"/>
      <c r="H7" s="24"/>
      <c r="I7" s="24"/>
      <c r="J7" s="24"/>
      <c r="K7" s="24"/>
      <c r="L7" s="24"/>
      <c r="M7" s="24"/>
      <c r="N7" s="24"/>
      <c r="O7" s="24"/>
      <c r="P7" s="24"/>
      <c r="Q7" s="24"/>
      <c r="R7" s="24"/>
      <c r="S7" s="24"/>
      <c r="T7" s="24"/>
      <c r="U7" s="24"/>
      <c r="V7" s="24"/>
      <c r="W7" s="24"/>
      <c r="X7" s="24"/>
      <c r="Y7" s="24"/>
      <c r="Z7" s="24"/>
      <c r="AA7" s="18"/>
      <c r="AB7" s="18"/>
      <c r="AC7" s="18"/>
      <c r="AD7" s="18"/>
      <c r="AE7" s="18"/>
      <c r="AF7" s="18"/>
      <c r="AG7" s="18"/>
      <c r="AH7" s="18"/>
      <c r="AI7" s="18"/>
      <c r="AJ7" s="18"/>
      <c r="AK7" s="18"/>
      <c r="AL7" s="18"/>
      <c r="AM7" s="18"/>
      <c r="AN7" s="24"/>
      <c r="AO7" s="24"/>
      <c r="AP7" s="24"/>
    </row>
    <row r="8" spans="1:42">
      <c r="B8" s="245">
        <f>ROW() - 7</f>
        <v>1</v>
      </c>
      <c r="C8" s="285"/>
      <c r="D8" s="285"/>
      <c r="E8" s="285"/>
      <c r="F8" s="235"/>
      <c r="G8" s="285"/>
      <c r="H8" s="285"/>
      <c r="I8" s="285"/>
      <c r="J8" s="285"/>
      <c r="K8" s="285"/>
      <c r="L8" s="285"/>
      <c r="M8" s="235"/>
      <c r="N8" s="245"/>
      <c r="O8" s="245"/>
      <c r="P8" s="245"/>
      <c r="Q8" s="245"/>
      <c r="R8" s="245"/>
      <c r="S8" s="245"/>
      <c r="T8" s="245"/>
      <c r="U8" s="245"/>
      <c r="V8" s="245"/>
      <c r="W8" s="235"/>
      <c r="X8" s="287"/>
      <c r="Y8" s="235"/>
      <c r="Z8" s="235"/>
      <c r="AA8" s="235"/>
      <c r="AB8" s="235"/>
      <c r="AC8" s="235"/>
      <c r="AD8" s="235"/>
      <c r="AE8" s="235"/>
      <c r="AF8" s="235"/>
      <c r="AG8" s="245"/>
      <c r="AH8" s="245"/>
      <c r="AI8" s="245"/>
      <c r="AJ8" s="245"/>
      <c r="AK8" s="245"/>
      <c r="AL8" s="245"/>
      <c r="AM8" s="245"/>
      <c r="AN8" s="235"/>
      <c r="AO8" s="235"/>
      <c r="AP8" s="235"/>
    </row>
    <row r="9" spans="1:42">
      <c r="B9" s="245">
        <f t="shared" ref="B9:B15" si="0">ROW() - 7</f>
        <v>2</v>
      </c>
      <c r="C9" s="285"/>
      <c r="D9" s="285"/>
      <c r="E9" s="285"/>
      <c r="F9" s="235"/>
      <c r="G9" s="285"/>
      <c r="H9" s="285"/>
      <c r="I9" s="285"/>
      <c r="J9" s="285"/>
      <c r="K9" s="285"/>
      <c r="L9" s="285"/>
      <c r="M9" s="235"/>
      <c r="N9" s="245"/>
      <c r="O9" s="245"/>
      <c r="P9" s="245"/>
      <c r="Q9" s="245"/>
      <c r="R9" s="245"/>
      <c r="S9" s="245"/>
      <c r="T9" s="245"/>
      <c r="U9" s="245"/>
      <c r="V9" s="245"/>
      <c r="W9" s="235"/>
      <c r="X9" s="287"/>
      <c r="Y9" s="235"/>
      <c r="Z9" s="235"/>
      <c r="AA9" s="235"/>
      <c r="AB9" s="235"/>
      <c r="AC9" s="235"/>
      <c r="AD9" s="235"/>
      <c r="AE9" s="235"/>
      <c r="AF9" s="235"/>
      <c r="AG9" s="245"/>
      <c r="AH9" s="245"/>
      <c r="AI9" s="245"/>
      <c r="AJ9" s="245"/>
      <c r="AK9" s="245"/>
      <c r="AL9" s="245"/>
      <c r="AM9" s="245"/>
      <c r="AN9" s="235"/>
      <c r="AO9" s="235"/>
      <c r="AP9" s="235"/>
    </row>
    <row r="10" spans="1:42">
      <c r="B10" s="245">
        <f t="shared" si="0"/>
        <v>3</v>
      </c>
      <c r="C10" s="285"/>
      <c r="D10" s="285"/>
      <c r="E10" s="285"/>
      <c r="F10" s="235"/>
      <c r="G10" s="285"/>
      <c r="H10" s="285"/>
      <c r="I10" s="285"/>
      <c r="J10" s="285"/>
      <c r="K10" s="285"/>
      <c r="L10" s="285"/>
      <c r="M10" s="235"/>
      <c r="N10" s="245"/>
      <c r="O10" s="245"/>
      <c r="P10" s="245"/>
      <c r="Q10" s="245"/>
      <c r="R10" s="245"/>
      <c r="S10" s="245"/>
      <c r="T10" s="245"/>
      <c r="U10" s="245"/>
      <c r="V10" s="245"/>
      <c r="W10" s="235"/>
      <c r="X10" s="287"/>
      <c r="Y10" s="235"/>
      <c r="Z10" s="235"/>
      <c r="AA10" s="235"/>
      <c r="AB10" s="235"/>
      <c r="AC10" s="235"/>
      <c r="AD10" s="235"/>
      <c r="AE10" s="235"/>
      <c r="AF10" s="235"/>
      <c r="AG10" s="245"/>
      <c r="AH10" s="245"/>
      <c r="AI10" s="245"/>
      <c r="AJ10" s="245"/>
      <c r="AK10" s="245"/>
      <c r="AL10" s="245"/>
      <c r="AM10" s="245"/>
      <c r="AN10" s="235"/>
      <c r="AO10" s="235"/>
      <c r="AP10" s="235"/>
    </row>
    <row r="11" spans="1:42">
      <c r="B11" s="245">
        <f t="shared" si="0"/>
        <v>4</v>
      </c>
      <c r="C11" s="285"/>
      <c r="D11" s="285"/>
      <c r="E11" s="285"/>
      <c r="F11" s="235"/>
      <c r="G11" s="285"/>
      <c r="H11" s="285"/>
      <c r="I11" s="285"/>
      <c r="J11" s="285"/>
      <c r="K11" s="285"/>
      <c r="L11" s="285"/>
      <c r="M11" s="235"/>
      <c r="N11" s="245"/>
      <c r="O11" s="245"/>
      <c r="P11" s="245"/>
      <c r="Q11" s="245"/>
      <c r="R11" s="245"/>
      <c r="S11" s="245"/>
      <c r="T11" s="245"/>
      <c r="U11" s="245"/>
      <c r="V11" s="245"/>
      <c r="W11" s="235"/>
      <c r="X11" s="287"/>
      <c r="Y11" s="235"/>
      <c r="Z11" s="235"/>
      <c r="AA11" s="235"/>
      <c r="AB11" s="235"/>
      <c r="AC11" s="235"/>
      <c r="AD11" s="235"/>
      <c r="AE11" s="235"/>
      <c r="AF11" s="235"/>
      <c r="AG11" s="245"/>
      <c r="AH11" s="245"/>
      <c r="AI11" s="245"/>
      <c r="AJ11" s="245"/>
      <c r="AK11" s="245"/>
      <c r="AL11" s="245"/>
      <c r="AM11" s="245"/>
      <c r="AN11" s="235"/>
      <c r="AO11" s="235"/>
      <c r="AP11" s="235"/>
    </row>
    <row r="12" spans="1:42">
      <c r="B12" s="245">
        <f t="shared" si="0"/>
        <v>5</v>
      </c>
      <c r="C12" s="285"/>
      <c r="D12" s="285"/>
      <c r="E12" s="285"/>
      <c r="F12" s="235"/>
      <c r="G12" s="285"/>
      <c r="H12" s="285"/>
      <c r="I12" s="285"/>
      <c r="J12" s="285"/>
      <c r="K12" s="285"/>
      <c r="L12" s="285"/>
      <c r="M12" s="235"/>
      <c r="N12" s="245"/>
      <c r="O12" s="245"/>
      <c r="P12" s="245"/>
      <c r="Q12" s="245"/>
      <c r="R12" s="245"/>
      <c r="S12" s="245"/>
      <c r="T12" s="245"/>
      <c r="U12" s="245"/>
      <c r="V12" s="245"/>
      <c r="W12" s="235"/>
      <c r="X12" s="287"/>
      <c r="Y12" s="235"/>
      <c r="Z12" s="235"/>
      <c r="AA12" s="235"/>
      <c r="AB12" s="235"/>
      <c r="AC12" s="235"/>
      <c r="AD12" s="235"/>
      <c r="AE12" s="235"/>
      <c r="AF12" s="235"/>
      <c r="AG12" s="245"/>
      <c r="AH12" s="245"/>
      <c r="AI12" s="245"/>
      <c r="AJ12" s="245"/>
      <c r="AK12" s="245"/>
      <c r="AL12" s="245"/>
      <c r="AM12" s="245"/>
      <c r="AN12" s="235"/>
      <c r="AO12" s="235"/>
      <c r="AP12" s="235"/>
    </row>
    <row r="13" spans="1:42">
      <c r="B13" s="245">
        <f t="shared" si="0"/>
        <v>6</v>
      </c>
      <c r="C13" s="285"/>
      <c r="D13" s="285"/>
      <c r="E13" s="285"/>
      <c r="F13" s="235"/>
      <c r="G13" s="285"/>
      <c r="H13" s="285"/>
      <c r="I13" s="285"/>
      <c r="J13" s="285"/>
      <c r="K13" s="285"/>
      <c r="L13" s="285"/>
      <c r="M13" s="235"/>
      <c r="N13" s="245"/>
      <c r="O13" s="245"/>
      <c r="P13" s="245"/>
      <c r="Q13" s="245"/>
      <c r="R13" s="245"/>
      <c r="S13" s="245"/>
      <c r="T13" s="245"/>
      <c r="U13" s="245"/>
      <c r="V13" s="245"/>
      <c r="W13" s="235"/>
      <c r="X13" s="287"/>
      <c r="Y13" s="235"/>
      <c r="Z13" s="235"/>
      <c r="AA13" s="235"/>
      <c r="AB13" s="235"/>
      <c r="AC13" s="235"/>
      <c r="AD13" s="235"/>
      <c r="AE13" s="235"/>
      <c r="AF13" s="235"/>
      <c r="AG13" s="245"/>
      <c r="AH13" s="245"/>
      <c r="AI13" s="245"/>
      <c r="AJ13" s="245"/>
      <c r="AK13" s="245"/>
      <c r="AL13" s="245"/>
      <c r="AM13" s="245"/>
      <c r="AN13" s="235"/>
      <c r="AO13" s="235"/>
      <c r="AP13" s="235"/>
    </row>
    <row r="14" spans="1:42">
      <c r="B14" s="245">
        <f t="shared" si="0"/>
        <v>7</v>
      </c>
      <c r="C14" s="285"/>
      <c r="D14" s="285"/>
      <c r="E14" s="285"/>
      <c r="F14" s="235"/>
      <c r="G14" s="285"/>
      <c r="H14" s="285"/>
      <c r="I14" s="285"/>
      <c r="J14" s="285"/>
      <c r="K14" s="285"/>
      <c r="L14" s="285"/>
      <c r="M14" s="235"/>
      <c r="N14" s="245"/>
      <c r="O14" s="245"/>
      <c r="P14" s="245"/>
      <c r="Q14" s="245"/>
      <c r="R14" s="245"/>
      <c r="S14" s="245"/>
      <c r="T14" s="245"/>
      <c r="U14" s="245"/>
      <c r="V14" s="245"/>
      <c r="W14" s="235"/>
      <c r="X14" s="287"/>
      <c r="Y14" s="235"/>
      <c r="Z14" s="235"/>
      <c r="AA14" s="235"/>
      <c r="AB14" s="235"/>
      <c r="AC14" s="235"/>
      <c r="AD14" s="235"/>
      <c r="AE14" s="235"/>
      <c r="AF14" s="235"/>
      <c r="AG14" s="245"/>
      <c r="AH14" s="245"/>
      <c r="AI14" s="245"/>
      <c r="AJ14" s="245"/>
      <c r="AK14" s="245"/>
      <c r="AL14" s="245"/>
      <c r="AM14" s="245"/>
      <c r="AN14" s="235"/>
      <c r="AO14" s="235"/>
      <c r="AP14" s="235"/>
    </row>
    <row r="15" spans="1:42">
      <c r="B15" s="245">
        <f t="shared" si="0"/>
        <v>8</v>
      </c>
      <c r="C15" s="285"/>
      <c r="D15" s="285"/>
      <c r="E15" s="285"/>
      <c r="F15" s="235"/>
      <c r="G15" s="285"/>
      <c r="H15" s="285"/>
      <c r="I15" s="285"/>
      <c r="J15" s="285"/>
      <c r="K15" s="285"/>
      <c r="L15" s="285"/>
      <c r="M15" s="235"/>
      <c r="N15" s="245"/>
      <c r="O15" s="245"/>
      <c r="P15" s="245"/>
      <c r="Q15" s="245"/>
      <c r="R15" s="245"/>
      <c r="S15" s="245"/>
      <c r="T15" s="245"/>
      <c r="U15" s="245"/>
      <c r="V15" s="245"/>
      <c r="W15" s="235"/>
      <c r="X15" s="287"/>
      <c r="Y15" s="235"/>
      <c r="Z15" s="235"/>
      <c r="AA15" s="235"/>
      <c r="AB15" s="235"/>
      <c r="AC15" s="235"/>
      <c r="AD15" s="235"/>
      <c r="AE15" s="235"/>
      <c r="AF15" s="235"/>
      <c r="AG15" s="245"/>
      <c r="AH15" s="245"/>
      <c r="AI15" s="245"/>
      <c r="AJ15" s="245"/>
      <c r="AK15" s="245"/>
      <c r="AL15" s="245"/>
      <c r="AM15" s="245"/>
      <c r="AN15" s="235"/>
      <c r="AO15" s="235"/>
      <c r="AP15" s="235"/>
    </row>
  </sheetData>
  <sheetProtection insertRows="0" deleteRows="0" sort="0" autoFilter="0"/>
  <mergeCells count="1">
    <mergeCell ref="B4:B7"/>
  </mergeCells>
  <phoneticPr fontId="14"/>
  <hyperlinks>
    <hyperlink ref="A3" location="パラメータ設定一覧!A1" display="パラメータ設定一覧へ" xr:uid="{75DAECEC-DD6F-4367-8D1D-6003A2FAB122}"/>
  </hyperlinks>
  <pageMargins left="0.7" right="0.7" top="0.75" bottom="0.75" header="0.3" footer="0.3"/>
  <pageSetup paperSize="9" orientation="portrait" verticalDpi="0"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3F603-E390-4923-BC43-9754FF20642E}">
  <sheetPr codeName="Sheet71"/>
  <dimension ref="A1:L32"/>
  <sheetViews>
    <sheetView showGridLines="0" zoomScaleNormal="100" workbookViewId="0">
      <pane xSplit="6" ySplit="5" topLeftCell="G6" activePane="bottomRight" state="frozen"/>
      <selection activeCell="I24" sqref="I24"/>
      <selection pane="topRight" activeCell="I24" sqref="I24"/>
      <selection pane="bottomLeft" activeCell="I24" sqref="I24"/>
      <selection pane="bottomRight" activeCell="G6" sqref="G6"/>
    </sheetView>
  </sheetViews>
  <sheetFormatPr defaultColWidth="8.78515625" defaultRowHeight="13.5"/>
  <cols>
    <col min="1" max="1" width="2.78515625" style="46" customWidth="1"/>
    <col min="2" max="2" width="3.42578125" style="46" customWidth="1"/>
    <col min="3" max="3" width="14.5703125" style="46" customWidth="1"/>
    <col min="4" max="4" width="5.78515625" style="46" customWidth="1"/>
    <col min="5" max="5" width="14.78515625" style="46" customWidth="1"/>
    <col min="6" max="6" width="23.2109375" style="46" customWidth="1"/>
    <col min="7" max="7" width="59.78515625" style="46" customWidth="1"/>
    <col min="8" max="8" width="20.2109375" style="46" customWidth="1"/>
    <col min="9" max="9" width="11.2109375" style="46" customWidth="1"/>
    <col min="10" max="10" width="28.42578125" style="46" bestFit="1" customWidth="1"/>
    <col min="11" max="11" width="18.2109375" style="46" customWidth="1"/>
    <col min="12" max="12" width="13.2109375" style="46" customWidth="1"/>
    <col min="13" max="16384" width="8.78515625" style="46"/>
  </cols>
  <sheetData>
    <row r="1" spans="1:12" s="86" customFormat="1" ht="19.5">
      <c r="A1" s="148" t="s">
        <v>1741</v>
      </c>
    </row>
    <row r="2" spans="1:12" s="86" customFormat="1" ht="19.5">
      <c r="A2" s="148"/>
      <c r="B2" s="86" t="s">
        <v>1742</v>
      </c>
    </row>
    <row r="3" spans="1:12" s="86" customFormat="1" ht="15">
      <c r="B3" s="86" t="s">
        <v>1743</v>
      </c>
    </row>
    <row r="4" spans="1:12" s="86" customFormat="1" ht="15">
      <c r="A4" s="10" t="s">
        <v>363</v>
      </c>
    </row>
    <row r="5" spans="1:12" ht="27">
      <c r="B5" s="11" t="s">
        <v>1</v>
      </c>
      <c r="C5" s="12" t="s">
        <v>9</v>
      </c>
      <c r="D5" s="12" t="s">
        <v>10</v>
      </c>
      <c r="E5" s="12" t="s">
        <v>11</v>
      </c>
      <c r="F5" s="13" t="s">
        <v>12</v>
      </c>
      <c r="G5" s="13" t="s">
        <v>498</v>
      </c>
      <c r="H5" s="12" t="s">
        <v>14</v>
      </c>
      <c r="I5" s="12" t="s">
        <v>15</v>
      </c>
      <c r="J5" s="11" t="s">
        <v>16</v>
      </c>
      <c r="K5" s="14" t="s">
        <v>17</v>
      </c>
      <c r="L5" s="14" t="s">
        <v>18</v>
      </c>
    </row>
    <row r="6" spans="1:12">
      <c r="B6" s="15">
        <f t="shared" ref="B6:B32" si="0">ROW() - 5</f>
        <v>1</v>
      </c>
      <c r="C6" s="16" t="s">
        <v>1795</v>
      </c>
      <c r="D6" s="16"/>
      <c r="E6" s="16"/>
      <c r="F6" s="17" t="s">
        <v>235</v>
      </c>
      <c r="G6" s="17"/>
      <c r="H6" s="17" t="s">
        <v>1800</v>
      </c>
      <c r="I6" s="17" t="s">
        <v>238</v>
      </c>
      <c r="J6" s="17"/>
      <c r="K6" s="147" t="s">
        <v>1744</v>
      </c>
      <c r="L6" s="3"/>
    </row>
    <row r="7" spans="1:12">
      <c r="B7" s="15">
        <f t="shared" si="0"/>
        <v>2</v>
      </c>
      <c r="C7" s="68"/>
      <c r="D7" s="68"/>
      <c r="E7" s="68"/>
      <c r="F7" s="17" t="s">
        <v>236</v>
      </c>
      <c r="G7" s="17"/>
      <c r="H7" s="17" t="s">
        <v>1801</v>
      </c>
      <c r="I7" s="17" t="s">
        <v>239</v>
      </c>
      <c r="J7" s="17"/>
      <c r="K7" s="147" t="s">
        <v>1744</v>
      </c>
      <c r="L7" s="3"/>
    </row>
    <row r="8" spans="1:12" ht="27">
      <c r="B8" s="15">
        <f t="shared" si="0"/>
        <v>3</v>
      </c>
      <c r="C8" s="68"/>
      <c r="D8" s="68"/>
      <c r="E8" s="68"/>
      <c r="F8" s="17" t="s">
        <v>1784</v>
      </c>
      <c r="G8" s="17"/>
      <c r="H8" s="17" t="s">
        <v>1785</v>
      </c>
      <c r="I8" s="17" t="s">
        <v>1786</v>
      </c>
      <c r="J8" s="17" t="s">
        <v>1787</v>
      </c>
      <c r="K8" s="147" t="s">
        <v>1744</v>
      </c>
      <c r="L8" s="3"/>
    </row>
    <row r="9" spans="1:12">
      <c r="B9" s="15">
        <f t="shared" si="0"/>
        <v>4</v>
      </c>
      <c r="C9" s="68"/>
      <c r="D9" s="68"/>
      <c r="E9" s="68"/>
      <c r="F9" s="17" t="s">
        <v>1788</v>
      </c>
      <c r="G9" s="17"/>
      <c r="H9" s="17" t="s">
        <v>905</v>
      </c>
      <c r="I9" s="17" t="s">
        <v>21</v>
      </c>
      <c r="J9" s="17"/>
      <c r="K9" s="147" t="s">
        <v>1744</v>
      </c>
      <c r="L9" s="3"/>
    </row>
    <row r="10" spans="1:12">
      <c r="B10" s="15">
        <f t="shared" si="0"/>
        <v>5</v>
      </c>
      <c r="C10" s="19"/>
      <c r="D10" s="68"/>
      <c r="E10" s="68"/>
      <c r="F10" s="17" t="s">
        <v>1789</v>
      </c>
      <c r="G10" s="17"/>
      <c r="H10" s="17" t="s">
        <v>27</v>
      </c>
      <c r="I10" s="17" t="s">
        <v>28</v>
      </c>
      <c r="J10" s="17" t="s">
        <v>1790</v>
      </c>
      <c r="K10" s="147" t="s">
        <v>1744</v>
      </c>
      <c r="L10" s="3"/>
    </row>
    <row r="11" spans="1:12">
      <c r="B11" s="15">
        <f t="shared" si="0"/>
        <v>6</v>
      </c>
      <c r="C11" s="68" t="s">
        <v>23</v>
      </c>
      <c r="D11" s="167"/>
      <c r="E11" s="16" t="s">
        <v>52</v>
      </c>
      <c r="F11" s="17" t="s">
        <v>1566</v>
      </c>
      <c r="G11" s="17"/>
      <c r="H11" s="17" t="s">
        <v>20</v>
      </c>
      <c r="I11" s="17" t="s">
        <v>21</v>
      </c>
      <c r="J11" s="17"/>
      <c r="K11" s="147" t="s">
        <v>1744</v>
      </c>
      <c r="L11" s="3"/>
    </row>
    <row r="12" spans="1:12">
      <c r="B12" s="15">
        <f t="shared" si="0"/>
        <v>7</v>
      </c>
      <c r="C12" s="68"/>
      <c r="D12" s="143"/>
      <c r="E12" s="68"/>
      <c r="F12" s="17" t="s">
        <v>1745</v>
      </c>
      <c r="G12" s="17" t="s">
        <v>1771</v>
      </c>
      <c r="H12" s="17" t="s">
        <v>20</v>
      </c>
      <c r="I12" s="17" t="s">
        <v>21</v>
      </c>
      <c r="J12" s="17"/>
      <c r="K12" s="147" t="s">
        <v>1744</v>
      </c>
      <c r="L12" s="3"/>
    </row>
    <row r="13" spans="1:12">
      <c r="B13" s="15">
        <f t="shared" si="0"/>
        <v>8</v>
      </c>
      <c r="C13" s="68"/>
      <c r="D13" s="143"/>
      <c r="E13" s="68"/>
      <c r="F13" s="17" t="s">
        <v>25</v>
      </c>
      <c r="G13" s="17" t="s">
        <v>1772</v>
      </c>
      <c r="H13" s="17" t="s">
        <v>20</v>
      </c>
      <c r="I13" s="17" t="s">
        <v>21</v>
      </c>
      <c r="J13" s="17"/>
      <c r="K13" s="147" t="s">
        <v>1744</v>
      </c>
      <c r="L13" s="3"/>
    </row>
    <row r="14" spans="1:12" ht="27">
      <c r="B14" s="15">
        <f t="shared" si="0"/>
        <v>9</v>
      </c>
      <c r="C14" s="68"/>
      <c r="D14" s="143"/>
      <c r="E14" s="19"/>
      <c r="F14" s="17" t="s">
        <v>45</v>
      </c>
      <c r="G14" s="17" t="s">
        <v>1773</v>
      </c>
      <c r="H14" s="17" t="s">
        <v>20</v>
      </c>
      <c r="I14" s="17" t="s">
        <v>21</v>
      </c>
      <c r="J14" s="17"/>
      <c r="K14" s="147" t="s">
        <v>1744</v>
      </c>
      <c r="L14" s="3"/>
    </row>
    <row r="15" spans="1:12" ht="40.5">
      <c r="B15" s="15">
        <f t="shared" si="0"/>
        <v>10</v>
      </c>
      <c r="C15" s="68"/>
      <c r="D15" s="143"/>
      <c r="E15" s="16" t="s">
        <v>996</v>
      </c>
      <c r="F15" s="17" t="s">
        <v>1746</v>
      </c>
      <c r="G15" s="17" t="s">
        <v>1774</v>
      </c>
      <c r="H15" s="17" t="s">
        <v>1778</v>
      </c>
      <c r="I15" s="17" t="s">
        <v>21</v>
      </c>
      <c r="J15" s="17" t="s">
        <v>2210</v>
      </c>
      <c r="K15" s="147" t="s">
        <v>1744</v>
      </c>
      <c r="L15" s="3"/>
    </row>
    <row r="16" spans="1:12" ht="67.5">
      <c r="B16" s="15">
        <f t="shared" si="0"/>
        <v>11</v>
      </c>
      <c r="C16" s="68"/>
      <c r="D16" s="143"/>
      <c r="E16" s="68"/>
      <c r="F16" s="17" t="s">
        <v>1747</v>
      </c>
      <c r="G16" s="17" t="s">
        <v>872</v>
      </c>
      <c r="H16" s="17" t="s">
        <v>1780</v>
      </c>
      <c r="I16" s="17" t="s">
        <v>21</v>
      </c>
      <c r="J16" s="17" t="s">
        <v>2209</v>
      </c>
      <c r="K16" s="147" t="s">
        <v>1744</v>
      </c>
      <c r="L16" s="3"/>
    </row>
    <row r="17" spans="2:12" ht="54">
      <c r="B17" s="15">
        <f t="shared" si="0"/>
        <v>12</v>
      </c>
      <c r="C17" s="68"/>
      <c r="D17" s="143"/>
      <c r="E17" s="19"/>
      <c r="F17" s="17" t="s">
        <v>1748</v>
      </c>
      <c r="G17" s="17" t="s">
        <v>872</v>
      </c>
      <c r="H17" s="17" t="s">
        <v>1782</v>
      </c>
      <c r="I17" s="17" t="s">
        <v>21</v>
      </c>
      <c r="J17" s="17" t="s">
        <v>2211</v>
      </c>
      <c r="K17" s="147" t="s">
        <v>1744</v>
      </c>
      <c r="L17" s="3"/>
    </row>
    <row r="18" spans="2:12">
      <c r="B18" s="15">
        <f t="shared" si="0"/>
        <v>13</v>
      </c>
      <c r="C18" s="68"/>
      <c r="D18" s="143"/>
      <c r="E18" s="16" t="s">
        <v>897</v>
      </c>
      <c r="F18" s="17" t="s">
        <v>1783</v>
      </c>
      <c r="G18" s="17"/>
      <c r="H18" s="17" t="s">
        <v>1794</v>
      </c>
      <c r="I18" s="17" t="s">
        <v>21</v>
      </c>
      <c r="J18" s="17" t="s">
        <v>1790</v>
      </c>
      <c r="K18" s="147" t="s">
        <v>1744</v>
      </c>
      <c r="L18" s="3"/>
    </row>
    <row r="19" spans="2:12">
      <c r="B19" s="15">
        <f t="shared" si="0"/>
        <v>14</v>
      </c>
      <c r="C19" s="68"/>
      <c r="D19" s="143"/>
      <c r="E19" s="68"/>
      <c r="F19" s="17" t="s">
        <v>1749</v>
      </c>
      <c r="G19" s="17"/>
      <c r="H19" s="170"/>
      <c r="I19" s="17" t="s">
        <v>21</v>
      </c>
      <c r="J19" s="17"/>
      <c r="K19" s="147" t="s">
        <v>1744</v>
      </c>
      <c r="L19" s="3"/>
    </row>
    <row r="20" spans="2:12">
      <c r="B20" s="15">
        <f t="shared" si="0"/>
        <v>15</v>
      </c>
      <c r="C20" s="68"/>
      <c r="D20" s="143"/>
      <c r="E20" s="19"/>
      <c r="F20" s="17" t="s">
        <v>1750</v>
      </c>
      <c r="G20" s="17"/>
      <c r="H20" s="170"/>
      <c r="I20" s="17" t="s">
        <v>21</v>
      </c>
      <c r="J20" s="17"/>
      <c r="K20" s="147" t="s">
        <v>1744</v>
      </c>
      <c r="L20" s="3"/>
    </row>
    <row r="21" spans="2:12" ht="54">
      <c r="B21" s="15">
        <f t="shared" si="0"/>
        <v>16</v>
      </c>
      <c r="C21" s="68"/>
      <c r="D21" s="143"/>
      <c r="E21" s="16" t="s">
        <v>517</v>
      </c>
      <c r="F21" s="17" t="s">
        <v>1752</v>
      </c>
      <c r="G21" s="17"/>
      <c r="H21" s="17" t="s">
        <v>1791</v>
      </c>
      <c r="I21" s="17" t="s">
        <v>1792</v>
      </c>
      <c r="J21" s="17" t="s">
        <v>1790</v>
      </c>
      <c r="K21" s="147" t="s">
        <v>1744</v>
      </c>
      <c r="L21" s="3"/>
    </row>
    <row r="22" spans="2:12" ht="40.5">
      <c r="B22" s="15">
        <f t="shared" si="0"/>
        <v>17</v>
      </c>
      <c r="C22" s="68"/>
      <c r="D22" s="143"/>
      <c r="E22" s="68"/>
      <c r="F22" s="17" t="s">
        <v>1754</v>
      </c>
      <c r="G22" s="17" t="s">
        <v>1755</v>
      </c>
      <c r="H22" s="17" t="s">
        <v>27</v>
      </c>
      <c r="I22" s="17" t="s">
        <v>28</v>
      </c>
      <c r="J22" s="17"/>
      <c r="K22" s="147" t="s">
        <v>1744</v>
      </c>
      <c r="L22" s="3"/>
    </row>
    <row r="23" spans="2:12" ht="40.5">
      <c r="B23" s="15">
        <f t="shared" si="0"/>
        <v>18</v>
      </c>
      <c r="C23" s="68"/>
      <c r="D23" s="143"/>
      <c r="E23" s="68"/>
      <c r="F23" s="17" t="s">
        <v>1756</v>
      </c>
      <c r="G23" s="17" t="s">
        <v>1775</v>
      </c>
      <c r="H23" s="17" t="s">
        <v>27</v>
      </c>
      <c r="I23" s="17" t="s">
        <v>28</v>
      </c>
      <c r="J23" s="17"/>
      <c r="K23" s="147" t="s">
        <v>1744</v>
      </c>
      <c r="L23" s="3"/>
    </row>
    <row r="24" spans="2:12">
      <c r="B24" s="15">
        <f t="shared" si="0"/>
        <v>19</v>
      </c>
      <c r="C24" s="68"/>
      <c r="D24" s="143"/>
      <c r="E24" s="68"/>
      <c r="F24" s="17" t="s">
        <v>1757</v>
      </c>
      <c r="G24" s="17"/>
      <c r="H24" s="17" t="s">
        <v>27</v>
      </c>
      <c r="I24" s="17" t="s">
        <v>28</v>
      </c>
      <c r="J24" s="17"/>
      <c r="K24" s="147" t="s">
        <v>1744</v>
      </c>
      <c r="L24" s="3"/>
    </row>
    <row r="25" spans="2:12">
      <c r="B25" s="15">
        <f t="shared" si="0"/>
        <v>20</v>
      </c>
      <c r="C25" s="68"/>
      <c r="D25" s="143"/>
      <c r="E25" s="68"/>
      <c r="F25" s="17" t="s">
        <v>1758</v>
      </c>
      <c r="G25" s="17"/>
      <c r="H25" s="17" t="s">
        <v>27</v>
      </c>
      <c r="I25" s="17" t="s">
        <v>28</v>
      </c>
      <c r="J25" s="17" t="s">
        <v>1790</v>
      </c>
      <c r="K25" s="147" t="s">
        <v>1744</v>
      </c>
      <c r="L25" s="3"/>
    </row>
    <row r="26" spans="2:12">
      <c r="B26" s="15">
        <f t="shared" si="0"/>
        <v>21</v>
      </c>
      <c r="C26" s="68"/>
      <c r="D26" s="143"/>
      <c r="E26" s="68"/>
      <c r="F26" s="17" t="s">
        <v>1759</v>
      </c>
      <c r="G26" s="17" t="s">
        <v>872</v>
      </c>
      <c r="H26" s="17" t="s">
        <v>1793</v>
      </c>
      <c r="I26" s="17" t="s">
        <v>21</v>
      </c>
      <c r="J26" s="17" t="s">
        <v>1790</v>
      </c>
      <c r="K26" s="147" t="s">
        <v>1744</v>
      </c>
      <c r="L26" s="3"/>
    </row>
    <row r="27" spans="2:12">
      <c r="B27" s="15">
        <f t="shared" si="0"/>
        <v>22</v>
      </c>
      <c r="C27" s="68"/>
      <c r="D27" s="143"/>
      <c r="E27" s="68"/>
      <c r="F27" s="17" t="s">
        <v>1760</v>
      </c>
      <c r="G27" s="17"/>
      <c r="H27" s="17" t="s">
        <v>27</v>
      </c>
      <c r="I27" s="17" t="s">
        <v>28</v>
      </c>
      <c r="J27" s="17" t="s">
        <v>1790</v>
      </c>
      <c r="K27" s="147" t="s">
        <v>1744</v>
      </c>
      <c r="L27" s="3"/>
    </row>
    <row r="28" spans="2:12">
      <c r="B28" s="15">
        <f t="shared" si="0"/>
        <v>23</v>
      </c>
      <c r="C28" s="68"/>
      <c r="D28" s="143"/>
      <c r="E28" s="19"/>
      <c r="F28" s="17" t="s">
        <v>1761</v>
      </c>
      <c r="G28" s="17" t="s">
        <v>872</v>
      </c>
      <c r="H28" s="17" t="s">
        <v>1793</v>
      </c>
      <c r="I28" s="17" t="s">
        <v>21</v>
      </c>
      <c r="J28" s="17" t="s">
        <v>1790</v>
      </c>
      <c r="K28" s="147" t="s">
        <v>1744</v>
      </c>
      <c r="L28" s="3"/>
    </row>
    <row r="29" spans="2:12" ht="27">
      <c r="B29" s="15">
        <f t="shared" si="0"/>
        <v>24</v>
      </c>
      <c r="C29" s="68"/>
      <c r="D29" s="143"/>
      <c r="E29" s="17" t="s">
        <v>1762</v>
      </c>
      <c r="F29" s="17" t="s">
        <v>1763</v>
      </c>
      <c r="G29" s="17" t="s">
        <v>1776</v>
      </c>
      <c r="H29" s="17" t="s">
        <v>27</v>
      </c>
      <c r="I29" s="17" t="s">
        <v>28</v>
      </c>
      <c r="J29" s="17" t="s">
        <v>1796</v>
      </c>
      <c r="K29" s="147" t="s">
        <v>1744</v>
      </c>
      <c r="L29" s="3"/>
    </row>
    <row r="30" spans="2:12" ht="67.5">
      <c r="B30" s="15">
        <f t="shared" si="0"/>
        <v>25</v>
      </c>
      <c r="C30" s="16" t="s">
        <v>389</v>
      </c>
      <c r="D30" s="167"/>
      <c r="E30" s="16" t="s">
        <v>1764</v>
      </c>
      <c r="F30" s="17" t="s">
        <v>1765</v>
      </c>
      <c r="G30" s="17"/>
      <c r="H30" s="17" t="s">
        <v>1797</v>
      </c>
      <c r="I30" s="17" t="s">
        <v>21</v>
      </c>
      <c r="J30" s="17"/>
      <c r="K30" s="147" t="s">
        <v>1744</v>
      </c>
      <c r="L30" s="3"/>
    </row>
    <row r="31" spans="2:12" ht="27">
      <c r="B31" s="15">
        <f t="shared" si="0"/>
        <v>26</v>
      </c>
      <c r="C31" s="68"/>
      <c r="D31" s="143"/>
      <c r="E31" s="16" t="s">
        <v>1766</v>
      </c>
      <c r="F31" s="17" t="s">
        <v>1768</v>
      </c>
      <c r="G31" s="17"/>
      <c r="H31" s="17" t="s">
        <v>1798</v>
      </c>
      <c r="I31" s="17" t="s">
        <v>21</v>
      </c>
      <c r="J31" s="17"/>
      <c r="K31" s="147" t="s">
        <v>1744</v>
      </c>
      <c r="L31" s="3"/>
    </row>
    <row r="32" spans="2:12" ht="27">
      <c r="B32" s="15">
        <f t="shared" si="0"/>
        <v>27</v>
      </c>
      <c r="C32" s="19"/>
      <c r="D32" s="142"/>
      <c r="E32" s="19"/>
      <c r="F32" s="17" t="s">
        <v>1770</v>
      </c>
      <c r="G32" s="17"/>
      <c r="H32" s="17" t="s">
        <v>1799</v>
      </c>
      <c r="I32" s="17" t="s">
        <v>21</v>
      </c>
      <c r="J32" s="17"/>
      <c r="K32" s="147" t="s">
        <v>1744</v>
      </c>
      <c r="L32" s="3"/>
    </row>
  </sheetData>
  <phoneticPr fontId="14"/>
  <hyperlinks>
    <hyperlink ref="A4" location="パラメータ設定一覧!A1" display="パラメータ設定一覧へ" xr:uid="{45FF6001-3CE1-4C96-AB11-C87FF259112C}"/>
  </hyperlinks>
  <pageMargins left="0.7" right="0.7" top="0.75" bottom="0.75" header="0.3" footer="0.3"/>
  <pageSetup paperSize="9" orientation="portrait" verticalDpi="0"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B10CC-9C22-4DB7-AB5C-2F6EB6E427F4}">
  <sheetPr codeName="Sheet72"/>
  <dimension ref="A1:AC29"/>
  <sheetViews>
    <sheetView showGridLines="0" zoomScaleNormal="100" workbookViewId="0">
      <pane xSplit="4" ySplit="6" topLeftCell="E7" activePane="bottomRight" state="frozen"/>
      <selection pane="topRight" activeCell="E1" sqref="E1"/>
      <selection pane="bottomLeft" activeCell="A7" sqref="A7"/>
      <selection pane="bottomRight" activeCell="C7" sqref="C7"/>
    </sheetView>
  </sheetViews>
  <sheetFormatPr defaultColWidth="8.78515625" defaultRowHeight="13.5"/>
  <cols>
    <col min="1" max="1" width="2.78515625" style="177" customWidth="1"/>
    <col min="2" max="2" width="3.5703125" style="177" bestFit="1" customWidth="1"/>
    <col min="3" max="6" width="15.640625" style="177" customWidth="1"/>
    <col min="7" max="7" width="14.78515625" style="177" bestFit="1" customWidth="1"/>
    <col min="8" max="8" width="20.35546875" style="177" customWidth="1"/>
    <col min="9" max="9" width="16.35546875" style="177" bestFit="1" customWidth="1"/>
    <col min="10" max="10" width="13.42578125" style="177" customWidth="1"/>
    <col min="11" max="11" width="16.640625" style="177" customWidth="1"/>
    <col min="12" max="17" width="15.640625" style="177" customWidth="1"/>
    <col min="18" max="18" width="28.42578125" style="177" customWidth="1"/>
    <col min="19" max="26" width="15.640625" style="177" customWidth="1"/>
    <col min="27" max="27" width="48.42578125" style="177" bestFit="1" customWidth="1"/>
    <col min="28" max="29" width="15.640625" style="177" customWidth="1"/>
    <col min="30" max="16384" width="8.78515625" style="177"/>
  </cols>
  <sheetData>
    <row r="1" spans="1:29" s="362" customFormat="1" ht="19.5">
      <c r="A1" s="381" t="s">
        <v>2702</v>
      </c>
    </row>
    <row r="2" spans="1:29" s="362" customFormat="1" ht="15">
      <c r="A2" s="308" t="s">
        <v>2668</v>
      </c>
    </row>
    <row r="3" spans="1:29" s="362" customFormat="1" ht="15">
      <c r="A3" s="179" t="s">
        <v>363</v>
      </c>
    </row>
    <row r="4" spans="1:29">
      <c r="B4" s="453" t="s">
        <v>463</v>
      </c>
      <c r="C4" s="37" t="s">
        <v>23</v>
      </c>
      <c r="D4" s="38"/>
      <c r="E4" s="38"/>
      <c r="F4" s="38"/>
      <c r="G4" s="263" t="s">
        <v>1802</v>
      </c>
      <c r="H4" s="264"/>
      <c r="I4" s="35"/>
      <c r="J4" s="35"/>
      <c r="K4" s="36"/>
      <c r="L4" s="38"/>
      <c r="M4" s="38"/>
      <c r="N4" s="38"/>
      <c r="O4" s="38"/>
      <c r="P4" s="38"/>
      <c r="Q4" s="38"/>
      <c r="R4" s="38"/>
      <c r="S4" s="38"/>
      <c r="T4" s="38"/>
      <c r="U4" s="38"/>
      <c r="V4" s="38"/>
      <c r="W4" s="38"/>
      <c r="X4" s="38"/>
      <c r="Y4" s="38"/>
      <c r="Z4" s="38"/>
      <c r="AA4" s="37" t="s">
        <v>389</v>
      </c>
      <c r="AB4" s="38"/>
      <c r="AC4" s="39"/>
    </row>
    <row r="5" spans="1:29" ht="27">
      <c r="B5" s="453"/>
      <c r="C5" s="56" t="s">
        <v>52</v>
      </c>
      <c r="D5" s="41"/>
      <c r="E5" s="41"/>
      <c r="F5" s="42"/>
      <c r="G5" s="291"/>
      <c r="H5" s="292"/>
      <c r="I5" s="41"/>
      <c r="J5" s="41"/>
      <c r="K5" s="42"/>
      <c r="L5" s="41" t="s">
        <v>996</v>
      </c>
      <c r="M5" s="41"/>
      <c r="N5" s="41"/>
      <c r="O5" s="56" t="s">
        <v>897</v>
      </c>
      <c r="P5" s="41"/>
      <c r="Q5" s="41"/>
      <c r="R5" s="56" t="s">
        <v>517</v>
      </c>
      <c r="S5" s="41"/>
      <c r="T5" s="41"/>
      <c r="U5" s="41"/>
      <c r="V5" s="41"/>
      <c r="W5" s="41"/>
      <c r="X5" s="41"/>
      <c r="Y5" s="42"/>
      <c r="Z5" s="125" t="s">
        <v>1762</v>
      </c>
      <c r="AA5" s="41" t="s">
        <v>1803</v>
      </c>
      <c r="AB5" s="56" t="s">
        <v>1766</v>
      </c>
      <c r="AC5" s="42"/>
    </row>
    <row r="6" spans="1:29" ht="27">
      <c r="B6" s="454"/>
      <c r="C6" s="125" t="s">
        <v>1566</v>
      </c>
      <c r="D6" s="125" t="s">
        <v>1745</v>
      </c>
      <c r="E6" s="125" t="s">
        <v>25</v>
      </c>
      <c r="F6" s="125" t="s">
        <v>45</v>
      </c>
      <c r="G6" s="185" t="s">
        <v>235</v>
      </c>
      <c r="H6" s="185" t="s">
        <v>236</v>
      </c>
      <c r="I6" s="125" t="s">
        <v>1784</v>
      </c>
      <c r="J6" s="125" t="s">
        <v>1788</v>
      </c>
      <c r="K6" s="125" t="s">
        <v>1789</v>
      </c>
      <c r="L6" s="125" t="s">
        <v>1746</v>
      </c>
      <c r="M6" s="125" t="s">
        <v>1747</v>
      </c>
      <c r="N6" s="125" t="s">
        <v>1748</v>
      </c>
      <c r="O6" s="125" t="s">
        <v>1783</v>
      </c>
      <c r="P6" s="125" t="s">
        <v>1749</v>
      </c>
      <c r="Q6" s="125" t="s">
        <v>1750</v>
      </c>
      <c r="R6" s="125" t="s">
        <v>1751</v>
      </c>
      <c r="S6" s="125" t="s">
        <v>1753</v>
      </c>
      <c r="T6" s="125" t="s">
        <v>1756</v>
      </c>
      <c r="U6" s="125" t="s">
        <v>1757</v>
      </c>
      <c r="V6" s="125" t="s">
        <v>1758</v>
      </c>
      <c r="W6" s="125" t="s">
        <v>1759</v>
      </c>
      <c r="X6" s="125" t="s">
        <v>1760</v>
      </c>
      <c r="Y6" s="125" t="s">
        <v>1761</v>
      </c>
      <c r="Z6" s="40" t="s">
        <v>1763</v>
      </c>
      <c r="AA6" s="42" t="s">
        <v>1765</v>
      </c>
      <c r="AB6" s="125" t="s">
        <v>1767</v>
      </c>
      <c r="AC6" s="125" t="s">
        <v>1769</v>
      </c>
    </row>
    <row r="7" spans="1:29" ht="54">
      <c r="B7" s="454"/>
      <c r="C7" s="24" t="s">
        <v>2892</v>
      </c>
      <c r="D7" s="24" t="s">
        <v>20</v>
      </c>
      <c r="E7" s="24" t="s">
        <v>20</v>
      </c>
      <c r="F7" s="24" t="s">
        <v>20</v>
      </c>
      <c r="G7" s="24" t="s">
        <v>1800</v>
      </c>
      <c r="H7" s="24" t="s">
        <v>1801</v>
      </c>
      <c r="I7" s="24" t="s">
        <v>1785</v>
      </c>
      <c r="J7" s="24" t="s">
        <v>905</v>
      </c>
      <c r="K7" s="24" t="s">
        <v>833</v>
      </c>
      <c r="L7" s="24" t="s">
        <v>1777</v>
      </c>
      <c r="M7" s="24" t="s">
        <v>1779</v>
      </c>
      <c r="N7" s="24" t="s">
        <v>1781</v>
      </c>
      <c r="O7" s="24" t="s">
        <v>1794</v>
      </c>
      <c r="P7" s="24"/>
      <c r="Q7" s="24"/>
      <c r="R7" s="24" t="s">
        <v>1791</v>
      </c>
      <c r="S7" s="24" t="s">
        <v>833</v>
      </c>
      <c r="T7" s="24" t="s">
        <v>833</v>
      </c>
      <c r="U7" s="24" t="s">
        <v>833</v>
      </c>
      <c r="V7" s="24" t="s">
        <v>833</v>
      </c>
      <c r="W7" s="24" t="s">
        <v>1793</v>
      </c>
      <c r="X7" s="24" t="s">
        <v>833</v>
      </c>
      <c r="Y7" s="24" t="s">
        <v>1793</v>
      </c>
      <c r="Z7" s="24" t="s">
        <v>27</v>
      </c>
      <c r="AA7" s="171" t="s">
        <v>1797</v>
      </c>
      <c r="AB7" s="24" t="s">
        <v>1798</v>
      </c>
      <c r="AC7" s="24" t="s">
        <v>1799</v>
      </c>
    </row>
    <row r="8" spans="1:29" ht="27">
      <c r="B8" s="454"/>
      <c r="C8" s="24" t="s">
        <v>2667</v>
      </c>
      <c r="D8" s="24"/>
      <c r="E8" s="24"/>
      <c r="F8" s="24"/>
      <c r="G8" s="24" t="s">
        <v>2667</v>
      </c>
      <c r="H8" s="24" t="s">
        <v>2667</v>
      </c>
      <c r="I8" s="24"/>
      <c r="J8" s="24"/>
      <c r="K8" s="24"/>
      <c r="L8" s="24" t="s">
        <v>2800</v>
      </c>
      <c r="M8" s="24"/>
      <c r="N8" s="24"/>
      <c r="O8" s="24"/>
      <c r="P8" s="24"/>
      <c r="Q8" s="24"/>
      <c r="R8" s="24"/>
      <c r="S8" s="24"/>
      <c r="T8" s="24"/>
      <c r="U8" s="24"/>
      <c r="V8" s="24"/>
      <c r="W8" s="24"/>
      <c r="X8" s="24"/>
      <c r="Y8" s="24"/>
      <c r="Z8" s="24"/>
      <c r="AA8" s="171"/>
      <c r="AB8" s="24"/>
      <c r="AC8" s="24"/>
    </row>
    <row r="9" spans="1:29">
      <c r="B9" s="364" t="s">
        <v>1226</v>
      </c>
      <c r="C9" s="364" t="s">
        <v>2837</v>
      </c>
      <c r="D9" s="364"/>
      <c r="E9" s="364"/>
      <c r="F9" s="364"/>
      <c r="G9" s="382" t="s">
        <v>238</v>
      </c>
      <c r="H9" s="382" t="s">
        <v>239</v>
      </c>
      <c r="I9" s="382"/>
      <c r="J9" s="383"/>
      <c r="K9" s="364"/>
      <c r="L9" s="364"/>
      <c r="M9" s="364"/>
      <c r="N9" s="364"/>
      <c r="O9" s="364"/>
      <c r="P9" s="364"/>
      <c r="Q9" s="364"/>
      <c r="R9" s="364"/>
      <c r="S9" s="364"/>
      <c r="T9" s="364"/>
      <c r="U9" s="364"/>
      <c r="V9" s="364"/>
      <c r="W9" s="364"/>
      <c r="X9" s="364"/>
      <c r="Y9" s="364"/>
      <c r="Z9" s="364"/>
      <c r="AA9" s="387"/>
      <c r="AB9" s="364"/>
      <c r="AC9" s="364"/>
    </row>
    <row r="10" spans="1:29">
      <c r="B10" s="368">
        <f>ROW() - 9</f>
        <v>1</v>
      </c>
      <c r="C10" s="368"/>
      <c r="D10" s="368"/>
      <c r="E10" s="368"/>
      <c r="F10" s="368"/>
      <c r="G10" s="384"/>
      <c r="H10" s="384"/>
      <c r="I10" s="384"/>
      <c r="J10" s="385"/>
      <c r="K10" s="368"/>
      <c r="L10" s="368"/>
      <c r="M10" s="368"/>
      <c r="N10" s="368"/>
      <c r="O10" s="368"/>
      <c r="P10" s="368"/>
      <c r="Q10" s="368"/>
      <c r="R10" s="368"/>
      <c r="S10" s="368"/>
      <c r="T10" s="368"/>
      <c r="U10" s="368"/>
      <c r="V10" s="368"/>
      <c r="W10" s="368"/>
      <c r="X10" s="368"/>
      <c r="Y10" s="368"/>
      <c r="Z10" s="368"/>
      <c r="AA10" s="368"/>
      <c r="AB10" s="368"/>
      <c r="AC10" s="368"/>
    </row>
    <row r="11" spans="1:29">
      <c r="B11" s="368">
        <f t="shared" ref="B11:B19" si="0">ROW() - 9</f>
        <v>2</v>
      </c>
      <c r="C11" s="368"/>
      <c r="D11" s="368"/>
      <c r="E11" s="368"/>
      <c r="F11" s="368"/>
      <c r="G11" s="384"/>
      <c r="H11" s="384"/>
      <c r="I11" s="384"/>
      <c r="J11" s="385"/>
      <c r="K11" s="368"/>
      <c r="L11" s="368"/>
      <c r="M11" s="368"/>
      <c r="N11" s="368"/>
      <c r="O11" s="368"/>
      <c r="P11" s="368"/>
      <c r="Q11" s="368"/>
      <c r="R11" s="368"/>
      <c r="S11" s="368"/>
      <c r="T11" s="368"/>
      <c r="U11" s="368"/>
      <c r="V11" s="368"/>
      <c r="W11" s="368"/>
      <c r="X11" s="368"/>
      <c r="Y11" s="368"/>
      <c r="Z11" s="368"/>
      <c r="AA11" s="368"/>
      <c r="AB11" s="368"/>
      <c r="AC11" s="368"/>
    </row>
    <row r="12" spans="1:29">
      <c r="B12" s="368">
        <f t="shared" si="0"/>
        <v>3</v>
      </c>
      <c r="C12" s="368"/>
      <c r="D12" s="368"/>
      <c r="E12" s="368"/>
      <c r="F12" s="368"/>
      <c r="G12" s="384"/>
      <c r="H12" s="384"/>
      <c r="I12" s="384"/>
      <c r="J12" s="385"/>
      <c r="K12" s="368"/>
      <c r="L12" s="368"/>
      <c r="M12" s="368"/>
      <c r="N12" s="368"/>
      <c r="O12" s="368"/>
      <c r="P12" s="368"/>
      <c r="Q12" s="368"/>
      <c r="R12" s="368"/>
      <c r="S12" s="368"/>
      <c r="T12" s="368"/>
      <c r="U12" s="368"/>
      <c r="V12" s="368"/>
      <c r="W12" s="368"/>
      <c r="X12" s="368"/>
      <c r="Y12" s="368"/>
      <c r="Z12" s="368"/>
      <c r="AA12" s="386"/>
      <c r="AB12" s="368"/>
      <c r="AC12" s="368"/>
    </row>
    <row r="13" spans="1:29">
      <c r="B13" s="368">
        <f t="shared" si="0"/>
        <v>4</v>
      </c>
      <c r="C13" s="368"/>
      <c r="D13" s="368"/>
      <c r="E13" s="368"/>
      <c r="F13" s="368"/>
      <c r="G13" s="384"/>
      <c r="H13" s="384"/>
      <c r="I13" s="384"/>
      <c r="J13" s="385"/>
      <c r="K13" s="368"/>
      <c r="L13" s="368"/>
      <c r="M13" s="368"/>
      <c r="N13" s="368"/>
      <c r="O13" s="368"/>
      <c r="P13" s="368"/>
      <c r="Q13" s="368"/>
      <c r="R13" s="368"/>
      <c r="S13" s="368"/>
      <c r="T13" s="368"/>
      <c r="U13" s="368"/>
      <c r="V13" s="368"/>
      <c r="W13" s="368"/>
      <c r="X13" s="368"/>
      <c r="Y13" s="368"/>
      <c r="Z13" s="368"/>
      <c r="AA13" s="368"/>
      <c r="AB13" s="368"/>
      <c r="AC13" s="368"/>
    </row>
    <row r="14" spans="1:29">
      <c r="B14" s="368">
        <f t="shared" si="0"/>
        <v>5</v>
      </c>
      <c r="C14" s="368"/>
      <c r="D14" s="368"/>
      <c r="E14" s="368"/>
      <c r="F14" s="368"/>
      <c r="G14" s="384"/>
      <c r="H14" s="384"/>
      <c r="I14" s="384"/>
      <c r="J14" s="385"/>
      <c r="K14" s="368"/>
      <c r="L14" s="368"/>
      <c r="M14" s="368"/>
      <c r="N14" s="368"/>
      <c r="O14" s="368"/>
      <c r="P14" s="368"/>
      <c r="Q14" s="368"/>
      <c r="R14" s="368"/>
      <c r="S14" s="368"/>
      <c r="T14" s="368"/>
      <c r="U14" s="368"/>
      <c r="V14" s="368"/>
      <c r="W14" s="368"/>
      <c r="X14" s="368"/>
      <c r="Y14" s="368"/>
      <c r="Z14" s="368"/>
      <c r="AA14" s="368"/>
      <c r="AB14" s="368"/>
      <c r="AC14" s="368"/>
    </row>
    <row r="15" spans="1:29">
      <c r="B15" s="368">
        <f t="shared" si="0"/>
        <v>6</v>
      </c>
      <c r="C15" s="368"/>
      <c r="D15" s="368"/>
      <c r="E15" s="368"/>
      <c r="F15" s="368"/>
      <c r="G15" s="384"/>
      <c r="H15" s="384"/>
      <c r="I15" s="384"/>
      <c r="J15" s="385"/>
      <c r="K15" s="368"/>
      <c r="L15" s="368"/>
      <c r="M15" s="368"/>
      <c r="N15" s="368"/>
      <c r="O15" s="368"/>
      <c r="P15" s="368"/>
      <c r="Q15" s="368"/>
      <c r="R15" s="368"/>
      <c r="S15" s="368"/>
      <c r="T15" s="368"/>
      <c r="U15" s="368"/>
      <c r="V15" s="368"/>
      <c r="W15" s="368"/>
      <c r="X15" s="368"/>
      <c r="Y15" s="368"/>
      <c r="Z15" s="368"/>
      <c r="AA15" s="368"/>
      <c r="AB15" s="368"/>
      <c r="AC15" s="368"/>
    </row>
    <row r="16" spans="1:29">
      <c r="B16" s="368">
        <f t="shared" si="0"/>
        <v>7</v>
      </c>
      <c r="C16" s="368"/>
      <c r="D16" s="368"/>
      <c r="E16" s="368"/>
      <c r="F16" s="368"/>
      <c r="G16" s="384"/>
      <c r="H16" s="384"/>
      <c r="I16" s="384"/>
      <c r="J16" s="385"/>
      <c r="K16" s="368"/>
      <c r="L16" s="368"/>
      <c r="M16" s="368"/>
      <c r="N16" s="368"/>
      <c r="O16" s="368"/>
      <c r="P16" s="368"/>
      <c r="Q16" s="368"/>
      <c r="R16" s="368"/>
      <c r="S16" s="368"/>
      <c r="T16" s="368"/>
      <c r="U16" s="368"/>
      <c r="V16" s="368"/>
      <c r="W16" s="368"/>
      <c r="X16" s="368"/>
      <c r="Y16" s="368"/>
      <c r="Z16" s="368"/>
      <c r="AA16" s="368"/>
      <c r="AB16" s="368"/>
      <c r="AC16" s="368"/>
    </row>
    <row r="17" spans="2:29">
      <c r="B17" s="368">
        <f t="shared" si="0"/>
        <v>8</v>
      </c>
      <c r="C17" s="368"/>
      <c r="D17" s="368"/>
      <c r="E17" s="368"/>
      <c r="F17" s="368"/>
      <c r="G17" s="384"/>
      <c r="H17" s="384"/>
      <c r="I17" s="384"/>
      <c r="J17" s="385"/>
      <c r="K17" s="368"/>
      <c r="L17" s="368"/>
      <c r="M17" s="368"/>
      <c r="N17" s="368"/>
      <c r="O17" s="368"/>
      <c r="P17" s="368"/>
      <c r="Q17" s="368"/>
      <c r="R17" s="368"/>
      <c r="S17" s="368"/>
      <c r="T17" s="368"/>
      <c r="U17" s="368"/>
      <c r="V17" s="368"/>
      <c r="W17" s="368"/>
      <c r="X17" s="368"/>
      <c r="Y17" s="368"/>
      <c r="Z17" s="368"/>
      <c r="AA17" s="368"/>
      <c r="AB17" s="368"/>
      <c r="AC17" s="368"/>
    </row>
    <row r="18" spans="2:29">
      <c r="B18" s="368">
        <f t="shared" si="0"/>
        <v>9</v>
      </c>
      <c r="C18" s="368"/>
      <c r="D18" s="368"/>
      <c r="E18" s="368"/>
      <c r="F18" s="368"/>
      <c r="G18" s="384"/>
      <c r="H18" s="384"/>
      <c r="I18" s="384"/>
      <c r="J18" s="385"/>
      <c r="K18" s="368"/>
      <c r="L18" s="368"/>
      <c r="M18" s="368"/>
      <c r="N18" s="368"/>
      <c r="O18" s="368"/>
      <c r="P18" s="368"/>
      <c r="Q18" s="368"/>
      <c r="R18" s="368"/>
      <c r="S18" s="368"/>
      <c r="T18" s="368"/>
      <c r="U18" s="368"/>
      <c r="V18" s="368"/>
      <c r="W18" s="368"/>
      <c r="X18" s="368"/>
      <c r="Y18" s="368"/>
      <c r="Z18" s="368"/>
      <c r="AA18" s="368"/>
      <c r="AB18" s="368"/>
      <c r="AC18" s="368"/>
    </row>
    <row r="19" spans="2:29">
      <c r="B19" s="368">
        <f t="shared" si="0"/>
        <v>10</v>
      </c>
      <c r="C19" s="368"/>
      <c r="D19" s="368"/>
      <c r="E19" s="368"/>
      <c r="F19" s="368"/>
      <c r="G19" s="384"/>
      <c r="H19" s="384"/>
      <c r="I19" s="384"/>
      <c r="J19" s="385"/>
      <c r="K19" s="368"/>
      <c r="L19" s="368"/>
      <c r="M19" s="368"/>
      <c r="N19" s="368"/>
      <c r="O19" s="368"/>
      <c r="P19" s="368"/>
      <c r="Q19" s="368"/>
      <c r="R19" s="368"/>
      <c r="S19" s="368"/>
      <c r="T19" s="368"/>
      <c r="U19" s="368"/>
      <c r="V19" s="368"/>
      <c r="W19" s="368"/>
      <c r="X19" s="368"/>
      <c r="Y19" s="368"/>
      <c r="Z19" s="368"/>
      <c r="AA19" s="368"/>
      <c r="AB19" s="368"/>
      <c r="AC19" s="368"/>
    </row>
    <row r="20" spans="2:29">
      <c r="B20" s="368">
        <f>ROW() - 9</f>
        <v>11</v>
      </c>
      <c r="C20" s="368"/>
      <c r="D20" s="368"/>
      <c r="E20" s="368"/>
      <c r="F20" s="368"/>
      <c r="G20" s="384"/>
      <c r="H20" s="384"/>
      <c r="I20" s="384"/>
      <c r="J20" s="385"/>
      <c r="K20" s="368"/>
      <c r="L20" s="368"/>
      <c r="M20" s="368"/>
      <c r="N20" s="368"/>
      <c r="O20" s="368"/>
      <c r="P20" s="368"/>
      <c r="Q20" s="368"/>
      <c r="R20" s="368"/>
      <c r="S20" s="368"/>
      <c r="T20" s="368"/>
      <c r="U20" s="368"/>
      <c r="V20" s="368"/>
      <c r="W20" s="368"/>
      <c r="X20" s="368"/>
      <c r="Y20" s="368"/>
      <c r="Z20" s="368"/>
      <c r="AA20" s="368"/>
      <c r="AB20" s="368"/>
      <c r="AC20" s="368"/>
    </row>
    <row r="21" spans="2:29">
      <c r="B21" s="368">
        <f t="shared" ref="B21:B29" si="1">ROW() - 9</f>
        <v>12</v>
      </c>
      <c r="C21" s="368"/>
      <c r="D21" s="368"/>
      <c r="E21" s="368"/>
      <c r="F21" s="368"/>
      <c r="G21" s="384"/>
      <c r="H21" s="384"/>
      <c r="I21" s="384"/>
      <c r="J21" s="385"/>
      <c r="K21" s="368"/>
      <c r="L21" s="368"/>
      <c r="M21" s="368"/>
      <c r="N21" s="368"/>
      <c r="O21" s="368"/>
      <c r="P21" s="368"/>
      <c r="Q21" s="368"/>
      <c r="R21" s="368"/>
      <c r="S21" s="368"/>
      <c r="T21" s="368"/>
      <c r="U21" s="368"/>
      <c r="V21" s="368"/>
      <c r="W21" s="368"/>
      <c r="X21" s="368"/>
      <c r="Y21" s="368"/>
      <c r="Z21" s="368"/>
      <c r="AA21" s="368"/>
      <c r="AB21" s="368"/>
      <c r="AC21" s="368"/>
    </row>
    <row r="22" spans="2:29">
      <c r="B22" s="368">
        <f t="shared" si="1"/>
        <v>13</v>
      </c>
      <c r="C22" s="368"/>
      <c r="D22" s="368"/>
      <c r="E22" s="368"/>
      <c r="F22" s="368"/>
      <c r="G22" s="384"/>
      <c r="H22" s="384"/>
      <c r="I22" s="384"/>
      <c r="J22" s="385"/>
      <c r="K22" s="368"/>
      <c r="L22" s="368"/>
      <c r="M22" s="368"/>
      <c r="N22" s="368"/>
      <c r="O22" s="368"/>
      <c r="P22" s="368"/>
      <c r="Q22" s="368"/>
      <c r="R22" s="368"/>
      <c r="S22" s="368"/>
      <c r="T22" s="368"/>
      <c r="U22" s="368"/>
      <c r="V22" s="368"/>
      <c r="W22" s="368"/>
      <c r="X22" s="368"/>
      <c r="Y22" s="368"/>
      <c r="Z22" s="368"/>
      <c r="AA22" s="386"/>
      <c r="AB22" s="368"/>
      <c r="AC22" s="368"/>
    </row>
    <row r="23" spans="2:29">
      <c r="B23" s="368">
        <f t="shared" si="1"/>
        <v>14</v>
      </c>
      <c r="C23" s="368"/>
      <c r="D23" s="368"/>
      <c r="E23" s="368"/>
      <c r="F23" s="368"/>
      <c r="G23" s="384"/>
      <c r="H23" s="384"/>
      <c r="I23" s="384"/>
      <c r="J23" s="385"/>
      <c r="K23" s="368"/>
      <c r="L23" s="368"/>
      <c r="M23" s="368"/>
      <c r="N23" s="368"/>
      <c r="O23" s="368"/>
      <c r="P23" s="368"/>
      <c r="Q23" s="368"/>
      <c r="R23" s="368"/>
      <c r="S23" s="368"/>
      <c r="T23" s="368"/>
      <c r="U23" s="368"/>
      <c r="V23" s="368"/>
      <c r="W23" s="368"/>
      <c r="X23" s="368"/>
      <c r="Y23" s="368"/>
      <c r="Z23" s="368"/>
      <c r="AA23" s="368"/>
      <c r="AB23" s="368"/>
      <c r="AC23" s="368"/>
    </row>
    <row r="24" spans="2:29">
      <c r="B24" s="368">
        <f t="shared" si="1"/>
        <v>15</v>
      </c>
      <c r="C24" s="368"/>
      <c r="D24" s="368"/>
      <c r="E24" s="368"/>
      <c r="F24" s="368"/>
      <c r="G24" s="384"/>
      <c r="H24" s="384"/>
      <c r="I24" s="384"/>
      <c r="J24" s="385"/>
      <c r="K24" s="368"/>
      <c r="L24" s="368"/>
      <c r="M24" s="368"/>
      <c r="N24" s="368"/>
      <c r="O24" s="368"/>
      <c r="P24" s="368"/>
      <c r="Q24" s="368"/>
      <c r="R24" s="368"/>
      <c r="S24" s="368"/>
      <c r="T24" s="368"/>
      <c r="U24" s="368"/>
      <c r="V24" s="368"/>
      <c r="W24" s="368"/>
      <c r="X24" s="368"/>
      <c r="Y24" s="368"/>
      <c r="Z24" s="368"/>
      <c r="AA24" s="368"/>
      <c r="AB24" s="368"/>
      <c r="AC24" s="368"/>
    </row>
    <row r="25" spans="2:29">
      <c r="B25" s="368">
        <f t="shared" si="1"/>
        <v>16</v>
      </c>
      <c r="C25" s="368"/>
      <c r="D25" s="368"/>
      <c r="E25" s="368"/>
      <c r="F25" s="368"/>
      <c r="G25" s="384"/>
      <c r="H25" s="384"/>
      <c r="I25" s="384"/>
      <c r="J25" s="385"/>
      <c r="K25" s="368"/>
      <c r="L25" s="368"/>
      <c r="M25" s="368"/>
      <c r="N25" s="368"/>
      <c r="O25" s="368"/>
      <c r="P25" s="368"/>
      <c r="Q25" s="368"/>
      <c r="R25" s="368"/>
      <c r="S25" s="368"/>
      <c r="T25" s="368"/>
      <c r="U25" s="368"/>
      <c r="V25" s="368"/>
      <c r="W25" s="368"/>
      <c r="X25" s="368"/>
      <c r="Y25" s="368"/>
      <c r="Z25" s="368"/>
      <c r="AA25" s="368"/>
      <c r="AB25" s="368"/>
      <c r="AC25" s="368"/>
    </row>
    <row r="26" spans="2:29">
      <c r="B26" s="368">
        <f t="shared" si="1"/>
        <v>17</v>
      </c>
      <c r="C26" s="368"/>
      <c r="D26" s="368"/>
      <c r="E26" s="368"/>
      <c r="F26" s="368"/>
      <c r="G26" s="384"/>
      <c r="H26" s="384"/>
      <c r="I26" s="384"/>
      <c r="J26" s="385"/>
      <c r="K26" s="368"/>
      <c r="L26" s="368"/>
      <c r="M26" s="368"/>
      <c r="N26" s="368"/>
      <c r="O26" s="368"/>
      <c r="P26" s="368"/>
      <c r="Q26" s="368"/>
      <c r="R26" s="368"/>
      <c r="S26" s="368"/>
      <c r="T26" s="368"/>
      <c r="U26" s="368"/>
      <c r="V26" s="368"/>
      <c r="W26" s="368"/>
      <c r="X26" s="368"/>
      <c r="Y26" s="368"/>
      <c r="Z26" s="368"/>
      <c r="AA26" s="368"/>
      <c r="AB26" s="368"/>
      <c r="AC26" s="368"/>
    </row>
    <row r="27" spans="2:29">
      <c r="B27" s="368">
        <f t="shared" si="1"/>
        <v>18</v>
      </c>
      <c r="C27" s="368"/>
      <c r="D27" s="368"/>
      <c r="E27" s="368"/>
      <c r="F27" s="368"/>
      <c r="G27" s="384"/>
      <c r="H27" s="384"/>
      <c r="I27" s="384"/>
      <c r="J27" s="385"/>
      <c r="K27" s="368"/>
      <c r="L27" s="368"/>
      <c r="M27" s="368"/>
      <c r="N27" s="368"/>
      <c r="O27" s="368"/>
      <c r="P27" s="368"/>
      <c r="Q27" s="368"/>
      <c r="R27" s="368"/>
      <c r="S27" s="368"/>
      <c r="T27" s="368"/>
      <c r="U27" s="368"/>
      <c r="V27" s="368"/>
      <c r="W27" s="368"/>
      <c r="X27" s="368"/>
      <c r="Y27" s="368"/>
      <c r="Z27" s="368"/>
      <c r="AA27" s="368"/>
      <c r="AB27" s="368"/>
      <c r="AC27" s="368"/>
    </row>
    <row r="28" spans="2:29">
      <c r="B28" s="368">
        <f t="shared" si="1"/>
        <v>19</v>
      </c>
      <c r="C28" s="368"/>
      <c r="D28" s="368"/>
      <c r="E28" s="368"/>
      <c r="F28" s="368"/>
      <c r="G28" s="384"/>
      <c r="H28" s="384"/>
      <c r="I28" s="384"/>
      <c r="J28" s="385"/>
      <c r="K28" s="368"/>
      <c r="L28" s="368"/>
      <c r="M28" s="368"/>
      <c r="N28" s="368"/>
      <c r="O28" s="368"/>
      <c r="P28" s="368"/>
      <c r="Q28" s="368"/>
      <c r="R28" s="368"/>
      <c r="S28" s="368"/>
      <c r="T28" s="368"/>
      <c r="U28" s="368"/>
      <c r="V28" s="368"/>
      <c r="W28" s="368"/>
      <c r="X28" s="368"/>
      <c r="Y28" s="368"/>
      <c r="Z28" s="368"/>
      <c r="AA28" s="368"/>
      <c r="AB28" s="368"/>
      <c r="AC28" s="368"/>
    </row>
    <row r="29" spans="2:29">
      <c r="B29" s="368">
        <f t="shared" si="1"/>
        <v>20</v>
      </c>
      <c r="C29" s="368"/>
      <c r="D29" s="368"/>
      <c r="E29" s="368"/>
      <c r="F29" s="368"/>
      <c r="G29" s="384"/>
      <c r="H29" s="384"/>
      <c r="I29" s="384"/>
      <c r="J29" s="385"/>
      <c r="K29" s="368"/>
      <c r="L29" s="368"/>
      <c r="M29" s="368"/>
      <c r="N29" s="368"/>
      <c r="O29" s="368"/>
      <c r="P29" s="368"/>
      <c r="Q29" s="368"/>
      <c r="R29" s="368"/>
      <c r="S29" s="368"/>
      <c r="T29" s="368"/>
      <c r="U29" s="368"/>
      <c r="V29" s="368"/>
      <c r="W29" s="368"/>
      <c r="X29" s="368"/>
      <c r="Y29" s="368"/>
      <c r="Z29" s="368"/>
      <c r="AA29" s="368"/>
      <c r="AB29" s="368"/>
      <c r="AC29" s="368"/>
    </row>
  </sheetData>
  <sheetProtection insertRows="0" deleteRows="0" sort="0" autoFilter="0"/>
  <mergeCells count="1">
    <mergeCell ref="B4:B8"/>
  </mergeCells>
  <phoneticPr fontId="14"/>
  <hyperlinks>
    <hyperlink ref="A3" location="パラメータ設定一覧!A1" display="パラメータ設定一覧へ" xr:uid="{EFF53FDC-333F-4F68-9489-DE61C549314E}"/>
  </hyperlinks>
  <pageMargins left="0.7" right="0.7" top="0.75" bottom="0.75" header="0.3" footer="0.3"/>
  <pageSetup paperSize="9" orientation="portrait" verticalDpi="0"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9015B-69C1-4F5A-8DC0-D579EA6CC25A}">
  <sheetPr codeName="Sheet1"/>
  <dimension ref="A1:L225"/>
  <sheetViews>
    <sheetView showGridLines="0" zoomScaleNormal="100" workbookViewId="0">
      <pane xSplit="6" ySplit="5" topLeftCell="G6" activePane="bottomRight" state="frozen"/>
      <selection activeCell="A8" sqref="A8"/>
      <selection pane="topRight" activeCell="A8" sqref="A8"/>
      <selection pane="bottomLeft" activeCell="A8" sqref="A8"/>
      <selection pane="bottomRight" activeCell="G6" sqref="G6"/>
    </sheetView>
  </sheetViews>
  <sheetFormatPr defaultColWidth="8.78515625" defaultRowHeight="13.5"/>
  <cols>
    <col min="1" max="1" width="2.78515625" style="46" customWidth="1"/>
    <col min="2" max="2" width="3.42578125" style="46" customWidth="1"/>
    <col min="3" max="3" width="14" style="46" customWidth="1"/>
    <col min="4" max="4" width="10.2109375" style="46" customWidth="1"/>
    <col min="5" max="5" width="22.5703125" style="46" customWidth="1"/>
    <col min="6" max="6" width="23.42578125" style="46" customWidth="1"/>
    <col min="7" max="7" width="40.640625" style="46" customWidth="1"/>
    <col min="8" max="8" width="22.2109375" style="46" customWidth="1"/>
    <col min="9" max="9" width="16.2109375" style="46" customWidth="1"/>
    <col min="10" max="10" width="30.85546875" style="46" customWidth="1"/>
    <col min="11" max="11" width="18.2109375" style="46" customWidth="1"/>
    <col min="12" max="12" width="13.2109375" style="46" customWidth="1"/>
    <col min="13" max="16384" width="8.78515625" style="46"/>
  </cols>
  <sheetData>
    <row r="1" spans="1:12" customFormat="1" ht="19.5">
      <c r="A1" s="148" t="s">
        <v>1740</v>
      </c>
      <c r="B1" s="86"/>
    </row>
    <row r="2" spans="1:12" customFormat="1" ht="19.5">
      <c r="A2" s="148"/>
      <c r="B2" s="86" t="s">
        <v>1804</v>
      </c>
    </row>
    <row r="3" spans="1:12" customFormat="1" ht="15">
      <c r="A3" s="86"/>
      <c r="B3" s="86" t="s">
        <v>1805</v>
      </c>
    </row>
    <row r="4" spans="1:12" customFormat="1" ht="15">
      <c r="A4" s="10" t="s">
        <v>363</v>
      </c>
      <c r="B4" s="86"/>
    </row>
    <row r="5" spans="1:12">
      <c r="B5" s="11" t="s">
        <v>1</v>
      </c>
      <c r="C5" s="12" t="s">
        <v>9</v>
      </c>
      <c r="D5" s="12" t="s">
        <v>10</v>
      </c>
      <c r="E5" s="12" t="s">
        <v>11</v>
      </c>
      <c r="F5" s="13" t="s">
        <v>12</v>
      </c>
      <c r="G5" s="13" t="s">
        <v>498</v>
      </c>
      <c r="H5" s="12" t="s">
        <v>14</v>
      </c>
      <c r="I5" s="12" t="s">
        <v>15</v>
      </c>
      <c r="J5" s="11" t="s">
        <v>16</v>
      </c>
      <c r="K5" s="14" t="s">
        <v>17</v>
      </c>
      <c r="L5" s="14" t="s">
        <v>18</v>
      </c>
    </row>
    <row r="6" spans="1:12" ht="27">
      <c r="B6" s="15">
        <f t="shared" ref="B6:B225" si="0">ROW() - 5</f>
        <v>1</v>
      </c>
      <c r="C6" s="16" t="s">
        <v>23</v>
      </c>
      <c r="D6" s="167"/>
      <c r="E6" s="16" t="s">
        <v>52</v>
      </c>
      <c r="F6" s="17" t="s">
        <v>235</v>
      </c>
      <c r="G6" s="17"/>
      <c r="H6" s="17" t="s">
        <v>1800</v>
      </c>
      <c r="I6" s="17" t="s">
        <v>238</v>
      </c>
      <c r="J6" s="17" t="s">
        <v>2142</v>
      </c>
      <c r="K6" s="147" t="s">
        <v>1806</v>
      </c>
      <c r="L6" s="3"/>
    </row>
    <row r="7" spans="1:12" ht="27">
      <c r="B7" s="15">
        <f t="shared" si="0"/>
        <v>2</v>
      </c>
      <c r="C7" s="68"/>
      <c r="D7" s="143"/>
      <c r="E7" s="68"/>
      <c r="F7" s="17" t="s">
        <v>236</v>
      </c>
      <c r="G7" s="17"/>
      <c r="H7" s="17" t="s">
        <v>1801</v>
      </c>
      <c r="I7" s="17" t="s">
        <v>239</v>
      </c>
      <c r="J7" s="17" t="s">
        <v>2142</v>
      </c>
      <c r="K7" s="147" t="s">
        <v>1806</v>
      </c>
      <c r="L7" s="3"/>
    </row>
    <row r="8" spans="1:12" ht="67.5">
      <c r="B8" s="15">
        <f t="shared" si="0"/>
        <v>3</v>
      </c>
      <c r="C8" s="68"/>
      <c r="D8" s="143"/>
      <c r="E8" s="68"/>
      <c r="F8" s="17" t="s">
        <v>1784</v>
      </c>
      <c r="G8" s="17"/>
      <c r="H8" s="17" t="s">
        <v>21</v>
      </c>
      <c r="I8" s="17" t="s">
        <v>21</v>
      </c>
      <c r="J8" s="17" t="s">
        <v>2143</v>
      </c>
      <c r="K8" s="147" t="s">
        <v>1806</v>
      </c>
      <c r="L8" s="3"/>
    </row>
    <row r="9" spans="1:12" ht="27">
      <c r="B9" s="15">
        <f t="shared" si="0"/>
        <v>4</v>
      </c>
      <c r="C9" s="68"/>
      <c r="D9" s="143"/>
      <c r="E9" s="68"/>
      <c r="F9" s="17" t="s">
        <v>1807</v>
      </c>
      <c r="G9" s="17"/>
      <c r="H9" s="17" t="s">
        <v>20</v>
      </c>
      <c r="I9" s="17" t="s">
        <v>21</v>
      </c>
      <c r="J9" s="17"/>
      <c r="K9" s="147" t="s">
        <v>1806</v>
      </c>
      <c r="L9" s="3"/>
    </row>
    <row r="10" spans="1:12" ht="27">
      <c r="B10" s="15">
        <f t="shared" si="0"/>
        <v>5</v>
      </c>
      <c r="C10" s="68"/>
      <c r="D10" s="143"/>
      <c r="E10" s="19"/>
      <c r="F10" s="17" t="s">
        <v>1566</v>
      </c>
      <c r="G10" s="17"/>
      <c r="H10" s="17" t="s">
        <v>20</v>
      </c>
      <c r="I10" s="17" t="s">
        <v>21</v>
      </c>
      <c r="J10" s="17" t="s">
        <v>2142</v>
      </c>
      <c r="K10" s="147" t="s">
        <v>1806</v>
      </c>
      <c r="L10" s="3"/>
    </row>
    <row r="11" spans="1:12" ht="27">
      <c r="B11" s="15">
        <f t="shared" si="0"/>
        <v>6</v>
      </c>
      <c r="C11" s="68"/>
      <c r="D11" s="143"/>
      <c r="E11" s="16" t="s">
        <v>1808</v>
      </c>
      <c r="F11" s="17" t="s">
        <v>1745</v>
      </c>
      <c r="G11" s="17"/>
      <c r="H11" s="17" t="s">
        <v>20</v>
      </c>
      <c r="I11" s="17" t="s">
        <v>21</v>
      </c>
      <c r="J11" s="17" t="s">
        <v>2142</v>
      </c>
      <c r="K11" s="147" t="s">
        <v>1806</v>
      </c>
      <c r="L11" s="3"/>
    </row>
    <row r="12" spans="1:12" ht="27">
      <c r="B12" s="15">
        <f t="shared" si="0"/>
        <v>7</v>
      </c>
      <c r="C12" s="68"/>
      <c r="D12" s="143"/>
      <c r="E12" s="68"/>
      <c r="F12" s="17" t="s">
        <v>25</v>
      </c>
      <c r="G12" s="17"/>
      <c r="H12" s="17" t="s">
        <v>20</v>
      </c>
      <c r="I12" s="17" t="s">
        <v>21</v>
      </c>
      <c r="J12" s="17" t="s">
        <v>2142</v>
      </c>
      <c r="K12" s="147" t="s">
        <v>1806</v>
      </c>
      <c r="L12" s="3"/>
    </row>
    <row r="13" spans="1:12" ht="40.5">
      <c r="B13" s="15">
        <f t="shared" si="0"/>
        <v>8</v>
      </c>
      <c r="C13" s="68"/>
      <c r="D13" s="143"/>
      <c r="E13" s="19"/>
      <c r="F13" s="17" t="s">
        <v>45</v>
      </c>
      <c r="G13" s="17"/>
      <c r="H13" s="17" t="s">
        <v>20</v>
      </c>
      <c r="I13" s="17" t="s">
        <v>21</v>
      </c>
      <c r="J13" s="17" t="s">
        <v>2144</v>
      </c>
      <c r="K13" s="147" t="s">
        <v>1806</v>
      </c>
      <c r="L13" s="3"/>
    </row>
    <row r="14" spans="1:12" ht="81">
      <c r="B14" s="15">
        <f t="shared" si="0"/>
        <v>9</v>
      </c>
      <c r="C14" s="68"/>
      <c r="D14" s="143"/>
      <c r="E14" s="16" t="s">
        <v>996</v>
      </c>
      <c r="F14" s="17" t="s">
        <v>1809</v>
      </c>
      <c r="G14" s="17" t="s">
        <v>872</v>
      </c>
      <c r="H14" s="17" t="s">
        <v>1780</v>
      </c>
      <c r="I14" s="17" t="s">
        <v>21</v>
      </c>
      <c r="J14" s="17" t="s">
        <v>2208</v>
      </c>
      <c r="K14" s="147" t="s">
        <v>1806</v>
      </c>
      <c r="L14" s="3"/>
    </row>
    <row r="15" spans="1:12" ht="67.5">
      <c r="B15" s="15">
        <f t="shared" si="0"/>
        <v>10</v>
      </c>
      <c r="C15" s="68"/>
      <c r="D15" s="143"/>
      <c r="E15" s="68"/>
      <c r="F15" s="17" t="s">
        <v>1810</v>
      </c>
      <c r="G15" s="17" t="s">
        <v>872</v>
      </c>
      <c r="H15" s="17" t="s">
        <v>1782</v>
      </c>
      <c r="I15" s="17" t="s">
        <v>21</v>
      </c>
      <c r="J15" s="17" t="s">
        <v>2207</v>
      </c>
      <c r="K15" s="147" t="s">
        <v>1806</v>
      </c>
      <c r="L15" s="3"/>
    </row>
    <row r="16" spans="1:12" ht="108">
      <c r="B16" s="15">
        <f t="shared" si="0"/>
        <v>11</v>
      </c>
      <c r="C16" s="68"/>
      <c r="D16" s="143"/>
      <c r="E16" s="68"/>
      <c r="F16" s="17" t="s">
        <v>1811</v>
      </c>
      <c r="G16" s="17" t="s">
        <v>2139</v>
      </c>
      <c r="H16" s="17" t="s">
        <v>2145</v>
      </c>
      <c r="I16" s="17" t="s">
        <v>21</v>
      </c>
      <c r="J16" s="17"/>
      <c r="K16" s="147" t="s">
        <v>1806</v>
      </c>
      <c r="L16" s="3"/>
    </row>
    <row r="17" spans="2:12" ht="27">
      <c r="B17" s="15">
        <f t="shared" si="0"/>
        <v>12</v>
      </c>
      <c r="C17" s="68"/>
      <c r="D17" s="143"/>
      <c r="E17" s="68"/>
      <c r="F17" s="17" t="s">
        <v>1812</v>
      </c>
      <c r="G17" s="17"/>
      <c r="H17" s="17"/>
      <c r="I17" s="17" t="s">
        <v>21</v>
      </c>
      <c r="J17" s="17"/>
      <c r="K17" s="147" t="s">
        <v>1806</v>
      </c>
      <c r="L17" s="3"/>
    </row>
    <row r="18" spans="2:12" ht="27">
      <c r="B18" s="15">
        <f t="shared" si="0"/>
        <v>13</v>
      </c>
      <c r="C18" s="68"/>
      <c r="D18" s="143"/>
      <c r="E18" s="68"/>
      <c r="F18" s="17" t="s">
        <v>1236</v>
      </c>
      <c r="G18" s="17" t="s">
        <v>2140</v>
      </c>
      <c r="H18" s="17"/>
      <c r="I18" s="17" t="s">
        <v>21</v>
      </c>
      <c r="J18" s="17"/>
      <c r="K18" s="147" t="s">
        <v>1806</v>
      </c>
      <c r="L18" s="3"/>
    </row>
    <row r="19" spans="2:12" ht="27">
      <c r="B19" s="15">
        <f t="shared" si="0"/>
        <v>14</v>
      </c>
      <c r="C19" s="68"/>
      <c r="D19" s="143"/>
      <c r="E19" s="68"/>
      <c r="F19" s="17" t="s">
        <v>1813</v>
      </c>
      <c r="G19" s="17"/>
      <c r="H19" s="17" t="s">
        <v>2146</v>
      </c>
      <c r="I19" s="17" t="s">
        <v>21</v>
      </c>
      <c r="J19" s="17"/>
      <c r="K19" s="147" t="s">
        <v>1806</v>
      </c>
      <c r="L19" s="3"/>
    </row>
    <row r="20" spans="2:12" ht="27">
      <c r="B20" s="15">
        <f t="shared" si="0"/>
        <v>15</v>
      </c>
      <c r="C20" s="68"/>
      <c r="D20" s="143"/>
      <c r="E20" s="19"/>
      <c r="F20" s="17" t="s">
        <v>929</v>
      </c>
      <c r="G20" s="17" t="s">
        <v>2141</v>
      </c>
      <c r="H20" s="17" t="s">
        <v>2147</v>
      </c>
      <c r="I20" s="17" t="s">
        <v>21</v>
      </c>
      <c r="J20" s="17"/>
      <c r="K20" s="147" t="s">
        <v>1806</v>
      </c>
      <c r="L20" s="3"/>
    </row>
    <row r="21" spans="2:12" ht="27">
      <c r="B21" s="15">
        <f t="shared" si="0"/>
        <v>16</v>
      </c>
      <c r="C21" s="16" t="s">
        <v>878</v>
      </c>
      <c r="D21" s="167"/>
      <c r="E21" s="16" t="s">
        <v>949</v>
      </c>
      <c r="F21" s="17" t="s">
        <v>167</v>
      </c>
      <c r="G21" s="17"/>
      <c r="H21" s="17" t="s">
        <v>2164</v>
      </c>
      <c r="I21" s="17" t="s">
        <v>21</v>
      </c>
      <c r="J21" s="17"/>
      <c r="K21" s="147" t="s">
        <v>1806</v>
      </c>
      <c r="L21" s="3"/>
    </row>
    <row r="22" spans="2:12" ht="27">
      <c r="B22" s="15">
        <f t="shared" si="0"/>
        <v>17</v>
      </c>
      <c r="C22" s="68"/>
      <c r="D22" s="143"/>
      <c r="E22" s="68"/>
      <c r="F22" s="17" t="s">
        <v>1814</v>
      </c>
      <c r="G22" s="17" t="s">
        <v>2148</v>
      </c>
      <c r="H22" s="17" t="s">
        <v>50</v>
      </c>
      <c r="I22" s="169" t="s">
        <v>1450</v>
      </c>
      <c r="J22" s="17"/>
      <c r="K22" s="147" t="s">
        <v>1806</v>
      </c>
      <c r="L22" s="3"/>
    </row>
    <row r="23" spans="2:12" ht="27">
      <c r="B23" s="15">
        <f t="shared" si="0"/>
        <v>18</v>
      </c>
      <c r="C23" s="68"/>
      <c r="D23" s="143"/>
      <c r="E23" s="68"/>
      <c r="F23" s="17" t="s">
        <v>1815</v>
      </c>
      <c r="G23" s="17" t="s">
        <v>2149</v>
      </c>
      <c r="H23" s="17" t="s">
        <v>50</v>
      </c>
      <c r="I23" s="169" t="s">
        <v>1450</v>
      </c>
      <c r="J23" s="17"/>
      <c r="K23" s="147" t="s">
        <v>1806</v>
      </c>
      <c r="L23" s="3"/>
    </row>
    <row r="24" spans="2:12" ht="27">
      <c r="B24" s="15">
        <f t="shared" si="0"/>
        <v>19</v>
      </c>
      <c r="C24" s="68"/>
      <c r="D24" s="143"/>
      <c r="E24" s="19"/>
      <c r="F24" s="17" t="s">
        <v>1816</v>
      </c>
      <c r="G24" s="17" t="s">
        <v>2150</v>
      </c>
      <c r="H24" s="17" t="s">
        <v>27</v>
      </c>
      <c r="I24" s="169" t="s">
        <v>28</v>
      </c>
      <c r="J24" s="17"/>
      <c r="K24" s="147" t="s">
        <v>1806</v>
      </c>
      <c r="L24" s="3"/>
    </row>
    <row r="25" spans="2:12" ht="27">
      <c r="B25" s="15">
        <f t="shared" si="0"/>
        <v>20</v>
      </c>
      <c r="C25" s="68"/>
      <c r="D25" s="143"/>
      <c r="E25" s="16" t="s">
        <v>996</v>
      </c>
      <c r="F25" s="17" t="s">
        <v>995</v>
      </c>
      <c r="G25" s="17" t="s">
        <v>2151</v>
      </c>
      <c r="H25" s="17" t="s">
        <v>2167</v>
      </c>
      <c r="I25" s="17" t="s">
        <v>21</v>
      </c>
      <c r="J25" s="17"/>
      <c r="K25" s="147" t="s">
        <v>1806</v>
      </c>
      <c r="L25" s="3"/>
    </row>
    <row r="26" spans="2:12" ht="27">
      <c r="B26" s="15">
        <f t="shared" si="0"/>
        <v>21</v>
      </c>
      <c r="C26" s="68"/>
      <c r="D26" s="143"/>
      <c r="E26" s="68"/>
      <c r="F26" s="17" t="s">
        <v>1817</v>
      </c>
      <c r="G26" s="17" t="s">
        <v>2152</v>
      </c>
      <c r="H26" s="17" t="s">
        <v>2168</v>
      </c>
      <c r="I26" s="17" t="s">
        <v>21</v>
      </c>
      <c r="J26" s="17"/>
      <c r="K26" s="147" t="s">
        <v>1806</v>
      </c>
      <c r="L26" s="3"/>
    </row>
    <row r="27" spans="2:12" ht="40.5">
      <c r="B27" s="15">
        <f t="shared" si="0"/>
        <v>22</v>
      </c>
      <c r="C27" s="68"/>
      <c r="D27" s="143"/>
      <c r="E27" s="19"/>
      <c r="F27" s="17" t="s">
        <v>60</v>
      </c>
      <c r="G27" s="17"/>
      <c r="H27" s="17" t="s">
        <v>769</v>
      </c>
      <c r="I27" s="17" t="s">
        <v>21</v>
      </c>
      <c r="J27" s="17" t="s">
        <v>2169</v>
      </c>
      <c r="K27" s="147" t="s">
        <v>1806</v>
      </c>
      <c r="L27" s="3"/>
    </row>
    <row r="28" spans="2:12" ht="40.5">
      <c r="B28" s="15">
        <f t="shared" si="0"/>
        <v>23</v>
      </c>
      <c r="C28" s="68"/>
      <c r="D28" s="143"/>
      <c r="E28" s="68" t="s">
        <v>1818</v>
      </c>
      <c r="F28" s="17" t="s">
        <v>1819</v>
      </c>
      <c r="G28" s="17"/>
      <c r="H28" s="17" t="s">
        <v>2170</v>
      </c>
      <c r="I28" s="17" t="s">
        <v>21</v>
      </c>
      <c r="J28" s="17" t="s">
        <v>2183</v>
      </c>
      <c r="K28" s="147" t="s">
        <v>1806</v>
      </c>
      <c r="L28" s="3"/>
    </row>
    <row r="29" spans="2:12" ht="54">
      <c r="B29" s="15">
        <f t="shared" si="0"/>
        <v>24</v>
      </c>
      <c r="C29" s="68"/>
      <c r="D29" s="143"/>
      <c r="E29" s="16" t="s">
        <v>1820</v>
      </c>
      <c r="F29" s="17" t="s">
        <v>1821</v>
      </c>
      <c r="G29" s="17" t="s">
        <v>2153</v>
      </c>
      <c r="H29" s="17" t="s">
        <v>27</v>
      </c>
      <c r="I29" s="169" t="s">
        <v>28</v>
      </c>
      <c r="J29" s="17"/>
      <c r="K29" s="147" t="s">
        <v>1806</v>
      </c>
      <c r="L29" s="3"/>
    </row>
    <row r="30" spans="2:12" ht="27">
      <c r="B30" s="15">
        <f t="shared" si="0"/>
        <v>25</v>
      </c>
      <c r="C30" s="68"/>
      <c r="D30" s="143"/>
      <c r="E30" s="19"/>
      <c r="F30" s="17" t="s">
        <v>1822</v>
      </c>
      <c r="G30" s="17" t="s">
        <v>2154</v>
      </c>
      <c r="H30" s="17" t="s">
        <v>277</v>
      </c>
      <c r="I30" s="17" t="s">
        <v>1882</v>
      </c>
      <c r="J30" s="17"/>
      <c r="K30" s="147" t="s">
        <v>1806</v>
      </c>
      <c r="L30" s="3"/>
    </row>
    <row r="31" spans="2:12" ht="40.5">
      <c r="B31" s="15">
        <f t="shared" si="0"/>
        <v>26</v>
      </c>
      <c r="C31" s="68"/>
      <c r="D31" s="143"/>
      <c r="E31" s="16" t="s">
        <v>676</v>
      </c>
      <c r="F31" s="17" t="s">
        <v>676</v>
      </c>
      <c r="G31" s="17" t="s">
        <v>2155</v>
      </c>
      <c r="H31" s="17" t="s">
        <v>50</v>
      </c>
      <c r="I31" s="169" t="s">
        <v>1450</v>
      </c>
      <c r="J31" s="17" t="s">
        <v>2171</v>
      </c>
      <c r="K31" s="147" t="s">
        <v>1806</v>
      </c>
      <c r="L31" s="3"/>
    </row>
    <row r="32" spans="2:12" ht="40.5">
      <c r="B32" s="15">
        <f t="shared" si="0"/>
        <v>27</v>
      </c>
      <c r="C32" s="68"/>
      <c r="D32" s="143"/>
      <c r="E32" s="19"/>
      <c r="F32" s="17" t="s">
        <v>1823</v>
      </c>
      <c r="G32" s="17" t="s">
        <v>2156</v>
      </c>
      <c r="H32" s="17" t="s">
        <v>50</v>
      </c>
      <c r="I32" s="169" t="s">
        <v>1393</v>
      </c>
      <c r="J32" s="17"/>
      <c r="K32" s="147" t="s">
        <v>1806</v>
      </c>
      <c r="L32" s="3"/>
    </row>
    <row r="33" spans="2:12" ht="27">
      <c r="B33" s="15">
        <f t="shared" si="0"/>
        <v>28</v>
      </c>
      <c r="C33" s="68"/>
      <c r="D33" s="143"/>
      <c r="E33" s="16" t="s">
        <v>1824</v>
      </c>
      <c r="F33" s="17" t="s">
        <v>1825</v>
      </c>
      <c r="G33" s="17" t="s">
        <v>2157</v>
      </c>
      <c r="H33" s="17" t="s">
        <v>50</v>
      </c>
      <c r="I33" s="169" t="s">
        <v>1450</v>
      </c>
      <c r="J33" s="17"/>
      <c r="K33" s="147" t="s">
        <v>1806</v>
      </c>
      <c r="L33" s="3"/>
    </row>
    <row r="34" spans="2:12" ht="40.5">
      <c r="B34" s="15">
        <f t="shared" si="0"/>
        <v>29</v>
      </c>
      <c r="C34" s="68"/>
      <c r="D34" s="143"/>
      <c r="E34" s="68"/>
      <c r="F34" s="17" t="s">
        <v>1826</v>
      </c>
      <c r="G34" s="17" t="s">
        <v>2158</v>
      </c>
      <c r="H34" s="17" t="s">
        <v>50</v>
      </c>
      <c r="I34" s="169" t="s">
        <v>1450</v>
      </c>
      <c r="J34" s="17"/>
      <c r="K34" s="147" t="s">
        <v>1806</v>
      </c>
      <c r="L34" s="3"/>
    </row>
    <row r="35" spans="2:12" ht="27">
      <c r="B35" s="15">
        <f t="shared" si="0"/>
        <v>30</v>
      </c>
      <c r="C35" s="68"/>
      <c r="D35" s="143"/>
      <c r="E35" s="68"/>
      <c r="F35" s="17" t="s">
        <v>528</v>
      </c>
      <c r="G35" s="17"/>
      <c r="H35" s="17" t="s">
        <v>527</v>
      </c>
      <c r="I35" s="17" t="s">
        <v>21</v>
      </c>
      <c r="J35" s="17"/>
      <c r="K35" s="147" t="s">
        <v>1806</v>
      </c>
      <c r="L35" s="3"/>
    </row>
    <row r="36" spans="2:12" ht="40.5">
      <c r="B36" s="15">
        <f t="shared" si="0"/>
        <v>31</v>
      </c>
      <c r="C36" s="68"/>
      <c r="D36" s="143"/>
      <c r="E36" s="19"/>
      <c r="F36" s="17" t="s">
        <v>1827</v>
      </c>
      <c r="G36" s="17" t="s">
        <v>2159</v>
      </c>
      <c r="H36" s="17" t="s">
        <v>27</v>
      </c>
      <c r="I36" s="169" t="s">
        <v>28</v>
      </c>
      <c r="J36" s="17"/>
      <c r="K36" s="147" t="s">
        <v>1806</v>
      </c>
      <c r="L36" s="3"/>
    </row>
    <row r="37" spans="2:12" ht="67.5">
      <c r="B37" s="15">
        <f t="shared" si="0"/>
        <v>32</v>
      </c>
      <c r="C37" s="68"/>
      <c r="D37" s="143"/>
      <c r="E37" s="16" t="s">
        <v>240</v>
      </c>
      <c r="F37" s="17" t="s">
        <v>255</v>
      </c>
      <c r="G37" s="17" t="s">
        <v>2160</v>
      </c>
      <c r="H37" s="17" t="s">
        <v>2172</v>
      </c>
      <c r="I37" s="17" t="s">
        <v>21</v>
      </c>
      <c r="J37" s="17"/>
      <c r="K37" s="147" t="s">
        <v>1806</v>
      </c>
      <c r="L37" s="3"/>
    </row>
    <row r="38" spans="2:12" ht="40.5">
      <c r="B38" s="15">
        <f t="shared" si="0"/>
        <v>33</v>
      </c>
      <c r="C38" s="68"/>
      <c r="D38" s="143"/>
      <c r="E38" s="68"/>
      <c r="F38" s="17" t="s">
        <v>1828</v>
      </c>
      <c r="G38" s="17" t="s">
        <v>2161</v>
      </c>
      <c r="H38" s="17" t="s">
        <v>2173</v>
      </c>
      <c r="I38" s="17" t="s">
        <v>21</v>
      </c>
      <c r="J38" s="17"/>
      <c r="K38" s="147" t="s">
        <v>1806</v>
      </c>
      <c r="L38" s="3"/>
    </row>
    <row r="39" spans="2:12" ht="40.5">
      <c r="B39" s="15">
        <f t="shared" si="0"/>
        <v>34</v>
      </c>
      <c r="C39" s="68"/>
      <c r="D39" s="143"/>
      <c r="E39" s="68"/>
      <c r="F39" s="17" t="s">
        <v>678</v>
      </c>
      <c r="G39" s="17" t="s">
        <v>2162</v>
      </c>
      <c r="H39" s="17" t="s">
        <v>27</v>
      </c>
      <c r="I39" s="169" t="s">
        <v>57</v>
      </c>
      <c r="J39" s="17"/>
      <c r="K39" s="147" t="s">
        <v>1806</v>
      </c>
      <c r="L39" s="3"/>
    </row>
    <row r="40" spans="2:12" ht="40.5">
      <c r="B40" s="15">
        <f t="shared" si="0"/>
        <v>35</v>
      </c>
      <c r="C40" s="68"/>
      <c r="D40" s="143"/>
      <c r="E40" s="68"/>
      <c r="F40" s="17" t="s">
        <v>935</v>
      </c>
      <c r="G40" s="17" t="s">
        <v>2163</v>
      </c>
      <c r="H40" s="17" t="s">
        <v>934</v>
      </c>
      <c r="I40" s="17" t="s">
        <v>21</v>
      </c>
      <c r="J40" s="17"/>
      <c r="K40" s="147" t="s">
        <v>1806</v>
      </c>
      <c r="L40" s="3"/>
    </row>
    <row r="41" spans="2:12" ht="27">
      <c r="B41" s="15">
        <f t="shared" si="0"/>
        <v>36</v>
      </c>
      <c r="C41" s="68"/>
      <c r="D41" s="143"/>
      <c r="E41" s="19"/>
      <c r="F41" s="17" t="s">
        <v>1829</v>
      </c>
      <c r="G41" s="17"/>
      <c r="H41" s="17" t="s">
        <v>50</v>
      </c>
      <c r="I41" s="17" t="s">
        <v>21</v>
      </c>
      <c r="J41" s="17"/>
      <c r="K41" s="147" t="s">
        <v>1806</v>
      </c>
      <c r="L41" s="3"/>
    </row>
    <row r="42" spans="2:12" ht="27">
      <c r="B42" s="15">
        <f t="shared" si="0"/>
        <v>37</v>
      </c>
      <c r="C42" s="68"/>
      <c r="D42" s="143"/>
      <c r="E42" s="17" t="s">
        <v>1830</v>
      </c>
      <c r="F42" s="17" t="s">
        <v>1831</v>
      </c>
      <c r="G42" s="17"/>
      <c r="H42" s="17" t="s">
        <v>2174</v>
      </c>
      <c r="I42" s="17" t="s">
        <v>21</v>
      </c>
      <c r="J42" s="17"/>
      <c r="K42" s="147" t="s">
        <v>1806</v>
      </c>
      <c r="L42" s="3"/>
    </row>
    <row r="43" spans="2:12" ht="94.5">
      <c r="B43" s="15">
        <f t="shared" si="0"/>
        <v>38</v>
      </c>
      <c r="C43" s="19"/>
      <c r="D43" s="142"/>
      <c r="E43" s="17" t="s">
        <v>213</v>
      </c>
      <c r="F43" s="17" t="s">
        <v>1832</v>
      </c>
      <c r="G43" s="17"/>
      <c r="H43" s="17" t="s">
        <v>2175</v>
      </c>
      <c r="I43" s="169" t="s">
        <v>2176</v>
      </c>
      <c r="J43" s="17" t="s">
        <v>2177</v>
      </c>
      <c r="K43" s="147" t="s">
        <v>1806</v>
      </c>
      <c r="L43" s="3"/>
    </row>
    <row r="44" spans="2:12" ht="27">
      <c r="B44" s="15">
        <f t="shared" si="0"/>
        <v>39</v>
      </c>
      <c r="C44" s="17" t="s">
        <v>1833</v>
      </c>
      <c r="D44" s="115"/>
      <c r="E44" s="16" t="s">
        <v>1834</v>
      </c>
      <c r="F44" s="17" t="s">
        <v>1835</v>
      </c>
      <c r="G44" s="17" t="s">
        <v>2178</v>
      </c>
      <c r="H44" s="17" t="s">
        <v>27</v>
      </c>
      <c r="I44" s="169" t="s">
        <v>28</v>
      </c>
      <c r="J44" s="17"/>
      <c r="K44" s="147" t="s">
        <v>1806</v>
      </c>
      <c r="L44" s="3"/>
    </row>
    <row r="45" spans="2:12" ht="27">
      <c r="B45" s="15">
        <f t="shared" si="0"/>
        <v>40</v>
      </c>
      <c r="C45" s="68" t="s">
        <v>1836</v>
      </c>
      <c r="D45" s="114"/>
      <c r="E45" s="17" t="s">
        <v>1837</v>
      </c>
      <c r="F45" s="142" t="s">
        <v>1837</v>
      </c>
      <c r="G45" s="17"/>
      <c r="H45" s="17" t="s">
        <v>27</v>
      </c>
      <c r="I45" s="169" t="s">
        <v>28</v>
      </c>
      <c r="J45" s="17"/>
      <c r="K45" s="147" t="s">
        <v>1806</v>
      </c>
      <c r="L45" s="3"/>
    </row>
    <row r="46" spans="2:12" ht="27">
      <c r="B46" s="15">
        <f t="shared" si="0"/>
        <v>41</v>
      </c>
      <c r="C46" s="68"/>
      <c r="D46" s="114"/>
      <c r="E46" s="16" t="s">
        <v>764</v>
      </c>
      <c r="F46" s="115" t="s">
        <v>764</v>
      </c>
      <c r="G46" s="17"/>
      <c r="H46" s="17" t="s">
        <v>27</v>
      </c>
      <c r="I46" s="169" t="s">
        <v>28</v>
      </c>
      <c r="J46" s="17"/>
      <c r="K46" s="147" t="s">
        <v>1806</v>
      </c>
      <c r="L46" s="3"/>
    </row>
    <row r="47" spans="2:12" ht="27">
      <c r="B47" s="15">
        <f t="shared" si="0"/>
        <v>42</v>
      </c>
      <c r="C47" s="68"/>
      <c r="D47" s="114"/>
      <c r="E47" s="19"/>
      <c r="F47" s="115" t="s">
        <v>1838</v>
      </c>
      <c r="G47" s="17"/>
      <c r="H47" s="17" t="s">
        <v>948</v>
      </c>
      <c r="I47" s="17" t="s">
        <v>21</v>
      </c>
      <c r="J47" s="17"/>
      <c r="K47" s="147" t="s">
        <v>1806</v>
      </c>
      <c r="L47" s="3"/>
    </row>
    <row r="48" spans="2:12" ht="27">
      <c r="B48" s="15">
        <f t="shared" si="0"/>
        <v>43</v>
      </c>
      <c r="C48" s="68"/>
      <c r="D48" s="114"/>
      <c r="E48" s="17" t="s">
        <v>1839</v>
      </c>
      <c r="F48" s="115" t="s">
        <v>1840</v>
      </c>
      <c r="G48" s="17"/>
      <c r="H48" s="17" t="s">
        <v>27</v>
      </c>
      <c r="I48" s="169" t="s">
        <v>28</v>
      </c>
      <c r="J48" s="17"/>
      <c r="K48" s="147" t="s">
        <v>1806</v>
      </c>
      <c r="L48" s="3"/>
    </row>
    <row r="49" spans="2:12" ht="27">
      <c r="B49" s="15">
        <f t="shared" si="0"/>
        <v>44</v>
      </c>
      <c r="C49" s="19"/>
      <c r="D49" s="114"/>
      <c r="E49" s="16" t="s">
        <v>277</v>
      </c>
      <c r="F49" s="115" t="s">
        <v>1841</v>
      </c>
      <c r="G49" s="17"/>
      <c r="H49" s="17" t="s">
        <v>277</v>
      </c>
      <c r="I49" s="17" t="s">
        <v>21</v>
      </c>
      <c r="J49" s="17"/>
      <c r="K49" s="147" t="s">
        <v>1806</v>
      </c>
      <c r="L49" s="3"/>
    </row>
    <row r="50" spans="2:12" ht="27">
      <c r="B50" s="15">
        <f t="shared" si="0"/>
        <v>45</v>
      </c>
      <c r="C50" s="16" t="s">
        <v>1842</v>
      </c>
      <c r="D50" s="168"/>
      <c r="E50" s="16" t="s">
        <v>698</v>
      </c>
      <c r="F50" s="115" t="s">
        <v>167</v>
      </c>
      <c r="G50" s="17"/>
      <c r="H50" s="17" t="s">
        <v>2164</v>
      </c>
      <c r="I50" s="17" t="s">
        <v>21</v>
      </c>
      <c r="J50" s="17"/>
      <c r="K50" s="147" t="s">
        <v>1806</v>
      </c>
      <c r="L50" s="3"/>
    </row>
    <row r="51" spans="2:12" ht="27">
      <c r="B51" s="15">
        <f t="shared" si="0"/>
        <v>46</v>
      </c>
      <c r="C51" s="68"/>
      <c r="D51" s="114"/>
      <c r="E51" s="68"/>
      <c r="F51" s="115" t="s">
        <v>1814</v>
      </c>
      <c r="G51" s="17" t="s">
        <v>2148</v>
      </c>
      <c r="H51" s="17" t="s">
        <v>50</v>
      </c>
      <c r="I51" s="169" t="s">
        <v>1450</v>
      </c>
      <c r="J51" s="17"/>
      <c r="K51" s="147" t="s">
        <v>1806</v>
      </c>
      <c r="L51" s="3"/>
    </row>
    <row r="52" spans="2:12" ht="27">
      <c r="B52" s="15">
        <f t="shared" si="0"/>
        <v>47</v>
      </c>
      <c r="C52" s="68"/>
      <c r="D52" s="114"/>
      <c r="E52" s="68"/>
      <c r="F52" s="115" t="s">
        <v>1815</v>
      </c>
      <c r="G52" s="17" t="s">
        <v>2149</v>
      </c>
      <c r="H52" s="17" t="s">
        <v>50</v>
      </c>
      <c r="I52" s="169" t="s">
        <v>1450</v>
      </c>
      <c r="J52" s="17"/>
      <c r="K52" s="147" t="s">
        <v>1806</v>
      </c>
      <c r="L52" s="3"/>
    </row>
    <row r="53" spans="2:12" ht="27">
      <c r="B53" s="15">
        <f t="shared" si="0"/>
        <v>48</v>
      </c>
      <c r="C53" s="68"/>
      <c r="D53" s="114"/>
      <c r="E53" s="19"/>
      <c r="F53" s="115" t="s">
        <v>1816</v>
      </c>
      <c r="G53" s="17" t="s">
        <v>2150</v>
      </c>
      <c r="H53" s="17" t="s">
        <v>27</v>
      </c>
      <c r="I53" s="169" t="s">
        <v>28</v>
      </c>
      <c r="J53" s="17"/>
      <c r="K53" s="147" t="s">
        <v>1806</v>
      </c>
      <c r="L53" s="3"/>
    </row>
    <row r="54" spans="2:12" ht="40.5">
      <c r="B54" s="15">
        <f t="shared" si="0"/>
        <v>49</v>
      </c>
      <c r="C54" s="68"/>
      <c r="D54" s="114"/>
      <c r="E54" s="17" t="s">
        <v>996</v>
      </c>
      <c r="F54" s="115" t="s">
        <v>1843</v>
      </c>
      <c r="G54" s="17" t="s">
        <v>2179</v>
      </c>
      <c r="H54" s="17" t="s">
        <v>2180</v>
      </c>
      <c r="I54" s="17" t="s">
        <v>21</v>
      </c>
      <c r="J54" s="17"/>
      <c r="K54" s="147" t="s">
        <v>1806</v>
      </c>
      <c r="L54" s="3"/>
    </row>
    <row r="55" spans="2:12" ht="40.5">
      <c r="B55" s="15">
        <f t="shared" si="0"/>
        <v>50</v>
      </c>
      <c r="C55" s="68"/>
      <c r="D55" s="114"/>
      <c r="E55" s="17" t="s">
        <v>1818</v>
      </c>
      <c r="F55" s="115" t="s">
        <v>1819</v>
      </c>
      <c r="G55" s="17"/>
      <c r="H55" s="17" t="s">
        <v>2181</v>
      </c>
      <c r="I55" s="17" t="s">
        <v>21</v>
      </c>
      <c r="J55" s="17" t="s">
        <v>2182</v>
      </c>
      <c r="K55" s="147" t="s">
        <v>1806</v>
      </c>
      <c r="L55" s="3"/>
    </row>
    <row r="56" spans="2:12" ht="67.5">
      <c r="B56" s="15">
        <f t="shared" si="0"/>
        <v>51</v>
      </c>
      <c r="C56" s="68"/>
      <c r="D56" s="114"/>
      <c r="E56" s="16" t="s">
        <v>1820</v>
      </c>
      <c r="F56" s="115" t="s">
        <v>214</v>
      </c>
      <c r="G56" s="17" t="s">
        <v>2184</v>
      </c>
      <c r="H56" s="17" t="s">
        <v>2185</v>
      </c>
      <c r="I56" s="169" t="s">
        <v>170</v>
      </c>
      <c r="J56" s="17"/>
      <c r="K56" s="147" t="s">
        <v>1806</v>
      </c>
      <c r="L56" s="3"/>
    </row>
    <row r="57" spans="2:12" ht="40.5">
      <c r="B57" s="15">
        <f t="shared" si="0"/>
        <v>52</v>
      </c>
      <c r="C57" s="68"/>
      <c r="D57" s="114"/>
      <c r="E57" s="68"/>
      <c r="F57" s="115" t="s">
        <v>215</v>
      </c>
      <c r="G57" s="17" t="s">
        <v>2186</v>
      </c>
      <c r="H57" s="17" t="s">
        <v>2187</v>
      </c>
      <c r="I57" s="17" t="s">
        <v>2188</v>
      </c>
      <c r="J57" s="17"/>
      <c r="K57" s="147" t="s">
        <v>1806</v>
      </c>
      <c r="L57" s="3"/>
    </row>
    <row r="58" spans="2:12" ht="27">
      <c r="B58" s="15">
        <f t="shared" si="0"/>
        <v>53</v>
      </c>
      <c r="C58" s="68"/>
      <c r="D58" s="114"/>
      <c r="E58" s="68"/>
      <c r="F58" s="115" t="s">
        <v>226</v>
      </c>
      <c r="G58" s="17" t="s">
        <v>2189</v>
      </c>
      <c r="H58" s="17" t="s">
        <v>50</v>
      </c>
      <c r="I58" s="169" t="s">
        <v>1450</v>
      </c>
      <c r="J58" s="17"/>
      <c r="K58" s="147" t="s">
        <v>1806</v>
      </c>
      <c r="L58" s="3"/>
    </row>
    <row r="59" spans="2:12" ht="27">
      <c r="B59" s="15">
        <f t="shared" si="0"/>
        <v>54</v>
      </c>
      <c r="C59" s="68"/>
      <c r="D59" s="114"/>
      <c r="E59" s="68"/>
      <c r="F59" s="115" t="s">
        <v>229</v>
      </c>
      <c r="G59" s="17"/>
      <c r="H59" s="17" t="s">
        <v>50</v>
      </c>
      <c r="I59" s="169" t="s">
        <v>1450</v>
      </c>
      <c r="J59" s="17"/>
      <c r="K59" s="147" t="s">
        <v>1806</v>
      </c>
      <c r="L59" s="3"/>
    </row>
    <row r="60" spans="2:12" ht="27">
      <c r="B60" s="15">
        <f t="shared" si="0"/>
        <v>55</v>
      </c>
      <c r="C60" s="68"/>
      <c r="D60" s="114"/>
      <c r="E60" s="19"/>
      <c r="F60" s="115" t="s">
        <v>1822</v>
      </c>
      <c r="G60" s="17" t="s">
        <v>2154</v>
      </c>
      <c r="H60" s="17" t="s">
        <v>277</v>
      </c>
      <c r="I60" s="17" t="s">
        <v>1882</v>
      </c>
      <c r="J60" s="17"/>
      <c r="K60" s="147" t="s">
        <v>1806</v>
      </c>
      <c r="L60" s="3"/>
    </row>
    <row r="61" spans="2:12" ht="40.5">
      <c r="B61" s="15">
        <f t="shared" si="0"/>
        <v>56</v>
      </c>
      <c r="C61" s="68"/>
      <c r="D61" s="114"/>
      <c r="E61" s="16" t="s">
        <v>1844</v>
      </c>
      <c r="F61" s="115" t="s">
        <v>676</v>
      </c>
      <c r="G61" s="17" t="s">
        <v>2155</v>
      </c>
      <c r="H61" s="17" t="s">
        <v>50</v>
      </c>
      <c r="I61" s="169" t="s">
        <v>1450</v>
      </c>
      <c r="J61" s="17" t="s">
        <v>2190</v>
      </c>
      <c r="K61" s="147" t="s">
        <v>1806</v>
      </c>
      <c r="L61" s="3"/>
    </row>
    <row r="62" spans="2:12" ht="40.5">
      <c r="B62" s="15">
        <f t="shared" si="0"/>
        <v>57</v>
      </c>
      <c r="C62" s="68"/>
      <c r="D62" s="114"/>
      <c r="E62" s="19"/>
      <c r="F62" s="115" t="s">
        <v>1823</v>
      </c>
      <c r="G62" s="17" t="s">
        <v>2156</v>
      </c>
      <c r="H62" s="17" t="s">
        <v>50</v>
      </c>
      <c r="I62" s="169" t="s">
        <v>1393</v>
      </c>
      <c r="J62" s="17"/>
      <c r="K62" s="147" t="s">
        <v>1806</v>
      </c>
      <c r="L62" s="3"/>
    </row>
    <row r="63" spans="2:12" ht="27">
      <c r="B63" s="15">
        <f t="shared" si="0"/>
        <v>58</v>
      </c>
      <c r="C63" s="68"/>
      <c r="D63" s="114"/>
      <c r="E63" s="16" t="s">
        <v>1824</v>
      </c>
      <c r="F63" s="115" t="s">
        <v>1825</v>
      </c>
      <c r="G63" s="17" t="s">
        <v>2157</v>
      </c>
      <c r="H63" s="17" t="s">
        <v>50</v>
      </c>
      <c r="I63" s="169" t="s">
        <v>1450</v>
      </c>
      <c r="J63" s="17"/>
      <c r="K63" s="147" t="s">
        <v>1806</v>
      </c>
      <c r="L63" s="3"/>
    </row>
    <row r="64" spans="2:12" ht="40.5">
      <c r="B64" s="15">
        <f t="shared" si="0"/>
        <v>59</v>
      </c>
      <c r="C64" s="68"/>
      <c r="D64" s="114"/>
      <c r="E64" s="68"/>
      <c r="F64" s="115" t="s">
        <v>1826</v>
      </c>
      <c r="G64" s="17" t="s">
        <v>2158</v>
      </c>
      <c r="H64" s="17" t="s">
        <v>50</v>
      </c>
      <c r="I64" s="169" t="s">
        <v>1450</v>
      </c>
      <c r="J64" s="17"/>
      <c r="K64" s="147" t="s">
        <v>1806</v>
      </c>
      <c r="L64" s="3"/>
    </row>
    <row r="65" spans="2:12" ht="27">
      <c r="B65" s="15">
        <f t="shared" si="0"/>
        <v>60</v>
      </c>
      <c r="C65" s="68"/>
      <c r="D65" s="114"/>
      <c r="E65" s="68"/>
      <c r="F65" s="115" t="s">
        <v>528</v>
      </c>
      <c r="G65" s="17"/>
      <c r="H65" s="17" t="s">
        <v>527</v>
      </c>
      <c r="I65" s="17" t="s">
        <v>21</v>
      </c>
      <c r="J65" s="17"/>
      <c r="K65" s="147" t="s">
        <v>1806</v>
      </c>
      <c r="L65" s="3"/>
    </row>
    <row r="66" spans="2:12" ht="40.5">
      <c r="B66" s="15">
        <f t="shared" si="0"/>
        <v>61</v>
      </c>
      <c r="C66" s="68"/>
      <c r="D66" s="114"/>
      <c r="E66" s="19"/>
      <c r="F66" s="115" t="s">
        <v>1827</v>
      </c>
      <c r="G66" s="17" t="s">
        <v>2159</v>
      </c>
      <c r="H66" s="17" t="s">
        <v>27</v>
      </c>
      <c r="I66" s="169" t="s">
        <v>28</v>
      </c>
      <c r="J66" s="17"/>
      <c r="K66" s="147" t="s">
        <v>1806</v>
      </c>
      <c r="L66" s="3"/>
    </row>
    <row r="67" spans="2:12" ht="67.5">
      <c r="B67" s="15">
        <f t="shared" si="0"/>
        <v>62</v>
      </c>
      <c r="C67" s="68"/>
      <c r="D67" s="114"/>
      <c r="E67" s="16" t="s">
        <v>240</v>
      </c>
      <c r="F67" s="115" t="s">
        <v>255</v>
      </c>
      <c r="G67" s="17" t="s">
        <v>2160</v>
      </c>
      <c r="H67" s="17" t="s">
        <v>2172</v>
      </c>
      <c r="I67" s="17" t="s">
        <v>21</v>
      </c>
      <c r="J67" s="17"/>
      <c r="K67" s="147" t="s">
        <v>1806</v>
      </c>
      <c r="L67" s="3"/>
    </row>
    <row r="68" spans="2:12" ht="40.5">
      <c r="B68" s="15">
        <f t="shared" si="0"/>
        <v>63</v>
      </c>
      <c r="C68" s="68"/>
      <c r="D68" s="114"/>
      <c r="E68" s="68"/>
      <c r="F68" s="115" t="s">
        <v>1828</v>
      </c>
      <c r="G68" s="17" t="s">
        <v>2161</v>
      </c>
      <c r="H68" s="17" t="s">
        <v>2173</v>
      </c>
      <c r="I68" s="17" t="s">
        <v>21</v>
      </c>
      <c r="J68" s="17"/>
      <c r="K68" s="147" t="s">
        <v>1806</v>
      </c>
      <c r="L68" s="3"/>
    </row>
    <row r="69" spans="2:12" ht="40.5">
      <c r="B69" s="15">
        <f t="shared" si="0"/>
        <v>64</v>
      </c>
      <c r="C69" s="68"/>
      <c r="D69" s="114"/>
      <c r="E69" s="68"/>
      <c r="F69" s="115" t="s">
        <v>678</v>
      </c>
      <c r="G69" s="17" t="s">
        <v>2162</v>
      </c>
      <c r="H69" s="17" t="s">
        <v>27</v>
      </c>
      <c r="I69" s="169" t="s">
        <v>57</v>
      </c>
      <c r="J69" s="17"/>
      <c r="K69" s="147" t="s">
        <v>1806</v>
      </c>
      <c r="L69" s="3"/>
    </row>
    <row r="70" spans="2:12" ht="40.5">
      <c r="B70" s="15">
        <f t="shared" si="0"/>
        <v>65</v>
      </c>
      <c r="C70" s="68"/>
      <c r="D70" s="114"/>
      <c r="E70" s="19"/>
      <c r="F70" s="115" t="s">
        <v>935</v>
      </c>
      <c r="G70" s="17" t="s">
        <v>2163</v>
      </c>
      <c r="H70" s="17" t="s">
        <v>934</v>
      </c>
      <c r="I70" s="17" t="s">
        <v>21</v>
      </c>
      <c r="J70" s="17"/>
      <c r="K70" s="147" t="s">
        <v>1806</v>
      </c>
      <c r="L70" s="3"/>
    </row>
    <row r="71" spans="2:12" ht="40.5">
      <c r="B71" s="15">
        <f t="shared" si="0"/>
        <v>66</v>
      </c>
      <c r="C71" s="68"/>
      <c r="D71" s="114"/>
      <c r="E71" s="16" t="s">
        <v>1845</v>
      </c>
      <c r="F71" s="115" t="s">
        <v>1846</v>
      </c>
      <c r="G71" s="17" t="s">
        <v>2191</v>
      </c>
      <c r="H71" s="17" t="s">
        <v>2192</v>
      </c>
      <c r="I71" s="17" t="s">
        <v>170</v>
      </c>
      <c r="J71" s="17"/>
      <c r="K71" s="147" t="s">
        <v>1806</v>
      </c>
      <c r="L71" s="3"/>
    </row>
    <row r="72" spans="2:12" ht="27">
      <c r="B72" s="15">
        <f t="shared" si="0"/>
        <v>67</v>
      </c>
      <c r="C72" s="68"/>
      <c r="D72" s="114"/>
      <c r="E72" s="68"/>
      <c r="F72" s="115" t="s">
        <v>1847</v>
      </c>
      <c r="G72" s="17" t="s">
        <v>2193</v>
      </c>
      <c r="H72" s="17" t="s">
        <v>2255</v>
      </c>
      <c r="I72" s="17" t="s">
        <v>21</v>
      </c>
      <c r="J72" s="17"/>
      <c r="K72" s="147" t="s">
        <v>1806</v>
      </c>
      <c r="L72" s="3"/>
    </row>
    <row r="73" spans="2:12" ht="27">
      <c r="B73" s="15">
        <f t="shared" si="0"/>
        <v>68</v>
      </c>
      <c r="C73" s="68"/>
      <c r="D73" s="114"/>
      <c r="E73" s="68"/>
      <c r="F73" s="115" t="s">
        <v>1849</v>
      </c>
      <c r="G73" s="17"/>
      <c r="H73" s="17"/>
      <c r="I73" s="17" t="s">
        <v>21</v>
      </c>
      <c r="J73" s="17"/>
      <c r="K73" s="147" t="s">
        <v>1806</v>
      </c>
      <c r="L73" s="3"/>
    </row>
    <row r="74" spans="2:12" ht="27">
      <c r="B74" s="15">
        <f t="shared" si="0"/>
        <v>69</v>
      </c>
      <c r="C74" s="68"/>
      <c r="D74" s="114"/>
      <c r="E74" s="68"/>
      <c r="F74" s="115" t="s">
        <v>1851</v>
      </c>
      <c r="G74" s="17"/>
      <c r="H74" s="17"/>
      <c r="I74" s="17" t="s">
        <v>21</v>
      </c>
      <c r="J74" s="17"/>
      <c r="K74" s="147" t="s">
        <v>1806</v>
      </c>
      <c r="L74" s="3"/>
    </row>
    <row r="75" spans="2:12" ht="27">
      <c r="B75" s="15">
        <f t="shared" si="0"/>
        <v>70</v>
      </c>
      <c r="C75" s="68"/>
      <c r="D75" s="114"/>
      <c r="E75" s="68"/>
      <c r="F75" s="115" t="s">
        <v>1852</v>
      </c>
      <c r="G75" s="17"/>
      <c r="H75" s="17"/>
      <c r="I75" s="17" t="s">
        <v>21</v>
      </c>
      <c r="J75" s="17"/>
      <c r="K75" s="147" t="s">
        <v>1806</v>
      </c>
      <c r="L75" s="3"/>
    </row>
    <row r="76" spans="2:12" ht="27">
      <c r="B76" s="15">
        <f t="shared" si="0"/>
        <v>71</v>
      </c>
      <c r="C76" s="68"/>
      <c r="D76" s="114"/>
      <c r="E76" s="19"/>
      <c r="F76" s="115" t="s">
        <v>1854</v>
      </c>
      <c r="G76" s="17"/>
      <c r="H76" s="17"/>
      <c r="I76" s="17" t="s">
        <v>21</v>
      </c>
      <c r="J76" s="17"/>
      <c r="K76" s="147" t="s">
        <v>1806</v>
      </c>
      <c r="L76" s="3"/>
    </row>
    <row r="77" spans="2:12" ht="27">
      <c r="B77" s="15">
        <f t="shared" si="0"/>
        <v>72</v>
      </c>
      <c r="C77" s="68"/>
      <c r="D77" s="114"/>
      <c r="E77" s="16" t="s">
        <v>1855</v>
      </c>
      <c r="F77" s="115" t="s">
        <v>637</v>
      </c>
      <c r="G77" s="17"/>
      <c r="H77" s="17" t="s">
        <v>27</v>
      </c>
      <c r="I77" s="169" t="s">
        <v>28</v>
      </c>
      <c r="J77" s="17"/>
      <c r="K77" s="147" t="s">
        <v>1806</v>
      </c>
      <c r="L77" s="3"/>
    </row>
    <row r="78" spans="2:12" ht="27">
      <c r="B78" s="15">
        <f t="shared" si="0"/>
        <v>73</v>
      </c>
      <c r="C78" s="68"/>
      <c r="D78" s="114"/>
      <c r="E78" s="19"/>
      <c r="F78" s="115" t="s">
        <v>1856</v>
      </c>
      <c r="G78" s="17"/>
      <c r="H78" s="17" t="s">
        <v>50</v>
      </c>
      <c r="I78" s="17" t="s">
        <v>21</v>
      </c>
      <c r="J78" s="17"/>
      <c r="K78" s="147" t="s">
        <v>1806</v>
      </c>
      <c r="L78" s="3"/>
    </row>
    <row r="79" spans="2:12" ht="27">
      <c r="B79" s="15">
        <f t="shared" si="0"/>
        <v>74</v>
      </c>
      <c r="C79" s="68"/>
      <c r="D79" s="114"/>
      <c r="E79" s="17" t="s">
        <v>768</v>
      </c>
      <c r="F79" s="115" t="s">
        <v>767</v>
      </c>
      <c r="G79" s="17"/>
      <c r="H79" s="17" t="s">
        <v>27</v>
      </c>
      <c r="I79" s="169" t="s">
        <v>28</v>
      </c>
      <c r="J79" s="17"/>
      <c r="K79" s="147" t="s">
        <v>1806</v>
      </c>
      <c r="L79" s="3"/>
    </row>
    <row r="80" spans="2:12" ht="27">
      <c r="B80" s="15">
        <f t="shared" si="0"/>
        <v>75</v>
      </c>
      <c r="C80" s="68"/>
      <c r="D80" s="114"/>
      <c r="E80" s="17" t="s">
        <v>1857</v>
      </c>
      <c r="F80" s="115" t="s">
        <v>1858</v>
      </c>
      <c r="G80" s="17"/>
      <c r="H80" s="17" t="s">
        <v>27</v>
      </c>
      <c r="I80" s="169" t="s">
        <v>57</v>
      </c>
      <c r="J80" s="17"/>
      <c r="K80" s="147" t="s">
        <v>1806</v>
      </c>
      <c r="L80" s="3"/>
    </row>
    <row r="81" spans="2:12" ht="27">
      <c r="B81" s="15">
        <f t="shared" si="0"/>
        <v>76</v>
      </c>
      <c r="C81" s="68"/>
      <c r="D81" s="114"/>
      <c r="E81" s="16" t="s">
        <v>1859</v>
      </c>
      <c r="F81" s="115" t="s">
        <v>1860</v>
      </c>
      <c r="G81" s="17"/>
      <c r="H81" s="17" t="s">
        <v>2194</v>
      </c>
      <c r="I81" s="17" t="s">
        <v>21</v>
      </c>
      <c r="J81" s="17"/>
      <c r="K81" s="147" t="s">
        <v>1806</v>
      </c>
      <c r="L81" s="3"/>
    </row>
    <row r="82" spans="2:12" ht="27">
      <c r="B82" s="15">
        <f t="shared" si="0"/>
        <v>77</v>
      </c>
      <c r="C82" s="68"/>
      <c r="D82" s="114"/>
      <c r="E82" s="19"/>
      <c r="F82" s="115" t="s">
        <v>1861</v>
      </c>
      <c r="G82" s="17"/>
      <c r="H82" s="17" t="s">
        <v>50</v>
      </c>
      <c r="I82" s="169" t="s">
        <v>1644</v>
      </c>
      <c r="J82" s="17"/>
      <c r="K82" s="147" t="s">
        <v>1806</v>
      </c>
      <c r="L82" s="3"/>
    </row>
    <row r="83" spans="2:12" ht="27">
      <c r="B83" s="15">
        <f t="shared" si="0"/>
        <v>78</v>
      </c>
      <c r="C83" s="68"/>
      <c r="D83" s="114"/>
      <c r="E83" s="16" t="s">
        <v>1862</v>
      </c>
      <c r="F83" s="115" t="s">
        <v>1863</v>
      </c>
      <c r="G83" s="17"/>
      <c r="H83" s="17" t="s">
        <v>277</v>
      </c>
      <c r="I83" s="17" t="s">
        <v>21</v>
      </c>
      <c r="J83" s="17"/>
      <c r="K83" s="147" t="s">
        <v>1806</v>
      </c>
      <c r="L83" s="3"/>
    </row>
    <row r="84" spans="2:12" ht="27">
      <c r="B84" s="15">
        <f t="shared" si="0"/>
        <v>79</v>
      </c>
      <c r="C84" s="68"/>
      <c r="D84" s="114"/>
      <c r="E84" s="19"/>
      <c r="F84" s="115" t="s">
        <v>1864</v>
      </c>
      <c r="G84" s="17"/>
      <c r="H84" s="17" t="s">
        <v>277</v>
      </c>
      <c r="I84" s="17" t="s">
        <v>21</v>
      </c>
      <c r="J84" s="17"/>
      <c r="K84" s="147" t="s">
        <v>1806</v>
      </c>
      <c r="L84" s="3"/>
    </row>
    <row r="85" spans="2:12" ht="27">
      <c r="B85" s="15">
        <f t="shared" si="0"/>
        <v>80</v>
      </c>
      <c r="C85" s="68"/>
      <c r="D85" s="114"/>
      <c r="E85" s="17" t="s">
        <v>1865</v>
      </c>
      <c r="F85" s="115" t="s">
        <v>1866</v>
      </c>
      <c r="G85" s="17"/>
      <c r="H85" s="17" t="s">
        <v>2195</v>
      </c>
      <c r="I85" s="17" t="s">
        <v>21</v>
      </c>
      <c r="J85" s="17"/>
      <c r="K85" s="147" t="s">
        <v>1806</v>
      </c>
      <c r="L85" s="3"/>
    </row>
    <row r="86" spans="2:12" ht="27">
      <c r="B86" s="15">
        <f t="shared" si="0"/>
        <v>81</v>
      </c>
      <c r="C86" s="68"/>
      <c r="D86" s="114"/>
      <c r="E86" s="68" t="s">
        <v>1867</v>
      </c>
      <c r="F86" s="115" t="s">
        <v>1868</v>
      </c>
      <c r="G86" s="17"/>
      <c r="H86" s="17" t="s">
        <v>2196</v>
      </c>
      <c r="I86" s="17" t="s">
        <v>21</v>
      </c>
      <c r="J86" s="17"/>
      <c r="K86" s="147" t="s">
        <v>1806</v>
      </c>
      <c r="L86" s="3"/>
    </row>
    <row r="87" spans="2:12" ht="40.5">
      <c r="B87" s="15">
        <f t="shared" si="0"/>
        <v>82</v>
      </c>
      <c r="C87" s="68"/>
      <c r="D87" s="114"/>
      <c r="E87" s="16" t="s">
        <v>1869</v>
      </c>
      <c r="F87" s="115" t="s">
        <v>1870</v>
      </c>
      <c r="G87" s="17" t="s">
        <v>2197</v>
      </c>
      <c r="H87" s="17" t="s">
        <v>50</v>
      </c>
      <c r="I87" s="169" t="s">
        <v>1450</v>
      </c>
      <c r="J87" s="17"/>
      <c r="K87" s="147" t="s">
        <v>1806</v>
      </c>
      <c r="L87" s="3"/>
    </row>
    <row r="88" spans="2:12" ht="40.5">
      <c r="B88" s="15">
        <f t="shared" si="0"/>
        <v>83</v>
      </c>
      <c r="C88" s="68"/>
      <c r="D88" s="114"/>
      <c r="E88" s="19"/>
      <c r="F88" s="115" t="s">
        <v>1871</v>
      </c>
      <c r="G88" s="17" t="s">
        <v>2198</v>
      </c>
      <c r="H88" s="17" t="s">
        <v>2199</v>
      </c>
      <c r="I88" s="17" t="s">
        <v>21</v>
      </c>
      <c r="J88" s="17"/>
      <c r="K88" s="147" t="s">
        <v>1806</v>
      </c>
      <c r="L88" s="3"/>
    </row>
    <row r="89" spans="2:12" ht="27">
      <c r="B89" s="15">
        <f t="shared" si="0"/>
        <v>84</v>
      </c>
      <c r="C89" s="16" t="s">
        <v>248</v>
      </c>
      <c r="D89" s="98"/>
      <c r="E89" s="16" t="s">
        <v>2009</v>
      </c>
      <c r="F89" s="115" t="s">
        <v>2009</v>
      </c>
      <c r="G89" s="17"/>
      <c r="H89" s="17" t="s">
        <v>27</v>
      </c>
      <c r="I89" s="169" t="s">
        <v>28</v>
      </c>
      <c r="J89" s="17"/>
      <c r="K89" s="147" t="s">
        <v>1806</v>
      </c>
      <c r="L89" s="3"/>
    </row>
    <row r="90" spans="2:12" ht="27">
      <c r="B90" s="15">
        <f t="shared" si="0"/>
        <v>85</v>
      </c>
      <c r="C90" s="19"/>
      <c r="D90" s="128"/>
      <c r="E90" s="19"/>
      <c r="F90" s="115" t="s">
        <v>2010</v>
      </c>
      <c r="G90" s="17"/>
      <c r="H90" s="17" t="s">
        <v>2200</v>
      </c>
      <c r="I90" s="17" t="s">
        <v>21</v>
      </c>
      <c r="J90" s="17"/>
      <c r="K90" s="147" t="s">
        <v>1806</v>
      </c>
      <c r="L90" s="3"/>
    </row>
    <row r="91" spans="2:12" ht="67.5">
      <c r="B91" s="15">
        <f t="shared" si="0"/>
        <v>86</v>
      </c>
      <c r="C91" s="16" t="s">
        <v>1872</v>
      </c>
      <c r="D91" s="98"/>
      <c r="E91" s="16" t="s">
        <v>2011</v>
      </c>
      <c r="F91" s="115" t="s">
        <v>2012</v>
      </c>
      <c r="G91" s="17" t="s">
        <v>2201</v>
      </c>
      <c r="H91" s="17" t="s">
        <v>50</v>
      </c>
      <c r="I91" s="169" t="s">
        <v>1450</v>
      </c>
      <c r="J91" s="17"/>
      <c r="K91" s="147" t="s">
        <v>1806</v>
      </c>
      <c r="L91" s="3"/>
    </row>
    <row r="92" spans="2:12" ht="27">
      <c r="B92" s="15">
        <f t="shared" si="0"/>
        <v>87</v>
      </c>
      <c r="C92" s="68"/>
      <c r="D92" s="43"/>
      <c r="E92" s="68"/>
      <c r="F92" s="115" t="s">
        <v>2013</v>
      </c>
      <c r="G92" s="17" t="s">
        <v>2202</v>
      </c>
      <c r="H92" s="17" t="s">
        <v>50</v>
      </c>
      <c r="I92" s="169" t="s">
        <v>1450</v>
      </c>
      <c r="J92" s="17"/>
      <c r="K92" s="147" t="s">
        <v>1806</v>
      </c>
      <c r="L92" s="3"/>
    </row>
    <row r="93" spans="2:12" ht="27">
      <c r="B93" s="15">
        <f t="shared" si="0"/>
        <v>88</v>
      </c>
      <c r="C93" s="68"/>
      <c r="D93" s="43"/>
      <c r="E93" s="19"/>
      <c r="F93" s="115" t="s">
        <v>2014</v>
      </c>
      <c r="G93" s="17"/>
      <c r="H93" s="17" t="s">
        <v>50</v>
      </c>
      <c r="I93" s="169" t="s">
        <v>1450</v>
      </c>
      <c r="J93" s="17"/>
      <c r="K93" s="147" t="s">
        <v>1806</v>
      </c>
      <c r="L93" s="3"/>
    </row>
    <row r="94" spans="2:12" ht="27">
      <c r="B94" s="15">
        <f t="shared" si="0"/>
        <v>89</v>
      </c>
      <c r="C94" s="68"/>
      <c r="D94" s="43"/>
      <c r="E94" s="16" t="s">
        <v>2015</v>
      </c>
      <c r="F94" s="115" t="s">
        <v>2016</v>
      </c>
      <c r="G94" s="17" t="s">
        <v>2203</v>
      </c>
      <c r="H94" s="17" t="s">
        <v>50</v>
      </c>
      <c r="I94" s="169" t="s">
        <v>1450</v>
      </c>
      <c r="J94" s="17"/>
      <c r="K94" s="147" t="s">
        <v>1806</v>
      </c>
      <c r="L94" s="3"/>
    </row>
    <row r="95" spans="2:12" ht="27">
      <c r="B95" s="15">
        <f t="shared" si="0"/>
        <v>90</v>
      </c>
      <c r="C95" s="68"/>
      <c r="D95" s="43"/>
      <c r="E95" s="68"/>
      <c r="F95" s="115" t="s">
        <v>2017</v>
      </c>
      <c r="G95" s="17" t="s">
        <v>2204</v>
      </c>
      <c r="H95" s="17" t="s">
        <v>50</v>
      </c>
      <c r="I95" s="169" t="s">
        <v>1450</v>
      </c>
      <c r="J95" s="17"/>
      <c r="K95" s="147" t="s">
        <v>1806</v>
      </c>
      <c r="L95" s="3"/>
    </row>
    <row r="96" spans="2:12" ht="27">
      <c r="B96" s="15">
        <f t="shared" si="0"/>
        <v>91</v>
      </c>
      <c r="C96" s="68"/>
      <c r="D96" s="43"/>
      <c r="E96" s="68"/>
      <c r="F96" s="115" t="s">
        <v>2018</v>
      </c>
      <c r="G96" s="17" t="s">
        <v>2205</v>
      </c>
      <c r="H96" s="17" t="s">
        <v>50</v>
      </c>
      <c r="I96" s="169" t="s">
        <v>1450</v>
      </c>
      <c r="J96" s="17"/>
      <c r="K96" s="147" t="s">
        <v>1806</v>
      </c>
      <c r="L96" s="3"/>
    </row>
    <row r="97" spans="2:12" ht="40.5">
      <c r="B97" s="15">
        <f t="shared" si="0"/>
        <v>92</v>
      </c>
      <c r="C97" s="68"/>
      <c r="D97" s="43"/>
      <c r="E97" s="19"/>
      <c r="F97" s="115" t="s">
        <v>2019</v>
      </c>
      <c r="G97" s="17" t="s">
        <v>2206</v>
      </c>
      <c r="H97" s="17" t="s">
        <v>50</v>
      </c>
      <c r="I97" s="169" t="s">
        <v>1450</v>
      </c>
      <c r="J97" s="17"/>
      <c r="K97" s="147" t="s">
        <v>1806</v>
      </c>
      <c r="L97" s="3"/>
    </row>
    <row r="98" spans="2:12" ht="40.5">
      <c r="B98" s="15">
        <f t="shared" si="0"/>
        <v>93</v>
      </c>
      <c r="C98" s="68"/>
      <c r="D98" s="43"/>
      <c r="E98" s="16" t="s">
        <v>2020</v>
      </c>
      <c r="F98" s="115" t="s">
        <v>2021</v>
      </c>
      <c r="G98" s="17"/>
      <c r="H98" s="17" t="s">
        <v>2212</v>
      </c>
      <c r="I98" s="17" t="s">
        <v>21</v>
      </c>
      <c r="J98" s="17" t="s">
        <v>2215</v>
      </c>
      <c r="K98" s="147" t="s">
        <v>1806</v>
      </c>
      <c r="L98" s="3"/>
    </row>
    <row r="99" spans="2:12" ht="40.5">
      <c r="B99" s="15">
        <f t="shared" si="0"/>
        <v>94</v>
      </c>
      <c r="C99" s="68"/>
      <c r="D99" s="43"/>
      <c r="E99" s="19"/>
      <c r="F99" s="115" t="s">
        <v>2022</v>
      </c>
      <c r="G99" s="17"/>
      <c r="H99" s="17" t="s">
        <v>2213</v>
      </c>
      <c r="I99" s="17" t="s">
        <v>21</v>
      </c>
      <c r="J99" s="17" t="s">
        <v>2214</v>
      </c>
      <c r="K99" s="147" t="s">
        <v>1806</v>
      </c>
      <c r="L99" s="3"/>
    </row>
    <row r="100" spans="2:12" ht="27">
      <c r="B100" s="15">
        <f t="shared" si="0"/>
        <v>95</v>
      </c>
      <c r="C100" s="68"/>
      <c r="D100" s="43"/>
      <c r="E100" s="16" t="s">
        <v>2023</v>
      </c>
      <c r="F100" s="115" t="s">
        <v>1814</v>
      </c>
      <c r="G100" s="17" t="s">
        <v>2148</v>
      </c>
      <c r="H100" s="17" t="s">
        <v>50</v>
      </c>
      <c r="I100" s="169" t="s">
        <v>1450</v>
      </c>
      <c r="J100" s="17"/>
      <c r="K100" s="147" t="s">
        <v>1806</v>
      </c>
      <c r="L100" s="3"/>
    </row>
    <row r="101" spans="2:12" ht="27">
      <c r="B101" s="15">
        <f t="shared" si="0"/>
        <v>96</v>
      </c>
      <c r="C101" s="68"/>
      <c r="D101" s="43"/>
      <c r="E101" s="19"/>
      <c r="F101" s="115" t="s">
        <v>1815</v>
      </c>
      <c r="G101" s="17" t="s">
        <v>2149</v>
      </c>
      <c r="H101" s="17" t="s">
        <v>50</v>
      </c>
      <c r="I101" s="169" t="s">
        <v>1450</v>
      </c>
      <c r="J101" s="17"/>
      <c r="K101" s="147" t="s">
        <v>1806</v>
      </c>
      <c r="L101" s="3"/>
    </row>
    <row r="102" spans="2:12" ht="27">
      <c r="B102" s="15">
        <f t="shared" si="0"/>
        <v>97</v>
      </c>
      <c r="C102" s="68"/>
      <c r="D102" s="43"/>
      <c r="E102" s="16" t="s">
        <v>1177</v>
      </c>
      <c r="F102" s="115" t="s">
        <v>2024</v>
      </c>
      <c r="G102" s="17"/>
      <c r="H102" s="17" t="s">
        <v>2216</v>
      </c>
      <c r="I102" s="17" t="s">
        <v>21</v>
      </c>
      <c r="J102" s="17"/>
      <c r="K102" s="147" t="s">
        <v>1806</v>
      </c>
      <c r="L102" s="3"/>
    </row>
    <row r="103" spans="2:12" ht="27">
      <c r="B103" s="15">
        <f t="shared" si="0"/>
        <v>98</v>
      </c>
      <c r="C103" s="68"/>
      <c r="D103" s="43"/>
      <c r="E103" s="19"/>
      <c r="F103" s="115" t="s">
        <v>167</v>
      </c>
      <c r="G103" s="17"/>
      <c r="H103" s="17" t="s">
        <v>2164</v>
      </c>
      <c r="I103" s="17" t="s">
        <v>21</v>
      </c>
      <c r="J103" s="17"/>
      <c r="K103" s="147" t="s">
        <v>1806</v>
      </c>
      <c r="L103" s="3"/>
    </row>
    <row r="104" spans="2:12" ht="27">
      <c r="B104" s="15">
        <f t="shared" si="0"/>
        <v>99</v>
      </c>
      <c r="C104" s="68"/>
      <c r="D104" s="43"/>
      <c r="E104" s="16" t="s">
        <v>2025</v>
      </c>
      <c r="F104" s="115" t="s">
        <v>2026</v>
      </c>
      <c r="G104" s="17" t="s">
        <v>2217</v>
      </c>
      <c r="H104" s="17" t="s">
        <v>1539</v>
      </c>
      <c r="I104" s="169" t="s">
        <v>2218</v>
      </c>
      <c r="J104" s="17"/>
      <c r="K104" s="147" t="s">
        <v>1806</v>
      </c>
      <c r="L104" s="3"/>
    </row>
    <row r="105" spans="2:12" ht="27">
      <c r="B105" s="15">
        <f t="shared" si="0"/>
        <v>100</v>
      </c>
      <c r="C105" s="68"/>
      <c r="D105" s="43"/>
      <c r="E105" s="19"/>
      <c r="F105" s="115" t="s">
        <v>1680</v>
      </c>
      <c r="G105" s="17" t="s">
        <v>2219</v>
      </c>
      <c r="H105" s="17" t="s">
        <v>50</v>
      </c>
      <c r="I105" s="169" t="s">
        <v>1644</v>
      </c>
      <c r="J105" s="17"/>
      <c r="K105" s="147" t="s">
        <v>1806</v>
      </c>
      <c r="L105" s="3"/>
    </row>
    <row r="106" spans="2:12" ht="27">
      <c r="B106" s="15">
        <f t="shared" si="0"/>
        <v>101</v>
      </c>
      <c r="C106" s="68"/>
      <c r="D106" s="43"/>
      <c r="E106" s="16" t="s">
        <v>2027</v>
      </c>
      <c r="F106" s="115" t="s">
        <v>2028</v>
      </c>
      <c r="G106" s="17"/>
      <c r="H106" s="17"/>
      <c r="I106" s="17" t="s">
        <v>21</v>
      </c>
      <c r="J106" s="17"/>
      <c r="K106" s="147" t="s">
        <v>1806</v>
      </c>
      <c r="L106" s="3"/>
    </row>
    <row r="107" spans="2:12" ht="27">
      <c r="B107" s="15">
        <f t="shared" si="0"/>
        <v>102</v>
      </c>
      <c r="C107" s="68"/>
      <c r="D107" s="43"/>
      <c r="E107" s="68"/>
      <c r="F107" s="115" t="s">
        <v>2029</v>
      </c>
      <c r="G107" s="17"/>
      <c r="H107" s="17"/>
      <c r="I107" s="17" t="s">
        <v>21</v>
      </c>
      <c r="J107" s="17"/>
      <c r="K107" s="147" t="s">
        <v>1806</v>
      </c>
      <c r="L107" s="3"/>
    </row>
    <row r="108" spans="2:12" ht="27">
      <c r="B108" s="15">
        <f t="shared" si="0"/>
        <v>103</v>
      </c>
      <c r="C108" s="68"/>
      <c r="D108" s="43"/>
      <c r="E108" s="19"/>
      <c r="F108" s="115" t="s">
        <v>2030</v>
      </c>
      <c r="G108" s="17"/>
      <c r="H108" s="17"/>
      <c r="I108" s="17" t="s">
        <v>2220</v>
      </c>
      <c r="J108" s="17"/>
      <c r="K108" s="147" t="s">
        <v>1806</v>
      </c>
      <c r="L108" s="3"/>
    </row>
    <row r="109" spans="2:12" ht="27">
      <c r="B109" s="15">
        <f t="shared" si="0"/>
        <v>104</v>
      </c>
      <c r="C109" s="68"/>
      <c r="D109" s="43"/>
      <c r="E109" s="16" t="s">
        <v>2031</v>
      </c>
      <c r="F109" s="115" t="s">
        <v>2032</v>
      </c>
      <c r="G109" s="17" t="s">
        <v>2221</v>
      </c>
      <c r="H109" s="17" t="s">
        <v>2224</v>
      </c>
      <c r="I109" s="17" t="s">
        <v>21</v>
      </c>
      <c r="J109" s="17"/>
      <c r="K109" s="147" t="s">
        <v>1806</v>
      </c>
      <c r="L109" s="3"/>
    </row>
    <row r="110" spans="2:12" ht="27">
      <c r="B110" s="15">
        <f t="shared" si="0"/>
        <v>105</v>
      </c>
      <c r="C110" s="68"/>
      <c r="D110" s="43"/>
      <c r="E110" s="19"/>
      <c r="F110" s="115" t="s">
        <v>2033</v>
      </c>
      <c r="G110" s="17" t="s">
        <v>2222</v>
      </c>
      <c r="H110" s="17" t="s">
        <v>50</v>
      </c>
      <c r="I110" s="169" t="s">
        <v>1450</v>
      </c>
      <c r="J110" s="17"/>
      <c r="K110" s="147" t="s">
        <v>1806</v>
      </c>
      <c r="L110" s="3"/>
    </row>
    <row r="111" spans="2:12" ht="27">
      <c r="B111" s="15">
        <f t="shared" si="0"/>
        <v>106</v>
      </c>
      <c r="C111" s="68"/>
      <c r="D111" s="43"/>
      <c r="E111" s="16" t="s">
        <v>2034</v>
      </c>
      <c r="F111" s="115" t="s">
        <v>2035</v>
      </c>
      <c r="G111" s="17"/>
      <c r="H111" s="17" t="s">
        <v>50</v>
      </c>
      <c r="I111" s="17" t="s">
        <v>21</v>
      </c>
      <c r="J111" s="17"/>
      <c r="K111" s="147" t="s">
        <v>1806</v>
      </c>
      <c r="L111" s="3"/>
    </row>
    <row r="112" spans="2:12" ht="27">
      <c r="B112" s="15">
        <f t="shared" si="0"/>
        <v>107</v>
      </c>
      <c r="C112" s="68"/>
      <c r="D112" s="43"/>
      <c r="E112" s="68"/>
      <c r="F112" s="115" t="s">
        <v>2036</v>
      </c>
      <c r="G112" s="17"/>
      <c r="H112" s="17" t="s">
        <v>50</v>
      </c>
      <c r="I112" s="17" t="s">
        <v>21</v>
      </c>
      <c r="J112" s="17"/>
      <c r="K112" s="147" t="s">
        <v>1806</v>
      </c>
      <c r="L112" s="3"/>
    </row>
    <row r="113" spans="2:12" ht="27">
      <c r="B113" s="15">
        <f t="shared" si="0"/>
        <v>108</v>
      </c>
      <c r="C113" s="68"/>
      <c r="D113" s="43"/>
      <c r="E113" s="68"/>
      <c r="F113" s="115" t="s">
        <v>2037</v>
      </c>
      <c r="G113" s="17"/>
      <c r="H113" s="17" t="s">
        <v>50</v>
      </c>
      <c r="I113" s="17" t="s">
        <v>21</v>
      </c>
      <c r="J113" s="17"/>
      <c r="K113" s="147" t="s">
        <v>1806</v>
      </c>
      <c r="L113" s="3"/>
    </row>
    <row r="114" spans="2:12" ht="40.5">
      <c r="B114" s="15">
        <f t="shared" si="0"/>
        <v>109</v>
      </c>
      <c r="C114" s="68"/>
      <c r="D114" s="43"/>
      <c r="E114" s="19"/>
      <c r="F114" s="115" t="s">
        <v>2038</v>
      </c>
      <c r="G114" s="17"/>
      <c r="H114" s="17" t="s">
        <v>2225</v>
      </c>
      <c r="I114" s="17" t="s">
        <v>180</v>
      </c>
      <c r="J114" s="17"/>
      <c r="K114" s="147" t="s">
        <v>1806</v>
      </c>
      <c r="L114" s="3"/>
    </row>
    <row r="115" spans="2:12" ht="27">
      <c r="B115" s="15">
        <f t="shared" si="0"/>
        <v>110</v>
      </c>
      <c r="C115" s="68"/>
      <c r="D115" s="43"/>
      <c r="E115" s="17" t="s">
        <v>2039</v>
      </c>
      <c r="F115" s="115" t="s">
        <v>2040</v>
      </c>
      <c r="G115" s="17"/>
      <c r="H115" s="17" t="s">
        <v>50</v>
      </c>
      <c r="I115" s="169" t="s">
        <v>1450</v>
      </c>
      <c r="J115" s="17"/>
      <c r="K115" s="147" t="s">
        <v>1806</v>
      </c>
      <c r="L115" s="3"/>
    </row>
    <row r="116" spans="2:12" ht="27">
      <c r="B116" s="15">
        <f t="shared" si="0"/>
        <v>111</v>
      </c>
      <c r="C116" s="68"/>
      <c r="D116" s="43"/>
      <c r="E116" s="16" t="s">
        <v>1762</v>
      </c>
      <c r="F116" s="115" t="s">
        <v>2041</v>
      </c>
      <c r="G116" s="17"/>
      <c r="H116" s="17" t="s">
        <v>27</v>
      </c>
      <c r="I116" s="169" t="s">
        <v>28</v>
      </c>
      <c r="J116" s="17" t="s">
        <v>2142</v>
      </c>
      <c r="K116" s="147" t="s">
        <v>1806</v>
      </c>
      <c r="L116" s="3"/>
    </row>
    <row r="117" spans="2:12" ht="27">
      <c r="B117" s="15">
        <f t="shared" si="0"/>
        <v>112</v>
      </c>
      <c r="C117" s="68"/>
      <c r="D117" s="43"/>
      <c r="E117" s="68"/>
      <c r="F117" s="115" t="s">
        <v>2042</v>
      </c>
      <c r="G117" s="17"/>
      <c r="H117" s="17" t="s">
        <v>2164</v>
      </c>
      <c r="I117" s="17" t="s">
        <v>21</v>
      </c>
      <c r="J117" s="17" t="s">
        <v>2226</v>
      </c>
      <c r="K117" s="147" t="s">
        <v>1806</v>
      </c>
      <c r="L117" s="3"/>
    </row>
    <row r="118" spans="2:12" ht="27">
      <c r="B118" s="15">
        <f t="shared" si="0"/>
        <v>113</v>
      </c>
      <c r="C118" s="68"/>
      <c r="D118" s="43"/>
      <c r="E118" s="68"/>
      <c r="F118" s="115" t="s">
        <v>2043</v>
      </c>
      <c r="G118" s="17"/>
      <c r="H118" s="17" t="s">
        <v>50</v>
      </c>
      <c r="I118" s="169" t="s">
        <v>2227</v>
      </c>
      <c r="J118" s="17"/>
      <c r="K118" s="147" t="s">
        <v>1806</v>
      </c>
      <c r="L118" s="3"/>
    </row>
    <row r="119" spans="2:12" ht="27">
      <c r="B119" s="15">
        <f t="shared" si="0"/>
        <v>114</v>
      </c>
      <c r="C119" s="68"/>
      <c r="D119" s="43"/>
      <c r="E119" s="68"/>
      <c r="F119" s="115" t="s">
        <v>2044</v>
      </c>
      <c r="G119" s="17"/>
      <c r="H119" s="17" t="s">
        <v>50</v>
      </c>
      <c r="I119" s="169" t="s">
        <v>1644</v>
      </c>
      <c r="J119" s="17"/>
      <c r="K119" s="147" t="s">
        <v>1806</v>
      </c>
      <c r="L119" s="3"/>
    </row>
    <row r="120" spans="2:12" ht="27">
      <c r="B120" s="15">
        <f t="shared" si="0"/>
        <v>115</v>
      </c>
      <c r="C120" s="68"/>
      <c r="D120" s="43"/>
      <c r="E120" s="19"/>
      <c r="F120" s="115" t="s">
        <v>2045</v>
      </c>
      <c r="G120" s="17"/>
      <c r="H120" s="17" t="s">
        <v>50</v>
      </c>
      <c r="I120" s="169" t="s">
        <v>1644</v>
      </c>
      <c r="J120" s="17"/>
      <c r="K120" s="147" t="s">
        <v>1806</v>
      </c>
      <c r="L120" s="3"/>
    </row>
    <row r="121" spans="2:12" ht="27">
      <c r="B121" s="15">
        <f t="shared" si="0"/>
        <v>116</v>
      </c>
      <c r="C121" s="68"/>
      <c r="D121" s="43"/>
      <c r="E121" s="16" t="s">
        <v>2046</v>
      </c>
      <c r="F121" s="115" t="s">
        <v>2047</v>
      </c>
      <c r="G121" s="17"/>
      <c r="H121" s="17" t="s">
        <v>27</v>
      </c>
      <c r="I121" s="169" t="s">
        <v>28</v>
      </c>
      <c r="J121" s="17"/>
      <c r="K121" s="147" t="s">
        <v>1806</v>
      </c>
      <c r="L121" s="3"/>
    </row>
    <row r="122" spans="2:12" ht="27">
      <c r="B122" s="15">
        <f t="shared" si="0"/>
        <v>117</v>
      </c>
      <c r="C122" s="68"/>
      <c r="D122" s="43"/>
      <c r="E122" s="19"/>
      <c r="F122" s="115" t="s">
        <v>2048</v>
      </c>
      <c r="G122" s="17"/>
      <c r="H122" s="17" t="s">
        <v>27</v>
      </c>
      <c r="I122" s="169" t="s">
        <v>28</v>
      </c>
      <c r="J122" s="17"/>
      <c r="K122" s="147" t="s">
        <v>1806</v>
      </c>
      <c r="L122" s="3"/>
    </row>
    <row r="123" spans="2:12" ht="27">
      <c r="B123" s="15">
        <f t="shared" si="0"/>
        <v>118</v>
      </c>
      <c r="C123" s="19"/>
      <c r="D123" s="128"/>
      <c r="E123" s="17" t="s">
        <v>2049</v>
      </c>
      <c r="F123" s="115" t="s">
        <v>2050</v>
      </c>
      <c r="G123" s="17"/>
      <c r="H123" s="17" t="s">
        <v>27</v>
      </c>
      <c r="I123" s="169" t="s">
        <v>28</v>
      </c>
      <c r="J123" s="17"/>
      <c r="K123" s="147" t="s">
        <v>1806</v>
      </c>
      <c r="L123" s="3"/>
    </row>
    <row r="124" spans="2:12" ht="27">
      <c r="B124" s="15">
        <f t="shared" si="0"/>
        <v>119</v>
      </c>
      <c r="C124" s="16" t="s">
        <v>1873</v>
      </c>
      <c r="D124" s="98"/>
      <c r="E124" s="16"/>
      <c r="F124" s="115" t="s">
        <v>2051</v>
      </c>
      <c r="G124" s="17" t="s">
        <v>2228</v>
      </c>
      <c r="H124" s="17" t="s">
        <v>2164</v>
      </c>
      <c r="I124" s="17" t="s">
        <v>21</v>
      </c>
      <c r="J124" s="17"/>
      <c r="K124" s="147" t="s">
        <v>1806</v>
      </c>
      <c r="L124" s="3"/>
    </row>
    <row r="125" spans="2:12" ht="40.5">
      <c r="B125" s="15">
        <f t="shared" si="0"/>
        <v>120</v>
      </c>
      <c r="C125" s="68"/>
      <c r="D125" s="43"/>
      <c r="E125" s="68"/>
      <c r="F125" s="115" t="s">
        <v>2052</v>
      </c>
      <c r="G125" s="17" t="s">
        <v>2229</v>
      </c>
      <c r="H125" s="17" t="s">
        <v>50</v>
      </c>
      <c r="I125" s="17" t="s">
        <v>21</v>
      </c>
      <c r="J125" s="17"/>
      <c r="K125" s="147" t="s">
        <v>1806</v>
      </c>
      <c r="L125" s="3"/>
    </row>
    <row r="126" spans="2:12" ht="27">
      <c r="B126" s="15">
        <f t="shared" si="0"/>
        <v>121</v>
      </c>
      <c r="C126" s="68"/>
      <c r="D126" s="43"/>
      <c r="E126" s="68"/>
      <c r="F126" s="115" t="s">
        <v>2053</v>
      </c>
      <c r="G126" s="17" t="s">
        <v>2230</v>
      </c>
      <c r="H126" s="17" t="s">
        <v>50</v>
      </c>
      <c r="I126" s="17" t="s">
        <v>21</v>
      </c>
      <c r="J126" s="17"/>
      <c r="K126" s="147" t="s">
        <v>1806</v>
      </c>
      <c r="L126" s="3"/>
    </row>
    <row r="127" spans="2:12" ht="27">
      <c r="B127" s="15">
        <f t="shared" si="0"/>
        <v>122</v>
      </c>
      <c r="C127" s="68"/>
      <c r="D127" s="43"/>
      <c r="E127" s="68"/>
      <c r="F127" s="115" t="s">
        <v>2054</v>
      </c>
      <c r="G127" s="17" t="s">
        <v>2231</v>
      </c>
      <c r="H127" s="17" t="s">
        <v>50</v>
      </c>
      <c r="I127" s="169" t="s">
        <v>1644</v>
      </c>
      <c r="J127" s="17"/>
      <c r="K127" s="147" t="s">
        <v>1806</v>
      </c>
      <c r="L127" s="3"/>
    </row>
    <row r="128" spans="2:12" ht="54">
      <c r="B128" s="15">
        <f t="shared" si="0"/>
        <v>123</v>
      </c>
      <c r="C128" s="68"/>
      <c r="D128" s="43"/>
      <c r="E128" s="68"/>
      <c r="F128" s="115" t="s">
        <v>2055</v>
      </c>
      <c r="G128" s="17" t="s">
        <v>2232</v>
      </c>
      <c r="H128" s="17" t="s">
        <v>50</v>
      </c>
      <c r="I128" s="169" t="s">
        <v>1644</v>
      </c>
      <c r="J128" s="17"/>
      <c r="K128" s="147" t="s">
        <v>1806</v>
      </c>
      <c r="L128" s="3"/>
    </row>
    <row r="129" spans="2:12" ht="27">
      <c r="B129" s="15">
        <f t="shared" si="0"/>
        <v>124</v>
      </c>
      <c r="C129" s="68"/>
      <c r="D129" s="43"/>
      <c r="E129" s="68"/>
      <c r="F129" s="115" t="s">
        <v>2054</v>
      </c>
      <c r="G129" s="17"/>
      <c r="H129" s="17" t="s">
        <v>50</v>
      </c>
      <c r="I129" s="169" t="s">
        <v>1644</v>
      </c>
      <c r="J129" s="17"/>
      <c r="K129" s="147" t="s">
        <v>1806</v>
      </c>
      <c r="L129" s="3"/>
    </row>
    <row r="130" spans="2:12" ht="67.5">
      <c r="B130" s="15">
        <f t="shared" si="0"/>
        <v>125</v>
      </c>
      <c r="C130" s="68"/>
      <c r="D130" s="43"/>
      <c r="E130" s="68"/>
      <c r="F130" s="115" t="s">
        <v>2056</v>
      </c>
      <c r="G130" s="17" t="s">
        <v>2233</v>
      </c>
      <c r="H130" s="17" t="s">
        <v>27</v>
      </c>
      <c r="I130" s="169" t="s">
        <v>28</v>
      </c>
      <c r="J130" s="17"/>
      <c r="K130" s="147" t="s">
        <v>1806</v>
      </c>
      <c r="L130" s="3"/>
    </row>
    <row r="131" spans="2:12" ht="27">
      <c r="B131" s="15">
        <f t="shared" si="0"/>
        <v>126</v>
      </c>
      <c r="C131" s="68"/>
      <c r="D131" s="43"/>
      <c r="E131" s="19"/>
      <c r="F131" s="115" t="s">
        <v>2057</v>
      </c>
      <c r="G131" s="17"/>
      <c r="H131" s="17" t="s">
        <v>27</v>
      </c>
      <c r="I131" s="169" t="s">
        <v>28</v>
      </c>
      <c r="J131" s="17"/>
      <c r="K131" s="147" t="s">
        <v>1806</v>
      </c>
      <c r="L131" s="3"/>
    </row>
    <row r="132" spans="2:12" ht="27">
      <c r="B132" s="15">
        <f t="shared" si="0"/>
        <v>127</v>
      </c>
      <c r="C132" s="68"/>
      <c r="D132" s="43"/>
      <c r="E132" s="16" t="s">
        <v>2058</v>
      </c>
      <c r="F132" s="115" t="s">
        <v>1663</v>
      </c>
      <c r="G132" s="17" t="s">
        <v>2234</v>
      </c>
      <c r="H132" s="17" t="s">
        <v>50</v>
      </c>
      <c r="I132" s="17" t="s">
        <v>21</v>
      </c>
      <c r="J132" s="17"/>
      <c r="K132" s="147" t="s">
        <v>1806</v>
      </c>
      <c r="L132" s="3"/>
    </row>
    <row r="133" spans="2:12" ht="27">
      <c r="B133" s="15">
        <f t="shared" si="0"/>
        <v>128</v>
      </c>
      <c r="C133" s="68"/>
      <c r="D133" s="43"/>
      <c r="E133" s="68"/>
      <c r="F133" s="115" t="s">
        <v>1664</v>
      </c>
      <c r="G133" s="17" t="s">
        <v>2235</v>
      </c>
      <c r="H133" s="17" t="s">
        <v>50</v>
      </c>
      <c r="I133" s="17" t="s">
        <v>21</v>
      </c>
      <c r="J133" s="17"/>
      <c r="K133" s="147" t="s">
        <v>1806</v>
      </c>
      <c r="L133" s="3"/>
    </row>
    <row r="134" spans="2:12" ht="27">
      <c r="B134" s="15">
        <f t="shared" si="0"/>
        <v>129</v>
      </c>
      <c r="C134" s="68"/>
      <c r="D134" s="43"/>
      <c r="E134" s="68"/>
      <c r="F134" s="115" t="s">
        <v>2059</v>
      </c>
      <c r="G134" s="17" t="s">
        <v>2236</v>
      </c>
      <c r="H134" s="17" t="s">
        <v>50</v>
      </c>
      <c r="I134" s="17" t="s">
        <v>21</v>
      </c>
      <c r="J134" s="17"/>
      <c r="K134" s="147" t="s">
        <v>1806</v>
      </c>
      <c r="L134" s="3"/>
    </row>
    <row r="135" spans="2:12" ht="27">
      <c r="B135" s="15">
        <f t="shared" si="0"/>
        <v>130</v>
      </c>
      <c r="C135" s="68"/>
      <c r="D135" s="43"/>
      <c r="E135" s="19"/>
      <c r="F135" s="115" t="s">
        <v>2060</v>
      </c>
      <c r="G135" s="17" t="s">
        <v>2237</v>
      </c>
      <c r="H135" s="17" t="s">
        <v>50</v>
      </c>
      <c r="I135" s="17" t="s">
        <v>21</v>
      </c>
      <c r="J135" s="17"/>
      <c r="K135" s="147" t="s">
        <v>1806</v>
      </c>
      <c r="L135" s="3"/>
    </row>
    <row r="136" spans="2:12" ht="54">
      <c r="B136" s="15">
        <f t="shared" si="0"/>
        <v>131</v>
      </c>
      <c r="C136" s="68"/>
      <c r="D136" s="43"/>
      <c r="E136" s="17" t="s">
        <v>2061</v>
      </c>
      <c r="F136" s="115" t="s">
        <v>2062</v>
      </c>
      <c r="G136" s="17" t="s">
        <v>2238</v>
      </c>
      <c r="H136" s="17" t="s">
        <v>2239</v>
      </c>
      <c r="I136" s="17" t="s">
        <v>21</v>
      </c>
      <c r="J136" s="17"/>
      <c r="K136" s="147" t="s">
        <v>1806</v>
      </c>
      <c r="L136" s="3"/>
    </row>
    <row r="137" spans="2:12" ht="40.5">
      <c r="B137" s="15">
        <f t="shared" si="0"/>
        <v>132</v>
      </c>
      <c r="C137" s="68"/>
      <c r="D137" s="43"/>
      <c r="E137" s="16" t="s">
        <v>1873</v>
      </c>
      <c r="F137" s="115" t="s">
        <v>2063</v>
      </c>
      <c r="G137" s="17" t="s">
        <v>2240</v>
      </c>
      <c r="H137" s="17" t="s">
        <v>2243</v>
      </c>
      <c r="I137" s="17" t="s">
        <v>21</v>
      </c>
      <c r="J137" s="17"/>
      <c r="K137" s="147" t="s">
        <v>1806</v>
      </c>
      <c r="L137" s="3"/>
    </row>
    <row r="138" spans="2:12" ht="40.5">
      <c r="B138" s="15">
        <f t="shared" si="0"/>
        <v>133</v>
      </c>
      <c r="C138" s="68"/>
      <c r="D138" s="43"/>
      <c r="E138" s="68"/>
      <c r="F138" s="115" t="s">
        <v>2064</v>
      </c>
      <c r="G138" s="17" t="s">
        <v>2241</v>
      </c>
      <c r="H138" s="17" t="s">
        <v>2246</v>
      </c>
      <c r="I138" s="17" t="s">
        <v>21</v>
      </c>
      <c r="J138" s="17"/>
      <c r="K138" s="147" t="s">
        <v>1806</v>
      </c>
      <c r="L138" s="3"/>
    </row>
    <row r="139" spans="2:12" ht="27">
      <c r="B139" s="15">
        <f t="shared" si="0"/>
        <v>134</v>
      </c>
      <c r="C139" s="68"/>
      <c r="D139" s="43"/>
      <c r="E139" s="68"/>
      <c r="F139" s="115" t="s">
        <v>2065</v>
      </c>
      <c r="G139" s="17"/>
      <c r="H139" s="17" t="s">
        <v>2247</v>
      </c>
      <c r="I139" s="17" t="s">
        <v>21</v>
      </c>
      <c r="J139" s="17"/>
      <c r="K139" s="147" t="s">
        <v>1806</v>
      </c>
      <c r="L139" s="3"/>
    </row>
    <row r="140" spans="2:12" ht="54">
      <c r="B140" s="15">
        <f t="shared" si="0"/>
        <v>135</v>
      </c>
      <c r="C140" s="68"/>
      <c r="D140" s="43"/>
      <c r="E140" s="68"/>
      <c r="F140" s="115" t="s">
        <v>2066</v>
      </c>
      <c r="G140" s="17" t="s">
        <v>2248</v>
      </c>
      <c r="H140" s="17" t="s">
        <v>27</v>
      </c>
      <c r="I140" s="169" t="s">
        <v>28</v>
      </c>
      <c r="J140" s="17"/>
      <c r="K140" s="147" t="s">
        <v>1806</v>
      </c>
      <c r="L140" s="3"/>
    </row>
    <row r="141" spans="2:12" ht="135">
      <c r="B141" s="15">
        <f t="shared" si="0"/>
        <v>136</v>
      </c>
      <c r="C141" s="68"/>
      <c r="D141" s="43"/>
      <c r="E141" s="68"/>
      <c r="F141" s="115" t="s">
        <v>2067</v>
      </c>
      <c r="G141" s="17" t="s">
        <v>2249</v>
      </c>
      <c r="H141" s="17" t="s">
        <v>2251</v>
      </c>
      <c r="I141" s="17" t="s">
        <v>2250</v>
      </c>
      <c r="J141" s="17"/>
      <c r="K141" s="147" t="s">
        <v>1806</v>
      </c>
      <c r="L141" s="3"/>
    </row>
    <row r="142" spans="2:12" ht="27">
      <c r="B142" s="15">
        <f t="shared" si="0"/>
        <v>137</v>
      </c>
      <c r="C142" s="68"/>
      <c r="D142" s="43"/>
      <c r="E142" s="19"/>
      <c r="F142" s="115" t="s">
        <v>618</v>
      </c>
      <c r="G142" s="17"/>
      <c r="H142" s="17" t="s">
        <v>2253</v>
      </c>
      <c r="I142" s="17" t="s">
        <v>2252</v>
      </c>
      <c r="J142" s="17"/>
      <c r="K142" s="147" t="s">
        <v>1806</v>
      </c>
      <c r="L142" s="3"/>
    </row>
    <row r="143" spans="2:12" ht="81">
      <c r="B143" s="15">
        <f t="shared" si="0"/>
        <v>138</v>
      </c>
      <c r="C143" s="68"/>
      <c r="D143" s="43"/>
      <c r="E143" s="16" t="s">
        <v>2068</v>
      </c>
      <c r="F143" s="115" t="s">
        <v>2069</v>
      </c>
      <c r="G143" s="17"/>
      <c r="H143" s="17" t="s">
        <v>2256</v>
      </c>
      <c r="I143" s="17" t="s">
        <v>2254</v>
      </c>
      <c r="J143" s="17"/>
      <c r="K143" s="147" t="s">
        <v>1806</v>
      </c>
      <c r="L143" s="3"/>
    </row>
    <row r="144" spans="2:12" ht="27">
      <c r="B144" s="15">
        <f t="shared" si="0"/>
        <v>139</v>
      </c>
      <c r="C144" s="19"/>
      <c r="D144" s="128"/>
      <c r="E144" s="19"/>
      <c r="F144" s="115" t="s">
        <v>2070</v>
      </c>
      <c r="G144" s="17"/>
      <c r="H144" s="17" t="s">
        <v>2255</v>
      </c>
      <c r="I144" s="17" t="s">
        <v>21</v>
      </c>
      <c r="J144" s="17" t="s">
        <v>2257</v>
      </c>
      <c r="K144" s="147" t="s">
        <v>1806</v>
      </c>
      <c r="L144" s="3"/>
    </row>
    <row r="145" spans="2:12" ht="67.5">
      <c r="B145" s="15">
        <f t="shared" si="0"/>
        <v>140</v>
      </c>
      <c r="C145" s="17" t="s">
        <v>1874</v>
      </c>
      <c r="D145" s="17"/>
      <c r="E145" s="17"/>
      <c r="F145" s="17" t="s">
        <v>2071</v>
      </c>
      <c r="G145" s="17" t="s">
        <v>2258</v>
      </c>
      <c r="H145" s="17" t="s">
        <v>2259</v>
      </c>
      <c r="I145" s="17" t="s">
        <v>21</v>
      </c>
      <c r="J145" s="17"/>
      <c r="K145" s="147" t="s">
        <v>1806</v>
      </c>
      <c r="L145" s="3"/>
    </row>
    <row r="146" spans="2:12" ht="54">
      <c r="B146" s="15">
        <f t="shared" si="0"/>
        <v>141</v>
      </c>
      <c r="C146" s="16" t="s">
        <v>1875</v>
      </c>
      <c r="D146" s="98"/>
      <c r="E146" s="17" t="s">
        <v>227</v>
      </c>
      <c r="F146" s="115" t="s">
        <v>2072</v>
      </c>
      <c r="G146" s="17" t="s">
        <v>2260</v>
      </c>
      <c r="H146" s="17" t="s">
        <v>2263</v>
      </c>
      <c r="I146" s="17" t="s">
        <v>21</v>
      </c>
      <c r="J146" s="17"/>
      <c r="K146" s="147" t="s">
        <v>1806</v>
      </c>
      <c r="L146" s="3"/>
    </row>
    <row r="147" spans="2:12" ht="27">
      <c r="B147" s="15">
        <f t="shared" si="0"/>
        <v>142</v>
      </c>
      <c r="C147" s="68"/>
      <c r="D147" s="43"/>
      <c r="E147" s="16" t="s">
        <v>2073</v>
      </c>
      <c r="F147" s="115" t="s">
        <v>2074</v>
      </c>
      <c r="G147" s="17" t="s">
        <v>2261</v>
      </c>
      <c r="H147" s="17" t="s">
        <v>2264</v>
      </c>
      <c r="I147" s="17" t="s">
        <v>21</v>
      </c>
      <c r="J147" s="17"/>
      <c r="K147" s="147" t="s">
        <v>1806</v>
      </c>
      <c r="L147" s="3"/>
    </row>
    <row r="148" spans="2:12" ht="54">
      <c r="B148" s="15">
        <f t="shared" si="0"/>
        <v>143</v>
      </c>
      <c r="C148" s="68"/>
      <c r="D148" s="43"/>
      <c r="E148" s="19"/>
      <c r="F148" s="115" t="s">
        <v>2075</v>
      </c>
      <c r="G148" s="17" t="s">
        <v>2262</v>
      </c>
      <c r="H148" s="17" t="s">
        <v>27</v>
      </c>
      <c r="I148" s="169" t="s">
        <v>28</v>
      </c>
      <c r="J148" s="17"/>
      <c r="K148" s="147" t="s">
        <v>1806</v>
      </c>
      <c r="L148" s="3"/>
    </row>
    <row r="149" spans="2:12" ht="67.5">
      <c r="B149" s="15">
        <f t="shared" si="0"/>
        <v>144</v>
      </c>
      <c r="C149" s="68"/>
      <c r="D149" s="43"/>
      <c r="E149" s="16" t="s">
        <v>1820</v>
      </c>
      <c r="F149" s="115" t="s">
        <v>2076</v>
      </c>
      <c r="G149" s="17" t="s">
        <v>2265</v>
      </c>
      <c r="H149" s="17" t="s">
        <v>27</v>
      </c>
      <c r="I149" s="169" t="s">
        <v>28</v>
      </c>
      <c r="J149" s="17"/>
      <c r="K149" s="147" t="s">
        <v>1806</v>
      </c>
      <c r="L149" s="3"/>
    </row>
    <row r="150" spans="2:12" ht="27">
      <c r="B150" s="15">
        <f t="shared" si="0"/>
        <v>145</v>
      </c>
      <c r="C150" s="68"/>
      <c r="D150" s="43"/>
      <c r="E150" s="19"/>
      <c r="F150" s="115" t="s">
        <v>1822</v>
      </c>
      <c r="G150" s="17" t="s">
        <v>2266</v>
      </c>
      <c r="H150" s="17" t="s">
        <v>277</v>
      </c>
      <c r="I150" s="17" t="s">
        <v>1882</v>
      </c>
      <c r="J150" s="17"/>
      <c r="K150" s="147" t="s">
        <v>1806</v>
      </c>
      <c r="L150" s="3"/>
    </row>
    <row r="151" spans="2:12" ht="27">
      <c r="B151" s="15">
        <f t="shared" si="0"/>
        <v>146</v>
      </c>
      <c r="C151" s="68"/>
      <c r="D151" s="43"/>
      <c r="E151" s="16" t="s">
        <v>676</v>
      </c>
      <c r="F151" s="115" t="s">
        <v>167</v>
      </c>
      <c r="G151" s="17"/>
      <c r="H151" s="17" t="s">
        <v>2164</v>
      </c>
      <c r="I151" s="17" t="s">
        <v>21</v>
      </c>
      <c r="J151" s="17"/>
      <c r="K151" s="147" t="s">
        <v>1806</v>
      </c>
      <c r="L151" s="3"/>
    </row>
    <row r="152" spans="2:12" ht="27">
      <c r="B152" s="15">
        <f t="shared" si="0"/>
        <v>147</v>
      </c>
      <c r="C152" s="68"/>
      <c r="D152" s="43"/>
      <c r="E152" s="68"/>
      <c r="F152" s="115" t="s">
        <v>676</v>
      </c>
      <c r="G152" s="17" t="s">
        <v>2155</v>
      </c>
      <c r="H152" s="17" t="s">
        <v>50</v>
      </c>
      <c r="I152" s="169" t="s">
        <v>1450</v>
      </c>
      <c r="J152" s="17"/>
      <c r="K152" s="147" t="s">
        <v>1806</v>
      </c>
      <c r="L152" s="3"/>
    </row>
    <row r="153" spans="2:12" ht="40.5">
      <c r="B153" s="15">
        <f t="shared" si="0"/>
        <v>148</v>
      </c>
      <c r="C153" s="68"/>
      <c r="D153" s="43"/>
      <c r="E153" s="19"/>
      <c r="F153" s="115" t="s">
        <v>1823</v>
      </c>
      <c r="G153" s="17" t="s">
        <v>2156</v>
      </c>
      <c r="H153" s="17" t="s">
        <v>50</v>
      </c>
      <c r="I153" s="169" t="s">
        <v>1393</v>
      </c>
      <c r="J153" s="17"/>
      <c r="K153" s="147" t="s">
        <v>1806</v>
      </c>
      <c r="L153" s="3"/>
    </row>
    <row r="154" spans="2:12" ht="27">
      <c r="B154" s="15">
        <f t="shared" si="0"/>
        <v>149</v>
      </c>
      <c r="C154" s="68"/>
      <c r="D154" s="43"/>
      <c r="E154" s="16" t="s">
        <v>1824</v>
      </c>
      <c r="F154" s="115" t="s">
        <v>1825</v>
      </c>
      <c r="G154" s="17" t="s">
        <v>2267</v>
      </c>
      <c r="H154" s="17" t="s">
        <v>50</v>
      </c>
      <c r="I154" s="169" t="s">
        <v>1450</v>
      </c>
      <c r="J154" s="17"/>
      <c r="K154" s="147" t="s">
        <v>1806</v>
      </c>
      <c r="L154" s="3"/>
    </row>
    <row r="155" spans="2:12" ht="40.5">
      <c r="B155" s="15">
        <f t="shared" si="0"/>
        <v>150</v>
      </c>
      <c r="C155" s="68"/>
      <c r="D155" s="43"/>
      <c r="E155" s="68"/>
      <c r="F155" s="115" t="s">
        <v>1826</v>
      </c>
      <c r="G155" s="17" t="s">
        <v>2268</v>
      </c>
      <c r="H155" s="17" t="s">
        <v>50</v>
      </c>
      <c r="I155" s="169" t="s">
        <v>1450</v>
      </c>
      <c r="J155" s="17"/>
      <c r="K155" s="147" t="s">
        <v>1806</v>
      </c>
      <c r="L155" s="3"/>
    </row>
    <row r="156" spans="2:12" ht="40.5">
      <c r="B156" s="15">
        <f t="shared" si="0"/>
        <v>151</v>
      </c>
      <c r="C156" s="68"/>
      <c r="D156" s="43"/>
      <c r="E156" s="19"/>
      <c r="F156" s="115" t="s">
        <v>1827</v>
      </c>
      <c r="G156" s="17" t="s">
        <v>2159</v>
      </c>
      <c r="H156" s="17" t="s">
        <v>27</v>
      </c>
      <c r="I156" s="169" t="s">
        <v>28</v>
      </c>
      <c r="J156" s="17"/>
      <c r="K156" s="147" t="s">
        <v>1806</v>
      </c>
      <c r="L156" s="3"/>
    </row>
    <row r="157" spans="2:12" ht="54">
      <c r="B157" s="15">
        <f t="shared" si="0"/>
        <v>152</v>
      </c>
      <c r="C157" s="68"/>
      <c r="D157" s="43"/>
      <c r="E157" s="16" t="s">
        <v>2077</v>
      </c>
      <c r="F157" s="115" t="s">
        <v>176</v>
      </c>
      <c r="G157" s="17"/>
      <c r="H157" s="17" t="s">
        <v>1032</v>
      </c>
      <c r="I157" s="17" t="s">
        <v>170</v>
      </c>
      <c r="J157" s="17"/>
      <c r="K157" s="147" t="s">
        <v>1806</v>
      </c>
      <c r="L157" s="3"/>
    </row>
    <row r="158" spans="2:12" ht="54">
      <c r="B158" s="15">
        <f t="shared" si="0"/>
        <v>153</v>
      </c>
      <c r="C158" s="68"/>
      <c r="D158" s="43"/>
      <c r="E158" s="68"/>
      <c r="F158" s="115" t="s">
        <v>2078</v>
      </c>
      <c r="G158" s="17"/>
      <c r="H158" s="17" t="s">
        <v>1032</v>
      </c>
      <c r="I158" s="17" t="s">
        <v>170</v>
      </c>
      <c r="J158" s="17"/>
      <c r="K158" s="147" t="s">
        <v>1806</v>
      </c>
      <c r="L158" s="3"/>
    </row>
    <row r="159" spans="2:12" ht="54">
      <c r="B159" s="15">
        <f t="shared" si="0"/>
        <v>154</v>
      </c>
      <c r="C159" s="68"/>
      <c r="D159" s="43"/>
      <c r="E159" s="68"/>
      <c r="F159" s="115" t="s">
        <v>241</v>
      </c>
      <c r="G159" s="17"/>
      <c r="H159" s="17" t="s">
        <v>1032</v>
      </c>
      <c r="I159" s="17" t="s">
        <v>170</v>
      </c>
      <c r="J159" s="17"/>
      <c r="K159" s="147" t="s">
        <v>1806</v>
      </c>
      <c r="L159" s="3"/>
    </row>
    <row r="160" spans="2:12" ht="54">
      <c r="B160" s="15">
        <f t="shared" si="0"/>
        <v>155</v>
      </c>
      <c r="C160" s="19"/>
      <c r="D160" s="128"/>
      <c r="E160" s="19"/>
      <c r="F160" s="115" t="s">
        <v>2079</v>
      </c>
      <c r="G160" s="17"/>
      <c r="H160" s="17" t="s">
        <v>1032</v>
      </c>
      <c r="I160" s="17" t="s">
        <v>170</v>
      </c>
      <c r="J160" s="17"/>
      <c r="K160" s="147" t="s">
        <v>1806</v>
      </c>
      <c r="L160" s="3"/>
    </row>
    <row r="161" spans="2:12" ht="27">
      <c r="B161" s="15">
        <f t="shared" si="0"/>
        <v>156</v>
      </c>
      <c r="C161" s="16" t="s">
        <v>1876</v>
      </c>
      <c r="D161" s="98"/>
      <c r="E161" s="16"/>
      <c r="F161" s="115" t="s">
        <v>300</v>
      </c>
      <c r="G161" s="17" t="s">
        <v>2269</v>
      </c>
      <c r="H161" s="17" t="s">
        <v>2270</v>
      </c>
      <c r="I161" s="17" t="s">
        <v>21</v>
      </c>
      <c r="J161" s="17"/>
      <c r="K161" s="147" t="s">
        <v>1806</v>
      </c>
      <c r="L161" s="3"/>
    </row>
    <row r="162" spans="2:12" ht="40.5">
      <c r="B162" s="15">
        <f t="shared" si="0"/>
        <v>157</v>
      </c>
      <c r="C162" s="16" t="s">
        <v>892</v>
      </c>
      <c r="D162" s="98"/>
      <c r="E162" s="16" t="s">
        <v>621</v>
      </c>
      <c r="F162" s="115" t="s">
        <v>2272</v>
      </c>
      <c r="G162" s="17"/>
      <c r="H162" s="17" t="s">
        <v>21</v>
      </c>
      <c r="I162" s="17" t="s">
        <v>21</v>
      </c>
      <c r="J162" s="17" t="s">
        <v>2271</v>
      </c>
      <c r="K162" s="147" t="s">
        <v>1806</v>
      </c>
      <c r="L162" s="3"/>
    </row>
    <row r="163" spans="2:12" ht="67.5">
      <c r="B163" s="15">
        <f t="shared" si="0"/>
        <v>158</v>
      </c>
      <c r="C163" s="16" t="s">
        <v>389</v>
      </c>
      <c r="D163" s="98"/>
      <c r="E163" s="16" t="s">
        <v>2015</v>
      </c>
      <c r="F163" s="115" t="s">
        <v>2080</v>
      </c>
      <c r="G163" s="17" t="s">
        <v>2273</v>
      </c>
      <c r="H163" s="17"/>
      <c r="I163" s="17" t="s">
        <v>21</v>
      </c>
      <c r="J163" s="17"/>
      <c r="K163" s="147" t="s">
        <v>1806</v>
      </c>
      <c r="L163" s="3"/>
    </row>
    <row r="164" spans="2:12" ht="27">
      <c r="B164" s="15">
        <f t="shared" si="0"/>
        <v>159</v>
      </c>
      <c r="C164" s="68"/>
      <c r="D164" s="43"/>
      <c r="E164" s="68"/>
      <c r="F164" s="115" t="s">
        <v>2081</v>
      </c>
      <c r="G164" s="17"/>
      <c r="H164" s="17" t="s">
        <v>50</v>
      </c>
      <c r="I164" s="169" t="s">
        <v>1450</v>
      </c>
      <c r="J164" s="17"/>
      <c r="K164" s="147" t="s">
        <v>1806</v>
      </c>
      <c r="L164" s="3"/>
    </row>
    <row r="165" spans="2:12" ht="54">
      <c r="B165" s="15">
        <f t="shared" si="0"/>
        <v>160</v>
      </c>
      <c r="C165" s="68"/>
      <c r="D165" s="43"/>
      <c r="E165" s="68"/>
      <c r="F165" s="115" t="s">
        <v>2082</v>
      </c>
      <c r="G165" s="17" t="s">
        <v>2274</v>
      </c>
      <c r="H165" s="17"/>
      <c r="I165" s="17" t="s">
        <v>21</v>
      </c>
      <c r="J165" s="17"/>
      <c r="K165" s="147" t="s">
        <v>1806</v>
      </c>
      <c r="L165" s="3"/>
    </row>
    <row r="166" spans="2:12" ht="40.5">
      <c r="B166" s="15">
        <f t="shared" si="0"/>
        <v>161</v>
      </c>
      <c r="C166" s="68"/>
      <c r="D166" s="43"/>
      <c r="E166" s="19"/>
      <c r="F166" s="115" t="s">
        <v>2083</v>
      </c>
      <c r="G166" s="17" t="s">
        <v>2275</v>
      </c>
      <c r="H166" s="17"/>
      <c r="I166" s="17" t="s">
        <v>21</v>
      </c>
      <c r="J166" s="17"/>
      <c r="K166" s="147" t="s">
        <v>1806</v>
      </c>
      <c r="L166" s="3"/>
    </row>
    <row r="167" spans="2:12" ht="54">
      <c r="B167" s="15">
        <f t="shared" si="0"/>
        <v>162</v>
      </c>
      <c r="C167" s="68"/>
      <c r="D167" s="43"/>
      <c r="E167" s="16" t="s">
        <v>45</v>
      </c>
      <c r="F167" s="115" t="s">
        <v>2327</v>
      </c>
      <c r="G167" s="17" t="s">
        <v>2276</v>
      </c>
      <c r="H167" s="17"/>
      <c r="I167" s="17" t="s">
        <v>21</v>
      </c>
      <c r="J167" s="17"/>
      <c r="K167" s="147" t="s">
        <v>1806</v>
      </c>
      <c r="L167" s="3"/>
    </row>
    <row r="168" spans="2:12" ht="54">
      <c r="B168" s="15">
        <f t="shared" si="0"/>
        <v>163</v>
      </c>
      <c r="C168" s="68"/>
      <c r="D168" s="43"/>
      <c r="E168" s="19"/>
      <c r="F168" s="115" t="s">
        <v>2328</v>
      </c>
      <c r="G168" s="17" t="s">
        <v>2276</v>
      </c>
      <c r="H168" s="17"/>
      <c r="I168" s="17" t="s">
        <v>21</v>
      </c>
      <c r="J168" s="17"/>
      <c r="K168" s="147" t="s">
        <v>1806</v>
      </c>
      <c r="L168" s="3"/>
    </row>
    <row r="169" spans="2:12" ht="27">
      <c r="B169" s="15">
        <f t="shared" si="0"/>
        <v>164</v>
      </c>
      <c r="C169" s="68"/>
      <c r="D169" s="43"/>
      <c r="E169" s="16" t="s">
        <v>2084</v>
      </c>
      <c r="F169" s="115" t="s">
        <v>389</v>
      </c>
      <c r="G169" s="17"/>
      <c r="H169" s="17"/>
      <c r="I169" s="17" t="s">
        <v>21</v>
      </c>
      <c r="J169" s="17"/>
      <c r="K169" s="147" t="s">
        <v>1806</v>
      </c>
      <c r="L169" s="3"/>
    </row>
    <row r="170" spans="2:12" ht="27">
      <c r="B170" s="15">
        <f t="shared" si="0"/>
        <v>165</v>
      </c>
      <c r="C170" s="68"/>
      <c r="D170" s="43"/>
      <c r="E170" s="68"/>
      <c r="F170" s="115" t="s">
        <v>695</v>
      </c>
      <c r="G170" s="17"/>
      <c r="H170" s="17"/>
      <c r="I170" s="17" t="s">
        <v>21</v>
      </c>
      <c r="J170" s="17"/>
      <c r="K170" s="147" t="s">
        <v>1806</v>
      </c>
      <c r="L170" s="3"/>
    </row>
    <row r="171" spans="2:12" ht="27">
      <c r="B171" s="15">
        <f t="shared" si="0"/>
        <v>166</v>
      </c>
      <c r="C171" s="68"/>
      <c r="D171" s="43"/>
      <c r="E171" s="19"/>
      <c r="F171" s="115" t="s">
        <v>193</v>
      </c>
      <c r="G171" s="17"/>
      <c r="H171" s="17"/>
      <c r="I171" s="17" t="s">
        <v>21</v>
      </c>
      <c r="J171" s="17"/>
      <c r="K171" s="147" t="s">
        <v>1806</v>
      </c>
      <c r="L171" s="3"/>
    </row>
    <row r="172" spans="2:12" ht="27">
      <c r="B172" s="15">
        <f t="shared" si="0"/>
        <v>167</v>
      </c>
      <c r="C172" s="68"/>
      <c r="D172" s="43"/>
      <c r="E172" s="16" t="s">
        <v>2085</v>
      </c>
      <c r="F172" s="115" t="s">
        <v>2086</v>
      </c>
      <c r="G172" s="17"/>
      <c r="H172" s="17"/>
      <c r="I172" s="17" t="s">
        <v>21</v>
      </c>
      <c r="J172" s="17"/>
      <c r="K172" s="147" t="s">
        <v>1806</v>
      </c>
      <c r="L172" s="3"/>
    </row>
    <row r="173" spans="2:12" ht="27">
      <c r="B173" s="15">
        <f t="shared" si="0"/>
        <v>168</v>
      </c>
      <c r="C173" s="68"/>
      <c r="D173" s="43"/>
      <c r="E173" s="68"/>
      <c r="F173" s="115" t="s">
        <v>2087</v>
      </c>
      <c r="G173" s="17"/>
      <c r="H173" s="17"/>
      <c r="I173" s="17" t="s">
        <v>21</v>
      </c>
      <c r="J173" s="17"/>
      <c r="K173" s="147" t="s">
        <v>1806</v>
      </c>
      <c r="L173" s="3"/>
    </row>
    <row r="174" spans="2:12" ht="27">
      <c r="B174" s="15">
        <f t="shared" si="0"/>
        <v>169</v>
      </c>
      <c r="C174" s="68"/>
      <c r="D174" s="43"/>
      <c r="E174" s="68"/>
      <c r="F174" s="115" t="s">
        <v>2088</v>
      </c>
      <c r="G174" s="17"/>
      <c r="H174" s="17"/>
      <c r="I174" s="17" t="s">
        <v>21</v>
      </c>
      <c r="J174" s="17"/>
      <c r="K174" s="147" t="s">
        <v>1806</v>
      </c>
      <c r="L174" s="3"/>
    </row>
    <row r="175" spans="2:12" ht="27">
      <c r="B175" s="15">
        <f t="shared" si="0"/>
        <v>170</v>
      </c>
      <c r="C175" s="68"/>
      <c r="D175" s="43"/>
      <c r="E175" s="68"/>
      <c r="F175" s="115" t="s">
        <v>2089</v>
      </c>
      <c r="G175" s="17"/>
      <c r="H175" s="17"/>
      <c r="I175" s="17" t="s">
        <v>21</v>
      </c>
      <c r="J175" s="17"/>
      <c r="K175" s="147" t="s">
        <v>1806</v>
      </c>
      <c r="L175" s="3"/>
    </row>
    <row r="176" spans="2:12" ht="27">
      <c r="B176" s="15">
        <f t="shared" si="0"/>
        <v>171</v>
      </c>
      <c r="C176" s="68"/>
      <c r="D176" s="43"/>
      <c r="E176" s="68"/>
      <c r="F176" s="115" t="s">
        <v>2090</v>
      </c>
      <c r="G176" s="17"/>
      <c r="H176" s="17"/>
      <c r="I176" s="17" t="s">
        <v>21</v>
      </c>
      <c r="J176" s="17"/>
      <c r="K176" s="147" t="s">
        <v>1806</v>
      </c>
      <c r="L176" s="3"/>
    </row>
    <row r="177" spans="2:12" ht="27">
      <c r="B177" s="15">
        <f t="shared" si="0"/>
        <v>172</v>
      </c>
      <c r="C177" s="68"/>
      <c r="D177" s="43"/>
      <c r="E177" s="68"/>
      <c r="F177" s="115" t="s">
        <v>2091</v>
      </c>
      <c r="G177" s="17"/>
      <c r="H177" s="17"/>
      <c r="I177" s="17" t="s">
        <v>21</v>
      </c>
      <c r="J177" s="17"/>
      <c r="K177" s="147" t="s">
        <v>1806</v>
      </c>
      <c r="L177" s="3"/>
    </row>
    <row r="178" spans="2:12" ht="27">
      <c r="B178" s="15">
        <f t="shared" si="0"/>
        <v>173</v>
      </c>
      <c r="C178" s="68"/>
      <c r="D178" s="43"/>
      <c r="E178" s="68"/>
      <c r="F178" s="115" t="s">
        <v>2092</v>
      </c>
      <c r="G178" s="17"/>
      <c r="H178" s="17"/>
      <c r="I178" s="17" t="s">
        <v>21</v>
      </c>
      <c r="J178" s="17"/>
      <c r="K178" s="147" t="s">
        <v>1806</v>
      </c>
      <c r="L178" s="3"/>
    </row>
    <row r="179" spans="2:12" ht="27">
      <c r="B179" s="15">
        <f t="shared" si="0"/>
        <v>174</v>
      </c>
      <c r="C179" s="68"/>
      <c r="D179" s="43"/>
      <c r="E179" s="68"/>
      <c r="F179" s="115" t="s">
        <v>2093</v>
      </c>
      <c r="G179" s="17"/>
      <c r="H179" s="17"/>
      <c r="I179" s="17" t="s">
        <v>21</v>
      </c>
      <c r="J179" s="17"/>
      <c r="K179" s="147" t="s">
        <v>1806</v>
      </c>
      <c r="L179" s="3"/>
    </row>
    <row r="180" spans="2:12" ht="27">
      <c r="B180" s="15">
        <f t="shared" si="0"/>
        <v>175</v>
      </c>
      <c r="C180" s="68"/>
      <c r="D180" s="43"/>
      <c r="E180" s="68"/>
      <c r="F180" s="115" t="s">
        <v>2094</v>
      </c>
      <c r="G180" s="17"/>
      <c r="H180" s="17"/>
      <c r="I180" s="17" t="s">
        <v>21</v>
      </c>
      <c r="J180" s="17"/>
      <c r="K180" s="147" t="s">
        <v>1806</v>
      </c>
      <c r="L180" s="3"/>
    </row>
    <row r="181" spans="2:12" ht="27">
      <c r="B181" s="15">
        <f t="shared" si="0"/>
        <v>176</v>
      </c>
      <c r="C181" s="68"/>
      <c r="D181" s="43"/>
      <c r="E181" s="19"/>
      <c r="F181" s="115" t="s">
        <v>2095</v>
      </c>
      <c r="G181" s="17"/>
      <c r="H181" s="17"/>
      <c r="I181" s="17" t="s">
        <v>21</v>
      </c>
      <c r="J181" s="17"/>
      <c r="K181" s="147" t="s">
        <v>1806</v>
      </c>
      <c r="L181" s="3"/>
    </row>
    <row r="182" spans="2:12" ht="27">
      <c r="B182" s="15">
        <f t="shared" si="0"/>
        <v>177</v>
      </c>
      <c r="C182" s="68"/>
      <c r="D182" s="43"/>
      <c r="E182" s="16" t="s">
        <v>2096</v>
      </c>
      <c r="F182" s="115" t="s">
        <v>2097</v>
      </c>
      <c r="G182" s="17"/>
      <c r="H182" s="17"/>
      <c r="I182" s="17" t="s">
        <v>21</v>
      </c>
      <c r="J182" s="17"/>
      <c r="K182" s="147" t="s">
        <v>1806</v>
      </c>
      <c r="L182" s="3"/>
    </row>
    <row r="183" spans="2:12" ht="27">
      <c r="B183" s="15">
        <f t="shared" si="0"/>
        <v>178</v>
      </c>
      <c r="C183" s="68"/>
      <c r="D183" s="43"/>
      <c r="E183" s="19"/>
      <c r="F183" s="115" t="s">
        <v>2098</v>
      </c>
      <c r="G183" s="17"/>
      <c r="H183" s="17"/>
      <c r="I183" s="17" t="s">
        <v>21</v>
      </c>
      <c r="J183" s="17"/>
      <c r="K183" s="147" t="s">
        <v>1806</v>
      </c>
      <c r="L183" s="3"/>
    </row>
    <row r="184" spans="2:12" ht="54">
      <c r="B184" s="15">
        <f t="shared" si="0"/>
        <v>179</v>
      </c>
      <c r="C184" s="68"/>
      <c r="D184" s="43"/>
      <c r="E184" s="16" t="s">
        <v>1873</v>
      </c>
      <c r="F184" s="115" t="s">
        <v>2099</v>
      </c>
      <c r="G184" s="17" t="s">
        <v>2100</v>
      </c>
      <c r="H184" s="17"/>
      <c r="I184" s="17" t="s">
        <v>21</v>
      </c>
      <c r="J184" s="17"/>
      <c r="K184" s="147" t="s">
        <v>1806</v>
      </c>
      <c r="L184" s="3"/>
    </row>
    <row r="185" spans="2:12" ht="94.5">
      <c r="B185" s="15">
        <f t="shared" si="0"/>
        <v>180</v>
      </c>
      <c r="C185" s="68"/>
      <c r="D185" s="43"/>
      <c r="E185" s="68"/>
      <c r="F185" s="115" t="s">
        <v>2101</v>
      </c>
      <c r="G185" s="17" t="s">
        <v>2102</v>
      </c>
      <c r="H185" s="17" t="s">
        <v>27</v>
      </c>
      <c r="I185" s="169" t="s">
        <v>28</v>
      </c>
      <c r="J185" s="17"/>
      <c r="K185" s="147" t="s">
        <v>1806</v>
      </c>
      <c r="L185" s="3"/>
    </row>
    <row r="186" spans="2:12" ht="27">
      <c r="B186" s="15">
        <f t="shared" si="0"/>
        <v>181</v>
      </c>
      <c r="C186" s="68"/>
      <c r="D186" s="43"/>
      <c r="E186" s="19"/>
      <c r="F186" s="115" t="s">
        <v>2103</v>
      </c>
      <c r="G186" s="17" t="s">
        <v>2277</v>
      </c>
      <c r="H186" s="17" t="s">
        <v>50</v>
      </c>
      <c r="I186" s="169" t="s">
        <v>1450</v>
      </c>
      <c r="J186" s="17"/>
      <c r="K186" s="147" t="s">
        <v>1806</v>
      </c>
      <c r="L186" s="3"/>
    </row>
    <row r="187" spans="2:12" ht="40.5">
      <c r="B187" s="15">
        <f t="shared" si="0"/>
        <v>182</v>
      </c>
      <c r="C187" s="68"/>
      <c r="D187" s="43"/>
      <c r="E187" s="17" t="s">
        <v>1764</v>
      </c>
      <c r="F187" s="115" t="s">
        <v>1765</v>
      </c>
      <c r="G187" s="17"/>
      <c r="H187" s="17"/>
      <c r="I187" s="17" t="s">
        <v>21</v>
      </c>
      <c r="J187" s="17"/>
      <c r="K187" s="147" t="s">
        <v>1806</v>
      </c>
      <c r="L187" s="3"/>
    </row>
    <row r="188" spans="2:12" ht="27">
      <c r="B188" s="15">
        <f t="shared" si="0"/>
        <v>183</v>
      </c>
      <c r="C188" s="68"/>
      <c r="D188" s="43"/>
      <c r="E188" s="16" t="s">
        <v>1766</v>
      </c>
      <c r="F188" s="115" t="s">
        <v>2104</v>
      </c>
      <c r="G188" s="17"/>
      <c r="H188" s="17"/>
      <c r="I188" s="17" t="s">
        <v>21</v>
      </c>
      <c r="J188" s="17"/>
      <c r="K188" s="147" t="s">
        <v>1806</v>
      </c>
      <c r="L188" s="3"/>
    </row>
    <row r="189" spans="2:12" ht="27">
      <c r="B189" s="15">
        <f t="shared" si="0"/>
        <v>184</v>
      </c>
      <c r="C189" s="68"/>
      <c r="D189" s="43"/>
      <c r="E189" s="68"/>
      <c r="F189" s="115" t="s">
        <v>2105</v>
      </c>
      <c r="G189" s="17"/>
      <c r="H189" s="17"/>
      <c r="I189" s="17" t="s">
        <v>21</v>
      </c>
      <c r="J189" s="17"/>
      <c r="K189" s="147" t="s">
        <v>1806</v>
      </c>
      <c r="L189" s="3"/>
    </row>
    <row r="190" spans="2:12" ht="27">
      <c r="B190" s="15">
        <f t="shared" si="0"/>
        <v>185</v>
      </c>
      <c r="C190" s="68"/>
      <c r="D190" s="43"/>
      <c r="E190" s="19"/>
      <c r="F190" s="115" t="s">
        <v>2106</v>
      </c>
      <c r="G190" s="17" t="s">
        <v>2278</v>
      </c>
      <c r="H190" s="17"/>
      <c r="I190" s="17" t="s">
        <v>21</v>
      </c>
      <c r="J190" s="17"/>
      <c r="K190" s="147" t="s">
        <v>1806</v>
      </c>
      <c r="L190" s="3"/>
    </row>
    <row r="191" spans="2:12" ht="27">
      <c r="B191" s="15">
        <f t="shared" si="0"/>
        <v>186</v>
      </c>
      <c r="C191" s="19"/>
      <c r="D191" s="128"/>
      <c r="E191" s="17" t="s">
        <v>618</v>
      </c>
      <c r="F191" s="115" t="s">
        <v>2107</v>
      </c>
      <c r="G191" s="17" t="s">
        <v>2279</v>
      </c>
      <c r="H191" s="17"/>
      <c r="I191" s="17" t="s">
        <v>21</v>
      </c>
      <c r="J191" s="17"/>
      <c r="K191" s="147" t="s">
        <v>1806</v>
      </c>
      <c r="L191" s="3"/>
    </row>
    <row r="192" spans="2:12" ht="27">
      <c r="B192" s="15">
        <f t="shared" si="0"/>
        <v>187</v>
      </c>
      <c r="C192" s="16" t="s">
        <v>560</v>
      </c>
      <c r="D192" s="98"/>
      <c r="E192" s="16" t="s">
        <v>897</v>
      </c>
      <c r="F192" s="115" t="s">
        <v>1783</v>
      </c>
      <c r="G192" s="17"/>
      <c r="H192" s="17"/>
      <c r="I192" s="17" t="s">
        <v>21</v>
      </c>
      <c r="J192" s="17"/>
      <c r="K192" s="147" t="s">
        <v>1806</v>
      </c>
      <c r="L192" s="3"/>
    </row>
    <row r="193" spans="2:12" ht="27">
      <c r="B193" s="15">
        <f t="shared" si="0"/>
        <v>188</v>
      </c>
      <c r="C193" s="68"/>
      <c r="D193" s="43"/>
      <c r="E193" s="68"/>
      <c r="F193" s="115" t="s">
        <v>1750</v>
      </c>
      <c r="G193" s="17"/>
      <c r="H193" s="17"/>
      <c r="I193" s="17" t="s">
        <v>21</v>
      </c>
      <c r="J193" s="17"/>
      <c r="K193" s="147" t="s">
        <v>1806</v>
      </c>
      <c r="L193" s="3"/>
    </row>
    <row r="194" spans="2:12" ht="27">
      <c r="B194" s="15">
        <f t="shared" si="0"/>
        <v>189</v>
      </c>
      <c r="C194" s="68"/>
      <c r="D194" s="43"/>
      <c r="E194" s="68"/>
      <c r="F194" s="115" t="s">
        <v>1749</v>
      </c>
      <c r="G194" s="17"/>
      <c r="H194" s="17"/>
      <c r="I194" s="17" t="s">
        <v>21</v>
      </c>
      <c r="J194" s="17"/>
      <c r="K194" s="147" t="s">
        <v>1806</v>
      </c>
      <c r="L194" s="3"/>
    </row>
    <row r="195" spans="2:12" ht="27">
      <c r="B195" s="15">
        <f t="shared" si="0"/>
        <v>190</v>
      </c>
      <c r="C195" s="68"/>
      <c r="D195" s="43"/>
      <c r="E195" s="19"/>
      <c r="F195" s="115" t="s">
        <v>2108</v>
      </c>
      <c r="G195" s="17"/>
      <c r="H195" s="17" t="s">
        <v>27</v>
      </c>
      <c r="I195" s="169" t="s">
        <v>28</v>
      </c>
      <c r="J195" s="17"/>
      <c r="K195" s="147" t="s">
        <v>1806</v>
      </c>
      <c r="L195" s="3"/>
    </row>
    <row r="196" spans="2:12" ht="27">
      <c r="B196" s="15">
        <f t="shared" si="0"/>
        <v>191</v>
      </c>
      <c r="C196" s="68"/>
      <c r="D196" s="43"/>
      <c r="E196" s="16" t="s">
        <v>2109</v>
      </c>
      <c r="F196" s="115" t="s">
        <v>2110</v>
      </c>
      <c r="G196" s="17"/>
      <c r="H196" s="17" t="s">
        <v>2164</v>
      </c>
      <c r="I196" s="17" t="s">
        <v>21</v>
      </c>
      <c r="J196" s="17"/>
      <c r="K196" s="147" t="s">
        <v>1806</v>
      </c>
      <c r="L196" s="3"/>
    </row>
    <row r="197" spans="2:12" ht="27">
      <c r="B197" s="15">
        <f t="shared" si="0"/>
        <v>192</v>
      </c>
      <c r="C197" s="68"/>
      <c r="D197" s="43"/>
      <c r="E197" s="19"/>
      <c r="F197" s="115" t="s">
        <v>2109</v>
      </c>
      <c r="G197" s="17" t="s">
        <v>2155</v>
      </c>
      <c r="H197" s="17" t="s">
        <v>50</v>
      </c>
      <c r="I197" s="169" t="s">
        <v>1450</v>
      </c>
      <c r="J197" s="17"/>
      <c r="K197" s="147" t="s">
        <v>1806</v>
      </c>
      <c r="L197" s="3"/>
    </row>
    <row r="198" spans="2:12" ht="27">
      <c r="B198" s="15">
        <f t="shared" si="0"/>
        <v>193</v>
      </c>
      <c r="C198" s="68"/>
      <c r="D198" s="43"/>
      <c r="E198" s="16" t="s">
        <v>1676</v>
      </c>
      <c r="F198" s="115" t="s">
        <v>2111</v>
      </c>
      <c r="G198" s="17"/>
      <c r="H198" s="17" t="s">
        <v>27</v>
      </c>
      <c r="I198" s="169" t="s">
        <v>28</v>
      </c>
      <c r="J198" s="17"/>
      <c r="K198" s="147" t="s">
        <v>1806</v>
      </c>
      <c r="L198" s="3"/>
    </row>
    <row r="199" spans="2:12" ht="27">
      <c r="B199" s="15">
        <f t="shared" si="0"/>
        <v>194</v>
      </c>
      <c r="C199" s="68"/>
      <c r="D199" s="43"/>
      <c r="E199" s="68"/>
      <c r="F199" s="115" t="s">
        <v>2112</v>
      </c>
      <c r="G199" s="17"/>
      <c r="H199" s="17" t="s">
        <v>277</v>
      </c>
      <c r="I199" s="17" t="s">
        <v>21</v>
      </c>
      <c r="J199" s="17"/>
      <c r="K199" s="147" t="s">
        <v>1806</v>
      </c>
      <c r="L199" s="3"/>
    </row>
    <row r="200" spans="2:12" ht="27">
      <c r="B200" s="15">
        <f t="shared" si="0"/>
        <v>195</v>
      </c>
      <c r="C200" s="68"/>
      <c r="D200" s="43"/>
      <c r="E200" s="19"/>
      <c r="F200" s="115" t="s">
        <v>2113</v>
      </c>
      <c r="G200" s="17"/>
      <c r="H200" s="17" t="s">
        <v>277</v>
      </c>
      <c r="I200" s="17" t="s">
        <v>21</v>
      </c>
      <c r="J200" s="17"/>
      <c r="K200" s="147" t="s">
        <v>1806</v>
      </c>
      <c r="L200" s="3"/>
    </row>
    <row r="201" spans="2:12" ht="27">
      <c r="B201" s="15">
        <f t="shared" si="0"/>
        <v>196</v>
      </c>
      <c r="C201" s="68"/>
      <c r="D201" s="43"/>
      <c r="E201" s="16" t="s">
        <v>2114</v>
      </c>
      <c r="F201" s="115" t="s">
        <v>2115</v>
      </c>
      <c r="G201" s="17"/>
      <c r="H201" s="17" t="s">
        <v>2280</v>
      </c>
      <c r="I201" s="17" t="s">
        <v>21</v>
      </c>
      <c r="J201" s="17"/>
      <c r="K201" s="147" t="s">
        <v>1806</v>
      </c>
      <c r="L201" s="3"/>
    </row>
    <row r="202" spans="2:12" ht="27">
      <c r="B202" s="15">
        <f t="shared" si="0"/>
        <v>197</v>
      </c>
      <c r="C202" s="68"/>
      <c r="D202" s="43"/>
      <c r="E202" s="19"/>
      <c r="F202" s="115" t="s">
        <v>2114</v>
      </c>
      <c r="G202" s="17"/>
      <c r="H202" s="17"/>
      <c r="I202" s="17" t="s">
        <v>21</v>
      </c>
      <c r="J202" s="17"/>
      <c r="K202" s="147" t="s">
        <v>1806</v>
      </c>
      <c r="L202" s="3"/>
    </row>
    <row r="203" spans="2:12" ht="27">
      <c r="B203" s="15">
        <f t="shared" si="0"/>
        <v>198</v>
      </c>
      <c r="C203" s="68"/>
      <c r="D203" s="43"/>
      <c r="E203" s="17" t="s">
        <v>2116</v>
      </c>
      <c r="F203" s="115" t="s">
        <v>2117</v>
      </c>
      <c r="G203" s="17"/>
      <c r="H203" s="17" t="s">
        <v>277</v>
      </c>
      <c r="I203" s="17" t="s">
        <v>21</v>
      </c>
      <c r="J203" s="17"/>
      <c r="K203" s="147" t="s">
        <v>1806</v>
      </c>
      <c r="L203" s="3"/>
    </row>
    <row r="204" spans="2:12" ht="27">
      <c r="B204" s="15">
        <f t="shared" si="0"/>
        <v>199</v>
      </c>
      <c r="C204" s="68"/>
      <c r="D204" s="43"/>
      <c r="E204" s="16" t="s">
        <v>2118</v>
      </c>
      <c r="F204" s="115" t="s">
        <v>2119</v>
      </c>
      <c r="G204" s="17"/>
      <c r="H204" s="17" t="s">
        <v>2281</v>
      </c>
      <c r="I204" s="17" t="s">
        <v>21</v>
      </c>
      <c r="J204" s="17"/>
      <c r="K204" s="147" t="s">
        <v>1806</v>
      </c>
      <c r="L204" s="3"/>
    </row>
    <row r="205" spans="2:12" ht="27">
      <c r="B205" s="15">
        <f t="shared" si="0"/>
        <v>200</v>
      </c>
      <c r="C205" s="68"/>
      <c r="D205" s="43"/>
      <c r="E205" s="68"/>
      <c r="F205" s="115" t="s">
        <v>2120</v>
      </c>
      <c r="G205" s="17"/>
      <c r="H205" s="17" t="s">
        <v>277</v>
      </c>
      <c r="I205" s="17" t="s">
        <v>21</v>
      </c>
      <c r="J205" s="17"/>
      <c r="K205" s="147" t="s">
        <v>1806</v>
      </c>
      <c r="L205" s="3"/>
    </row>
    <row r="206" spans="2:12" ht="27">
      <c r="B206" s="15">
        <f t="shared" si="0"/>
        <v>201</v>
      </c>
      <c r="C206" s="68"/>
      <c r="D206" s="43"/>
      <c r="E206" s="19"/>
      <c r="F206" s="115" t="s">
        <v>2121</v>
      </c>
      <c r="G206" s="17"/>
      <c r="H206" s="17" t="s">
        <v>277</v>
      </c>
      <c r="I206" s="17" t="s">
        <v>21</v>
      </c>
      <c r="J206" s="17"/>
      <c r="K206" s="147" t="s">
        <v>1806</v>
      </c>
      <c r="L206" s="3"/>
    </row>
    <row r="207" spans="2:12" ht="27">
      <c r="B207" s="15">
        <f t="shared" si="0"/>
        <v>202</v>
      </c>
      <c r="C207" s="68"/>
      <c r="D207" s="43"/>
      <c r="E207" s="16" t="s">
        <v>2122</v>
      </c>
      <c r="F207" s="115" t="s">
        <v>2123</v>
      </c>
      <c r="G207" s="17"/>
      <c r="H207" s="17" t="s">
        <v>27</v>
      </c>
      <c r="I207" s="169" t="s">
        <v>28</v>
      </c>
      <c r="J207" s="17"/>
      <c r="K207" s="147" t="s">
        <v>1806</v>
      </c>
      <c r="L207" s="3"/>
    </row>
    <row r="208" spans="2:12" ht="94.5">
      <c r="B208" s="15">
        <f t="shared" si="0"/>
        <v>203</v>
      </c>
      <c r="C208" s="68"/>
      <c r="D208" s="43"/>
      <c r="E208" s="68"/>
      <c r="F208" s="115" t="s">
        <v>2124</v>
      </c>
      <c r="G208" s="17"/>
      <c r="H208" s="17" t="s">
        <v>2283</v>
      </c>
      <c r="I208" s="17" t="s">
        <v>2282</v>
      </c>
      <c r="J208" s="17"/>
      <c r="K208" s="147" t="s">
        <v>1806</v>
      </c>
      <c r="L208" s="3"/>
    </row>
    <row r="209" spans="2:12" ht="40.5">
      <c r="B209" s="15">
        <f t="shared" si="0"/>
        <v>204</v>
      </c>
      <c r="C209" s="68"/>
      <c r="D209" s="43"/>
      <c r="E209" s="68"/>
      <c r="F209" s="115" t="s">
        <v>2125</v>
      </c>
      <c r="G209" s="17"/>
      <c r="H209" s="17" t="s">
        <v>2284</v>
      </c>
      <c r="I209" s="17" t="s">
        <v>2282</v>
      </c>
      <c r="J209" s="17"/>
      <c r="K209" s="147" t="s">
        <v>1806</v>
      </c>
      <c r="L209" s="3"/>
    </row>
    <row r="210" spans="2:12" ht="27">
      <c r="B210" s="15">
        <f t="shared" si="0"/>
        <v>205</v>
      </c>
      <c r="C210" s="68"/>
      <c r="D210" s="43"/>
      <c r="E210" s="68"/>
      <c r="F210" s="115" t="s">
        <v>2126</v>
      </c>
      <c r="G210" s="17"/>
      <c r="H210" s="17" t="s">
        <v>27</v>
      </c>
      <c r="I210" s="169" t="s">
        <v>28</v>
      </c>
      <c r="J210" s="17"/>
      <c r="K210" s="147" t="s">
        <v>1806</v>
      </c>
      <c r="L210" s="3"/>
    </row>
    <row r="211" spans="2:12" ht="27">
      <c r="B211" s="15">
        <f t="shared" si="0"/>
        <v>206</v>
      </c>
      <c r="C211" s="68"/>
      <c r="D211" s="43"/>
      <c r="E211" s="68"/>
      <c r="F211" s="115" t="s">
        <v>2127</v>
      </c>
      <c r="G211" s="17"/>
      <c r="H211" s="17" t="s">
        <v>27</v>
      </c>
      <c r="I211" s="169" t="s">
        <v>28</v>
      </c>
      <c r="J211" s="17"/>
      <c r="K211" s="147" t="s">
        <v>1806</v>
      </c>
      <c r="L211" s="3"/>
    </row>
    <row r="212" spans="2:12" ht="27">
      <c r="B212" s="15">
        <f t="shared" si="0"/>
        <v>207</v>
      </c>
      <c r="C212" s="68"/>
      <c r="D212" s="43"/>
      <c r="E212" s="68"/>
      <c r="F212" s="115" t="s">
        <v>2128</v>
      </c>
      <c r="G212" s="17"/>
      <c r="H212" s="17" t="s">
        <v>27</v>
      </c>
      <c r="I212" s="169" t="s">
        <v>28</v>
      </c>
      <c r="J212" s="17"/>
      <c r="K212" s="147" t="s">
        <v>1806</v>
      </c>
      <c r="L212" s="3"/>
    </row>
    <row r="213" spans="2:12" ht="27">
      <c r="B213" s="15">
        <f t="shared" si="0"/>
        <v>208</v>
      </c>
      <c r="C213" s="68"/>
      <c r="D213" s="43"/>
      <c r="E213" s="68"/>
      <c r="F213" s="115" t="s">
        <v>2129</v>
      </c>
      <c r="G213" s="17"/>
      <c r="H213" s="17" t="s">
        <v>27</v>
      </c>
      <c r="I213" s="169" t="s">
        <v>28</v>
      </c>
      <c r="J213" s="17"/>
      <c r="K213" s="147" t="s">
        <v>1806</v>
      </c>
      <c r="L213" s="3"/>
    </row>
    <row r="214" spans="2:12" ht="27">
      <c r="B214" s="15">
        <f t="shared" si="0"/>
        <v>209</v>
      </c>
      <c r="C214" s="68"/>
      <c r="D214" s="43"/>
      <c r="E214" s="68"/>
      <c r="F214" s="115" t="s">
        <v>2130</v>
      </c>
      <c r="G214" s="17"/>
      <c r="H214" s="17" t="s">
        <v>27</v>
      </c>
      <c r="I214" s="169" t="s">
        <v>28</v>
      </c>
      <c r="J214" s="17"/>
      <c r="K214" s="147" t="s">
        <v>1806</v>
      </c>
      <c r="L214" s="3"/>
    </row>
    <row r="215" spans="2:12" ht="27">
      <c r="B215" s="15">
        <f t="shared" si="0"/>
        <v>210</v>
      </c>
      <c r="C215" s="68"/>
      <c r="D215" s="43"/>
      <c r="E215" s="68"/>
      <c r="F215" s="115" t="s">
        <v>2131</v>
      </c>
      <c r="G215" s="17"/>
      <c r="H215" s="17" t="s">
        <v>27</v>
      </c>
      <c r="I215" s="169" t="s">
        <v>28</v>
      </c>
      <c r="J215" s="17"/>
      <c r="K215" s="147" t="s">
        <v>1806</v>
      </c>
      <c r="L215" s="3"/>
    </row>
    <row r="216" spans="2:12" ht="27">
      <c r="B216" s="15">
        <f t="shared" si="0"/>
        <v>211</v>
      </c>
      <c r="C216" s="68"/>
      <c r="D216" s="43"/>
      <c r="E216" s="19"/>
      <c r="F216" s="115" t="s">
        <v>2132</v>
      </c>
      <c r="G216" s="17"/>
      <c r="H216" s="17" t="s">
        <v>27</v>
      </c>
      <c r="I216" s="169" t="s">
        <v>28</v>
      </c>
      <c r="J216" s="17"/>
      <c r="K216" s="147" t="s">
        <v>1806</v>
      </c>
      <c r="L216" s="3"/>
    </row>
    <row r="217" spans="2:12" ht="27">
      <c r="B217" s="15">
        <f t="shared" si="0"/>
        <v>212</v>
      </c>
      <c r="C217" s="16" t="s">
        <v>574</v>
      </c>
      <c r="D217" s="98"/>
      <c r="E217" s="17" t="s">
        <v>2133</v>
      </c>
      <c r="F217" s="115" t="s">
        <v>2134</v>
      </c>
      <c r="G217" s="17"/>
      <c r="H217" s="17" t="s">
        <v>27</v>
      </c>
      <c r="I217" s="169" t="s">
        <v>28</v>
      </c>
      <c r="J217" s="17"/>
      <c r="K217" s="147" t="s">
        <v>1806</v>
      </c>
      <c r="L217" s="3"/>
    </row>
    <row r="218" spans="2:12" ht="40.5">
      <c r="B218" s="15">
        <f t="shared" si="0"/>
        <v>213</v>
      </c>
      <c r="C218" s="16" t="s">
        <v>517</v>
      </c>
      <c r="D218" s="98"/>
      <c r="E218" s="16" t="s">
        <v>517</v>
      </c>
      <c r="F218" s="115" t="s">
        <v>2135</v>
      </c>
      <c r="G218" s="17" t="s">
        <v>2136</v>
      </c>
      <c r="H218" s="17"/>
      <c r="I218" s="17" t="s">
        <v>21</v>
      </c>
      <c r="J218" s="17"/>
      <c r="K218" s="147" t="s">
        <v>1806</v>
      </c>
      <c r="L218" s="3"/>
    </row>
    <row r="219" spans="2:12" ht="54">
      <c r="B219" s="15">
        <f t="shared" si="0"/>
        <v>214</v>
      </c>
      <c r="C219" s="68"/>
      <c r="D219" s="43"/>
      <c r="E219" s="68"/>
      <c r="F219" s="115" t="s">
        <v>1754</v>
      </c>
      <c r="G219" s="17" t="s">
        <v>2137</v>
      </c>
      <c r="H219" s="17" t="s">
        <v>27</v>
      </c>
      <c r="I219" s="169" t="s">
        <v>28</v>
      </c>
      <c r="J219" s="17"/>
      <c r="K219" s="147" t="s">
        <v>1806</v>
      </c>
      <c r="L219" s="3"/>
    </row>
    <row r="220" spans="2:12" ht="67.5">
      <c r="B220" s="15">
        <f t="shared" si="0"/>
        <v>215</v>
      </c>
      <c r="C220" s="68"/>
      <c r="D220" s="43"/>
      <c r="E220" s="68"/>
      <c r="F220" s="115" t="s">
        <v>1756</v>
      </c>
      <c r="G220" s="17" t="s">
        <v>1775</v>
      </c>
      <c r="H220" s="17" t="s">
        <v>27</v>
      </c>
      <c r="I220" s="169" t="s">
        <v>28</v>
      </c>
      <c r="J220" s="17"/>
      <c r="K220" s="147" t="s">
        <v>1806</v>
      </c>
      <c r="L220" s="3"/>
    </row>
    <row r="221" spans="2:12" ht="27">
      <c r="B221" s="15">
        <f t="shared" si="0"/>
        <v>216</v>
      </c>
      <c r="C221" s="68"/>
      <c r="D221" s="43"/>
      <c r="E221" s="68"/>
      <c r="F221" s="115" t="s">
        <v>1746</v>
      </c>
      <c r="G221" s="17"/>
      <c r="H221" s="17"/>
      <c r="I221" s="17" t="s">
        <v>21</v>
      </c>
      <c r="J221" s="17"/>
      <c r="K221" s="147" t="s">
        <v>1806</v>
      </c>
      <c r="L221" s="3"/>
    </row>
    <row r="222" spans="2:12" ht="27">
      <c r="B222" s="15">
        <f t="shared" si="0"/>
        <v>217</v>
      </c>
      <c r="C222" s="68"/>
      <c r="D222" s="43"/>
      <c r="E222" s="68" t="s">
        <v>2138</v>
      </c>
      <c r="F222" s="115" t="s">
        <v>1849</v>
      </c>
      <c r="G222" s="17"/>
      <c r="H222" s="17"/>
      <c r="I222" s="17" t="s">
        <v>21</v>
      </c>
      <c r="J222" s="17"/>
      <c r="K222" s="147" t="s">
        <v>1806</v>
      </c>
      <c r="L222" s="3"/>
    </row>
    <row r="223" spans="2:12" ht="27">
      <c r="B223" s="15">
        <f t="shared" si="0"/>
        <v>218</v>
      </c>
      <c r="C223" s="68"/>
      <c r="D223" s="43"/>
      <c r="E223" s="68"/>
      <c r="F223" s="115" t="s">
        <v>1851</v>
      </c>
      <c r="G223" s="17"/>
      <c r="H223" s="17"/>
      <c r="I223" s="17" t="s">
        <v>21</v>
      </c>
      <c r="J223" s="17"/>
      <c r="K223" s="147" t="s">
        <v>1806</v>
      </c>
      <c r="L223" s="3"/>
    </row>
    <row r="224" spans="2:12" ht="27">
      <c r="B224" s="15">
        <f t="shared" si="0"/>
        <v>219</v>
      </c>
      <c r="C224" s="68"/>
      <c r="D224" s="43"/>
      <c r="E224" s="68"/>
      <c r="F224" s="115" t="s">
        <v>1852</v>
      </c>
      <c r="G224" s="17"/>
      <c r="H224" s="17"/>
      <c r="I224" s="17" t="s">
        <v>21</v>
      </c>
      <c r="J224" s="17"/>
      <c r="K224" s="147" t="s">
        <v>1806</v>
      </c>
      <c r="L224" s="3"/>
    </row>
    <row r="225" spans="2:12" ht="27">
      <c r="B225" s="15">
        <f t="shared" si="0"/>
        <v>220</v>
      </c>
      <c r="C225" s="19"/>
      <c r="D225" s="128"/>
      <c r="E225" s="19"/>
      <c r="F225" s="115" t="s">
        <v>1854</v>
      </c>
      <c r="G225" s="17"/>
      <c r="H225" s="17"/>
      <c r="I225" s="17" t="s">
        <v>21</v>
      </c>
      <c r="J225" s="17"/>
      <c r="K225" s="147" t="s">
        <v>1806</v>
      </c>
      <c r="L225" s="3"/>
    </row>
  </sheetData>
  <phoneticPr fontId="14"/>
  <hyperlinks>
    <hyperlink ref="A4" location="パラメータ設定一覧!A1" display="パラメータ設定一覧へ" xr:uid="{39447B19-F1E8-4567-9779-6C210D579989}"/>
  </hyperlinks>
  <pageMargins left="0.7" right="0.7" top="0.75" bottom="0.75" header="0.3" footer="0.3"/>
  <pageSetup paperSize="9" orientation="portrait" verticalDpi="0"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1579D-FF6F-4E65-991D-53763A595FF6}">
  <sheetPr codeName="Sheet53"/>
  <dimension ref="A1:HP29"/>
  <sheetViews>
    <sheetView showGridLines="0" zoomScaleNormal="100" workbookViewId="0">
      <pane xSplit="4" ySplit="6" topLeftCell="E7" activePane="bottomRight" state="frozen"/>
      <selection pane="topRight" activeCell="E1" sqref="E1"/>
      <selection pane="bottomLeft" activeCell="A7" sqref="A7"/>
      <selection pane="bottomRight" activeCell="E7" sqref="E7"/>
    </sheetView>
  </sheetViews>
  <sheetFormatPr defaultColWidth="8.78515625" defaultRowHeight="13.5"/>
  <cols>
    <col min="1" max="1" width="2.78515625" style="177" customWidth="1"/>
    <col min="2" max="2" width="3.5703125" style="177" bestFit="1" customWidth="1"/>
    <col min="3" max="3" width="14.78515625" style="177" bestFit="1" customWidth="1"/>
    <col min="4" max="4" width="20.35546875" style="177" customWidth="1"/>
    <col min="5" max="5" width="16.35546875" style="177" customWidth="1"/>
    <col min="6" max="6" width="13.42578125" style="177" customWidth="1"/>
    <col min="7" max="7" width="16.640625" style="177" customWidth="1"/>
    <col min="8" max="10" width="15.640625" style="177" customWidth="1"/>
    <col min="11" max="11" width="17.140625" style="177" bestFit="1" customWidth="1"/>
    <col min="12" max="12" width="16.0703125" style="177" bestFit="1" customWidth="1"/>
    <col min="13" max="13" width="17.140625" style="177" bestFit="1" customWidth="1"/>
    <col min="14" max="24" width="15.640625" style="177" customWidth="1"/>
    <col min="25" max="25" width="16.7109375" style="177" bestFit="1" customWidth="1"/>
    <col min="26" max="44" width="15.640625" style="177" customWidth="1"/>
    <col min="45" max="45" width="17.140625" style="177" bestFit="1" customWidth="1"/>
    <col min="46" max="51" width="15.640625" style="177" customWidth="1"/>
    <col min="52" max="52" width="17.140625" style="177" bestFit="1" customWidth="1"/>
    <col min="53" max="75" width="15.640625" style="177" customWidth="1"/>
    <col min="76" max="76" width="17.2109375" style="177" bestFit="1" customWidth="1"/>
    <col min="77" max="84" width="15.640625" style="177" customWidth="1"/>
    <col min="85" max="85" width="15.85546875" style="177" bestFit="1" customWidth="1"/>
    <col min="86" max="94" width="15.640625" style="177" customWidth="1"/>
    <col min="95" max="95" width="15.92578125" style="177" bestFit="1" customWidth="1"/>
    <col min="96" max="142" width="15.640625" style="177" customWidth="1"/>
    <col min="143" max="143" width="17.140625" style="177" bestFit="1" customWidth="1"/>
    <col min="144" max="224" width="15.640625" style="177" customWidth="1"/>
    <col min="225" max="16384" width="8.78515625" style="177"/>
  </cols>
  <sheetData>
    <row r="1" spans="1:224" s="362" customFormat="1" ht="19.5">
      <c r="A1" s="381" t="s">
        <v>2703</v>
      </c>
    </row>
    <row r="2" spans="1:224" s="362" customFormat="1" ht="15">
      <c r="A2" s="308" t="s">
        <v>2668</v>
      </c>
    </row>
    <row r="3" spans="1:224" s="362" customFormat="1" ht="15">
      <c r="A3" s="179" t="s">
        <v>363</v>
      </c>
    </row>
    <row r="4" spans="1:224">
      <c r="B4" s="453" t="s">
        <v>463</v>
      </c>
      <c r="C4" s="200" t="s">
        <v>23</v>
      </c>
      <c r="D4" s="290"/>
      <c r="E4" s="38"/>
      <c r="F4" s="38"/>
      <c r="G4" s="38"/>
      <c r="H4" s="38"/>
      <c r="I4" s="38"/>
      <c r="J4" s="38"/>
      <c r="K4" s="38"/>
      <c r="L4" s="38"/>
      <c r="M4" s="38"/>
      <c r="N4" s="38"/>
      <c r="O4" s="38"/>
      <c r="P4" s="38"/>
      <c r="Q4" s="38"/>
      <c r="R4" s="37" t="s">
        <v>878</v>
      </c>
      <c r="S4" s="38"/>
      <c r="T4" s="38"/>
      <c r="U4" s="38"/>
      <c r="V4" s="38"/>
      <c r="W4" s="38"/>
      <c r="X4" s="38"/>
      <c r="Y4" s="38"/>
      <c r="Z4" s="38"/>
      <c r="AA4" s="38"/>
      <c r="AB4" s="38"/>
      <c r="AC4" s="38"/>
      <c r="AD4" s="38"/>
      <c r="AE4" s="38"/>
      <c r="AF4" s="38"/>
      <c r="AG4" s="38"/>
      <c r="AH4" s="38"/>
      <c r="AI4" s="38"/>
      <c r="AJ4" s="38"/>
      <c r="AK4" s="38"/>
      <c r="AL4" s="38"/>
      <c r="AM4" s="38"/>
      <c r="AN4" s="39"/>
      <c r="AO4" s="38" t="s">
        <v>1833</v>
      </c>
      <c r="AP4" s="37" t="s">
        <v>1836</v>
      </c>
      <c r="AQ4" s="38"/>
      <c r="AR4" s="38"/>
      <c r="AS4" s="38"/>
      <c r="AT4" s="38"/>
      <c r="AU4" s="37" t="s">
        <v>1842</v>
      </c>
      <c r="AV4" s="38"/>
      <c r="AW4" s="38"/>
      <c r="AX4" s="38"/>
      <c r="AY4" s="38"/>
      <c r="AZ4" s="38"/>
      <c r="BA4" s="38"/>
      <c r="BB4" s="38"/>
      <c r="BC4" s="38"/>
      <c r="BD4" s="38"/>
      <c r="BE4" s="38"/>
      <c r="BF4" s="38"/>
      <c r="BG4" s="38"/>
      <c r="BH4" s="38"/>
      <c r="BI4" s="38"/>
      <c r="BJ4" s="38"/>
      <c r="BK4" s="38"/>
      <c r="BL4" s="38"/>
      <c r="BM4" s="38"/>
      <c r="BN4" s="38"/>
      <c r="BO4" s="38"/>
      <c r="BP4" s="38"/>
      <c r="BQ4" s="38"/>
      <c r="BR4" s="38"/>
      <c r="BS4" s="38"/>
      <c r="BT4" s="38"/>
      <c r="BU4" s="38"/>
      <c r="BV4" s="38"/>
      <c r="BW4" s="38"/>
      <c r="BX4" s="38"/>
      <c r="BY4" s="38"/>
      <c r="BZ4" s="38"/>
      <c r="CA4" s="38"/>
      <c r="CB4" s="38"/>
      <c r="CC4" s="38"/>
      <c r="CD4" s="38"/>
      <c r="CE4" s="38"/>
      <c r="CF4" s="38"/>
      <c r="CG4" s="38"/>
      <c r="CH4" s="37" t="s">
        <v>248</v>
      </c>
      <c r="CI4" s="39"/>
      <c r="CJ4" s="37" t="s">
        <v>1872</v>
      </c>
      <c r="CK4" s="38"/>
      <c r="CL4" s="38"/>
      <c r="CM4" s="38"/>
      <c r="CN4" s="38"/>
      <c r="CO4" s="38"/>
      <c r="CP4" s="38"/>
      <c r="CQ4" s="38"/>
      <c r="CR4" s="38"/>
      <c r="CS4" s="38"/>
      <c r="CT4" s="38"/>
      <c r="CU4" s="38"/>
      <c r="CV4" s="38"/>
      <c r="CW4" s="38"/>
      <c r="CX4" s="38"/>
      <c r="CY4" s="38"/>
      <c r="CZ4" s="38"/>
      <c r="DA4" s="38"/>
      <c r="DB4" s="38"/>
      <c r="DC4" s="38"/>
      <c r="DD4" s="38"/>
      <c r="DE4" s="38"/>
      <c r="DF4" s="38"/>
      <c r="DG4" s="38"/>
      <c r="DH4" s="38"/>
      <c r="DI4" s="38"/>
      <c r="DJ4" s="38"/>
      <c r="DK4" s="38"/>
      <c r="DL4" s="38"/>
      <c r="DM4" s="38"/>
      <c r="DN4" s="38"/>
      <c r="DO4" s="38"/>
      <c r="DP4" s="39"/>
      <c r="DQ4" s="37" t="s">
        <v>1873</v>
      </c>
      <c r="DR4" s="38"/>
      <c r="DS4" s="38"/>
      <c r="DT4" s="38"/>
      <c r="DU4" s="38"/>
      <c r="DV4" s="38"/>
      <c r="DW4" s="38"/>
      <c r="DX4" s="38"/>
      <c r="DY4" s="38"/>
      <c r="DZ4" s="38"/>
      <c r="EA4" s="38"/>
      <c r="EB4" s="38"/>
      <c r="EC4" s="38"/>
      <c r="ED4" s="38"/>
      <c r="EE4" s="38"/>
      <c r="EF4" s="38"/>
      <c r="EG4" s="38"/>
      <c r="EH4" s="38"/>
      <c r="EI4" s="38"/>
      <c r="EJ4" s="38"/>
      <c r="EK4" s="38"/>
      <c r="EL4" s="124" t="s">
        <v>1874</v>
      </c>
      <c r="EM4" s="37" t="s">
        <v>1875</v>
      </c>
      <c r="EN4" s="38"/>
      <c r="EO4" s="38"/>
      <c r="EP4" s="38"/>
      <c r="EQ4" s="38"/>
      <c r="ER4" s="38"/>
      <c r="ES4" s="38"/>
      <c r="ET4" s="38"/>
      <c r="EU4" s="38"/>
      <c r="EV4" s="38"/>
      <c r="EW4" s="38"/>
      <c r="EX4" s="38"/>
      <c r="EY4" s="38"/>
      <c r="EZ4" s="38"/>
      <c r="FA4" s="38"/>
      <c r="FB4" s="124" t="s">
        <v>1876</v>
      </c>
      <c r="FC4" s="37" t="s">
        <v>892</v>
      </c>
      <c r="FD4" s="38"/>
      <c r="FE4" s="39"/>
      <c r="FF4" s="37" t="s">
        <v>389</v>
      </c>
      <c r="FG4" s="38"/>
      <c r="FH4" s="38"/>
      <c r="FI4" s="38"/>
      <c r="FJ4" s="38"/>
      <c r="FK4" s="38"/>
      <c r="FL4" s="38"/>
      <c r="FM4" s="38"/>
      <c r="FN4" s="38"/>
      <c r="FO4" s="38"/>
      <c r="FP4" s="38"/>
      <c r="FQ4" s="38"/>
      <c r="FR4" s="38"/>
      <c r="FS4" s="38"/>
      <c r="FT4" s="38"/>
      <c r="FU4" s="38"/>
      <c r="FV4" s="38"/>
      <c r="FW4" s="38"/>
      <c r="FX4" s="38"/>
      <c r="FY4" s="38"/>
      <c r="FZ4" s="38"/>
      <c r="GA4" s="38"/>
      <c r="GB4" s="38"/>
      <c r="GC4" s="38"/>
      <c r="GD4" s="38"/>
      <c r="GE4" s="38"/>
      <c r="GF4" s="38"/>
      <c r="GG4" s="38"/>
      <c r="GH4" s="39"/>
      <c r="GI4" s="37" t="s">
        <v>560</v>
      </c>
      <c r="GJ4" s="38"/>
      <c r="GK4" s="38"/>
      <c r="GL4" s="38"/>
      <c r="GM4" s="38"/>
      <c r="GN4" s="38"/>
      <c r="GO4" s="38"/>
      <c r="GP4" s="38"/>
      <c r="GQ4" s="38"/>
      <c r="GR4" s="38"/>
      <c r="GS4" s="38"/>
      <c r="GT4" s="38"/>
      <c r="GU4" s="38"/>
      <c r="GV4" s="38"/>
      <c r="GW4" s="38"/>
      <c r="GX4" s="38"/>
      <c r="GY4" s="38"/>
      <c r="GZ4" s="38"/>
      <c r="HA4" s="38"/>
      <c r="HB4" s="38"/>
      <c r="HC4" s="38"/>
      <c r="HD4" s="38"/>
      <c r="HE4" s="38"/>
      <c r="HF4" s="38"/>
      <c r="HG4" s="39"/>
      <c r="HH4" s="37" t="s">
        <v>574</v>
      </c>
      <c r="HI4" s="37" t="s">
        <v>517</v>
      </c>
      <c r="HJ4" s="38"/>
      <c r="HK4" s="38"/>
      <c r="HL4" s="38"/>
      <c r="HM4" s="38"/>
      <c r="HN4" s="38"/>
      <c r="HO4" s="38"/>
      <c r="HP4" s="39"/>
    </row>
    <row r="5" spans="1:224" ht="67.5">
      <c r="B5" s="453"/>
      <c r="C5" s="291" t="s">
        <v>52</v>
      </c>
      <c r="D5" s="292"/>
      <c r="E5" s="41"/>
      <c r="F5" s="41"/>
      <c r="G5" s="42"/>
      <c r="H5" s="41" t="s">
        <v>1808</v>
      </c>
      <c r="I5" s="41"/>
      <c r="J5" s="41"/>
      <c r="K5" s="56" t="s">
        <v>996</v>
      </c>
      <c r="L5" s="41"/>
      <c r="M5" s="41"/>
      <c r="N5" s="41"/>
      <c r="O5" s="41"/>
      <c r="P5" s="41"/>
      <c r="Q5" s="42"/>
      <c r="R5" s="41" t="s">
        <v>949</v>
      </c>
      <c r="S5" s="56"/>
      <c r="T5" s="41"/>
      <c r="U5" s="41"/>
      <c r="V5" s="56" t="s">
        <v>996</v>
      </c>
      <c r="W5" s="41"/>
      <c r="X5" s="42"/>
      <c r="Y5" s="56" t="s">
        <v>1818</v>
      </c>
      <c r="Z5" s="56" t="s">
        <v>1820</v>
      </c>
      <c r="AA5" s="41"/>
      <c r="AB5" s="56" t="s">
        <v>676</v>
      </c>
      <c r="AC5" s="41"/>
      <c r="AD5" s="56" t="s">
        <v>1824</v>
      </c>
      <c r="AE5" s="41"/>
      <c r="AF5" s="41"/>
      <c r="AG5" s="41"/>
      <c r="AH5" s="56" t="s">
        <v>240</v>
      </c>
      <c r="AI5" s="41"/>
      <c r="AJ5" s="41"/>
      <c r="AK5" s="41"/>
      <c r="AL5" s="42"/>
      <c r="AM5" s="42" t="s">
        <v>1830</v>
      </c>
      <c r="AN5" s="125" t="s">
        <v>213</v>
      </c>
      <c r="AO5" s="42" t="s">
        <v>1834</v>
      </c>
      <c r="AP5" s="56" t="s">
        <v>1837</v>
      </c>
      <c r="AQ5" s="56" t="s">
        <v>764</v>
      </c>
      <c r="AR5" s="42"/>
      <c r="AS5" s="42" t="s">
        <v>2291</v>
      </c>
      <c r="AT5" s="41" t="s">
        <v>277</v>
      </c>
      <c r="AU5" s="56" t="s">
        <v>698</v>
      </c>
      <c r="AV5" s="41"/>
      <c r="AW5" s="41"/>
      <c r="AX5" s="42"/>
      <c r="AY5" s="125" t="s">
        <v>996</v>
      </c>
      <c r="AZ5" s="41" t="s">
        <v>1818</v>
      </c>
      <c r="BA5" s="56" t="s">
        <v>1820</v>
      </c>
      <c r="BB5" s="41"/>
      <c r="BC5" s="41"/>
      <c r="BD5" s="41"/>
      <c r="BE5" s="42"/>
      <c r="BF5" s="41" t="s">
        <v>2294</v>
      </c>
      <c r="BG5" s="41"/>
      <c r="BH5" s="56" t="s">
        <v>1824</v>
      </c>
      <c r="BI5" s="41"/>
      <c r="BJ5" s="41"/>
      <c r="BK5" s="41"/>
      <c r="BL5" s="56" t="s">
        <v>240</v>
      </c>
      <c r="BM5" s="41"/>
      <c r="BN5" s="41"/>
      <c r="BO5" s="41"/>
      <c r="BP5" s="56" t="s">
        <v>1845</v>
      </c>
      <c r="BQ5" s="41"/>
      <c r="BR5" s="41"/>
      <c r="BS5" s="41"/>
      <c r="BT5" s="41"/>
      <c r="BU5" s="41"/>
      <c r="BV5" s="56" t="s">
        <v>1855</v>
      </c>
      <c r="BW5" s="42"/>
      <c r="BX5" s="42" t="s">
        <v>768</v>
      </c>
      <c r="BY5" s="56" t="s">
        <v>2297</v>
      </c>
      <c r="BZ5" s="56" t="s">
        <v>1859</v>
      </c>
      <c r="CA5" s="42"/>
      <c r="CB5" s="41" t="s">
        <v>1862</v>
      </c>
      <c r="CC5" s="42"/>
      <c r="CD5" s="125" t="s">
        <v>1865</v>
      </c>
      <c r="CE5" s="125" t="s">
        <v>2300</v>
      </c>
      <c r="CF5" s="41" t="s">
        <v>1869</v>
      </c>
      <c r="CG5" s="42"/>
      <c r="CH5" s="37" t="s">
        <v>2303</v>
      </c>
      <c r="CI5" s="39"/>
      <c r="CJ5" s="37" t="s">
        <v>2306</v>
      </c>
      <c r="CK5" s="38"/>
      <c r="CL5" s="39"/>
      <c r="CM5" s="37" t="s">
        <v>2015</v>
      </c>
      <c r="CN5" s="38"/>
      <c r="CO5" s="38"/>
      <c r="CP5" s="39"/>
      <c r="CQ5" s="37" t="s">
        <v>2020</v>
      </c>
      <c r="CR5" s="39"/>
      <c r="CS5" s="37" t="s">
        <v>2023</v>
      </c>
      <c r="CT5" s="39"/>
      <c r="CU5" s="37" t="s">
        <v>1177</v>
      </c>
      <c r="CV5" s="39"/>
      <c r="CW5" s="37" t="s">
        <v>2025</v>
      </c>
      <c r="CX5" s="39"/>
      <c r="CY5" s="37" t="s">
        <v>2027</v>
      </c>
      <c r="CZ5" s="38"/>
      <c r="DA5" s="39"/>
      <c r="DB5" s="37" t="s">
        <v>2311</v>
      </c>
      <c r="DC5" s="39"/>
      <c r="DD5" s="37" t="s">
        <v>2034</v>
      </c>
      <c r="DE5" s="38"/>
      <c r="DF5" s="38"/>
      <c r="DG5" s="39"/>
      <c r="DH5" s="40" t="s">
        <v>2313</v>
      </c>
      <c r="DI5" s="37" t="s">
        <v>1762</v>
      </c>
      <c r="DJ5" s="38"/>
      <c r="DK5" s="38"/>
      <c r="DL5" s="38"/>
      <c r="DM5" s="39"/>
      <c r="DN5" s="37" t="s">
        <v>2046</v>
      </c>
      <c r="DO5" s="39"/>
      <c r="DP5" s="40" t="s">
        <v>2049</v>
      </c>
      <c r="DQ5" s="37"/>
      <c r="DR5" s="38"/>
      <c r="DS5" s="38"/>
      <c r="DT5" s="38"/>
      <c r="DU5" s="38"/>
      <c r="DV5" s="38"/>
      <c r="DW5" s="38"/>
      <c r="DX5" s="39"/>
      <c r="DY5" s="37" t="s">
        <v>2058</v>
      </c>
      <c r="DZ5" s="38"/>
      <c r="EA5" s="38"/>
      <c r="EB5" s="39"/>
      <c r="EC5" s="40" t="s">
        <v>2061</v>
      </c>
      <c r="ED5" s="37" t="s">
        <v>1873</v>
      </c>
      <c r="EE5" s="38"/>
      <c r="EF5" s="38"/>
      <c r="EG5" s="38"/>
      <c r="EH5" s="38"/>
      <c r="EI5" s="39"/>
      <c r="EJ5" s="37" t="s">
        <v>2318</v>
      </c>
      <c r="EK5" s="38"/>
      <c r="EL5" s="125"/>
      <c r="EM5" s="40" t="s">
        <v>227</v>
      </c>
      <c r="EN5" s="37" t="s">
        <v>2073</v>
      </c>
      <c r="EO5" s="39"/>
      <c r="EP5" s="37" t="s">
        <v>1820</v>
      </c>
      <c r="EQ5" s="39"/>
      <c r="ER5" s="37" t="s">
        <v>676</v>
      </c>
      <c r="ES5" s="38"/>
      <c r="ET5" s="39"/>
      <c r="EU5" s="37" t="s">
        <v>1824</v>
      </c>
      <c r="EV5" s="38"/>
      <c r="EW5" s="39"/>
      <c r="EX5" s="37" t="s">
        <v>2077</v>
      </c>
      <c r="EY5" s="38"/>
      <c r="EZ5" s="38"/>
      <c r="FA5" s="38"/>
      <c r="FB5" s="125"/>
      <c r="FC5" s="200" t="s">
        <v>2326</v>
      </c>
      <c r="FD5" s="38"/>
      <c r="FE5" s="39"/>
      <c r="FF5" s="37" t="s">
        <v>2015</v>
      </c>
      <c r="FG5" s="38"/>
      <c r="FH5" s="38"/>
      <c r="FI5" s="39"/>
      <c r="FJ5" s="37" t="s">
        <v>45</v>
      </c>
      <c r="FK5" s="39"/>
      <c r="FL5" s="37" t="s">
        <v>2084</v>
      </c>
      <c r="FM5" s="38"/>
      <c r="FN5" s="39"/>
      <c r="FO5" s="37" t="s">
        <v>2331</v>
      </c>
      <c r="FP5" s="38"/>
      <c r="FQ5" s="38"/>
      <c r="FR5" s="38"/>
      <c r="FS5" s="38"/>
      <c r="FT5" s="38"/>
      <c r="FU5" s="38"/>
      <c r="FV5" s="38"/>
      <c r="FW5" s="38"/>
      <c r="FX5" s="39"/>
      <c r="FY5" s="200" t="s">
        <v>2336</v>
      </c>
      <c r="FZ5" s="39"/>
      <c r="GA5" s="37" t="s">
        <v>1873</v>
      </c>
      <c r="GB5" s="38"/>
      <c r="GC5" s="39"/>
      <c r="GD5" s="40" t="s">
        <v>1764</v>
      </c>
      <c r="GE5" s="37" t="s">
        <v>2341</v>
      </c>
      <c r="GF5" s="38"/>
      <c r="GG5" s="39"/>
      <c r="GH5" s="40" t="s">
        <v>2342</v>
      </c>
      <c r="GI5" s="37" t="s">
        <v>897</v>
      </c>
      <c r="GJ5" s="38"/>
      <c r="GK5" s="38"/>
      <c r="GL5" s="39"/>
      <c r="GM5" s="37" t="s">
        <v>2109</v>
      </c>
      <c r="GN5" s="39"/>
      <c r="GO5" s="37" t="s">
        <v>1676</v>
      </c>
      <c r="GP5" s="38"/>
      <c r="GQ5" s="39"/>
      <c r="GR5" s="37" t="s">
        <v>2114</v>
      </c>
      <c r="GS5" s="39"/>
      <c r="GT5" s="40" t="s">
        <v>2349</v>
      </c>
      <c r="GU5" s="37" t="s">
        <v>2118</v>
      </c>
      <c r="GV5" s="38"/>
      <c r="GW5" s="39"/>
      <c r="GX5" s="37" t="s">
        <v>2122</v>
      </c>
      <c r="GY5" s="38"/>
      <c r="GZ5" s="38"/>
      <c r="HA5" s="38"/>
      <c r="HB5" s="38"/>
      <c r="HC5" s="38"/>
      <c r="HD5" s="38"/>
      <c r="HE5" s="38"/>
      <c r="HF5" s="38"/>
      <c r="HG5" s="39"/>
      <c r="HH5" s="40" t="s">
        <v>2133</v>
      </c>
      <c r="HI5" s="56" t="s">
        <v>517</v>
      </c>
      <c r="HJ5" s="41"/>
      <c r="HK5" s="41"/>
      <c r="HL5" s="41"/>
      <c r="HM5" s="56" t="s">
        <v>2138</v>
      </c>
      <c r="HN5" s="41"/>
      <c r="HO5" s="41"/>
      <c r="HP5" s="42"/>
    </row>
    <row r="6" spans="1:224" ht="27">
      <c r="B6" s="454"/>
      <c r="C6" s="125" t="s">
        <v>1807</v>
      </c>
      <c r="D6" s="125" t="s">
        <v>1566</v>
      </c>
      <c r="E6" s="185" t="s">
        <v>235</v>
      </c>
      <c r="F6" s="185" t="s">
        <v>236</v>
      </c>
      <c r="G6" s="125" t="s">
        <v>1784</v>
      </c>
      <c r="H6" s="125" t="s">
        <v>1745</v>
      </c>
      <c r="I6" s="125" t="s">
        <v>25</v>
      </c>
      <c r="J6" s="125" t="s">
        <v>45</v>
      </c>
      <c r="K6" s="125" t="s">
        <v>1809</v>
      </c>
      <c r="L6" s="125" t="s">
        <v>1810</v>
      </c>
      <c r="M6" s="125" t="s">
        <v>1811</v>
      </c>
      <c r="N6" s="125" t="s">
        <v>1812</v>
      </c>
      <c r="O6" s="125" t="s">
        <v>1236</v>
      </c>
      <c r="P6" s="125" t="s">
        <v>1813</v>
      </c>
      <c r="Q6" s="125" t="s">
        <v>929</v>
      </c>
      <c r="R6" s="125" t="s">
        <v>167</v>
      </c>
      <c r="S6" s="125" t="s">
        <v>1814</v>
      </c>
      <c r="T6" s="125" t="s">
        <v>1815</v>
      </c>
      <c r="U6" s="125" t="s">
        <v>1816</v>
      </c>
      <c r="V6" s="125" t="s">
        <v>995</v>
      </c>
      <c r="W6" s="125" t="s">
        <v>1817</v>
      </c>
      <c r="X6" s="125" t="s">
        <v>60</v>
      </c>
      <c r="Y6" s="125" t="s">
        <v>2286</v>
      </c>
      <c r="Z6" s="125" t="s">
        <v>2287</v>
      </c>
      <c r="AA6" s="125" t="s">
        <v>1822</v>
      </c>
      <c r="AB6" s="125" t="s">
        <v>676</v>
      </c>
      <c r="AC6" s="125" t="s">
        <v>1823</v>
      </c>
      <c r="AD6" s="125" t="s">
        <v>1825</v>
      </c>
      <c r="AE6" s="125" t="s">
        <v>1826</v>
      </c>
      <c r="AF6" s="125" t="s">
        <v>528</v>
      </c>
      <c r="AG6" s="125" t="s">
        <v>1827</v>
      </c>
      <c r="AH6" s="125" t="s">
        <v>255</v>
      </c>
      <c r="AI6" s="125" t="s">
        <v>1828</v>
      </c>
      <c r="AJ6" s="125" t="s">
        <v>678</v>
      </c>
      <c r="AK6" s="125" t="s">
        <v>935</v>
      </c>
      <c r="AL6" s="125" t="s">
        <v>1829</v>
      </c>
      <c r="AM6" s="125" t="s">
        <v>2288</v>
      </c>
      <c r="AN6" s="125" t="s">
        <v>216</v>
      </c>
      <c r="AO6" s="125" t="s">
        <v>1835</v>
      </c>
      <c r="AP6" s="40" t="s">
        <v>1837</v>
      </c>
      <c r="AQ6" s="125" t="s">
        <v>764</v>
      </c>
      <c r="AR6" s="125" t="s">
        <v>1838</v>
      </c>
      <c r="AS6" s="125" t="s">
        <v>2292</v>
      </c>
      <c r="AT6" s="125" t="s">
        <v>1841</v>
      </c>
      <c r="AU6" s="125" t="s">
        <v>167</v>
      </c>
      <c r="AV6" s="125" t="s">
        <v>1814</v>
      </c>
      <c r="AW6" s="125" t="s">
        <v>1815</v>
      </c>
      <c r="AX6" s="125" t="s">
        <v>1816</v>
      </c>
      <c r="AY6" s="125" t="s">
        <v>1843</v>
      </c>
      <c r="AZ6" s="125" t="s">
        <v>1819</v>
      </c>
      <c r="BA6" s="125" t="s">
        <v>214</v>
      </c>
      <c r="BB6" s="125" t="s">
        <v>215</v>
      </c>
      <c r="BC6" s="125" t="s">
        <v>226</v>
      </c>
      <c r="BD6" s="125" t="s">
        <v>229</v>
      </c>
      <c r="BE6" s="125" t="s">
        <v>1822</v>
      </c>
      <c r="BF6" s="125" t="s">
        <v>676</v>
      </c>
      <c r="BG6" s="125" t="s">
        <v>1823</v>
      </c>
      <c r="BH6" s="125" t="s">
        <v>1825</v>
      </c>
      <c r="BI6" s="125" t="s">
        <v>1826</v>
      </c>
      <c r="BJ6" s="125" t="s">
        <v>528</v>
      </c>
      <c r="BK6" s="125" t="s">
        <v>1827</v>
      </c>
      <c r="BL6" s="125" t="s">
        <v>255</v>
      </c>
      <c r="BM6" s="125" t="s">
        <v>1828</v>
      </c>
      <c r="BN6" s="125" t="s">
        <v>678</v>
      </c>
      <c r="BO6" s="125" t="s">
        <v>935</v>
      </c>
      <c r="BP6" s="125" t="s">
        <v>1846</v>
      </c>
      <c r="BQ6" s="125" t="s">
        <v>1847</v>
      </c>
      <c r="BR6" s="125" t="s">
        <v>1848</v>
      </c>
      <c r="BS6" s="125" t="s">
        <v>1850</v>
      </c>
      <c r="BT6" s="125" t="s">
        <v>1852</v>
      </c>
      <c r="BU6" s="125" t="s">
        <v>1853</v>
      </c>
      <c r="BV6" s="125" t="s">
        <v>637</v>
      </c>
      <c r="BW6" s="125" t="s">
        <v>1856</v>
      </c>
      <c r="BX6" s="40" t="s">
        <v>2295</v>
      </c>
      <c r="BY6" s="125" t="s">
        <v>2296</v>
      </c>
      <c r="BZ6" s="125" t="s">
        <v>2298</v>
      </c>
      <c r="CA6" s="125" t="s">
        <v>1861</v>
      </c>
      <c r="CB6" s="125" t="s">
        <v>1863</v>
      </c>
      <c r="CC6" s="125" t="s">
        <v>1864</v>
      </c>
      <c r="CD6" s="41" t="s">
        <v>1865</v>
      </c>
      <c r="CE6" s="125" t="s">
        <v>2299</v>
      </c>
      <c r="CF6" s="125" t="s">
        <v>1870</v>
      </c>
      <c r="CG6" s="125" t="s">
        <v>2302</v>
      </c>
      <c r="CH6" s="37" t="s">
        <v>2303</v>
      </c>
      <c r="CI6" s="37" t="s">
        <v>2304</v>
      </c>
      <c r="CJ6" s="125" t="s">
        <v>2012</v>
      </c>
      <c r="CK6" s="125" t="s">
        <v>2013</v>
      </c>
      <c r="CL6" s="125" t="s">
        <v>2014</v>
      </c>
      <c r="CM6" s="125" t="s">
        <v>2016</v>
      </c>
      <c r="CN6" s="125" t="s">
        <v>2017</v>
      </c>
      <c r="CO6" s="40" t="s">
        <v>2018</v>
      </c>
      <c r="CP6" s="125" t="s">
        <v>2019</v>
      </c>
      <c r="CQ6" s="125" t="s">
        <v>2021</v>
      </c>
      <c r="CR6" s="125" t="s">
        <v>2022</v>
      </c>
      <c r="CS6" s="125" t="s">
        <v>1814</v>
      </c>
      <c r="CT6" s="125" t="s">
        <v>1815</v>
      </c>
      <c r="CU6" s="40" t="s">
        <v>2024</v>
      </c>
      <c r="CV6" s="125" t="s">
        <v>167</v>
      </c>
      <c r="CW6" s="125" t="s">
        <v>2309</v>
      </c>
      <c r="CX6" s="125" t="s">
        <v>1709</v>
      </c>
      <c r="CY6" s="125" t="s">
        <v>2028</v>
      </c>
      <c r="CZ6" s="125" t="s">
        <v>2310</v>
      </c>
      <c r="DA6" s="40" t="s">
        <v>2030</v>
      </c>
      <c r="DB6" s="125" t="s">
        <v>2032</v>
      </c>
      <c r="DC6" s="125" t="s">
        <v>2033</v>
      </c>
      <c r="DD6" s="125" t="s">
        <v>2035</v>
      </c>
      <c r="DE6" s="125" t="s">
        <v>2036</v>
      </c>
      <c r="DF6" s="125" t="s">
        <v>2037</v>
      </c>
      <c r="DG6" s="40" t="s">
        <v>2038</v>
      </c>
      <c r="DH6" s="125" t="s">
        <v>2312</v>
      </c>
      <c r="DI6" s="125" t="s">
        <v>2041</v>
      </c>
      <c r="DJ6" s="125" t="s">
        <v>2042</v>
      </c>
      <c r="DK6" s="125" t="s">
        <v>2043</v>
      </c>
      <c r="DL6" s="125" t="s">
        <v>2044</v>
      </c>
      <c r="DM6" s="40" t="s">
        <v>2045</v>
      </c>
      <c r="DN6" s="125" t="s">
        <v>2314</v>
      </c>
      <c r="DO6" s="125" t="s">
        <v>2048</v>
      </c>
      <c r="DP6" s="125" t="s">
        <v>2049</v>
      </c>
      <c r="DQ6" s="125" t="s">
        <v>2051</v>
      </c>
      <c r="DR6" s="125" t="s">
        <v>2052</v>
      </c>
      <c r="DS6" s="125" t="s">
        <v>2053</v>
      </c>
      <c r="DT6" s="125" t="s">
        <v>2054</v>
      </c>
      <c r="DU6" s="125" t="s">
        <v>2055</v>
      </c>
      <c r="DV6" s="125" t="s">
        <v>2054</v>
      </c>
      <c r="DW6" s="40" t="s">
        <v>2315</v>
      </c>
      <c r="DX6" s="40" t="s">
        <v>2057</v>
      </c>
      <c r="DY6" s="125" t="s">
        <v>1663</v>
      </c>
      <c r="DZ6" s="125" t="s">
        <v>1664</v>
      </c>
      <c r="EA6" s="125" t="s">
        <v>2059</v>
      </c>
      <c r="EB6" s="125" t="s">
        <v>2060</v>
      </c>
      <c r="EC6" s="125" t="s">
        <v>2316</v>
      </c>
      <c r="ED6" s="125" t="s">
        <v>2063</v>
      </c>
      <c r="EE6" s="125" t="s">
        <v>2064</v>
      </c>
      <c r="EF6" s="125" t="s">
        <v>2317</v>
      </c>
      <c r="EG6" s="125" t="s">
        <v>2066</v>
      </c>
      <c r="EH6" s="40" t="s">
        <v>2067</v>
      </c>
      <c r="EI6" s="40" t="s">
        <v>618</v>
      </c>
      <c r="EJ6" s="125" t="s">
        <v>2069</v>
      </c>
      <c r="EK6" s="125" t="s">
        <v>2070</v>
      </c>
      <c r="EL6" s="125" t="s">
        <v>2071</v>
      </c>
      <c r="EM6" s="125" t="s">
        <v>2322</v>
      </c>
      <c r="EN6" s="125" t="s">
        <v>2074</v>
      </c>
      <c r="EO6" s="125" t="s">
        <v>2075</v>
      </c>
      <c r="EP6" s="125" t="s">
        <v>2324</v>
      </c>
      <c r="EQ6" s="125" t="s">
        <v>1822</v>
      </c>
      <c r="ER6" s="125" t="s">
        <v>167</v>
      </c>
      <c r="ES6" s="40" t="s">
        <v>676</v>
      </c>
      <c r="ET6" s="40" t="s">
        <v>1823</v>
      </c>
      <c r="EU6" s="40" t="s">
        <v>1825</v>
      </c>
      <c r="EV6" s="40" t="s">
        <v>1826</v>
      </c>
      <c r="EW6" s="40" t="s">
        <v>1827</v>
      </c>
      <c r="EX6" s="40" t="s">
        <v>176</v>
      </c>
      <c r="EY6" s="40" t="s">
        <v>2078</v>
      </c>
      <c r="EZ6" s="40" t="s">
        <v>241</v>
      </c>
      <c r="FA6" s="40" t="s">
        <v>2079</v>
      </c>
      <c r="FB6" s="125" t="s">
        <v>300</v>
      </c>
      <c r="FC6" s="40" t="s">
        <v>2325</v>
      </c>
      <c r="FD6" s="40" t="s">
        <v>2325</v>
      </c>
      <c r="FE6" s="40" t="s">
        <v>2325</v>
      </c>
      <c r="FF6" s="40" t="s">
        <v>2080</v>
      </c>
      <c r="FG6" s="40" t="s">
        <v>2081</v>
      </c>
      <c r="FH6" s="40" t="s">
        <v>2082</v>
      </c>
      <c r="FI6" s="40" t="s">
        <v>2083</v>
      </c>
      <c r="FJ6" s="40" t="s">
        <v>2329</v>
      </c>
      <c r="FK6" s="40" t="s">
        <v>2330</v>
      </c>
      <c r="FL6" s="40" t="s">
        <v>389</v>
      </c>
      <c r="FM6" s="40" t="s">
        <v>695</v>
      </c>
      <c r="FN6" s="40" t="s">
        <v>193</v>
      </c>
      <c r="FO6" s="40" t="s">
        <v>2332</v>
      </c>
      <c r="FP6" s="40" t="s">
        <v>2333</v>
      </c>
      <c r="FQ6" s="40" t="s">
        <v>2088</v>
      </c>
      <c r="FR6" s="40" t="s">
        <v>2089</v>
      </c>
      <c r="FS6" s="40" t="s">
        <v>2090</v>
      </c>
      <c r="FT6" s="40" t="s">
        <v>2091</v>
      </c>
      <c r="FU6" s="40" t="s">
        <v>2092</v>
      </c>
      <c r="FV6" s="40" t="s">
        <v>2093</v>
      </c>
      <c r="FW6" s="40" t="s">
        <v>2094</v>
      </c>
      <c r="FX6" s="40" t="s">
        <v>2095</v>
      </c>
      <c r="FY6" s="40" t="s">
        <v>2334</v>
      </c>
      <c r="FZ6" s="40" t="s">
        <v>2335</v>
      </c>
      <c r="GA6" s="40" t="s">
        <v>2337</v>
      </c>
      <c r="GB6" s="40" t="s">
        <v>2338</v>
      </c>
      <c r="GC6" s="40" t="s">
        <v>2103</v>
      </c>
      <c r="GD6" s="40" t="s">
        <v>1765</v>
      </c>
      <c r="GE6" s="40" t="s">
        <v>2339</v>
      </c>
      <c r="GF6" s="40" t="s">
        <v>2340</v>
      </c>
      <c r="GG6" s="40" t="s">
        <v>2106</v>
      </c>
      <c r="GH6" s="40" t="s">
        <v>2343</v>
      </c>
      <c r="GI6" s="40" t="s">
        <v>1783</v>
      </c>
      <c r="GJ6" s="40" t="s">
        <v>2344</v>
      </c>
      <c r="GK6" s="40" t="s">
        <v>2345</v>
      </c>
      <c r="GL6" s="40" t="s">
        <v>2108</v>
      </c>
      <c r="GM6" s="40" t="s">
        <v>2110</v>
      </c>
      <c r="GN6" s="40" t="s">
        <v>2109</v>
      </c>
      <c r="GO6" s="40" t="s">
        <v>2347</v>
      </c>
      <c r="GP6" s="40" t="s">
        <v>2112</v>
      </c>
      <c r="GQ6" s="40" t="s">
        <v>2113</v>
      </c>
      <c r="GR6" s="40" t="s">
        <v>2115</v>
      </c>
      <c r="GS6" s="40" t="s">
        <v>2114</v>
      </c>
      <c r="GT6" s="40" t="s">
        <v>2120</v>
      </c>
      <c r="GU6" s="40" t="s">
        <v>2119</v>
      </c>
      <c r="GV6" s="40" t="s">
        <v>2120</v>
      </c>
      <c r="GW6" s="40" t="s">
        <v>2121</v>
      </c>
      <c r="GX6" s="40" t="s">
        <v>2123</v>
      </c>
      <c r="GY6" s="40" t="s">
        <v>2124</v>
      </c>
      <c r="GZ6" s="40" t="s">
        <v>2125</v>
      </c>
      <c r="HA6" s="40" t="s">
        <v>2126</v>
      </c>
      <c r="HB6" s="40" t="s">
        <v>2127</v>
      </c>
      <c r="HC6" s="40" t="s">
        <v>2128</v>
      </c>
      <c r="HD6" s="40" t="s">
        <v>2129</v>
      </c>
      <c r="HE6" s="40" t="s">
        <v>2130</v>
      </c>
      <c r="HF6" s="40" t="s">
        <v>2131</v>
      </c>
      <c r="HG6" s="40" t="s">
        <v>2350</v>
      </c>
      <c r="HH6" s="40" t="s">
        <v>2134</v>
      </c>
      <c r="HI6" s="39" t="s">
        <v>2351</v>
      </c>
      <c r="HJ6" s="40" t="s">
        <v>1753</v>
      </c>
      <c r="HK6" s="40" t="s">
        <v>1756</v>
      </c>
      <c r="HL6" s="40" t="s">
        <v>1746</v>
      </c>
      <c r="HM6" s="125" t="s">
        <v>1848</v>
      </c>
      <c r="HN6" s="125" t="s">
        <v>1850</v>
      </c>
      <c r="HO6" s="125" t="s">
        <v>1852</v>
      </c>
      <c r="HP6" s="125" t="s">
        <v>1853</v>
      </c>
    </row>
    <row r="7" spans="1:224" ht="108">
      <c r="B7" s="454"/>
      <c r="C7" s="24" t="s">
        <v>2892</v>
      </c>
      <c r="D7" s="24" t="s">
        <v>2892</v>
      </c>
      <c r="E7" s="24" t="s">
        <v>1800</v>
      </c>
      <c r="F7" s="24" t="s">
        <v>1801</v>
      </c>
      <c r="G7" s="24" t="s">
        <v>21</v>
      </c>
      <c r="H7" s="24" t="s">
        <v>20</v>
      </c>
      <c r="I7" s="24" t="s">
        <v>20</v>
      </c>
      <c r="J7" s="24" t="s">
        <v>20</v>
      </c>
      <c r="K7" s="24" t="s">
        <v>1779</v>
      </c>
      <c r="L7" s="24" t="s">
        <v>1781</v>
      </c>
      <c r="M7" s="24" t="s">
        <v>2285</v>
      </c>
      <c r="N7" s="24"/>
      <c r="O7" s="24"/>
      <c r="P7" s="24" t="s">
        <v>2146</v>
      </c>
      <c r="Q7" s="24" t="s">
        <v>2147</v>
      </c>
      <c r="R7" s="24" t="s">
        <v>2164</v>
      </c>
      <c r="S7" s="24" t="s">
        <v>50</v>
      </c>
      <c r="T7" s="24" t="s">
        <v>50</v>
      </c>
      <c r="U7" s="24" t="s">
        <v>833</v>
      </c>
      <c r="V7" s="24" t="s">
        <v>2165</v>
      </c>
      <c r="W7" s="24" t="s">
        <v>2166</v>
      </c>
      <c r="X7" s="24" t="s">
        <v>769</v>
      </c>
      <c r="Y7" s="24" t="s">
        <v>2181</v>
      </c>
      <c r="Z7" s="24" t="s">
        <v>27</v>
      </c>
      <c r="AA7" s="24" t="s">
        <v>277</v>
      </c>
      <c r="AB7" s="24" t="s">
        <v>50</v>
      </c>
      <c r="AC7" s="24" t="s">
        <v>50</v>
      </c>
      <c r="AD7" s="24" t="s">
        <v>50</v>
      </c>
      <c r="AE7" s="24" t="s">
        <v>50</v>
      </c>
      <c r="AF7" s="24" t="s">
        <v>527</v>
      </c>
      <c r="AG7" s="24" t="s">
        <v>833</v>
      </c>
      <c r="AH7" s="24" t="s">
        <v>2172</v>
      </c>
      <c r="AI7" s="24" t="s">
        <v>2173</v>
      </c>
      <c r="AJ7" s="24" t="s">
        <v>833</v>
      </c>
      <c r="AK7" s="24" t="s">
        <v>934</v>
      </c>
      <c r="AL7" s="24" t="s">
        <v>50</v>
      </c>
      <c r="AM7" s="24" t="s">
        <v>2289</v>
      </c>
      <c r="AN7" s="24" t="s">
        <v>2290</v>
      </c>
      <c r="AO7" s="24" t="s">
        <v>27</v>
      </c>
      <c r="AP7" s="24" t="s">
        <v>27</v>
      </c>
      <c r="AQ7" s="24" t="s">
        <v>27</v>
      </c>
      <c r="AR7" s="24" t="s">
        <v>1479</v>
      </c>
      <c r="AS7" s="24" t="s">
        <v>27</v>
      </c>
      <c r="AT7" s="24" t="s">
        <v>277</v>
      </c>
      <c r="AU7" s="24" t="s">
        <v>2164</v>
      </c>
      <c r="AV7" s="24" t="s">
        <v>50</v>
      </c>
      <c r="AW7" s="24" t="s">
        <v>50</v>
      </c>
      <c r="AX7" s="24" t="s">
        <v>833</v>
      </c>
      <c r="AY7" s="24" t="s">
        <v>2293</v>
      </c>
      <c r="AZ7" s="24" t="s">
        <v>2181</v>
      </c>
      <c r="BA7" s="24" t="s">
        <v>2185</v>
      </c>
      <c r="BB7" s="24" t="s">
        <v>2187</v>
      </c>
      <c r="BC7" s="24" t="s">
        <v>50</v>
      </c>
      <c r="BD7" s="24" t="s">
        <v>50</v>
      </c>
      <c r="BE7" s="24" t="s">
        <v>277</v>
      </c>
      <c r="BF7" s="24" t="s">
        <v>50</v>
      </c>
      <c r="BG7" s="24" t="s">
        <v>50</v>
      </c>
      <c r="BH7" s="24" t="s">
        <v>50</v>
      </c>
      <c r="BI7" s="24" t="s">
        <v>50</v>
      </c>
      <c r="BJ7" s="24" t="s">
        <v>527</v>
      </c>
      <c r="BK7" s="24" t="s">
        <v>833</v>
      </c>
      <c r="BL7" s="24" t="s">
        <v>2172</v>
      </c>
      <c r="BM7" s="24" t="s">
        <v>2173</v>
      </c>
      <c r="BN7" s="24" t="s">
        <v>833</v>
      </c>
      <c r="BO7" s="24" t="s">
        <v>934</v>
      </c>
      <c r="BP7" s="24" t="s">
        <v>2192</v>
      </c>
      <c r="BQ7" s="24" t="s">
        <v>2255</v>
      </c>
      <c r="BR7" s="24"/>
      <c r="BS7" s="24"/>
      <c r="BT7" s="24"/>
      <c r="BU7" s="24"/>
      <c r="BV7" s="24" t="s">
        <v>27</v>
      </c>
      <c r="BW7" s="24" t="s">
        <v>50</v>
      </c>
      <c r="BX7" s="24" t="s">
        <v>27</v>
      </c>
      <c r="BY7" s="24" t="s">
        <v>27</v>
      </c>
      <c r="BZ7" s="24" t="s">
        <v>2194</v>
      </c>
      <c r="CA7" s="24" t="s">
        <v>50</v>
      </c>
      <c r="CB7" s="24" t="s">
        <v>277</v>
      </c>
      <c r="CC7" s="24" t="s">
        <v>277</v>
      </c>
      <c r="CD7" s="24" t="s">
        <v>2195</v>
      </c>
      <c r="CE7" s="24" t="s">
        <v>2196</v>
      </c>
      <c r="CF7" s="24" t="s">
        <v>50</v>
      </c>
      <c r="CG7" s="24" t="s">
        <v>2301</v>
      </c>
      <c r="CH7" s="24" t="s">
        <v>27</v>
      </c>
      <c r="CI7" s="24" t="s">
        <v>2305</v>
      </c>
      <c r="CJ7" s="24" t="s">
        <v>50</v>
      </c>
      <c r="CK7" s="24" t="s">
        <v>50</v>
      </c>
      <c r="CL7" s="24" t="s">
        <v>50</v>
      </c>
      <c r="CM7" s="24" t="s">
        <v>50</v>
      </c>
      <c r="CN7" s="24" t="s">
        <v>50</v>
      </c>
      <c r="CO7" s="24" t="s">
        <v>50</v>
      </c>
      <c r="CP7" s="24" t="s">
        <v>50</v>
      </c>
      <c r="CQ7" s="24" t="s">
        <v>2307</v>
      </c>
      <c r="CR7" s="24" t="s">
        <v>2308</v>
      </c>
      <c r="CS7" s="24" t="s">
        <v>50</v>
      </c>
      <c r="CT7" s="24" t="s">
        <v>50</v>
      </c>
      <c r="CU7" s="24" t="s">
        <v>2216</v>
      </c>
      <c r="CV7" s="24" t="s">
        <v>2164</v>
      </c>
      <c r="CW7" s="24" t="s">
        <v>1539</v>
      </c>
      <c r="CX7" s="24" t="s">
        <v>50</v>
      </c>
      <c r="CY7" s="24"/>
      <c r="CZ7" s="24"/>
      <c r="DA7" s="24"/>
      <c r="DB7" s="24" t="s">
        <v>2223</v>
      </c>
      <c r="DC7" s="24" t="s">
        <v>50</v>
      </c>
      <c r="DD7" s="24" t="s">
        <v>50</v>
      </c>
      <c r="DE7" s="24" t="s">
        <v>50</v>
      </c>
      <c r="DF7" s="24" t="s">
        <v>50</v>
      </c>
      <c r="DG7" s="24" t="s">
        <v>2225</v>
      </c>
      <c r="DH7" s="24" t="s">
        <v>50</v>
      </c>
      <c r="DI7" s="24" t="s">
        <v>833</v>
      </c>
      <c r="DJ7" s="24" t="s">
        <v>2164</v>
      </c>
      <c r="DK7" s="24" t="s">
        <v>50</v>
      </c>
      <c r="DL7" s="24" t="s">
        <v>50</v>
      </c>
      <c r="DM7" s="24" t="s">
        <v>50</v>
      </c>
      <c r="DN7" s="24" t="s">
        <v>27</v>
      </c>
      <c r="DO7" s="24" t="s">
        <v>27</v>
      </c>
      <c r="DP7" s="24" t="s">
        <v>27</v>
      </c>
      <c r="DQ7" s="24" t="s">
        <v>2164</v>
      </c>
      <c r="DR7" s="24" t="s">
        <v>50</v>
      </c>
      <c r="DS7" s="24" t="s">
        <v>50</v>
      </c>
      <c r="DT7" s="24" t="s">
        <v>50</v>
      </c>
      <c r="DU7" s="24" t="s">
        <v>50</v>
      </c>
      <c r="DV7" s="24" t="s">
        <v>50</v>
      </c>
      <c r="DW7" s="24" t="s">
        <v>833</v>
      </c>
      <c r="DX7" s="24" t="s">
        <v>833</v>
      </c>
      <c r="DY7" s="24" t="s">
        <v>50</v>
      </c>
      <c r="DZ7" s="24" t="s">
        <v>50</v>
      </c>
      <c r="EA7" s="24" t="s">
        <v>50</v>
      </c>
      <c r="EB7" s="24" t="s">
        <v>50</v>
      </c>
      <c r="EC7" s="24" t="s">
        <v>2239</v>
      </c>
      <c r="ED7" s="24" t="s">
        <v>2242</v>
      </c>
      <c r="EE7" s="24" t="s">
        <v>2244</v>
      </c>
      <c r="EF7" s="24" t="s">
        <v>2245</v>
      </c>
      <c r="EG7" s="24" t="s">
        <v>833</v>
      </c>
      <c r="EH7" s="24" t="s">
        <v>2251</v>
      </c>
      <c r="EI7" s="24" t="s">
        <v>2253</v>
      </c>
      <c r="EJ7" s="24" t="s">
        <v>2319</v>
      </c>
      <c r="EK7" s="24" t="s">
        <v>2320</v>
      </c>
      <c r="EL7" s="24" t="s">
        <v>2321</v>
      </c>
      <c r="EM7" s="24" t="s">
        <v>2323</v>
      </c>
      <c r="EN7" s="24" t="s">
        <v>2264</v>
      </c>
      <c r="EO7" s="24" t="s">
        <v>833</v>
      </c>
      <c r="EP7" s="24" t="s">
        <v>27</v>
      </c>
      <c r="EQ7" s="24" t="s">
        <v>277</v>
      </c>
      <c r="ER7" s="24" t="s">
        <v>2164</v>
      </c>
      <c r="ES7" s="24" t="s">
        <v>50</v>
      </c>
      <c r="ET7" s="24" t="s">
        <v>50</v>
      </c>
      <c r="EU7" s="24" t="s">
        <v>50</v>
      </c>
      <c r="EV7" s="24" t="s">
        <v>50</v>
      </c>
      <c r="EW7" s="24" t="s">
        <v>833</v>
      </c>
      <c r="EX7" s="24" t="s">
        <v>1032</v>
      </c>
      <c r="EY7" s="24" t="s">
        <v>1032</v>
      </c>
      <c r="EZ7" s="24" t="s">
        <v>1032</v>
      </c>
      <c r="FA7" s="24" t="s">
        <v>1032</v>
      </c>
      <c r="FB7" s="24" t="s">
        <v>2270</v>
      </c>
      <c r="FC7" s="24"/>
      <c r="FD7" s="24"/>
      <c r="FE7" s="24"/>
      <c r="FF7" s="24"/>
      <c r="FG7" s="24" t="s">
        <v>50</v>
      </c>
      <c r="FH7" s="24"/>
      <c r="FI7" s="24"/>
      <c r="FJ7" s="24"/>
      <c r="FK7" s="24"/>
      <c r="FL7" s="24"/>
      <c r="FM7" s="24"/>
      <c r="FN7" s="24"/>
      <c r="FO7" s="24"/>
      <c r="FP7" s="24"/>
      <c r="FQ7" s="24"/>
      <c r="FR7" s="24"/>
      <c r="FS7" s="24"/>
      <c r="FT7" s="24"/>
      <c r="FU7" s="24"/>
      <c r="FV7" s="24"/>
      <c r="FW7" s="24"/>
      <c r="FX7" s="24"/>
      <c r="FY7" s="24"/>
      <c r="FZ7" s="24"/>
      <c r="GA7" s="24"/>
      <c r="GB7" s="24" t="s">
        <v>27</v>
      </c>
      <c r="GC7" s="24" t="s">
        <v>50</v>
      </c>
      <c r="GD7" s="24"/>
      <c r="GE7" s="24"/>
      <c r="GF7" s="24"/>
      <c r="GG7" s="24"/>
      <c r="GH7" s="24"/>
      <c r="GI7" s="24"/>
      <c r="GJ7" s="24"/>
      <c r="GK7" s="24"/>
      <c r="GL7" s="24" t="s">
        <v>27</v>
      </c>
      <c r="GM7" s="24" t="s">
        <v>2346</v>
      </c>
      <c r="GN7" s="24" t="s">
        <v>50</v>
      </c>
      <c r="GO7" s="24" t="s">
        <v>833</v>
      </c>
      <c r="GP7" s="24" t="s">
        <v>277</v>
      </c>
      <c r="GQ7" s="24" t="s">
        <v>277</v>
      </c>
      <c r="GR7" s="24" t="s">
        <v>2348</v>
      </c>
      <c r="GS7" s="24"/>
      <c r="GT7" s="24" t="s">
        <v>277</v>
      </c>
      <c r="GU7" s="24" t="s">
        <v>2281</v>
      </c>
      <c r="GV7" s="24" t="s">
        <v>277</v>
      </c>
      <c r="GW7" s="24" t="s">
        <v>277</v>
      </c>
      <c r="GX7" s="24" t="s">
        <v>833</v>
      </c>
      <c r="GY7" s="24" t="s">
        <v>2283</v>
      </c>
      <c r="GZ7" s="24" t="s">
        <v>2284</v>
      </c>
      <c r="HA7" s="24" t="s">
        <v>833</v>
      </c>
      <c r="HB7" s="24" t="s">
        <v>833</v>
      </c>
      <c r="HC7" s="24" t="s">
        <v>833</v>
      </c>
      <c r="HD7" s="24" t="s">
        <v>833</v>
      </c>
      <c r="HE7" s="24" t="s">
        <v>833</v>
      </c>
      <c r="HF7" s="24" t="s">
        <v>833</v>
      </c>
      <c r="HG7" s="24" t="s">
        <v>833</v>
      </c>
      <c r="HH7" s="24" t="s">
        <v>27</v>
      </c>
      <c r="HI7" s="24"/>
      <c r="HJ7" s="24" t="s">
        <v>833</v>
      </c>
      <c r="HK7" s="24" t="s">
        <v>833</v>
      </c>
      <c r="HL7" s="24"/>
      <c r="HM7" s="24"/>
      <c r="HN7" s="24"/>
      <c r="HO7" s="24"/>
      <c r="HP7" s="24"/>
    </row>
    <row r="8" spans="1:224" ht="40.5">
      <c r="B8" s="454"/>
      <c r="C8" s="24" t="s">
        <v>2667</v>
      </c>
      <c r="D8" s="24" t="s">
        <v>2667</v>
      </c>
      <c r="E8" s="24" t="s">
        <v>2667</v>
      </c>
      <c r="F8" s="24" t="s">
        <v>2667</v>
      </c>
      <c r="G8" s="24"/>
      <c r="H8" s="24" t="s">
        <v>2766</v>
      </c>
      <c r="I8" s="24"/>
      <c r="J8" s="24"/>
      <c r="K8" s="24" t="s">
        <v>2766</v>
      </c>
      <c r="L8" s="24" t="s">
        <v>2766</v>
      </c>
      <c r="M8" s="24" t="s">
        <v>2766</v>
      </c>
      <c r="N8" s="24"/>
      <c r="O8" s="24"/>
      <c r="P8" s="24"/>
      <c r="Q8" s="24"/>
      <c r="R8" s="24" t="s">
        <v>2766</v>
      </c>
      <c r="S8" s="24"/>
      <c r="T8" s="24"/>
      <c r="U8" s="24"/>
      <c r="V8" s="24"/>
      <c r="W8" s="24"/>
      <c r="X8" s="24"/>
      <c r="Y8" s="24" t="s">
        <v>2752</v>
      </c>
      <c r="Z8" s="24"/>
      <c r="AA8" s="24"/>
      <c r="AB8" s="24"/>
      <c r="AC8" s="24"/>
      <c r="AD8" s="24"/>
      <c r="AE8" s="24"/>
      <c r="AF8" s="24"/>
      <c r="AG8" s="24"/>
      <c r="AH8" s="24"/>
      <c r="AI8" s="24"/>
      <c r="AJ8" s="24"/>
      <c r="AK8" s="24"/>
      <c r="AL8" s="24"/>
      <c r="AM8" s="24"/>
      <c r="AN8" s="24"/>
      <c r="AO8" s="24"/>
      <c r="AP8" s="24"/>
      <c r="AQ8" s="24"/>
      <c r="AR8" s="24"/>
      <c r="AS8" s="24"/>
      <c r="AT8" s="24"/>
      <c r="AU8" s="24" t="s">
        <v>2752</v>
      </c>
      <c r="AV8" s="24"/>
      <c r="AW8" s="24"/>
      <c r="AX8" s="24"/>
      <c r="AY8" s="24"/>
      <c r="AZ8" s="24" t="s">
        <v>2752</v>
      </c>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c r="CJ8" s="24"/>
      <c r="CK8" s="24"/>
      <c r="CL8" s="24"/>
      <c r="CM8" s="24"/>
      <c r="CN8" s="24"/>
      <c r="CO8" s="24"/>
      <c r="CP8" s="24"/>
      <c r="CQ8" s="24" t="s">
        <v>2801</v>
      </c>
      <c r="CR8" s="24" t="s">
        <v>2802</v>
      </c>
      <c r="CS8" s="24"/>
      <c r="CT8" s="24"/>
      <c r="CU8" s="24"/>
      <c r="CV8" s="24" t="s">
        <v>2752</v>
      </c>
      <c r="CW8" s="24"/>
      <c r="CX8" s="24"/>
      <c r="CY8" s="24"/>
      <c r="CZ8" s="24"/>
      <c r="DA8" s="24"/>
      <c r="DB8" s="24"/>
      <c r="DC8" s="24"/>
      <c r="DD8" s="24"/>
      <c r="DE8" s="24"/>
      <c r="DF8" s="24"/>
      <c r="DG8" s="24"/>
      <c r="DH8" s="24"/>
      <c r="DI8" s="24"/>
      <c r="DJ8" s="24"/>
      <c r="DK8" s="24"/>
      <c r="DL8" s="24"/>
      <c r="DM8" s="24"/>
      <c r="DN8" s="24"/>
      <c r="DO8" s="24"/>
      <c r="DP8" s="24"/>
      <c r="DQ8" s="24"/>
      <c r="DR8" s="24"/>
      <c r="DS8" s="24"/>
      <c r="DT8" s="24"/>
      <c r="DU8" s="24"/>
      <c r="DV8" s="24"/>
      <c r="DW8" s="24"/>
      <c r="DX8" s="24"/>
      <c r="DY8" s="24"/>
      <c r="DZ8" s="24"/>
      <c r="EA8" s="24"/>
      <c r="EB8" s="24"/>
      <c r="EC8" s="24"/>
      <c r="ED8" s="24"/>
      <c r="EE8" s="24"/>
      <c r="EF8" s="24"/>
      <c r="EG8" s="24"/>
      <c r="EH8" s="24"/>
      <c r="EI8" s="24"/>
      <c r="EJ8" s="24"/>
      <c r="EK8" s="24"/>
      <c r="EL8" s="24"/>
      <c r="EM8" s="24" t="s">
        <v>2752</v>
      </c>
      <c r="EN8" s="24"/>
      <c r="EO8" s="24"/>
      <c r="EP8" s="24"/>
      <c r="EQ8" s="24"/>
      <c r="ER8" s="24"/>
      <c r="ES8" s="24"/>
      <c r="ET8" s="24"/>
      <c r="EU8" s="24"/>
      <c r="EV8" s="24"/>
      <c r="EW8" s="24"/>
      <c r="EX8" s="24"/>
      <c r="EY8" s="24"/>
      <c r="EZ8" s="24"/>
      <c r="FA8" s="24"/>
      <c r="FB8" s="24" t="s">
        <v>2803</v>
      </c>
      <c r="FC8" s="24"/>
      <c r="FD8" s="24"/>
      <c r="FE8" s="24"/>
      <c r="FF8" s="24"/>
      <c r="FG8" s="24"/>
      <c r="FH8" s="24"/>
      <c r="FI8" s="24"/>
      <c r="FJ8" s="24"/>
      <c r="FK8" s="24"/>
      <c r="FL8" s="24"/>
      <c r="FM8" s="24"/>
      <c r="FN8" s="24"/>
      <c r="FO8" s="24"/>
      <c r="FP8" s="24"/>
      <c r="FQ8" s="24"/>
      <c r="FR8" s="24"/>
      <c r="FS8" s="24"/>
      <c r="FT8" s="24"/>
      <c r="FU8" s="24"/>
      <c r="FV8" s="24"/>
      <c r="FW8" s="24"/>
      <c r="FX8" s="24"/>
      <c r="FY8" s="24"/>
      <c r="FZ8" s="24"/>
      <c r="GA8" s="24"/>
      <c r="GB8" s="24"/>
      <c r="GC8" s="24"/>
      <c r="GD8" s="24"/>
      <c r="GE8" s="24"/>
      <c r="GF8" s="24"/>
      <c r="GG8" s="24"/>
      <c r="GH8" s="24"/>
      <c r="GI8" s="24"/>
      <c r="GJ8" s="24"/>
      <c r="GK8" s="24"/>
      <c r="GL8" s="24"/>
      <c r="GM8" s="24"/>
      <c r="GN8" s="24"/>
      <c r="GO8" s="24"/>
      <c r="GP8" s="24"/>
      <c r="GQ8" s="24"/>
      <c r="GR8" s="24"/>
      <c r="GS8" s="24"/>
      <c r="GT8" s="24"/>
      <c r="GU8" s="24"/>
      <c r="GV8" s="24"/>
      <c r="GW8" s="24"/>
      <c r="GX8" s="24"/>
      <c r="GY8" s="24"/>
      <c r="GZ8" s="24"/>
      <c r="HA8" s="24"/>
      <c r="HB8" s="24"/>
      <c r="HC8" s="24"/>
      <c r="HD8" s="24"/>
      <c r="HE8" s="24"/>
      <c r="HF8" s="24"/>
      <c r="HG8" s="24"/>
      <c r="HH8" s="24"/>
      <c r="HI8" s="24"/>
      <c r="HJ8" s="24"/>
      <c r="HK8" s="24"/>
      <c r="HL8" s="24"/>
      <c r="HM8" s="24"/>
      <c r="HN8" s="24"/>
      <c r="HO8" s="24"/>
      <c r="HP8" s="24"/>
    </row>
    <row r="9" spans="1:224" ht="26">
      <c r="B9" s="364" t="s">
        <v>1226</v>
      </c>
      <c r="C9" s="382" t="s">
        <v>2837</v>
      </c>
      <c r="D9" s="382" t="s">
        <v>2837</v>
      </c>
      <c r="E9" s="382" t="s">
        <v>238</v>
      </c>
      <c r="F9" s="383" t="s">
        <v>239</v>
      </c>
      <c r="G9" s="364"/>
      <c r="H9" s="364" t="s">
        <v>2876</v>
      </c>
      <c r="I9" s="364"/>
      <c r="J9" s="364"/>
      <c r="K9" s="75" t="s">
        <v>2877</v>
      </c>
      <c r="L9" s="75" t="s">
        <v>2878</v>
      </c>
      <c r="M9" s="75" t="s">
        <v>2879</v>
      </c>
      <c r="N9" s="364"/>
      <c r="O9" s="364"/>
      <c r="P9" s="364"/>
      <c r="Q9" s="364"/>
      <c r="R9" s="364" t="s">
        <v>422</v>
      </c>
      <c r="S9" s="364"/>
      <c r="T9" s="364"/>
      <c r="U9" s="364"/>
      <c r="V9" s="364"/>
      <c r="W9" s="364"/>
      <c r="X9" s="364"/>
      <c r="Y9" s="75" t="s">
        <v>2880</v>
      </c>
      <c r="Z9" s="364"/>
      <c r="AA9" s="364"/>
      <c r="AB9" s="364"/>
      <c r="AC9" s="364"/>
      <c r="AD9" s="364"/>
      <c r="AE9" s="364"/>
      <c r="AF9" s="364"/>
      <c r="AG9" s="364"/>
      <c r="AH9" s="364"/>
      <c r="AI9" s="364"/>
      <c r="AJ9" s="364"/>
      <c r="AK9" s="364"/>
      <c r="AL9" s="364"/>
      <c r="AM9" s="364"/>
      <c r="AN9" s="364"/>
      <c r="AO9" s="364"/>
      <c r="AP9" s="364"/>
      <c r="AQ9" s="364"/>
      <c r="AR9" s="364"/>
      <c r="AS9" s="364"/>
      <c r="AT9" s="364"/>
      <c r="AU9" s="364" t="s">
        <v>422</v>
      </c>
      <c r="AV9" s="364"/>
      <c r="AW9" s="364"/>
      <c r="AX9" s="364"/>
      <c r="AY9" s="364"/>
      <c r="AZ9" s="75" t="s">
        <v>2880</v>
      </c>
      <c r="BA9" s="364"/>
      <c r="BB9" s="364"/>
      <c r="BC9" s="364"/>
      <c r="BD9" s="364"/>
      <c r="BE9" s="364"/>
      <c r="BF9" s="364"/>
      <c r="BG9" s="364"/>
      <c r="BH9" s="364"/>
      <c r="BI9" s="364"/>
      <c r="BJ9" s="364"/>
      <c r="BK9" s="364"/>
      <c r="BL9" s="364"/>
      <c r="BM9" s="364"/>
      <c r="BN9" s="364"/>
      <c r="BO9" s="364"/>
      <c r="BP9" s="364"/>
      <c r="BQ9" s="364"/>
      <c r="BR9" s="364"/>
      <c r="BS9" s="364"/>
      <c r="BT9" s="364"/>
      <c r="BU9" s="364"/>
      <c r="BV9" s="364"/>
      <c r="BW9" s="364"/>
      <c r="BX9" s="364"/>
      <c r="BY9" s="364"/>
      <c r="BZ9" s="364"/>
      <c r="CA9" s="364"/>
      <c r="CB9" s="364"/>
      <c r="CC9" s="364"/>
      <c r="CD9" s="364"/>
      <c r="CE9" s="364"/>
      <c r="CF9" s="364"/>
      <c r="CG9" s="364"/>
      <c r="CH9" s="364"/>
      <c r="CI9" s="364"/>
      <c r="CJ9" s="364"/>
      <c r="CK9" s="364"/>
      <c r="CL9" s="364"/>
      <c r="CM9" s="364"/>
      <c r="CN9" s="364"/>
      <c r="CO9" s="364"/>
      <c r="CP9" s="364"/>
      <c r="CQ9" s="75" t="s">
        <v>2881</v>
      </c>
      <c r="CR9" s="364"/>
      <c r="CS9" s="364"/>
      <c r="CT9" s="364"/>
      <c r="CU9" s="364"/>
      <c r="CV9" s="364" t="s">
        <v>422</v>
      </c>
      <c r="CW9" s="364"/>
      <c r="CX9" s="364"/>
      <c r="CY9" s="364"/>
      <c r="CZ9" s="364"/>
      <c r="DA9" s="364"/>
      <c r="DB9" s="364"/>
      <c r="DC9" s="364"/>
      <c r="DD9" s="364"/>
      <c r="DE9" s="364"/>
      <c r="DF9" s="364"/>
      <c r="DG9" s="364"/>
      <c r="DH9" s="364"/>
      <c r="DI9" s="364"/>
      <c r="DJ9" s="364"/>
      <c r="DK9" s="364"/>
      <c r="DL9" s="364"/>
      <c r="DM9" s="364"/>
      <c r="DN9" s="364"/>
      <c r="DO9" s="364"/>
      <c r="DP9" s="364"/>
      <c r="DQ9" s="364"/>
      <c r="DR9" s="364"/>
      <c r="DS9" s="364"/>
      <c r="DT9" s="364"/>
      <c r="DU9" s="364"/>
      <c r="DV9" s="364"/>
      <c r="DW9" s="364"/>
      <c r="DX9" s="364"/>
      <c r="DY9" s="364"/>
      <c r="DZ9" s="364"/>
      <c r="EA9" s="364"/>
      <c r="EB9" s="364"/>
      <c r="EC9" s="364"/>
      <c r="ED9" s="364"/>
      <c r="EE9" s="364"/>
      <c r="EF9" s="364"/>
      <c r="EG9" s="364"/>
      <c r="EH9" s="364"/>
      <c r="EI9" s="364"/>
      <c r="EJ9" s="364"/>
      <c r="EK9" s="364"/>
      <c r="EL9" s="364"/>
      <c r="EM9" s="75" t="s">
        <v>2882</v>
      </c>
      <c r="EN9" s="364"/>
      <c r="EO9" s="364"/>
      <c r="EP9" s="364"/>
      <c r="EQ9" s="364"/>
      <c r="ER9" s="364"/>
      <c r="ES9" s="364"/>
      <c r="ET9" s="364"/>
      <c r="EU9" s="364"/>
      <c r="EV9" s="364"/>
      <c r="EW9" s="364"/>
      <c r="EX9" s="364"/>
      <c r="EY9" s="364"/>
      <c r="EZ9" s="364"/>
      <c r="FA9" s="364"/>
      <c r="FB9" s="364"/>
      <c r="FC9" s="364"/>
      <c r="FD9" s="364"/>
      <c r="FE9" s="364"/>
      <c r="FF9" s="364"/>
      <c r="FG9" s="364"/>
      <c r="FH9" s="364"/>
      <c r="FI9" s="364"/>
      <c r="FJ9" s="364"/>
      <c r="FK9" s="364"/>
      <c r="FL9" s="364"/>
      <c r="FM9" s="364"/>
      <c r="FN9" s="364"/>
      <c r="FO9" s="364"/>
      <c r="FP9" s="364"/>
      <c r="FQ9" s="364"/>
      <c r="FR9" s="364"/>
      <c r="FS9" s="364"/>
      <c r="FT9" s="364"/>
      <c r="FU9" s="364"/>
      <c r="FV9" s="364"/>
      <c r="FW9" s="364"/>
      <c r="FX9" s="364"/>
      <c r="FY9" s="364"/>
      <c r="FZ9" s="364"/>
      <c r="GA9" s="364"/>
      <c r="GB9" s="364"/>
      <c r="GC9" s="364"/>
      <c r="GD9" s="364"/>
      <c r="GE9" s="364"/>
      <c r="GF9" s="364"/>
      <c r="GG9" s="364"/>
      <c r="GH9" s="364"/>
      <c r="GI9" s="364"/>
      <c r="GJ9" s="364"/>
      <c r="GK9" s="364"/>
      <c r="GL9" s="364"/>
      <c r="GM9" s="364"/>
      <c r="GN9" s="364"/>
      <c r="GO9" s="364"/>
      <c r="GP9" s="364"/>
      <c r="GQ9" s="364"/>
      <c r="GR9" s="364"/>
      <c r="GS9" s="364"/>
      <c r="GT9" s="364"/>
      <c r="GU9" s="364"/>
      <c r="GV9" s="364"/>
      <c r="GW9" s="364"/>
      <c r="GX9" s="364"/>
      <c r="GY9" s="364"/>
      <c r="GZ9" s="364"/>
      <c r="HA9" s="364"/>
      <c r="HB9" s="364"/>
      <c r="HC9" s="364"/>
      <c r="HD9" s="364"/>
      <c r="HE9" s="364"/>
      <c r="HF9" s="364"/>
      <c r="HG9" s="364"/>
      <c r="HH9" s="364"/>
      <c r="HI9" s="364"/>
      <c r="HJ9" s="364"/>
      <c r="HK9" s="364"/>
      <c r="HL9" s="364"/>
      <c r="HM9" s="364"/>
      <c r="HN9" s="364"/>
      <c r="HO9" s="364"/>
      <c r="HP9" s="364"/>
    </row>
    <row r="10" spans="1:224">
      <c r="B10" s="368">
        <f>ROW() - 9</f>
        <v>1</v>
      </c>
      <c r="C10" s="384"/>
      <c r="D10" s="384"/>
      <c r="E10" s="384"/>
      <c r="F10" s="385"/>
      <c r="G10" s="368"/>
      <c r="H10" s="368"/>
      <c r="I10" s="368"/>
      <c r="J10" s="368"/>
      <c r="K10" s="368"/>
      <c r="L10" s="368"/>
      <c r="M10" s="368"/>
      <c r="N10" s="368"/>
      <c r="O10" s="368"/>
      <c r="P10" s="368"/>
      <c r="Q10" s="368"/>
      <c r="R10" s="368"/>
      <c r="S10" s="368"/>
      <c r="T10" s="368"/>
      <c r="U10" s="368"/>
      <c r="V10" s="368"/>
      <c r="W10" s="368"/>
      <c r="X10" s="368"/>
      <c r="Y10" s="368"/>
      <c r="Z10" s="368"/>
      <c r="AA10" s="368"/>
      <c r="AB10" s="368"/>
      <c r="AC10" s="368"/>
      <c r="AD10" s="368"/>
      <c r="AE10" s="368"/>
      <c r="AF10" s="368"/>
      <c r="AG10" s="368"/>
      <c r="AH10" s="368"/>
      <c r="AI10" s="368"/>
      <c r="AJ10" s="368"/>
      <c r="AK10" s="368"/>
      <c r="AL10" s="368"/>
      <c r="AM10" s="368"/>
      <c r="AN10" s="368"/>
      <c r="AO10" s="368"/>
      <c r="AP10" s="368"/>
      <c r="AQ10" s="368"/>
      <c r="AR10" s="368"/>
      <c r="AS10" s="368"/>
      <c r="AT10" s="368"/>
      <c r="AU10" s="368"/>
      <c r="AV10" s="368"/>
      <c r="AW10" s="368"/>
      <c r="AX10" s="368"/>
      <c r="AY10" s="368"/>
      <c r="AZ10" s="368"/>
      <c r="BA10" s="368"/>
      <c r="BB10" s="368"/>
      <c r="BC10" s="368"/>
      <c r="BD10" s="368"/>
      <c r="BE10" s="368"/>
      <c r="BF10" s="368"/>
      <c r="BG10" s="368"/>
      <c r="BH10" s="368"/>
      <c r="BI10" s="368"/>
      <c r="BJ10" s="368"/>
      <c r="BK10" s="368"/>
      <c r="BL10" s="368"/>
      <c r="BM10" s="368"/>
      <c r="BN10" s="368"/>
      <c r="BO10" s="368"/>
      <c r="BP10" s="368"/>
      <c r="BQ10" s="368"/>
      <c r="BR10" s="368"/>
      <c r="BS10" s="368"/>
      <c r="BT10" s="368"/>
      <c r="BU10" s="368"/>
      <c r="BV10" s="368"/>
      <c r="BW10" s="368"/>
      <c r="BX10" s="368"/>
      <c r="BY10" s="368"/>
      <c r="BZ10" s="368"/>
      <c r="CA10" s="368"/>
      <c r="CB10" s="368"/>
      <c r="CC10" s="368"/>
      <c r="CD10" s="368"/>
      <c r="CE10" s="368"/>
      <c r="CF10" s="368"/>
      <c r="CG10" s="368"/>
      <c r="CH10" s="368"/>
      <c r="CI10" s="368"/>
      <c r="CJ10" s="368"/>
      <c r="CK10" s="368"/>
      <c r="CL10" s="368"/>
      <c r="CM10" s="368"/>
      <c r="CN10" s="368"/>
      <c r="CO10" s="368"/>
      <c r="CP10" s="368"/>
      <c r="CQ10" s="368"/>
      <c r="CR10" s="368"/>
      <c r="CS10" s="368"/>
      <c r="CT10" s="368"/>
      <c r="CU10" s="368"/>
      <c r="CV10" s="368"/>
      <c r="CW10" s="368"/>
      <c r="CX10" s="368"/>
      <c r="CY10" s="368"/>
      <c r="CZ10" s="368"/>
      <c r="DA10" s="368"/>
      <c r="DB10" s="368"/>
      <c r="DC10" s="368"/>
      <c r="DD10" s="368"/>
      <c r="DE10" s="368"/>
      <c r="DF10" s="368"/>
      <c r="DG10" s="368"/>
      <c r="DH10" s="368"/>
      <c r="DI10" s="368"/>
      <c r="DJ10" s="368"/>
      <c r="DK10" s="368"/>
      <c r="DL10" s="368"/>
      <c r="DM10" s="368"/>
      <c r="DN10" s="368"/>
      <c r="DO10" s="368"/>
      <c r="DP10" s="368"/>
      <c r="DQ10" s="368"/>
      <c r="DR10" s="368"/>
      <c r="DS10" s="368"/>
      <c r="DT10" s="368"/>
      <c r="DU10" s="368"/>
      <c r="DV10" s="368"/>
      <c r="DW10" s="368"/>
      <c r="DX10" s="368"/>
      <c r="DY10" s="368"/>
      <c r="DZ10" s="368"/>
      <c r="EA10" s="368"/>
      <c r="EB10" s="368"/>
      <c r="EC10" s="368"/>
      <c r="ED10" s="368"/>
      <c r="EE10" s="368"/>
      <c r="EF10" s="368"/>
      <c r="EG10" s="368"/>
      <c r="EH10" s="368"/>
      <c r="EI10" s="368"/>
      <c r="EJ10" s="368"/>
      <c r="EK10" s="368"/>
      <c r="EL10" s="368"/>
      <c r="EM10" s="368"/>
      <c r="EN10" s="368"/>
      <c r="EO10" s="368"/>
      <c r="EP10" s="368"/>
      <c r="EQ10" s="368"/>
      <c r="ER10" s="368"/>
      <c r="ES10" s="368"/>
      <c r="ET10" s="368"/>
      <c r="EU10" s="368"/>
      <c r="EV10" s="368"/>
      <c r="EW10" s="368"/>
      <c r="EX10" s="368"/>
      <c r="EY10" s="368"/>
      <c r="EZ10" s="368"/>
      <c r="FA10" s="368"/>
      <c r="FB10" s="368"/>
      <c r="FC10" s="368"/>
      <c r="FD10" s="368"/>
      <c r="FE10" s="368"/>
      <c r="FF10" s="368"/>
      <c r="FG10" s="368"/>
      <c r="FH10" s="368"/>
      <c r="FI10" s="368"/>
      <c r="FJ10" s="368"/>
      <c r="FK10" s="368"/>
      <c r="FL10" s="368"/>
      <c r="FM10" s="368"/>
      <c r="FN10" s="368"/>
      <c r="FO10" s="368"/>
      <c r="FP10" s="368"/>
      <c r="FQ10" s="368"/>
      <c r="FR10" s="368"/>
      <c r="FS10" s="368"/>
      <c r="FT10" s="368"/>
      <c r="FU10" s="368"/>
      <c r="FV10" s="368"/>
      <c r="FW10" s="368"/>
      <c r="FX10" s="368"/>
      <c r="FY10" s="368"/>
      <c r="FZ10" s="368"/>
      <c r="GA10" s="368"/>
      <c r="GB10" s="368"/>
      <c r="GC10" s="368"/>
      <c r="GD10" s="368"/>
      <c r="GE10" s="368"/>
      <c r="GF10" s="368"/>
      <c r="GG10" s="368"/>
      <c r="GH10" s="368"/>
      <c r="GI10" s="368"/>
      <c r="GJ10" s="368"/>
      <c r="GK10" s="368"/>
      <c r="GL10" s="368"/>
      <c r="GM10" s="368"/>
      <c r="GN10" s="368"/>
      <c r="GO10" s="368"/>
      <c r="GP10" s="368"/>
      <c r="GQ10" s="368"/>
      <c r="GR10" s="368"/>
      <c r="GS10" s="368"/>
      <c r="GT10" s="368"/>
      <c r="GU10" s="368"/>
      <c r="GV10" s="368"/>
      <c r="GW10" s="368"/>
      <c r="GX10" s="368"/>
      <c r="GY10" s="368"/>
      <c r="GZ10" s="368"/>
      <c r="HA10" s="368"/>
      <c r="HB10" s="368"/>
      <c r="HC10" s="368"/>
      <c r="HD10" s="368"/>
      <c r="HE10" s="368"/>
      <c r="HF10" s="368"/>
      <c r="HG10" s="368"/>
      <c r="HH10" s="368"/>
      <c r="HI10" s="368"/>
      <c r="HJ10" s="368"/>
      <c r="HK10" s="368"/>
      <c r="HL10" s="368"/>
      <c r="HM10" s="368"/>
      <c r="HN10" s="368"/>
      <c r="HO10" s="368"/>
      <c r="HP10" s="368"/>
    </row>
    <row r="11" spans="1:224">
      <c r="B11" s="368">
        <f t="shared" ref="B11:B29" si="0">ROW() - 9</f>
        <v>2</v>
      </c>
      <c r="C11" s="384"/>
      <c r="D11" s="384"/>
      <c r="E11" s="384"/>
      <c r="F11" s="385"/>
      <c r="G11" s="368"/>
      <c r="H11" s="368"/>
      <c r="I11" s="368"/>
      <c r="J11" s="368"/>
      <c r="K11" s="368"/>
      <c r="L11" s="368"/>
      <c r="M11" s="368"/>
      <c r="N11" s="368"/>
      <c r="O11" s="368"/>
      <c r="P11" s="368"/>
      <c r="Q11" s="368"/>
      <c r="R11" s="368"/>
      <c r="S11" s="368"/>
      <c r="T11" s="368"/>
      <c r="U11" s="368"/>
      <c r="V11" s="368"/>
      <c r="W11" s="368"/>
      <c r="X11" s="368"/>
      <c r="Y11" s="368"/>
      <c r="Z11" s="368"/>
      <c r="AA11" s="368"/>
      <c r="AB11" s="368"/>
      <c r="AC11" s="368"/>
      <c r="AD11" s="368"/>
      <c r="AE11" s="368"/>
      <c r="AF11" s="368"/>
      <c r="AG11" s="368"/>
      <c r="AH11" s="368"/>
      <c r="AI11" s="368"/>
      <c r="AJ11" s="368"/>
      <c r="AK11" s="368"/>
      <c r="AL11" s="368"/>
      <c r="AM11" s="368"/>
      <c r="AN11" s="368"/>
      <c r="AO11" s="368"/>
      <c r="AP11" s="368"/>
      <c r="AQ11" s="368"/>
      <c r="AR11" s="368"/>
      <c r="AS11" s="368"/>
      <c r="AT11" s="368"/>
      <c r="AU11" s="368"/>
      <c r="AV11" s="368"/>
      <c r="AW11" s="368"/>
      <c r="AX11" s="368"/>
      <c r="AY11" s="368"/>
      <c r="AZ11" s="368"/>
      <c r="BA11" s="368"/>
      <c r="BB11" s="368"/>
      <c r="BC11" s="368"/>
      <c r="BD11" s="368"/>
      <c r="BE11" s="368"/>
      <c r="BF11" s="368"/>
      <c r="BG11" s="368"/>
      <c r="BH11" s="368"/>
      <c r="BI11" s="368"/>
      <c r="BJ11" s="368"/>
      <c r="BK11" s="368"/>
      <c r="BL11" s="368"/>
      <c r="BM11" s="368"/>
      <c r="BN11" s="368"/>
      <c r="BO11" s="368"/>
      <c r="BP11" s="368"/>
      <c r="BQ11" s="368"/>
      <c r="BR11" s="368"/>
      <c r="BS11" s="368"/>
      <c r="BT11" s="368"/>
      <c r="BU11" s="368"/>
      <c r="BV11" s="368"/>
      <c r="BW11" s="368"/>
      <c r="BX11" s="368"/>
      <c r="BY11" s="368"/>
      <c r="BZ11" s="368"/>
      <c r="CA11" s="368"/>
      <c r="CB11" s="368"/>
      <c r="CC11" s="368"/>
      <c r="CD11" s="368"/>
      <c r="CE11" s="368"/>
      <c r="CF11" s="368"/>
      <c r="CG11" s="368"/>
      <c r="CH11" s="368"/>
      <c r="CI11" s="368"/>
      <c r="CJ11" s="368"/>
      <c r="CK11" s="368"/>
      <c r="CL11" s="368"/>
      <c r="CM11" s="368"/>
      <c r="CN11" s="368"/>
      <c r="CO11" s="368"/>
      <c r="CP11" s="368"/>
      <c r="CQ11" s="368"/>
      <c r="CR11" s="368"/>
      <c r="CS11" s="368"/>
      <c r="CT11" s="368"/>
      <c r="CU11" s="368"/>
      <c r="CV11" s="368"/>
      <c r="CW11" s="368"/>
      <c r="CX11" s="368"/>
      <c r="CY11" s="368"/>
      <c r="CZ11" s="368"/>
      <c r="DA11" s="368"/>
      <c r="DB11" s="368"/>
      <c r="DC11" s="368"/>
      <c r="DD11" s="368"/>
      <c r="DE11" s="368"/>
      <c r="DF11" s="368"/>
      <c r="DG11" s="368"/>
      <c r="DH11" s="368"/>
      <c r="DI11" s="368"/>
      <c r="DJ11" s="368"/>
      <c r="DK11" s="368"/>
      <c r="DL11" s="368"/>
      <c r="DM11" s="368"/>
      <c r="DN11" s="368"/>
      <c r="DO11" s="368"/>
      <c r="DP11" s="368"/>
      <c r="DQ11" s="368"/>
      <c r="DR11" s="368"/>
      <c r="DS11" s="368"/>
      <c r="DT11" s="368"/>
      <c r="DU11" s="368"/>
      <c r="DV11" s="368"/>
      <c r="DW11" s="368"/>
      <c r="DX11" s="368"/>
      <c r="DY11" s="368"/>
      <c r="DZ11" s="368"/>
      <c r="EA11" s="368"/>
      <c r="EB11" s="368"/>
      <c r="EC11" s="368"/>
      <c r="ED11" s="368"/>
      <c r="EE11" s="368"/>
      <c r="EF11" s="368"/>
      <c r="EG11" s="368"/>
      <c r="EH11" s="368"/>
      <c r="EI11" s="368"/>
      <c r="EJ11" s="368"/>
      <c r="EK11" s="368"/>
      <c r="EL11" s="368"/>
      <c r="EM11" s="368"/>
      <c r="EN11" s="368"/>
      <c r="EO11" s="368"/>
      <c r="EP11" s="368"/>
      <c r="EQ11" s="368"/>
      <c r="ER11" s="368"/>
      <c r="ES11" s="368"/>
      <c r="ET11" s="368"/>
      <c r="EU11" s="368"/>
      <c r="EV11" s="368"/>
      <c r="EW11" s="368"/>
      <c r="EX11" s="368"/>
      <c r="EY11" s="368"/>
      <c r="EZ11" s="368"/>
      <c r="FA11" s="368"/>
      <c r="FB11" s="368"/>
      <c r="FC11" s="368"/>
      <c r="FD11" s="368"/>
      <c r="FE11" s="368"/>
      <c r="FF11" s="368"/>
      <c r="FG11" s="368"/>
      <c r="FH11" s="368"/>
      <c r="FI11" s="368"/>
      <c r="FJ11" s="368"/>
      <c r="FK11" s="368"/>
      <c r="FL11" s="368"/>
      <c r="FM11" s="368"/>
      <c r="FN11" s="368"/>
      <c r="FO11" s="368"/>
      <c r="FP11" s="368"/>
      <c r="FQ11" s="368"/>
      <c r="FR11" s="368"/>
      <c r="FS11" s="368"/>
      <c r="FT11" s="368"/>
      <c r="FU11" s="368"/>
      <c r="FV11" s="368"/>
      <c r="FW11" s="368"/>
      <c r="FX11" s="368"/>
      <c r="FY11" s="368"/>
      <c r="FZ11" s="368"/>
      <c r="GA11" s="368"/>
      <c r="GB11" s="368"/>
      <c r="GC11" s="368"/>
      <c r="GD11" s="368"/>
      <c r="GE11" s="368"/>
      <c r="GF11" s="368"/>
      <c r="GG11" s="368"/>
      <c r="GH11" s="368"/>
      <c r="GI11" s="368"/>
      <c r="GJ11" s="368"/>
      <c r="GK11" s="368"/>
      <c r="GL11" s="368"/>
      <c r="GM11" s="368"/>
      <c r="GN11" s="368"/>
      <c r="GO11" s="368"/>
      <c r="GP11" s="368"/>
      <c r="GQ11" s="368"/>
      <c r="GR11" s="368"/>
      <c r="GS11" s="368"/>
      <c r="GT11" s="368"/>
      <c r="GU11" s="368"/>
      <c r="GV11" s="368"/>
      <c r="GW11" s="368"/>
      <c r="GX11" s="368"/>
      <c r="GY11" s="368"/>
      <c r="GZ11" s="368"/>
      <c r="HA11" s="368"/>
      <c r="HB11" s="368"/>
      <c r="HC11" s="368"/>
      <c r="HD11" s="368"/>
      <c r="HE11" s="368"/>
      <c r="HF11" s="368"/>
      <c r="HG11" s="368"/>
      <c r="HH11" s="368"/>
      <c r="HI11" s="368"/>
      <c r="HJ11" s="368"/>
      <c r="HK11" s="368"/>
      <c r="HL11" s="368"/>
      <c r="HM11" s="368"/>
      <c r="HN11" s="368"/>
      <c r="HO11" s="368"/>
      <c r="HP11" s="368"/>
    </row>
    <row r="12" spans="1:224">
      <c r="B12" s="368">
        <f t="shared" si="0"/>
        <v>3</v>
      </c>
      <c r="C12" s="384"/>
      <c r="D12" s="384"/>
      <c r="E12" s="384"/>
      <c r="F12" s="385"/>
      <c r="G12" s="368"/>
      <c r="H12" s="368"/>
      <c r="I12" s="368"/>
      <c r="J12" s="368"/>
      <c r="K12" s="368"/>
      <c r="L12" s="368"/>
      <c r="M12" s="368"/>
      <c r="N12" s="368"/>
      <c r="O12" s="368"/>
      <c r="P12" s="368"/>
      <c r="Q12" s="368"/>
      <c r="R12" s="368"/>
      <c r="S12" s="368"/>
      <c r="T12" s="368"/>
      <c r="U12" s="368"/>
      <c r="V12" s="368"/>
      <c r="W12" s="368"/>
      <c r="X12" s="368"/>
      <c r="Y12" s="368"/>
      <c r="Z12" s="368"/>
      <c r="AA12" s="368"/>
      <c r="AB12" s="368"/>
      <c r="AC12" s="368"/>
      <c r="AD12" s="368"/>
      <c r="AE12" s="368"/>
      <c r="AF12" s="368"/>
      <c r="AG12" s="368"/>
      <c r="AH12" s="368"/>
      <c r="AI12" s="368"/>
      <c r="AJ12" s="368"/>
      <c r="AK12" s="368"/>
      <c r="AL12" s="368"/>
      <c r="AM12" s="368"/>
      <c r="AN12" s="368"/>
      <c r="AO12" s="368"/>
      <c r="AP12" s="368"/>
      <c r="AQ12" s="368"/>
      <c r="AR12" s="368"/>
      <c r="AS12" s="368"/>
      <c r="AT12" s="368"/>
      <c r="AU12" s="368"/>
      <c r="AV12" s="368"/>
      <c r="AW12" s="368"/>
      <c r="AX12" s="368"/>
      <c r="AY12" s="368"/>
      <c r="AZ12" s="368"/>
      <c r="BA12" s="368"/>
      <c r="BB12" s="368"/>
      <c r="BC12" s="368"/>
      <c r="BD12" s="368"/>
      <c r="BE12" s="368"/>
      <c r="BF12" s="368"/>
      <c r="BG12" s="368"/>
      <c r="BH12" s="368"/>
      <c r="BI12" s="368"/>
      <c r="BJ12" s="368"/>
      <c r="BK12" s="368"/>
      <c r="BL12" s="368"/>
      <c r="BM12" s="368"/>
      <c r="BN12" s="368"/>
      <c r="BO12" s="368"/>
      <c r="BP12" s="368"/>
      <c r="BQ12" s="368"/>
      <c r="BR12" s="368"/>
      <c r="BS12" s="368"/>
      <c r="BT12" s="368"/>
      <c r="BU12" s="368"/>
      <c r="BV12" s="368"/>
      <c r="BW12" s="368"/>
      <c r="BX12" s="368"/>
      <c r="BY12" s="368"/>
      <c r="BZ12" s="368"/>
      <c r="CA12" s="368"/>
      <c r="CB12" s="368"/>
      <c r="CC12" s="368"/>
      <c r="CD12" s="368"/>
      <c r="CE12" s="368"/>
      <c r="CF12" s="368"/>
      <c r="CG12" s="368"/>
      <c r="CH12" s="368"/>
      <c r="CI12" s="368"/>
      <c r="CJ12" s="368"/>
      <c r="CK12" s="368"/>
      <c r="CL12" s="368"/>
      <c r="CM12" s="368"/>
      <c r="CN12" s="368"/>
      <c r="CO12" s="368"/>
      <c r="CP12" s="368"/>
      <c r="CQ12" s="368"/>
      <c r="CR12" s="368"/>
      <c r="CS12" s="368"/>
      <c r="CT12" s="368"/>
      <c r="CU12" s="368"/>
      <c r="CV12" s="368"/>
      <c r="CW12" s="368"/>
      <c r="CX12" s="368"/>
      <c r="CY12" s="368"/>
      <c r="CZ12" s="368"/>
      <c r="DA12" s="368"/>
      <c r="DB12" s="368"/>
      <c r="DC12" s="368"/>
      <c r="DD12" s="368"/>
      <c r="DE12" s="368"/>
      <c r="DF12" s="368"/>
      <c r="DG12" s="368"/>
      <c r="DH12" s="368"/>
      <c r="DI12" s="368"/>
      <c r="DJ12" s="368"/>
      <c r="DK12" s="368"/>
      <c r="DL12" s="368"/>
      <c r="DM12" s="368"/>
      <c r="DN12" s="368"/>
      <c r="DO12" s="368"/>
      <c r="DP12" s="368"/>
      <c r="DQ12" s="368"/>
      <c r="DR12" s="368"/>
      <c r="DS12" s="368"/>
      <c r="DT12" s="368"/>
      <c r="DU12" s="368"/>
      <c r="DV12" s="368"/>
      <c r="DW12" s="368"/>
      <c r="DX12" s="368"/>
      <c r="DY12" s="368"/>
      <c r="DZ12" s="368"/>
      <c r="EA12" s="368"/>
      <c r="EB12" s="368"/>
      <c r="EC12" s="368"/>
      <c r="ED12" s="368"/>
      <c r="EE12" s="368"/>
      <c r="EF12" s="368"/>
      <c r="EG12" s="368"/>
      <c r="EH12" s="368"/>
      <c r="EI12" s="368"/>
      <c r="EJ12" s="368"/>
      <c r="EK12" s="368"/>
      <c r="EL12" s="368"/>
      <c r="EM12" s="368"/>
      <c r="EN12" s="368"/>
      <c r="EO12" s="368"/>
      <c r="EP12" s="368"/>
      <c r="EQ12" s="368"/>
      <c r="ER12" s="368"/>
      <c r="ES12" s="368"/>
      <c r="ET12" s="368"/>
      <c r="EU12" s="368"/>
      <c r="EV12" s="368"/>
      <c r="EW12" s="368"/>
      <c r="EX12" s="368"/>
      <c r="EY12" s="368"/>
      <c r="EZ12" s="368"/>
      <c r="FA12" s="368"/>
      <c r="FB12" s="368"/>
      <c r="FC12" s="368"/>
      <c r="FD12" s="368"/>
      <c r="FE12" s="368"/>
      <c r="FF12" s="368"/>
      <c r="FG12" s="368"/>
      <c r="FH12" s="368"/>
      <c r="FI12" s="368"/>
      <c r="FJ12" s="368"/>
      <c r="FK12" s="368"/>
      <c r="FL12" s="368"/>
      <c r="FM12" s="368"/>
      <c r="FN12" s="368"/>
      <c r="FO12" s="368"/>
      <c r="FP12" s="368"/>
      <c r="FQ12" s="368"/>
      <c r="FR12" s="368"/>
      <c r="FS12" s="368"/>
      <c r="FT12" s="368"/>
      <c r="FU12" s="368"/>
      <c r="FV12" s="368"/>
      <c r="FW12" s="368"/>
      <c r="FX12" s="368"/>
      <c r="FY12" s="368"/>
      <c r="FZ12" s="368"/>
      <c r="GA12" s="368"/>
      <c r="GB12" s="368"/>
      <c r="GC12" s="368"/>
      <c r="GD12" s="368"/>
      <c r="GE12" s="368"/>
      <c r="GF12" s="368"/>
      <c r="GG12" s="368"/>
      <c r="GH12" s="368"/>
      <c r="GI12" s="368"/>
      <c r="GJ12" s="368"/>
      <c r="GK12" s="368"/>
      <c r="GL12" s="368"/>
      <c r="GM12" s="368"/>
      <c r="GN12" s="368"/>
      <c r="GO12" s="368"/>
      <c r="GP12" s="368"/>
      <c r="GQ12" s="368"/>
      <c r="GR12" s="368"/>
      <c r="GS12" s="368"/>
      <c r="GT12" s="368"/>
      <c r="GU12" s="368"/>
      <c r="GV12" s="368"/>
      <c r="GW12" s="368"/>
      <c r="GX12" s="368"/>
      <c r="GY12" s="368"/>
      <c r="GZ12" s="368"/>
      <c r="HA12" s="368"/>
      <c r="HB12" s="368"/>
      <c r="HC12" s="368"/>
      <c r="HD12" s="368"/>
      <c r="HE12" s="368"/>
      <c r="HF12" s="368"/>
      <c r="HG12" s="368"/>
      <c r="HH12" s="368"/>
      <c r="HI12" s="368"/>
      <c r="HJ12" s="368"/>
      <c r="HK12" s="368"/>
      <c r="HL12" s="368"/>
      <c r="HM12" s="368"/>
      <c r="HN12" s="368"/>
      <c r="HO12" s="368"/>
      <c r="HP12" s="368"/>
    </row>
    <row r="13" spans="1:224">
      <c r="B13" s="368">
        <f t="shared" si="0"/>
        <v>4</v>
      </c>
      <c r="C13" s="384"/>
      <c r="D13" s="384"/>
      <c r="E13" s="384"/>
      <c r="F13" s="385"/>
      <c r="G13" s="368"/>
      <c r="H13" s="368"/>
      <c r="I13" s="368"/>
      <c r="J13" s="368"/>
      <c r="K13" s="368"/>
      <c r="L13" s="368"/>
      <c r="M13" s="368"/>
      <c r="N13" s="368"/>
      <c r="O13" s="368"/>
      <c r="P13" s="368"/>
      <c r="Q13" s="368"/>
      <c r="R13" s="368"/>
      <c r="S13" s="368"/>
      <c r="T13" s="368"/>
      <c r="U13" s="368"/>
      <c r="V13" s="368"/>
      <c r="W13" s="368"/>
      <c r="X13" s="368"/>
      <c r="Y13" s="368"/>
      <c r="Z13" s="368"/>
      <c r="AA13" s="368"/>
      <c r="AB13" s="368"/>
      <c r="AC13" s="368"/>
      <c r="AD13" s="368"/>
      <c r="AE13" s="368"/>
      <c r="AF13" s="368"/>
      <c r="AG13" s="368"/>
      <c r="AH13" s="368"/>
      <c r="AI13" s="368"/>
      <c r="AJ13" s="368"/>
      <c r="AK13" s="368"/>
      <c r="AL13" s="368"/>
      <c r="AM13" s="368"/>
      <c r="AN13" s="368"/>
      <c r="AO13" s="368"/>
      <c r="AP13" s="368"/>
      <c r="AQ13" s="368"/>
      <c r="AR13" s="368"/>
      <c r="AS13" s="368"/>
      <c r="AT13" s="368"/>
      <c r="AU13" s="368"/>
      <c r="AV13" s="368"/>
      <c r="AW13" s="368"/>
      <c r="AX13" s="368"/>
      <c r="AY13" s="368"/>
      <c r="AZ13" s="368"/>
      <c r="BA13" s="368"/>
      <c r="BB13" s="368"/>
      <c r="BC13" s="368"/>
      <c r="BD13" s="368"/>
      <c r="BE13" s="368"/>
      <c r="BF13" s="368"/>
      <c r="BG13" s="368"/>
      <c r="BH13" s="368"/>
      <c r="BI13" s="368"/>
      <c r="BJ13" s="368"/>
      <c r="BK13" s="368"/>
      <c r="BL13" s="368"/>
      <c r="BM13" s="368"/>
      <c r="BN13" s="368"/>
      <c r="BO13" s="368"/>
      <c r="BP13" s="368"/>
      <c r="BQ13" s="368"/>
      <c r="BR13" s="368"/>
      <c r="BS13" s="368"/>
      <c r="BT13" s="368"/>
      <c r="BU13" s="368"/>
      <c r="BV13" s="368"/>
      <c r="BW13" s="368"/>
      <c r="BX13" s="368"/>
      <c r="BY13" s="368"/>
      <c r="BZ13" s="368"/>
      <c r="CA13" s="368"/>
      <c r="CB13" s="368"/>
      <c r="CC13" s="368"/>
      <c r="CD13" s="368"/>
      <c r="CE13" s="368"/>
      <c r="CF13" s="368"/>
      <c r="CG13" s="368"/>
      <c r="CH13" s="368"/>
      <c r="CI13" s="368"/>
      <c r="CJ13" s="368"/>
      <c r="CK13" s="368"/>
      <c r="CL13" s="368"/>
      <c r="CM13" s="368"/>
      <c r="CN13" s="368"/>
      <c r="CO13" s="368"/>
      <c r="CP13" s="368"/>
      <c r="CQ13" s="368"/>
      <c r="CR13" s="368"/>
      <c r="CS13" s="368"/>
      <c r="CT13" s="368"/>
      <c r="CU13" s="368"/>
      <c r="CV13" s="368"/>
      <c r="CW13" s="368"/>
      <c r="CX13" s="368"/>
      <c r="CY13" s="368"/>
      <c r="CZ13" s="368"/>
      <c r="DA13" s="368"/>
      <c r="DB13" s="368"/>
      <c r="DC13" s="368"/>
      <c r="DD13" s="368"/>
      <c r="DE13" s="368"/>
      <c r="DF13" s="368"/>
      <c r="DG13" s="368"/>
      <c r="DH13" s="368"/>
      <c r="DI13" s="368"/>
      <c r="DJ13" s="368"/>
      <c r="DK13" s="368"/>
      <c r="DL13" s="368"/>
      <c r="DM13" s="368"/>
      <c r="DN13" s="368"/>
      <c r="DO13" s="368"/>
      <c r="DP13" s="368"/>
      <c r="DQ13" s="368"/>
      <c r="DR13" s="368"/>
      <c r="DS13" s="368"/>
      <c r="DT13" s="368"/>
      <c r="DU13" s="368"/>
      <c r="DV13" s="368"/>
      <c r="DW13" s="368"/>
      <c r="DX13" s="368"/>
      <c r="DY13" s="368"/>
      <c r="DZ13" s="368"/>
      <c r="EA13" s="368"/>
      <c r="EB13" s="368"/>
      <c r="EC13" s="368"/>
      <c r="ED13" s="368"/>
      <c r="EE13" s="368"/>
      <c r="EF13" s="368"/>
      <c r="EG13" s="368"/>
      <c r="EH13" s="368"/>
      <c r="EI13" s="368"/>
      <c r="EJ13" s="368"/>
      <c r="EK13" s="368"/>
      <c r="EL13" s="368"/>
      <c r="EM13" s="368"/>
      <c r="EN13" s="368"/>
      <c r="EO13" s="368"/>
      <c r="EP13" s="368"/>
      <c r="EQ13" s="368"/>
      <c r="ER13" s="368"/>
      <c r="ES13" s="368"/>
      <c r="ET13" s="368"/>
      <c r="EU13" s="368"/>
      <c r="EV13" s="368"/>
      <c r="EW13" s="368"/>
      <c r="EX13" s="368"/>
      <c r="EY13" s="368"/>
      <c r="EZ13" s="368"/>
      <c r="FA13" s="368"/>
      <c r="FB13" s="368"/>
      <c r="FC13" s="368"/>
      <c r="FD13" s="368"/>
      <c r="FE13" s="368"/>
      <c r="FF13" s="368"/>
      <c r="FG13" s="368"/>
      <c r="FH13" s="368"/>
      <c r="FI13" s="368"/>
      <c r="FJ13" s="368"/>
      <c r="FK13" s="368"/>
      <c r="FL13" s="368"/>
      <c r="FM13" s="368"/>
      <c r="FN13" s="368"/>
      <c r="FO13" s="368"/>
      <c r="FP13" s="368"/>
      <c r="FQ13" s="368"/>
      <c r="FR13" s="368"/>
      <c r="FS13" s="368"/>
      <c r="FT13" s="368"/>
      <c r="FU13" s="368"/>
      <c r="FV13" s="368"/>
      <c r="FW13" s="368"/>
      <c r="FX13" s="368"/>
      <c r="FY13" s="368"/>
      <c r="FZ13" s="368"/>
      <c r="GA13" s="368"/>
      <c r="GB13" s="368"/>
      <c r="GC13" s="368"/>
      <c r="GD13" s="368"/>
      <c r="GE13" s="368"/>
      <c r="GF13" s="368"/>
      <c r="GG13" s="368"/>
      <c r="GH13" s="368"/>
      <c r="GI13" s="368"/>
      <c r="GJ13" s="368"/>
      <c r="GK13" s="368"/>
      <c r="GL13" s="368"/>
      <c r="GM13" s="368"/>
      <c r="GN13" s="368"/>
      <c r="GO13" s="368"/>
      <c r="GP13" s="368"/>
      <c r="GQ13" s="368"/>
      <c r="GR13" s="368"/>
      <c r="GS13" s="368"/>
      <c r="GT13" s="368"/>
      <c r="GU13" s="368"/>
      <c r="GV13" s="368"/>
      <c r="GW13" s="368"/>
      <c r="GX13" s="368"/>
      <c r="GY13" s="368"/>
      <c r="GZ13" s="368"/>
      <c r="HA13" s="368"/>
      <c r="HB13" s="368"/>
      <c r="HC13" s="368"/>
      <c r="HD13" s="368"/>
      <c r="HE13" s="368"/>
      <c r="HF13" s="368"/>
      <c r="HG13" s="368"/>
      <c r="HH13" s="368"/>
      <c r="HI13" s="368"/>
      <c r="HJ13" s="368"/>
      <c r="HK13" s="368"/>
      <c r="HL13" s="368"/>
      <c r="HM13" s="368"/>
      <c r="HN13" s="368"/>
      <c r="HO13" s="368"/>
      <c r="HP13" s="368"/>
    </row>
    <row r="14" spans="1:224">
      <c r="B14" s="368">
        <f t="shared" si="0"/>
        <v>5</v>
      </c>
      <c r="C14" s="384"/>
      <c r="D14" s="384"/>
      <c r="E14" s="384"/>
      <c r="F14" s="385"/>
      <c r="G14" s="368"/>
      <c r="H14" s="368"/>
      <c r="I14" s="368"/>
      <c r="J14" s="368"/>
      <c r="K14" s="368"/>
      <c r="L14" s="368"/>
      <c r="M14" s="368"/>
      <c r="N14" s="368"/>
      <c r="O14" s="368"/>
      <c r="P14" s="368"/>
      <c r="Q14" s="368"/>
      <c r="R14" s="368"/>
      <c r="S14" s="368"/>
      <c r="T14" s="368"/>
      <c r="U14" s="368"/>
      <c r="V14" s="368"/>
      <c r="W14" s="368"/>
      <c r="X14" s="368"/>
      <c r="Y14" s="368"/>
      <c r="Z14" s="368"/>
      <c r="AA14" s="368"/>
      <c r="AB14" s="368"/>
      <c r="AC14" s="368"/>
      <c r="AD14" s="368"/>
      <c r="AE14" s="368"/>
      <c r="AF14" s="368"/>
      <c r="AG14" s="368"/>
      <c r="AH14" s="368"/>
      <c r="AI14" s="368"/>
      <c r="AJ14" s="368"/>
      <c r="AK14" s="368"/>
      <c r="AL14" s="368"/>
      <c r="AM14" s="368"/>
      <c r="AN14" s="368"/>
      <c r="AO14" s="368"/>
      <c r="AP14" s="368"/>
      <c r="AQ14" s="368"/>
      <c r="AR14" s="368"/>
      <c r="AS14" s="368"/>
      <c r="AT14" s="368"/>
      <c r="AU14" s="368"/>
      <c r="AV14" s="368"/>
      <c r="AW14" s="368"/>
      <c r="AX14" s="368"/>
      <c r="AY14" s="368"/>
      <c r="AZ14" s="368"/>
      <c r="BA14" s="368"/>
      <c r="BB14" s="368"/>
      <c r="BC14" s="368"/>
      <c r="BD14" s="368"/>
      <c r="BE14" s="368"/>
      <c r="BF14" s="368"/>
      <c r="BG14" s="368"/>
      <c r="BH14" s="368"/>
      <c r="BI14" s="368"/>
      <c r="BJ14" s="368"/>
      <c r="BK14" s="368"/>
      <c r="BL14" s="368"/>
      <c r="BM14" s="368"/>
      <c r="BN14" s="368"/>
      <c r="BO14" s="368"/>
      <c r="BP14" s="368"/>
      <c r="BQ14" s="368"/>
      <c r="BR14" s="368"/>
      <c r="BS14" s="368"/>
      <c r="BT14" s="368"/>
      <c r="BU14" s="368"/>
      <c r="BV14" s="368"/>
      <c r="BW14" s="368"/>
      <c r="BX14" s="368"/>
      <c r="BY14" s="368"/>
      <c r="BZ14" s="368"/>
      <c r="CA14" s="368"/>
      <c r="CB14" s="368"/>
      <c r="CC14" s="368"/>
      <c r="CD14" s="368"/>
      <c r="CE14" s="368"/>
      <c r="CF14" s="368"/>
      <c r="CG14" s="368"/>
      <c r="CH14" s="368"/>
      <c r="CI14" s="368"/>
      <c r="CJ14" s="368"/>
      <c r="CK14" s="368"/>
      <c r="CL14" s="368"/>
      <c r="CM14" s="368"/>
      <c r="CN14" s="368"/>
      <c r="CO14" s="368"/>
      <c r="CP14" s="368"/>
      <c r="CQ14" s="368"/>
      <c r="CR14" s="368"/>
      <c r="CS14" s="368"/>
      <c r="CT14" s="368"/>
      <c r="CU14" s="368"/>
      <c r="CV14" s="368"/>
      <c r="CW14" s="368"/>
      <c r="CX14" s="368"/>
      <c r="CY14" s="368"/>
      <c r="CZ14" s="368"/>
      <c r="DA14" s="368"/>
      <c r="DB14" s="368"/>
      <c r="DC14" s="368"/>
      <c r="DD14" s="368"/>
      <c r="DE14" s="368"/>
      <c r="DF14" s="368"/>
      <c r="DG14" s="368"/>
      <c r="DH14" s="368"/>
      <c r="DI14" s="368"/>
      <c r="DJ14" s="368"/>
      <c r="DK14" s="368"/>
      <c r="DL14" s="368"/>
      <c r="DM14" s="368"/>
      <c r="DN14" s="368"/>
      <c r="DO14" s="368"/>
      <c r="DP14" s="368"/>
      <c r="DQ14" s="368"/>
      <c r="DR14" s="368"/>
      <c r="DS14" s="368"/>
      <c r="DT14" s="368"/>
      <c r="DU14" s="368"/>
      <c r="DV14" s="368"/>
      <c r="DW14" s="368"/>
      <c r="DX14" s="368"/>
      <c r="DY14" s="368"/>
      <c r="DZ14" s="368"/>
      <c r="EA14" s="368"/>
      <c r="EB14" s="368"/>
      <c r="EC14" s="368"/>
      <c r="ED14" s="368"/>
      <c r="EE14" s="368"/>
      <c r="EF14" s="368"/>
      <c r="EG14" s="368"/>
      <c r="EH14" s="368"/>
      <c r="EI14" s="368"/>
      <c r="EJ14" s="368"/>
      <c r="EK14" s="368"/>
      <c r="EL14" s="368"/>
      <c r="EM14" s="368"/>
      <c r="EN14" s="368"/>
      <c r="EO14" s="368"/>
      <c r="EP14" s="368"/>
      <c r="EQ14" s="368"/>
      <c r="ER14" s="368"/>
      <c r="ES14" s="368"/>
      <c r="ET14" s="368"/>
      <c r="EU14" s="368"/>
      <c r="EV14" s="368"/>
      <c r="EW14" s="368"/>
      <c r="EX14" s="368"/>
      <c r="EY14" s="368"/>
      <c r="EZ14" s="368"/>
      <c r="FA14" s="368"/>
      <c r="FB14" s="368"/>
      <c r="FC14" s="368"/>
      <c r="FD14" s="368"/>
      <c r="FE14" s="368"/>
      <c r="FF14" s="368"/>
      <c r="FG14" s="368"/>
      <c r="FH14" s="368"/>
      <c r="FI14" s="368"/>
      <c r="FJ14" s="368"/>
      <c r="FK14" s="368"/>
      <c r="FL14" s="368"/>
      <c r="FM14" s="368"/>
      <c r="FN14" s="368"/>
      <c r="FO14" s="368"/>
      <c r="FP14" s="368"/>
      <c r="FQ14" s="368"/>
      <c r="FR14" s="368"/>
      <c r="FS14" s="368"/>
      <c r="FT14" s="368"/>
      <c r="FU14" s="368"/>
      <c r="FV14" s="368"/>
      <c r="FW14" s="368"/>
      <c r="FX14" s="368"/>
      <c r="FY14" s="368"/>
      <c r="FZ14" s="368"/>
      <c r="GA14" s="368"/>
      <c r="GB14" s="368"/>
      <c r="GC14" s="368"/>
      <c r="GD14" s="368"/>
      <c r="GE14" s="368"/>
      <c r="GF14" s="368"/>
      <c r="GG14" s="368"/>
      <c r="GH14" s="368"/>
      <c r="GI14" s="368"/>
      <c r="GJ14" s="368"/>
      <c r="GK14" s="368"/>
      <c r="GL14" s="368"/>
      <c r="GM14" s="368"/>
      <c r="GN14" s="368"/>
      <c r="GO14" s="368"/>
      <c r="GP14" s="368"/>
      <c r="GQ14" s="368"/>
      <c r="GR14" s="368"/>
      <c r="GS14" s="368"/>
      <c r="GT14" s="368"/>
      <c r="GU14" s="368"/>
      <c r="GV14" s="368"/>
      <c r="GW14" s="368"/>
      <c r="GX14" s="368"/>
      <c r="GY14" s="368"/>
      <c r="GZ14" s="368"/>
      <c r="HA14" s="368"/>
      <c r="HB14" s="368"/>
      <c r="HC14" s="368"/>
      <c r="HD14" s="368"/>
      <c r="HE14" s="368"/>
      <c r="HF14" s="368"/>
      <c r="HG14" s="368"/>
      <c r="HH14" s="368"/>
      <c r="HI14" s="368"/>
      <c r="HJ14" s="368"/>
      <c r="HK14" s="368"/>
      <c r="HL14" s="368"/>
      <c r="HM14" s="368"/>
      <c r="HN14" s="368"/>
      <c r="HO14" s="368"/>
      <c r="HP14" s="368"/>
    </row>
    <row r="15" spans="1:224">
      <c r="B15" s="368">
        <f t="shared" si="0"/>
        <v>6</v>
      </c>
      <c r="C15" s="384"/>
      <c r="D15" s="384"/>
      <c r="E15" s="384"/>
      <c r="F15" s="385"/>
      <c r="G15" s="368"/>
      <c r="H15" s="368"/>
      <c r="I15" s="368"/>
      <c r="J15" s="368"/>
      <c r="K15" s="368"/>
      <c r="L15" s="368"/>
      <c r="M15" s="368"/>
      <c r="N15" s="368"/>
      <c r="O15" s="368"/>
      <c r="P15" s="368"/>
      <c r="Q15" s="368"/>
      <c r="R15" s="368"/>
      <c r="S15" s="368"/>
      <c r="T15" s="368"/>
      <c r="U15" s="368"/>
      <c r="V15" s="368"/>
      <c r="W15" s="368"/>
      <c r="X15" s="368"/>
      <c r="Y15" s="368"/>
      <c r="Z15" s="368"/>
      <c r="AA15" s="368"/>
      <c r="AB15" s="368"/>
      <c r="AC15" s="368"/>
      <c r="AD15" s="368"/>
      <c r="AE15" s="368"/>
      <c r="AF15" s="368"/>
      <c r="AG15" s="368"/>
      <c r="AH15" s="368"/>
      <c r="AI15" s="368"/>
      <c r="AJ15" s="368"/>
      <c r="AK15" s="368"/>
      <c r="AL15" s="368"/>
      <c r="AM15" s="368"/>
      <c r="AN15" s="368"/>
      <c r="AO15" s="368"/>
      <c r="AP15" s="368"/>
      <c r="AQ15" s="368"/>
      <c r="AR15" s="368"/>
      <c r="AS15" s="368"/>
      <c r="AT15" s="368"/>
      <c r="AU15" s="368"/>
      <c r="AV15" s="368"/>
      <c r="AW15" s="368"/>
      <c r="AX15" s="368"/>
      <c r="AY15" s="368"/>
      <c r="AZ15" s="368"/>
      <c r="BA15" s="368"/>
      <c r="BB15" s="368"/>
      <c r="BC15" s="368"/>
      <c r="BD15" s="368"/>
      <c r="BE15" s="368"/>
      <c r="BF15" s="368"/>
      <c r="BG15" s="368"/>
      <c r="BH15" s="368"/>
      <c r="BI15" s="368"/>
      <c r="BJ15" s="368"/>
      <c r="BK15" s="368"/>
      <c r="BL15" s="368"/>
      <c r="BM15" s="368"/>
      <c r="BN15" s="368"/>
      <c r="BO15" s="368"/>
      <c r="BP15" s="368"/>
      <c r="BQ15" s="368"/>
      <c r="BR15" s="368"/>
      <c r="BS15" s="368"/>
      <c r="BT15" s="368"/>
      <c r="BU15" s="368"/>
      <c r="BV15" s="368"/>
      <c r="BW15" s="368"/>
      <c r="BX15" s="368"/>
      <c r="BY15" s="368"/>
      <c r="BZ15" s="368"/>
      <c r="CA15" s="368"/>
      <c r="CB15" s="368"/>
      <c r="CC15" s="368"/>
      <c r="CD15" s="368"/>
      <c r="CE15" s="368"/>
      <c r="CF15" s="368"/>
      <c r="CG15" s="368"/>
      <c r="CH15" s="368"/>
      <c r="CI15" s="368"/>
      <c r="CJ15" s="368"/>
      <c r="CK15" s="368"/>
      <c r="CL15" s="368"/>
      <c r="CM15" s="368"/>
      <c r="CN15" s="368"/>
      <c r="CO15" s="368"/>
      <c r="CP15" s="368"/>
      <c r="CQ15" s="368"/>
      <c r="CR15" s="368"/>
      <c r="CS15" s="368"/>
      <c r="CT15" s="368"/>
      <c r="CU15" s="368"/>
      <c r="CV15" s="368"/>
      <c r="CW15" s="368"/>
      <c r="CX15" s="368"/>
      <c r="CY15" s="368"/>
      <c r="CZ15" s="368"/>
      <c r="DA15" s="368"/>
      <c r="DB15" s="368"/>
      <c r="DC15" s="368"/>
      <c r="DD15" s="368"/>
      <c r="DE15" s="368"/>
      <c r="DF15" s="368"/>
      <c r="DG15" s="368"/>
      <c r="DH15" s="368"/>
      <c r="DI15" s="368"/>
      <c r="DJ15" s="368"/>
      <c r="DK15" s="368"/>
      <c r="DL15" s="368"/>
      <c r="DM15" s="368"/>
      <c r="DN15" s="368"/>
      <c r="DO15" s="368"/>
      <c r="DP15" s="368"/>
      <c r="DQ15" s="368"/>
      <c r="DR15" s="368"/>
      <c r="DS15" s="368"/>
      <c r="DT15" s="368"/>
      <c r="DU15" s="368"/>
      <c r="DV15" s="368"/>
      <c r="DW15" s="368"/>
      <c r="DX15" s="368"/>
      <c r="DY15" s="368"/>
      <c r="DZ15" s="368"/>
      <c r="EA15" s="368"/>
      <c r="EB15" s="368"/>
      <c r="EC15" s="368"/>
      <c r="ED15" s="368"/>
      <c r="EE15" s="368"/>
      <c r="EF15" s="368"/>
      <c r="EG15" s="368"/>
      <c r="EH15" s="368"/>
      <c r="EI15" s="368"/>
      <c r="EJ15" s="368"/>
      <c r="EK15" s="368"/>
      <c r="EL15" s="368"/>
      <c r="EM15" s="368"/>
      <c r="EN15" s="368"/>
      <c r="EO15" s="368"/>
      <c r="EP15" s="368"/>
      <c r="EQ15" s="368"/>
      <c r="ER15" s="368"/>
      <c r="ES15" s="368"/>
      <c r="ET15" s="368"/>
      <c r="EU15" s="368"/>
      <c r="EV15" s="368"/>
      <c r="EW15" s="368"/>
      <c r="EX15" s="368"/>
      <c r="EY15" s="368"/>
      <c r="EZ15" s="368"/>
      <c r="FA15" s="368"/>
      <c r="FB15" s="368"/>
      <c r="FC15" s="368"/>
      <c r="FD15" s="368"/>
      <c r="FE15" s="368"/>
      <c r="FF15" s="368"/>
      <c r="FG15" s="368"/>
      <c r="FH15" s="368"/>
      <c r="FI15" s="368"/>
      <c r="FJ15" s="368"/>
      <c r="FK15" s="368"/>
      <c r="FL15" s="368"/>
      <c r="FM15" s="368"/>
      <c r="FN15" s="368"/>
      <c r="FO15" s="368"/>
      <c r="FP15" s="368"/>
      <c r="FQ15" s="368"/>
      <c r="FR15" s="368"/>
      <c r="FS15" s="368"/>
      <c r="FT15" s="368"/>
      <c r="FU15" s="368"/>
      <c r="FV15" s="368"/>
      <c r="FW15" s="368"/>
      <c r="FX15" s="368"/>
      <c r="FY15" s="368"/>
      <c r="FZ15" s="368"/>
      <c r="GA15" s="368"/>
      <c r="GB15" s="368"/>
      <c r="GC15" s="368"/>
      <c r="GD15" s="368"/>
      <c r="GE15" s="368"/>
      <c r="GF15" s="368"/>
      <c r="GG15" s="368"/>
      <c r="GH15" s="368"/>
      <c r="GI15" s="368"/>
      <c r="GJ15" s="368"/>
      <c r="GK15" s="368"/>
      <c r="GL15" s="368"/>
      <c r="GM15" s="368"/>
      <c r="GN15" s="368"/>
      <c r="GO15" s="368"/>
      <c r="GP15" s="368"/>
      <c r="GQ15" s="368"/>
      <c r="GR15" s="368"/>
      <c r="GS15" s="368"/>
      <c r="GT15" s="368"/>
      <c r="GU15" s="368"/>
      <c r="GV15" s="368"/>
      <c r="GW15" s="368"/>
      <c r="GX15" s="368"/>
      <c r="GY15" s="368"/>
      <c r="GZ15" s="368"/>
      <c r="HA15" s="368"/>
      <c r="HB15" s="368"/>
      <c r="HC15" s="368"/>
      <c r="HD15" s="368"/>
      <c r="HE15" s="368"/>
      <c r="HF15" s="368"/>
      <c r="HG15" s="368"/>
      <c r="HH15" s="368"/>
      <c r="HI15" s="368"/>
      <c r="HJ15" s="368"/>
      <c r="HK15" s="368"/>
      <c r="HL15" s="368"/>
      <c r="HM15" s="368"/>
      <c r="HN15" s="368"/>
      <c r="HO15" s="368"/>
      <c r="HP15" s="368"/>
    </row>
    <row r="16" spans="1:224">
      <c r="B16" s="368">
        <f t="shared" si="0"/>
        <v>7</v>
      </c>
      <c r="C16" s="384"/>
      <c r="D16" s="384"/>
      <c r="E16" s="384"/>
      <c r="F16" s="385"/>
      <c r="G16" s="368"/>
      <c r="H16" s="368"/>
      <c r="I16" s="368"/>
      <c r="J16" s="368"/>
      <c r="K16" s="368"/>
      <c r="L16" s="368"/>
      <c r="M16" s="368"/>
      <c r="N16" s="368"/>
      <c r="O16" s="368"/>
      <c r="P16" s="368"/>
      <c r="Q16" s="368"/>
      <c r="R16" s="368"/>
      <c r="S16" s="368"/>
      <c r="T16" s="368"/>
      <c r="U16" s="368"/>
      <c r="V16" s="368"/>
      <c r="W16" s="368"/>
      <c r="X16" s="368"/>
      <c r="Y16" s="368"/>
      <c r="Z16" s="368"/>
      <c r="AA16" s="368"/>
      <c r="AB16" s="368"/>
      <c r="AC16" s="368"/>
      <c r="AD16" s="368"/>
      <c r="AE16" s="368"/>
      <c r="AF16" s="368"/>
      <c r="AG16" s="368"/>
      <c r="AH16" s="368"/>
      <c r="AI16" s="368"/>
      <c r="AJ16" s="368"/>
      <c r="AK16" s="368"/>
      <c r="AL16" s="368"/>
      <c r="AM16" s="368"/>
      <c r="AN16" s="368"/>
      <c r="AO16" s="368"/>
      <c r="AP16" s="368"/>
      <c r="AQ16" s="368"/>
      <c r="AR16" s="368"/>
      <c r="AS16" s="368"/>
      <c r="AT16" s="368"/>
      <c r="AU16" s="368"/>
      <c r="AV16" s="368"/>
      <c r="AW16" s="368"/>
      <c r="AX16" s="368"/>
      <c r="AY16" s="368"/>
      <c r="AZ16" s="368"/>
      <c r="BA16" s="368"/>
      <c r="BB16" s="368"/>
      <c r="BC16" s="368"/>
      <c r="BD16" s="368"/>
      <c r="BE16" s="368"/>
      <c r="BF16" s="368"/>
      <c r="BG16" s="368"/>
      <c r="BH16" s="368"/>
      <c r="BI16" s="368"/>
      <c r="BJ16" s="368"/>
      <c r="BK16" s="368"/>
      <c r="BL16" s="368"/>
      <c r="BM16" s="368"/>
      <c r="BN16" s="368"/>
      <c r="BO16" s="368"/>
      <c r="BP16" s="368"/>
      <c r="BQ16" s="368"/>
      <c r="BR16" s="368"/>
      <c r="BS16" s="368"/>
      <c r="BT16" s="368"/>
      <c r="BU16" s="368"/>
      <c r="BV16" s="368"/>
      <c r="BW16" s="368"/>
      <c r="BX16" s="368"/>
      <c r="BY16" s="368"/>
      <c r="BZ16" s="368"/>
      <c r="CA16" s="368"/>
      <c r="CB16" s="368"/>
      <c r="CC16" s="368"/>
      <c r="CD16" s="368"/>
      <c r="CE16" s="368"/>
      <c r="CF16" s="368"/>
      <c r="CG16" s="368"/>
      <c r="CH16" s="368"/>
      <c r="CI16" s="368"/>
      <c r="CJ16" s="368"/>
      <c r="CK16" s="368"/>
      <c r="CL16" s="368"/>
      <c r="CM16" s="368"/>
      <c r="CN16" s="368"/>
      <c r="CO16" s="368"/>
      <c r="CP16" s="368"/>
      <c r="CQ16" s="368"/>
      <c r="CR16" s="368"/>
      <c r="CS16" s="368"/>
      <c r="CT16" s="368"/>
      <c r="CU16" s="368"/>
      <c r="CV16" s="368"/>
      <c r="CW16" s="368"/>
      <c r="CX16" s="368"/>
      <c r="CY16" s="368"/>
      <c r="CZ16" s="368"/>
      <c r="DA16" s="368"/>
      <c r="DB16" s="368"/>
      <c r="DC16" s="368"/>
      <c r="DD16" s="368"/>
      <c r="DE16" s="368"/>
      <c r="DF16" s="368"/>
      <c r="DG16" s="368"/>
      <c r="DH16" s="368"/>
      <c r="DI16" s="368"/>
      <c r="DJ16" s="368"/>
      <c r="DK16" s="368"/>
      <c r="DL16" s="368"/>
      <c r="DM16" s="368"/>
      <c r="DN16" s="368"/>
      <c r="DO16" s="368"/>
      <c r="DP16" s="368"/>
      <c r="DQ16" s="368"/>
      <c r="DR16" s="368"/>
      <c r="DS16" s="368"/>
      <c r="DT16" s="368"/>
      <c r="DU16" s="368"/>
      <c r="DV16" s="368"/>
      <c r="DW16" s="368"/>
      <c r="DX16" s="368"/>
      <c r="DY16" s="368"/>
      <c r="DZ16" s="368"/>
      <c r="EA16" s="368"/>
      <c r="EB16" s="368"/>
      <c r="EC16" s="368"/>
      <c r="ED16" s="368"/>
      <c r="EE16" s="368"/>
      <c r="EF16" s="368"/>
      <c r="EG16" s="368"/>
      <c r="EH16" s="368"/>
      <c r="EI16" s="368"/>
      <c r="EJ16" s="368"/>
      <c r="EK16" s="368"/>
      <c r="EL16" s="368"/>
      <c r="EM16" s="368"/>
      <c r="EN16" s="368"/>
      <c r="EO16" s="368"/>
      <c r="EP16" s="368"/>
      <c r="EQ16" s="368"/>
      <c r="ER16" s="368"/>
      <c r="ES16" s="368"/>
      <c r="ET16" s="368"/>
      <c r="EU16" s="368"/>
      <c r="EV16" s="368"/>
      <c r="EW16" s="368"/>
      <c r="EX16" s="368"/>
      <c r="EY16" s="368"/>
      <c r="EZ16" s="368"/>
      <c r="FA16" s="368"/>
      <c r="FB16" s="368"/>
      <c r="FC16" s="368"/>
      <c r="FD16" s="368"/>
      <c r="FE16" s="368"/>
      <c r="FF16" s="368"/>
      <c r="FG16" s="368"/>
      <c r="FH16" s="368"/>
      <c r="FI16" s="368"/>
      <c r="FJ16" s="368"/>
      <c r="FK16" s="368"/>
      <c r="FL16" s="368"/>
      <c r="FM16" s="368"/>
      <c r="FN16" s="368"/>
      <c r="FO16" s="368"/>
      <c r="FP16" s="368"/>
      <c r="FQ16" s="368"/>
      <c r="FR16" s="368"/>
      <c r="FS16" s="368"/>
      <c r="FT16" s="368"/>
      <c r="FU16" s="368"/>
      <c r="FV16" s="368"/>
      <c r="FW16" s="368"/>
      <c r="FX16" s="368"/>
      <c r="FY16" s="368"/>
      <c r="FZ16" s="368"/>
      <c r="GA16" s="368"/>
      <c r="GB16" s="368"/>
      <c r="GC16" s="368"/>
      <c r="GD16" s="368"/>
      <c r="GE16" s="368"/>
      <c r="GF16" s="368"/>
      <c r="GG16" s="368"/>
      <c r="GH16" s="368"/>
      <c r="GI16" s="368"/>
      <c r="GJ16" s="368"/>
      <c r="GK16" s="368"/>
      <c r="GL16" s="368"/>
      <c r="GM16" s="368"/>
      <c r="GN16" s="368"/>
      <c r="GO16" s="368"/>
      <c r="GP16" s="368"/>
      <c r="GQ16" s="368"/>
      <c r="GR16" s="368"/>
      <c r="GS16" s="368"/>
      <c r="GT16" s="368"/>
      <c r="GU16" s="368"/>
      <c r="GV16" s="368"/>
      <c r="GW16" s="368"/>
      <c r="GX16" s="368"/>
      <c r="GY16" s="368"/>
      <c r="GZ16" s="368"/>
      <c r="HA16" s="368"/>
      <c r="HB16" s="368"/>
      <c r="HC16" s="368"/>
      <c r="HD16" s="368"/>
      <c r="HE16" s="368"/>
      <c r="HF16" s="368"/>
      <c r="HG16" s="368"/>
      <c r="HH16" s="368"/>
      <c r="HI16" s="368"/>
      <c r="HJ16" s="368"/>
      <c r="HK16" s="368"/>
      <c r="HL16" s="368"/>
      <c r="HM16" s="368"/>
      <c r="HN16" s="368"/>
      <c r="HO16" s="368"/>
      <c r="HP16" s="368"/>
    </row>
    <row r="17" spans="2:224">
      <c r="B17" s="368">
        <f t="shared" si="0"/>
        <v>8</v>
      </c>
      <c r="C17" s="384"/>
      <c r="D17" s="384"/>
      <c r="E17" s="384"/>
      <c r="F17" s="385"/>
      <c r="G17" s="368"/>
      <c r="H17" s="368"/>
      <c r="I17" s="368"/>
      <c r="J17" s="368"/>
      <c r="K17" s="368"/>
      <c r="L17" s="368"/>
      <c r="M17" s="368"/>
      <c r="N17" s="368"/>
      <c r="O17" s="368"/>
      <c r="P17" s="368"/>
      <c r="Q17" s="368"/>
      <c r="R17" s="368"/>
      <c r="S17" s="368"/>
      <c r="T17" s="368"/>
      <c r="U17" s="368"/>
      <c r="V17" s="368"/>
      <c r="W17" s="368"/>
      <c r="X17" s="368"/>
      <c r="Y17" s="368"/>
      <c r="Z17" s="368"/>
      <c r="AA17" s="368"/>
      <c r="AB17" s="368"/>
      <c r="AC17" s="368"/>
      <c r="AD17" s="368"/>
      <c r="AE17" s="368"/>
      <c r="AF17" s="368"/>
      <c r="AG17" s="368"/>
      <c r="AH17" s="368"/>
      <c r="AI17" s="368"/>
      <c r="AJ17" s="368"/>
      <c r="AK17" s="368"/>
      <c r="AL17" s="368"/>
      <c r="AM17" s="368"/>
      <c r="AN17" s="368"/>
      <c r="AO17" s="368"/>
      <c r="AP17" s="368"/>
      <c r="AQ17" s="368"/>
      <c r="AR17" s="368"/>
      <c r="AS17" s="368"/>
      <c r="AT17" s="368"/>
      <c r="AU17" s="368"/>
      <c r="AV17" s="368"/>
      <c r="AW17" s="368"/>
      <c r="AX17" s="368"/>
      <c r="AY17" s="368"/>
      <c r="AZ17" s="368"/>
      <c r="BA17" s="368"/>
      <c r="BB17" s="368"/>
      <c r="BC17" s="368"/>
      <c r="BD17" s="368"/>
      <c r="BE17" s="368"/>
      <c r="BF17" s="368"/>
      <c r="BG17" s="368"/>
      <c r="BH17" s="368"/>
      <c r="BI17" s="368"/>
      <c r="BJ17" s="368"/>
      <c r="BK17" s="368"/>
      <c r="BL17" s="368"/>
      <c r="BM17" s="368"/>
      <c r="BN17" s="368"/>
      <c r="BO17" s="368"/>
      <c r="BP17" s="368"/>
      <c r="BQ17" s="368"/>
      <c r="BR17" s="368"/>
      <c r="BS17" s="368"/>
      <c r="BT17" s="368"/>
      <c r="BU17" s="368"/>
      <c r="BV17" s="368"/>
      <c r="BW17" s="368"/>
      <c r="BX17" s="368"/>
      <c r="BY17" s="368"/>
      <c r="BZ17" s="368"/>
      <c r="CA17" s="368"/>
      <c r="CB17" s="368"/>
      <c r="CC17" s="368"/>
      <c r="CD17" s="368"/>
      <c r="CE17" s="368"/>
      <c r="CF17" s="368"/>
      <c r="CG17" s="368"/>
      <c r="CH17" s="368"/>
      <c r="CI17" s="368"/>
      <c r="CJ17" s="368"/>
      <c r="CK17" s="368"/>
      <c r="CL17" s="368"/>
      <c r="CM17" s="368"/>
      <c r="CN17" s="368"/>
      <c r="CO17" s="368"/>
      <c r="CP17" s="368"/>
      <c r="CQ17" s="368"/>
      <c r="CR17" s="368"/>
      <c r="CS17" s="368"/>
      <c r="CT17" s="368"/>
      <c r="CU17" s="368"/>
      <c r="CV17" s="368"/>
      <c r="CW17" s="368"/>
      <c r="CX17" s="368"/>
      <c r="CY17" s="368"/>
      <c r="CZ17" s="368"/>
      <c r="DA17" s="368"/>
      <c r="DB17" s="368"/>
      <c r="DC17" s="368"/>
      <c r="DD17" s="368"/>
      <c r="DE17" s="368"/>
      <c r="DF17" s="368"/>
      <c r="DG17" s="368"/>
      <c r="DH17" s="368"/>
      <c r="DI17" s="368"/>
      <c r="DJ17" s="368"/>
      <c r="DK17" s="368"/>
      <c r="DL17" s="368"/>
      <c r="DM17" s="368"/>
      <c r="DN17" s="368"/>
      <c r="DO17" s="368"/>
      <c r="DP17" s="368"/>
      <c r="DQ17" s="368"/>
      <c r="DR17" s="368"/>
      <c r="DS17" s="368"/>
      <c r="DT17" s="368"/>
      <c r="DU17" s="368"/>
      <c r="DV17" s="368"/>
      <c r="DW17" s="368"/>
      <c r="DX17" s="368"/>
      <c r="DY17" s="368"/>
      <c r="DZ17" s="368"/>
      <c r="EA17" s="368"/>
      <c r="EB17" s="368"/>
      <c r="EC17" s="368"/>
      <c r="ED17" s="368"/>
      <c r="EE17" s="368"/>
      <c r="EF17" s="368"/>
      <c r="EG17" s="368"/>
      <c r="EH17" s="368"/>
      <c r="EI17" s="368"/>
      <c r="EJ17" s="368"/>
      <c r="EK17" s="368"/>
      <c r="EL17" s="368"/>
      <c r="EM17" s="368"/>
      <c r="EN17" s="368"/>
      <c r="EO17" s="368"/>
      <c r="EP17" s="368"/>
      <c r="EQ17" s="368"/>
      <c r="ER17" s="368"/>
      <c r="ES17" s="368"/>
      <c r="ET17" s="368"/>
      <c r="EU17" s="368"/>
      <c r="EV17" s="368"/>
      <c r="EW17" s="368"/>
      <c r="EX17" s="368"/>
      <c r="EY17" s="368"/>
      <c r="EZ17" s="368"/>
      <c r="FA17" s="368"/>
      <c r="FB17" s="368"/>
      <c r="FC17" s="368"/>
      <c r="FD17" s="368"/>
      <c r="FE17" s="368"/>
      <c r="FF17" s="368"/>
      <c r="FG17" s="368"/>
      <c r="FH17" s="368"/>
      <c r="FI17" s="368"/>
      <c r="FJ17" s="368"/>
      <c r="FK17" s="368"/>
      <c r="FL17" s="368"/>
      <c r="FM17" s="368"/>
      <c r="FN17" s="368"/>
      <c r="FO17" s="368"/>
      <c r="FP17" s="368"/>
      <c r="FQ17" s="368"/>
      <c r="FR17" s="368"/>
      <c r="FS17" s="368"/>
      <c r="FT17" s="368"/>
      <c r="FU17" s="368"/>
      <c r="FV17" s="368"/>
      <c r="FW17" s="368"/>
      <c r="FX17" s="368"/>
      <c r="FY17" s="368"/>
      <c r="FZ17" s="368"/>
      <c r="GA17" s="368"/>
      <c r="GB17" s="368"/>
      <c r="GC17" s="368"/>
      <c r="GD17" s="368"/>
      <c r="GE17" s="368"/>
      <c r="GF17" s="368"/>
      <c r="GG17" s="368"/>
      <c r="GH17" s="368"/>
      <c r="GI17" s="368"/>
      <c r="GJ17" s="368"/>
      <c r="GK17" s="368"/>
      <c r="GL17" s="368"/>
      <c r="GM17" s="368"/>
      <c r="GN17" s="368"/>
      <c r="GO17" s="368"/>
      <c r="GP17" s="368"/>
      <c r="GQ17" s="368"/>
      <c r="GR17" s="368"/>
      <c r="GS17" s="368"/>
      <c r="GT17" s="368"/>
      <c r="GU17" s="368"/>
      <c r="GV17" s="368"/>
      <c r="GW17" s="368"/>
      <c r="GX17" s="368"/>
      <c r="GY17" s="368"/>
      <c r="GZ17" s="368"/>
      <c r="HA17" s="368"/>
      <c r="HB17" s="368"/>
      <c r="HC17" s="368"/>
      <c r="HD17" s="368"/>
      <c r="HE17" s="368"/>
      <c r="HF17" s="368"/>
      <c r="HG17" s="368"/>
      <c r="HH17" s="368"/>
      <c r="HI17" s="368"/>
      <c r="HJ17" s="368"/>
      <c r="HK17" s="368"/>
      <c r="HL17" s="368"/>
      <c r="HM17" s="368"/>
      <c r="HN17" s="368"/>
      <c r="HO17" s="368"/>
      <c r="HP17" s="368"/>
    </row>
    <row r="18" spans="2:224">
      <c r="B18" s="368">
        <f t="shared" si="0"/>
        <v>9</v>
      </c>
      <c r="C18" s="384"/>
      <c r="D18" s="384"/>
      <c r="E18" s="384"/>
      <c r="F18" s="385"/>
      <c r="G18" s="368"/>
      <c r="H18" s="368"/>
      <c r="I18" s="368"/>
      <c r="J18" s="368"/>
      <c r="K18" s="368"/>
      <c r="L18" s="368"/>
      <c r="M18" s="368"/>
      <c r="N18" s="368"/>
      <c r="O18" s="368"/>
      <c r="P18" s="368"/>
      <c r="Q18" s="368"/>
      <c r="R18" s="368"/>
      <c r="S18" s="368"/>
      <c r="T18" s="368"/>
      <c r="U18" s="368"/>
      <c r="V18" s="368"/>
      <c r="W18" s="368"/>
      <c r="X18" s="368"/>
      <c r="Y18" s="368"/>
      <c r="Z18" s="368"/>
      <c r="AA18" s="368"/>
      <c r="AB18" s="368"/>
      <c r="AC18" s="368"/>
      <c r="AD18" s="368"/>
      <c r="AE18" s="368"/>
      <c r="AF18" s="368"/>
      <c r="AG18" s="368"/>
      <c r="AH18" s="368"/>
      <c r="AI18" s="368"/>
      <c r="AJ18" s="368"/>
      <c r="AK18" s="368"/>
      <c r="AL18" s="368"/>
      <c r="AM18" s="368"/>
      <c r="AN18" s="368"/>
      <c r="AO18" s="368"/>
      <c r="AP18" s="368"/>
      <c r="AQ18" s="368"/>
      <c r="AR18" s="368"/>
      <c r="AS18" s="368"/>
      <c r="AT18" s="368"/>
      <c r="AU18" s="368"/>
      <c r="AV18" s="368"/>
      <c r="AW18" s="368"/>
      <c r="AX18" s="368"/>
      <c r="AY18" s="368"/>
      <c r="AZ18" s="368"/>
      <c r="BA18" s="368"/>
      <c r="BB18" s="368"/>
      <c r="BC18" s="368"/>
      <c r="BD18" s="368"/>
      <c r="BE18" s="368"/>
      <c r="BF18" s="368"/>
      <c r="BG18" s="368"/>
      <c r="BH18" s="368"/>
      <c r="BI18" s="368"/>
      <c r="BJ18" s="368"/>
      <c r="BK18" s="368"/>
      <c r="BL18" s="368"/>
      <c r="BM18" s="368"/>
      <c r="BN18" s="368"/>
      <c r="BO18" s="368"/>
      <c r="BP18" s="368"/>
      <c r="BQ18" s="368"/>
      <c r="BR18" s="368"/>
      <c r="BS18" s="368"/>
      <c r="BT18" s="368"/>
      <c r="BU18" s="368"/>
      <c r="BV18" s="368"/>
      <c r="BW18" s="368"/>
      <c r="BX18" s="368"/>
      <c r="BY18" s="368"/>
      <c r="BZ18" s="368"/>
      <c r="CA18" s="368"/>
      <c r="CB18" s="368"/>
      <c r="CC18" s="368"/>
      <c r="CD18" s="368"/>
      <c r="CE18" s="368"/>
      <c r="CF18" s="368"/>
      <c r="CG18" s="368"/>
      <c r="CH18" s="368"/>
      <c r="CI18" s="368"/>
      <c r="CJ18" s="368"/>
      <c r="CK18" s="368"/>
      <c r="CL18" s="368"/>
      <c r="CM18" s="368"/>
      <c r="CN18" s="368"/>
      <c r="CO18" s="368"/>
      <c r="CP18" s="368"/>
      <c r="CQ18" s="368"/>
      <c r="CR18" s="368"/>
      <c r="CS18" s="368"/>
      <c r="CT18" s="368"/>
      <c r="CU18" s="368"/>
      <c r="CV18" s="368"/>
      <c r="CW18" s="368"/>
      <c r="CX18" s="368"/>
      <c r="CY18" s="368"/>
      <c r="CZ18" s="368"/>
      <c r="DA18" s="368"/>
      <c r="DB18" s="368"/>
      <c r="DC18" s="368"/>
      <c r="DD18" s="368"/>
      <c r="DE18" s="368"/>
      <c r="DF18" s="368"/>
      <c r="DG18" s="368"/>
      <c r="DH18" s="368"/>
      <c r="DI18" s="368"/>
      <c r="DJ18" s="368"/>
      <c r="DK18" s="368"/>
      <c r="DL18" s="368"/>
      <c r="DM18" s="368"/>
      <c r="DN18" s="368"/>
      <c r="DO18" s="368"/>
      <c r="DP18" s="368"/>
      <c r="DQ18" s="368"/>
      <c r="DR18" s="368"/>
      <c r="DS18" s="368"/>
      <c r="DT18" s="368"/>
      <c r="DU18" s="368"/>
      <c r="DV18" s="368"/>
      <c r="DW18" s="368"/>
      <c r="DX18" s="368"/>
      <c r="DY18" s="368"/>
      <c r="DZ18" s="368"/>
      <c r="EA18" s="368"/>
      <c r="EB18" s="368"/>
      <c r="EC18" s="368"/>
      <c r="ED18" s="368"/>
      <c r="EE18" s="368"/>
      <c r="EF18" s="368"/>
      <c r="EG18" s="368"/>
      <c r="EH18" s="368"/>
      <c r="EI18" s="368"/>
      <c r="EJ18" s="368"/>
      <c r="EK18" s="368"/>
      <c r="EL18" s="368"/>
      <c r="EM18" s="368"/>
      <c r="EN18" s="368"/>
      <c r="EO18" s="368"/>
      <c r="EP18" s="368"/>
      <c r="EQ18" s="368"/>
      <c r="ER18" s="368"/>
      <c r="ES18" s="368"/>
      <c r="ET18" s="368"/>
      <c r="EU18" s="368"/>
      <c r="EV18" s="368"/>
      <c r="EW18" s="368"/>
      <c r="EX18" s="368"/>
      <c r="EY18" s="368"/>
      <c r="EZ18" s="368"/>
      <c r="FA18" s="368"/>
      <c r="FB18" s="368"/>
      <c r="FC18" s="368"/>
      <c r="FD18" s="368"/>
      <c r="FE18" s="368"/>
      <c r="FF18" s="368"/>
      <c r="FG18" s="368"/>
      <c r="FH18" s="368"/>
      <c r="FI18" s="368"/>
      <c r="FJ18" s="368"/>
      <c r="FK18" s="368"/>
      <c r="FL18" s="368"/>
      <c r="FM18" s="368"/>
      <c r="FN18" s="368"/>
      <c r="FO18" s="368"/>
      <c r="FP18" s="368"/>
      <c r="FQ18" s="368"/>
      <c r="FR18" s="368"/>
      <c r="FS18" s="368"/>
      <c r="FT18" s="368"/>
      <c r="FU18" s="368"/>
      <c r="FV18" s="368"/>
      <c r="FW18" s="368"/>
      <c r="FX18" s="368"/>
      <c r="FY18" s="368"/>
      <c r="FZ18" s="368"/>
      <c r="GA18" s="368"/>
      <c r="GB18" s="368"/>
      <c r="GC18" s="368"/>
      <c r="GD18" s="368"/>
      <c r="GE18" s="368"/>
      <c r="GF18" s="368"/>
      <c r="GG18" s="368"/>
      <c r="GH18" s="368"/>
      <c r="GI18" s="368"/>
      <c r="GJ18" s="368"/>
      <c r="GK18" s="368"/>
      <c r="GL18" s="368"/>
      <c r="GM18" s="368"/>
      <c r="GN18" s="368"/>
      <c r="GO18" s="368"/>
      <c r="GP18" s="368"/>
      <c r="GQ18" s="368"/>
      <c r="GR18" s="368"/>
      <c r="GS18" s="368"/>
      <c r="GT18" s="368"/>
      <c r="GU18" s="368"/>
      <c r="GV18" s="368"/>
      <c r="GW18" s="368"/>
      <c r="GX18" s="368"/>
      <c r="GY18" s="368"/>
      <c r="GZ18" s="368"/>
      <c r="HA18" s="368"/>
      <c r="HB18" s="368"/>
      <c r="HC18" s="368"/>
      <c r="HD18" s="368"/>
      <c r="HE18" s="368"/>
      <c r="HF18" s="368"/>
      <c r="HG18" s="368"/>
      <c r="HH18" s="368"/>
      <c r="HI18" s="368"/>
      <c r="HJ18" s="368"/>
      <c r="HK18" s="368"/>
      <c r="HL18" s="368"/>
      <c r="HM18" s="368"/>
      <c r="HN18" s="368"/>
      <c r="HO18" s="368"/>
      <c r="HP18" s="368"/>
    </row>
    <row r="19" spans="2:224">
      <c r="B19" s="368">
        <f t="shared" si="0"/>
        <v>10</v>
      </c>
      <c r="C19" s="384"/>
      <c r="D19" s="384"/>
      <c r="E19" s="384"/>
      <c r="F19" s="385"/>
      <c r="G19" s="368"/>
      <c r="H19" s="368"/>
      <c r="I19" s="368"/>
      <c r="J19" s="368"/>
      <c r="K19" s="368"/>
      <c r="L19" s="368"/>
      <c r="M19" s="368"/>
      <c r="N19" s="368"/>
      <c r="O19" s="368"/>
      <c r="P19" s="368"/>
      <c r="Q19" s="368"/>
      <c r="R19" s="368"/>
      <c r="S19" s="368"/>
      <c r="T19" s="368"/>
      <c r="U19" s="368"/>
      <c r="V19" s="368"/>
      <c r="W19" s="368"/>
      <c r="X19" s="368"/>
      <c r="Y19" s="368"/>
      <c r="Z19" s="368"/>
      <c r="AA19" s="368"/>
      <c r="AB19" s="368"/>
      <c r="AC19" s="368"/>
      <c r="AD19" s="368"/>
      <c r="AE19" s="368"/>
      <c r="AF19" s="368"/>
      <c r="AG19" s="368"/>
      <c r="AH19" s="368"/>
      <c r="AI19" s="368"/>
      <c r="AJ19" s="368"/>
      <c r="AK19" s="368"/>
      <c r="AL19" s="368"/>
      <c r="AM19" s="368"/>
      <c r="AN19" s="368"/>
      <c r="AO19" s="368"/>
      <c r="AP19" s="368"/>
      <c r="AQ19" s="368"/>
      <c r="AR19" s="368"/>
      <c r="AS19" s="368"/>
      <c r="AT19" s="368"/>
      <c r="AU19" s="368"/>
      <c r="AV19" s="368"/>
      <c r="AW19" s="368"/>
      <c r="AX19" s="368"/>
      <c r="AY19" s="368"/>
      <c r="AZ19" s="368"/>
      <c r="BA19" s="368"/>
      <c r="BB19" s="368"/>
      <c r="BC19" s="368"/>
      <c r="BD19" s="368"/>
      <c r="BE19" s="368"/>
      <c r="BF19" s="368"/>
      <c r="BG19" s="368"/>
      <c r="BH19" s="368"/>
      <c r="BI19" s="368"/>
      <c r="BJ19" s="368"/>
      <c r="BK19" s="368"/>
      <c r="BL19" s="368"/>
      <c r="BM19" s="368"/>
      <c r="BN19" s="368"/>
      <c r="BO19" s="368"/>
      <c r="BP19" s="368"/>
      <c r="BQ19" s="368"/>
      <c r="BR19" s="368"/>
      <c r="BS19" s="368"/>
      <c r="BT19" s="368"/>
      <c r="BU19" s="368"/>
      <c r="BV19" s="368"/>
      <c r="BW19" s="368"/>
      <c r="BX19" s="368"/>
      <c r="BY19" s="368"/>
      <c r="BZ19" s="368"/>
      <c r="CA19" s="368"/>
      <c r="CB19" s="368"/>
      <c r="CC19" s="368"/>
      <c r="CD19" s="368"/>
      <c r="CE19" s="368"/>
      <c r="CF19" s="368"/>
      <c r="CG19" s="368"/>
      <c r="CH19" s="368"/>
      <c r="CI19" s="368"/>
      <c r="CJ19" s="368"/>
      <c r="CK19" s="368"/>
      <c r="CL19" s="368"/>
      <c r="CM19" s="368"/>
      <c r="CN19" s="368"/>
      <c r="CO19" s="368"/>
      <c r="CP19" s="368"/>
      <c r="CQ19" s="368"/>
      <c r="CR19" s="368"/>
      <c r="CS19" s="368"/>
      <c r="CT19" s="368"/>
      <c r="CU19" s="368"/>
      <c r="CV19" s="368"/>
      <c r="CW19" s="368"/>
      <c r="CX19" s="368"/>
      <c r="CY19" s="368"/>
      <c r="CZ19" s="368"/>
      <c r="DA19" s="368"/>
      <c r="DB19" s="368"/>
      <c r="DC19" s="368"/>
      <c r="DD19" s="368"/>
      <c r="DE19" s="368"/>
      <c r="DF19" s="368"/>
      <c r="DG19" s="368"/>
      <c r="DH19" s="368"/>
      <c r="DI19" s="368"/>
      <c r="DJ19" s="368"/>
      <c r="DK19" s="368"/>
      <c r="DL19" s="368"/>
      <c r="DM19" s="368"/>
      <c r="DN19" s="368"/>
      <c r="DO19" s="368"/>
      <c r="DP19" s="368"/>
      <c r="DQ19" s="368"/>
      <c r="DR19" s="368"/>
      <c r="DS19" s="368"/>
      <c r="DT19" s="368"/>
      <c r="DU19" s="368"/>
      <c r="DV19" s="368"/>
      <c r="DW19" s="368"/>
      <c r="DX19" s="368"/>
      <c r="DY19" s="368"/>
      <c r="DZ19" s="368"/>
      <c r="EA19" s="368"/>
      <c r="EB19" s="368"/>
      <c r="EC19" s="368"/>
      <c r="ED19" s="368"/>
      <c r="EE19" s="368"/>
      <c r="EF19" s="368"/>
      <c r="EG19" s="368"/>
      <c r="EH19" s="368"/>
      <c r="EI19" s="368"/>
      <c r="EJ19" s="368"/>
      <c r="EK19" s="368"/>
      <c r="EL19" s="368"/>
      <c r="EM19" s="368"/>
      <c r="EN19" s="368"/>
      <c r="EO19" s="368"/>
      <c r="EP19" s="368"/>
      <c r="EQ19" s="368"/>
      <c r="ER19" s="368"/>
      <c r="ES19" s="368"/>
      <c r="ET19" s="368"/>
      <c r="EU19" s="368"/>
      <c r="EV19" s="368"/>
      <c r="EW19" s="368"/>
      <c r="EX19" s="368"/>
      <c r="EY19" s="368"/>
      <c r="EZ19" s="368"/>
      <c r="FA19" s="368"/>
      <c r="FB19" s="368"/>
      <c r="FC19" s="368"/>
      <c r="FD19" s="368"/>
      <c r="FE19" s="368"/>
      <c r="FF19" s="368"/>
      <c r="FG19" s="368"/>
      <c r="FH19" s="368"/>
      <c r="FI19" s="368"/>
      <c r="FJ19" s="368"/>
      <c r="FK19" s="368"/>
      <c r="FL19" s="368"/>
      <c r="FM19" s="368"/>
      <c r="FN19" s="368"/>
      <c r="FO19" s="368"/>
      <c r="FP19" s="368"/>
      <c r="FQ19" s="368"/>
      <c r="FR19" s="368"/>
      <c r="FS19" s="368"/>
      <c r="FT19" s="368"/>
      <c r="FU19" s="368"/>
      <c r="FV19" s="368"/>
      <c r="FW19" s="368"/>
      <c r="FX19" s="368"/>
      <c r="FY19" s="368"/>
      <c r="FZ19" s="368"/>
      <c r="GA19" s="368"/>
      <c r="GB19" s="368"/>
      <c r="GC19" s="368"/>
      <c r="GD19" s="368"/>
      <c r="GE19" s="368"/>
      <c r="GF19" s="368"/>
      <c r="GG19" s="368"/>
      <c r="GH19" s="368"/>
      <c r="GI19" s="368"/>
      <c r="GJ19" s="368"/>
      <c r="GK19" s="368"/>
      <c r="GL19" s="368"/>
      <c r="GM19" s="368"/>
      <c r="GN19" s="368"/>
      <c r="GO19" s="368"/>
      <c r="GP19" s="368"/>
      <c r="GQ19" s="368"/>
      <c r="GR19" s="368"/>
      <c r="GS19" s="368"/>
      <c r="GT19" s="368"/>
      <c r="GU19" s="368"/>
      <c r="GV19" s="368"/>
      <c r="GW19" s="368"/>
      <c r="GX19" s="368"/>
      <c r="GY19" s="368"/>
      <c r="GZ19" s="368"/>
      <c r="HA19" s="368"/>
      <c r="HB19" s="368"/>
      <c r="HC19" s="368"/>
      <c r="HD19" s="368"/>
      <c r="HE19" s="368"/>
      <c r="HF19" s="368"/>
      <c r="HG19" s="368"/>
      <c r="HH19" s="368"/>
      <c r="HI19" s="368"/>
      <c r="HJ19" s="368"/>
      <c r="HK19" s="368"/>
      <c r="HL19" s="368"/>
      <c r="HM19" s="368"/>
      <c r="HN19" s="368"/>
      <c r="HO19" s="368"/>
      <c r="HP19" s="368"/>
    </row>
    <row r="20" spans="2:224">
      <c r="B20" s="368">
        <f t="shared" si="0"/>
        <v>11</v>
      </c>
      <c r="C20" s="384"/>
      <c r="D20" s="384"/>
      <c r="E20" s="384"/>
      <c r="F20" s="385"/>
      <c r="G20" s="368"/>
      <c r="H20" s="368"/>
      <c r="I20" s="368"/>
      <c r="J20" s="368"/>
      <c r="K20" s="368"/>
      <c r="L20" s="368"/>
      <c r="M20" s="368"/>
      <c r="N20" s="368"/>
      <c r="O20" s="368"/>
      <c r="P20" s="368"/>
      <c r="Q20" s="368"/>
      <c r="R20" s="368"/>
      <c r="S20" s="368"/>
      <c r="T20" s="368"/>
      <c r="U20" s="368"/>
      <c r="V20" s="368"/>
      <c r="W20" s="368"/>
      <c r="X20" s="368"/>
      <c r="Y20" s="368"/>
      <c r="Z20" s="368"/>
      <c r="AA20" s="368"/>
      <c r="AB20" s="368"/>
      <c r="AC20" s="368"/>
      <c r="AD20" s="368"/>
      <c r="AE20" s="368"/>
      <c r="AF20" s="368"/>
      <c r="AG20" s="368"/>
      <c r="AH20" s="368"/>
      <c r="AI20" s="368"/>
      <c r="AJ20" s="368"/>
      <c r="AK20" s="368"/>
      <c r="AL20" s="368"/>
      <c r="AM20" s="368"/>
      <c r="AN20" s="368"/>
      <c r="AO20" s="368"/>
      <c r="AP20" s="368"/>
      <c r="AQ20" s="368"/>
      <c r="AR20" s="368"/>
      <c r="AS20" s="368"/>
      <c r="AT20" s="368"/>
      <c r="AU20" s="368"/>
      <c r="AV20" s="368"/>
      <c r="AW20" s="368"/>
      <c r="AX20" s="368"/>
      <c r="AY20" s="368"/>
      <c r="AZ20" s="368"/>
      <c r="BA20" s="368"/>
      <c r="BB20" s="368"/>
      <c r="BC20" s="368"/>
      <c r="BD20" s="368"/>
      <c r="BE20" s="368"/>
      <c r="BF20" s="368"/>
      <c r="BG20" s="368"/>
      <c r="BH20" s="368"/>
      <c r="BI20" s="368"/>
      <c r="BJ20" s="368"/>
      <c r="BK20" s="368"/>
      <c r="BL20" s="368"/>
      <c r="BM20" s="368"/>
      <c r="BN20" s="368"/>
      <c r="BO20" s="368"/>
      <c r="BP20" s="368"/>
      <c r="BQ20" s="368"/>
      <c r="BR20" s="368"/>
      <c r="BS20" s="368"/>
      <c r="BT20" s="368"/>
      <c r="BU20" s="368"/>
      <c r="BV20" s="368"/>
      <c r="BW20" s="368"/>
      <c r="BX20" s="368"/>
      <c r="BY20" s="368"/>
      <c r="BZ20" s="368"/>
      <c r="CA20" s="368"/>
      <c r="CB20" s="368"/>
      <c r="CC20" s="368"/>
      <c r="CD20" s="368"/>
      <c r="CE20" s="368"/>
      <c r="CF20" s="368"/>
      <c r="CG20" s="368"/>
      <c r="CH20" s="368"/>
      <c r="CI20" s="368"/>
      <c r="CJ20" s="368"/>
      <c r="CK20" s="368"/>
      <c r="CL20" s="368"/>
      <c r="CM20" s="368"/>
      <c r="CN20" s="368"/>
      <c r="CO20" s="368"/>
      <c r="CP20" s="368"/>
      <c r="CQ20" s="368"/>
      <c r="CR20" s="368"/>
      <c r="CS20" s="368"/>
      <c r="CT20" s="368"/>
      <c r="CU20" s="368"/>
      <c r="CV20" s="368"/>
      <c r="CW20" s="368"/>
      <c r="CX20" s="368"/>
      <c r="CY20" s="368"/>
      <c r="CZ20" s="368"/>
      <c r="DA20" s="368"/>
      <c r="DB20" s="368"/>
      <c r="DC20" s="368"/>
      <c r="DD20" s="368"/>
      <c r="DE20" s="368"/>
      <c r="DF20" s="368"/>
      <c r="DG20" s="368"/>
      <c r="DH20" s="368"/>
      <c r="DI20" s="368"/>
      <c r="DJ20" s="368"/>
      <c r="DK20" s="368"/>
      <c r="DL20" s="368"/>
      <c r="DM20" s="368"/>
      <c r="DN20" s="368"/>
      <c r="DO20" s="368"/>
      <c r="DP20" s="368"/>
      <c r="DQ20" s="368"/>
      <c r="DR20" s="368"/>
      <c r="DS20" s="368"/>
      <c r="DT20" s="368"/>
      <c r="DU20" s="368"/>
      <c r="DV20" s="368"/>
      <c r="DW20" s="368"/>
      <c r="DX20" s="368"/>
      <c r="DY20" s="368"/>
      <c r="DZ20" s="368"/>
      <c r="EA20" s="368"/>
      <c r="EB20" s="368"/>
      <c r="EC20" s="368"/>
      <c r="ED20" s="368"/>
      <c r="EE20" s="368"/>
      <c r="EF20" s="368"/>
      <c r="EG20" s="368"/>
      <c r="EH20" s="368"/>
      <c r="EI20" s="368"/>
      <c r="EJ20" s="368"/>
      <c r="EK20" s="368"/>
      <c r="EL20" s="368"/>
      <c r="EM20" s="368"/>
      <c r="EN20" s="368"/>
      <c r="EO20" s="368"/>
      <c r="EP20" s="368"/>
      <c r="EQ20" s="368"/>
      <c r="ER20" s="368"/>
      <c r="ES20" s="368"/>
      <c r="ET20" s="368"/>
      <c r="EU20" s="368"/>
      <c r="EV20" s="368"/>
      <c r="EW20" s="368"/>
      <c r="EX20" s="368"/>
      <c r="EY20" s="368"/>
      <c r="EZ20" s="368"/>
      <c r="FA20" s="368"/>
      <c r="FB20" s="368"/>
      <c r="FC20" s="368"/>
      <c r="FD20" s="368"/>
      <c r="FE20" s="368"/>
      <c r="FF20" s="368"/>
      <c r="FG20" s="368"/>
      <c r="FH20" s="368"/>
      <c r="FI20" s="368"/>
      <c r="FJ20" s="368"/>
      <c r="FK20" s="368"/>
      <c r="FL20" s="368"/>
      <c r="FM20" s="368"/>
      <c r="FN20" s="368"/>
      <c r="FO20" s="368"/>
      <c r="FP20" s="368"/>
      <c r="FQ20" s="368"/>
      <c r="FR20" s="368"/>
      <c r="FS20" s="368"/>
      <c r="FT20" s="368"/>
      <c r="FU20" s="368"/>
      <c r="FV20" s="368"/>
      <c r="FW20" s="368"/>
      <c r="FX20" s="368"/>
      <c r="FY20" s="368"/>
      <c r="FZ20" s="368"/>
      <c r="GA20" s="368"/>
      <c r="GB20" s="368"/>
      <c r="GC20" s="368"/>
      <c r="GD20" s="368"/>
      <c r="GE20" s="368"/>
      <c r="GF20" s="368"/>
      <c r="GG20" s="368"/>
      <c r="GH20" s="368"/>
      <c r="GI20" s="368"/>
      <c r="GJ20" s="368"/>
      <c r="GK20" s="368"/>
      <c r="GL20" s="368"/>
      <c r="GM20" s="368"/>
      <c r="GN20" s="368"/>
      <c r="GO20" s="368"/>
      <c r="GP20" s="368"/>
      <c r="GQ20" s="368"/>
      <c r="GR20" s="368"/>
      <c r="GS20" s="368"/>
      <c r="GT20" s="368"/>
      <c r="GU20" s="368"/>
      <c r="GV20" s="368"/>
      <c r="GW20" s="368"/>
      <c r="GX20" s="368"/>
      <c r="GY20" s="368"/>
      <c r="GZ20" s="368"/>
      <c r="HA20" s="368"/>
      <c r="HB20" s="368"/>
      <c r="HC20" s="368"/>
      <c r="HD20" s="368"/>
      <c r="HE20" s="368"/>
      <c r="HF20" s="368"/>
      <c r="HG20" s="368"/>
      <c r="HH20" s="368"/>
      <c r="HI20" s="368"/>
      <c r="HJ20" s="368"/>
      <c r="HK20" s="368"/>
      <c r="HL20" s="368"/>
      <c r="HM20" s="368"/>
      <c r="HN20" s="368"/>
      <c r="HO20" s="368"/>
      <c r="HP20" s="368"/>
    </row>
    <row r="21" spans="2:224">
      <c r="B21" s="368">
        <f t="shared" si="0"/>
        <v>12</v>
      </c>
      <c r="C21" s="384"/>
      <c r="D21" s="384"/>
      <c r="E21" s="384"/>
      <c r="F21" s="385"/>
      <c r="G21" s="368"/>
      <c r="H21" s="368"/>
      <c r="I21" s="368"/>
      <c r="J21" s="368"/>
      <c r="K21" s="368"/>
      <c r="L21" s="368"/>
      <c r="M21" s="368"/>
      <c r="N21" s="368"/>
      <c r="O21" s="368"/>
      <c r="P21" s="368"/>
      <c r="Q21" s="368"/>
      <c r="R21" s="368"/>
      <c r="S21" s="368"/>
      <c r="T21" s="368"/>
      <c r="U21" s="368"/>
      <c r="V21" s="368"/>
      <c r="W21" s="368"/>
      <c r="X21" s="368"/>
      <c r="Y21" s="368"/>
      <c r="Z21" s="368"/>
      <c r="AA21" s="368"/>
      <c r="AB21" s="368"/>
      <c r="AC21" s="368"/>
      <c r="AD21" s="368"/>
      <c r="AE21" s="368"/>
      <c r="AF21" s="368"/>
      <c r="AG21" s="368"/>
      <c r="AH21" s="368"/>
      <c r="AI21" s="368"/>
      <c r="AJ21" s="368"/>
      <c r="AK21" s="368"/>
      <c r="AL21" s="368"/>
      <c r="AM21" s="368"/>
      <c r="AN21" s="368"/>
      <c r="AO21" s="368"/>
      <c r="AP21" s="368"/>
      <c r="AQ21" s="368"/>
      <c r="AR21" s="368"/>
      <c r="AS21" s="368"/>
      <c r="AT21" s="368"/>
      <c r="AU21" s="368"/>
      <c r="AV21" s="368"/>
      <c r="AW21" s="368"/>
      <c r="AX21" s="368"/>
      <c r="AY21" s="368"/>
      <c r="AZ21" s="368"/>
      <c r="BA21" s="368"/>
      <c r="BB21" s="368"/>
      <c r="BC21" s="368"/>
      <c r="BD21" s="368"/>
      <c r="BE21" s="368"/>
      <c r="BF21" s="368"/>
      <c r="BG21" s="368"/>
      <c r="BH21" s="368"/>
      <c r="BI21" s="368"/>
      <c r="BJ21" s="368"/>
      <c r="BK21" s="368"/>
      <c r="BL21" s="368"/>
      <c r="BM21" s="368"/>
      <c r="BN21" s="368"/>
      <c r="BO21" s="368"/>
      <c r="BP21" s="368"/>
      <c r="BQ21" s="368"/>
      <c r="BR21" s="368"/>
      <c r="BS21" s="368"/>
      <c r="BT21" s="368"/>
      <c r="BU21" s="368"/>
      <c r="BV21" s="368"/>
      <c r="BW21" s="368"/>
      <c r="BX21" s="368"/>
      <c r="BY21" s="368"/>
      <c r="BZ21" s="368"/>
      <c r="CA21" s="368"/>
      <c r="CB21" s="368"/>
      <c r="CC21" s="368"/>
      <c r="CD21" s="368"/>
      <c r="CE21" s="368"/>
      <c r="CF21" s="368"/>
      <c r="CG21" s="368"/>
      <c r="CH21" s="368"/>
      <c r="CI21" s="368"/>
      <c r="CJ21" s="368"/>
      <c r="CK21" s="368"/>
      <c r="CL21" s="368"/>
      <c r="CM21" s="368"/>
      <c r="CN21" s="368"/>
      <c r="CO21" s="368"/>
      <c r="CP21" s="368"/>
      <c r="CQ21" s="368"/>
      <c r="CR21" s="368"/>
      <c r="CS21" s="368"/>
      <c r="CT21" s="368"/>
      <c r="CU21" s="368"/>
      <c r="CV21" s="368"/>
      <c r="CW21" s="368"/>
      <c r="CX21" s="368"/>
      <c r="CY21" s="368"/>
      <c r="CZ21" s="368"/>
      <c r="DA21" s="368"/>
      <c r="DB21" s="368"/>
      <c r="DC21" s="368"/>
      <c r="DD21" s="368"/>
      <c r="DE21" s="368"/>
      <c r="DF21" s="368"/>
      <c r="DG21" s="368"/>
      <c r="DH21" s="368"/>
      <c r="DI21" s="368"/>
      <c r="DJ21" s="368"/>
      <c r="DK21" s="368"/>
      <c r="DL21" s="368"/>
      <c r="DM21" s="368"/>
      <c r="DN21" s="368"/>
      <c r="DO21" s="368"/>
      <c r="DP21" s="368"/>
      <c r="DQ21" s="368"/>
      <c r="DR21" s="368"/>
      <c r="DS21" s="368"/>
      <c r="DT21" s="368"/>
      <c r="DU21" s="368"/>
      <c r="DV21" s="368"/>
      <c r="DW21" s="368"/>
      <c r="DX21" s="368"/>
      <c r="DY21" s="368"/>
      <c r="DZ21" s="368"/>
      <c r="EA21" s="368"/>
      <c r="EB21" s="368"/>
      <c r="EC21" s="368"/>
      <c r="ED21" s="368"/>
      <c r="EE21" s="368"/>
      <c r="EF21" s="368"/>
      <c r="EG21" s="368"/>
      <c r="EH21" s="368"/>
      <c r="EI21" s="368"/>
      <c r="EJ21" s="368"/>
      <c r="EK21" s="368"/>
      <c r="EL21" s="368"/>
      <c r="EM21" s="368"/>
      <c r="EN21" s="368"/>
      <c r="EO21" s="368"/>
      <c r="EP21" s="368"/>
      <c r="EQ21" s="368"/>
      <c r="ER21" s="368"/>
      <c r="ES21" s="368"/>
      <c r="ET21" s="368"/>
      <c r="EU21" s="368"/>
      <c r="EV21" s="368"/>
      <c r="EW21" s="368"/>
      <c r="EX21" s="368"/>
      <c r="EY21" s="368"/>
      <c r="EZ21" s="368"/>
      <c r="FA21" s="368"/>
      <c r="FB21" s="368"/>
      <c r="FC21" s="368"/>
      <c r="FD21" s="368"/>
      <c r="FE21" s="368"/>
      <c r="FF21" s="368"/>
      <c r="FG21" s="368"/>
      <c r="FH21" s="368"/>
      <c r="FI21" s="368"/>
      <c r="FJ21" s="368"/>
      <c r="FK21" s="368"/>
      <c r="FL21" s="368"/>
      <c r="FM21" s="368"/>
      <c r="FN21" s="368"/>
      <c r="FO21" s="368"/>
      <c r="FP21" s="368"/>
      <c r="FQ21" s="368"/>
      <c r="FR21" s="368"/>
      <c r="FS21" s="368"/>
      <c r="FT21" s="368"/>
      <c r="FU21" s="368"/>
      <c r="FV21" s="368"/>
      <c r="FW21" s="368"/>
      <c r="FX21" s="368"/>
      <c r="FY21" s="368"/>
      <c r="FZ21" s="368"/>
      <c r="GA21" s="368"/>
      <c r="GB21" s="368"/>
      <c r="GC21" s="368"/>
      <c r="GD21" s="368"/>
      <c r="GE21" s="368"/>
      <c r="GF21" s="368"/>
      <c r="GG21" s="368"/>
      <c r="GH21" s="368"/>
      <c r="GI21" s="368"/>
      <c r="GJ21" s="368"/>
      <c r="GK21" s="368"/>
      <c r="GL21" s="368"/>
      <c r="GM21" s="368"/>
      <c r="GN21" s="368"/>
      <c r="GO21" s="368"/>
      <c r="GP21" s="368"/>
      <c r="GQ21" s="368"/>
      <c r="GR21" s="368"/>
      <c r="GS21" s="368"/>
      <c r="GT21" s="368"/>
      <c r="GU21" s="368"/>
      <c r="GV21" s="368"/>
      <c r="GW21" s="368"/>
      <c r="GX21" s="368"/>
      <c r="GY21" s="368"/>
      <c r="GZ21" s="368"/>
      <c r="HA21" s="368"/>
      <c r="HB21" s="368"/>
      <c r="HC21" s="368"/>
      <c r="HD21" s="368"/>
      <c r="HE21" s="368"/>
      <c r="HF21" s="368"/>
      <c r="HG21" s="368"/>
      <c r="HH21" s="368"/>
      <c r="HI21" s="368"/>
      <c r="HJ21" s="368"/>
      <c r="HK21" s="368"/>
      <c r="HL21" s="368"/>
      <c r="HM21" s="368"/>
      <c r="HN21" s="368"/>
      <c r="HO21" s="368"/>
      <c r="HP21" s="368"/>
    </row>
    <row r="22" spans="2:224">
      <c r="B22" s="368">
        <f t="shared" si="0"/>
        <v>13</v>
      </c>
      <c r="C22" s="384"/>
      <c r="D22" s="384"/>
      <c r="E22" s="384"/>
      <c r="F22" s="385"/>
      <c r="G22" s="368"/>
      <c r="H22" s="368"/>
      <c r="I22" s="368"/>
      <c r="J22" s="368"/>
      <c r="K22" s="368"/>
      <c r="L22" s="368"/>
      <c r="M22" s="368"/>
      <c r="N22" s="368"/>
      <c r="O22" s="368"/>
      <c r="P22" s="368"/>
      <c r="Q22" s="368"/>
      <c r="R22" s="368"/>
      <c r="S22" s="368"/>
      <c r="T22" s="368"/>
      <c r="U22" s="368"/>
      <c r="V22" s="368"/>
      <c r="W22" s="368"/>
      <c r="X22" s="368"/>
      <c r="Y22" s="368"/>
      <c r="Z22" s="368"/>
      <c r="AA22" s="368"/>
      <c r="AB22" s="368"/>
      <c r="AC22" s="368"/>
      <c r="AD22" s="368"/>
      <c r="AE22" s="368"/>
      <c r="AF22" s="368"/>
      <c r="AG22" s="368"/>
      <c r="AH22" s="368"/>
      <c r="AI22" s="368"/>
      <c r="AJ22" s="368"/>
      <c r="AK22" s="368"/>
      <c r="AL22" s="368"/>
      <c r="AM22" s="368"/>
      <c r="AN22" s="368"/>
      <c r="AO22" s="368"/>
      <c r="AP22" s="368"/>
      <c r="AQ22" s="368"/>
      <c r="AR22" s="368"/>
      <c r="AS22" s="368"/>
      <c r="AT22" s="368"/>
      <c r="AU22" s="368"/>
      <c r="AV22" s="368"/>
      <c r="AW22" s="368"/>
      <c r="AX22" s="368"/>
      <c r="AY22" s="368"/>
      <c r="AZ22" s="368"/>
      <c r="BA22" s="368"/>
      <c r="BB22" s="368"/>
      <c r="BC22" s="368"/>
      <c r="BD22" s="368"/>
      <c r="BE22" s="368"/>
      <c r="BF22" s="368"/>
      <c r="BG22" s="368"/>
      <c r="BH22" s="368"/>
      <c r="BI22" s="368"/>
      <c r="BJ22" s="368"/>
      <c r="BK22" s="368"/>
      <c r="BL22" s="368"/>
      <c r="BM22" s="368"/>
      <c r="BN22" s="368"/>
      <c r="BO22" s="368"/>
      <c r="BP22" s="368"/>
      <c r="BQ22" s="368"/>
      <c r="BR22" s="368"/>
      <c r="BS22" s="368"/>
      <c r="BT22" s="368"/>
      <c r="BU22" s="368"/>
      <c r="BV22" s="368"/>
      <c r="BW22" s="368"/>
      <c r="BX22" s="368"/>
      <c r="BY22" s="368"/>
      <c r="BZ22" s="368"/>
      <c r="CA22" s="368"/>
      <c r="CB22" s="368"/>
      <c r="CC22" s="368"/>
      <c r="CD22" s="368"/>
      <c r="CE22" s="368"/>
      <c r="CF22" s="368"/>
      <c r="CG22" s="368"/>
      <c r="CH22" s="368"/>
      <c r="CI22" s="368"/>
      <c r="CJ22" s="368"/>
      <c r="CK22" s="368"/>
      <c r="CL22" s="368"/>
      <c r="CM22" s="368"/>
      <c r="CN22" s="368"/>
      <c r="CO22" s="368"/>
      <c r="CP22" s="368"/>
      <c r="CQ22" s="368"/>
      <c r="CR22" s="368"/>
      <c r="CS22" s="368"/>
      <c r="CT22" s="368"/>
      <c r="CU22" s="368"/>
      <c r="CV22" s="368"/>
      <c r="CW22" s="368"/>
      <c r="CX22" s="368"/>
      <c r="CY22" s="368"/>
      <c r="CZ22" s="368"/>
      <c r="DA22" s="368"/>
      <c r="DB22" s="368"/>
      <c r="DC22" s="368"/>
      <c r="DD22" s="368"/>
      <c r="DE22" s="368"/>
      <c r="DF22" s="368"/>
      <c r="DG22" s="368"/>
      <c r="DH22" s="368"/>
      <c r="DI22" s="368"/>
      <c r="DJ22" s="368"/>
      <c r="DK22" s="368"/>
      <c r="DL22" s="368"/>
      <c r="DM22" s="368"/>
      <c r="DN22" s="368"/>
      <c r="DO22" s="368"/>
      <c r="DP22" s="368"/>
      <c r="DQ22" s="368"/>
      <c r="DR22" s="368"/>
      <c r="DS22" s="368"/>
      <c r="DT22" s="368"/>
      <c r="DU22" s="368"/>
      <c r="DV22" s="368"/>
      <c r="DW22" s="368"/>
      <c r="DX22" s="368"/>
      <c r="DY22" s="368"/>
      <c r="DZ22" s="368"/>
      <c r="EA22" s="368"/>
      <c r="EB22" s="368"/>
      <c r="EC22" s="368"/>
      <c r="ED22" s="368"/>
      <c r="EE22" s="368"/>
      <c r="EF22" s="368"/>
      <c r="EG22" s="368"/>
      <c r="EH22" s="368"/>
      <c r="EI22" s="368"/>
      <c r="EJ22" s="368"/>
      <c r="EK22" s="368"/>
      <c r="EL22" s="368"/>
      <c r="EM22" s="368"/>
      <c r="EN22" s="368"/>
      <c r="EO22" s="368"/>
      <c r="EP22" s="368"/>
      <c r="EQ22" s="368"/>
      <c r="ER22" s="368"/>
      <c r="ES22" s="368"/>
      <c r="ET22" s="368"/>
      <c r="EU22" s="368"/>
      <c r="EV22" s="368"/>
      <c r="EW22" s="368"/>
      <c r="EX22" s="368"/>
      <c r="EY22" s="368"/>
      <c r="EZ22" s="368"/>
      <c r="FA22" s="368"/>
      <c r="FB22" s="368"/>
      <c r="FC22" s="368"/>
      <c r="FD22" s="368"/>
      <c r="FE22" s="368"/>
      <c r="FF22" s="368"/>
      <c r="FG22" s="368"/>
      <c r="FH22" s="368"/>
      <c r="FI22" s="368"/>
      <c r="FJ22" s="368"/>
      <c r="FK22" s="368"/>
      <c r="FL22" s="368"/>
      <c r="FM22" s="368"/>
      <c r="FN22" s="368"/>
      <c r="FO22" s="368"/>
      <c r="FP22" s="368"/>
      <c r="FQ22" s="368"/>
      <c r="FR22" s="368"/>
      <c r="FS22" s="368"/>
      <c r="FT22" s="368"/>
      <c r="FU22" s="368"/>
      <c r="FV22" s="368"/>
      <c r="FW22" s="368"/>
      <c r="FX22" s="368"/>
      <c r="FY22" s="368"/>
      <c r="FZ22" s="368"/>
      <c r="GA22" s="368"/>
      <c r="GB22" s="368"/>
      <c r="GC22" s="368"/>
      <c r="GD22" s="368"/>
      <c r="GE22" s="368"/>
      <c r="GF22" s="368"/>
      <c r="GG22" s="368"/>
      <c r="GH22" s="368"/>
      <c r="GI22" s="368"/>
      <c r="GJ22" s="368"/>
      <c r="GK22" s="368"/>
      <c r="GL22" s="368"/>
      <c r="GM22" s="368"/>
      <c r="GN22" s="368"/>
      <c r="GO22" s="368"/>
      <c r="GP22" s="368"/>
      <c r="GQ22" s="368"/>
      <c r="GR22" s="368"/>
      <c r="GS22" s="368"/>
      <c r="GT22" s="368"/>
      <c r="GU22" s="368"/>
      <c r="GV22" s="368"/>
      <c r="GW22" s="368"/>
      <c r="GX22" s="368"/>
      <c r="GY22" s="368"/>
      <c r="GZ22" s="368"/>
      <c r="HA22" s="368"/>
      <c r="HB22" s="368"/>
      <c r="HC22" s="368"/>
      <c r="HD22" s="368"/>
      <c r="HE22" s="368"/>
      <c r="HF22" s="368"/>
      <c r="HG22" s="368"/>
      <c r="HH22" s="368"/>
      <c r="HI22" s="368"/>
      <c r="HJ22" s="368"/>
      <c r="HK22" s="368"/>
      <c r="HL22" s="368"/>
      <c r="HM22" s="368"/>
      <c r="HN22" s="368"/>
      <c r="HO22" s="368"/>
      <c r="HP22" s="368"/>
    </row>
    <row r="23" spans="2:224">
      <c r="B23" s="368">
        <f t="shared" si="0"/>
        <v>14</v>
      </c>
      <c r="C23" s="384"/>
      <c r="D23" s="384"/>
      <c r="E23" s="384"/>
      <c r="F23" s="385"/>
      <c r="G23" s="368"/>
      <c r="H23" s="368"/>
      <c r="I23" s="368"/>
      <c r="J23" s="368"/>
      <c r="K23" s="368"/>
      <c r="L23" s="368"/>
      <c r="M23" s="368"/>
      <c r="N23" s="368"/>
      <c r="O23" s="368"/>
      <c r="P23" s="368"/>
      <c r="Q23" s="368"/>
      <c r="R23" s="368"/>
      <c r="S23" s="368"/>
      <c r="T23" s="368"/>
      <c r="U23" s="368"/>
      <c r="V23" s="368"/>
      <c r="W23" s="368"/>
      <c r="X23" s="368"/>
      <c r="Y23" s="368"/>
      <c r="Z23" s="368"/>
      <c r="AA23" s="368"/>
      <c r="AB23" s="368"/>
      <c r="AC23" s="368"/>
      <c r="AD23" s="368"/>
      <c r="AE23" s="368"/>
      <c r="AF23" s="368"/>
      <c r="AG23" s="368"/>
      <c r="AH23" s="368"/>
      <c r="AI23" s="368"/>
      <c r="AJ23" s="368"/>
      <c r="AK23" s="368"/>
      <c r="AL23" s="368"/>
      <c r="AM23" s="368"/>
      <c r="AN23" s="368"/>
      <c r="AO23" s="368"/>
      <c r="AP23" s="368"/>
      <c r="AQ23" s="368"/>
      <c r="AR23" s="368"/>
      <c r="AS23" s="368"/>
      <c r="AT23" s="368"/>
      <c r="AU23" s="368"/>
      <c r="AV23" s="368"/>
      <c r="AW23" s="368"/>
      <c r="AX23" s="368"/>
      <c r="AY23" s="368"/>
      <c r="AZ23" s="368"/>
      <c r="BA23" s="368"/>
      <c r="BB23" s="368"/>
      <c r="BC23" s="368"/>
      <c r="BD23" s="368"/>
      <c r="BE23" s="368"/>
      <c r="BF23" s="368"/>
      <c r="BG23" s="368"/>
      <c r="BH23" s="368"/>
      <c r="BI23" s="368"/>
      <c r="BJ23" s="368"/>
      <c r="BK23" s="368"/>
      <c r="BL23" s="368"/>
      <c r="BM23" s="368"/>
      <c r="BN23" s="368"/>
      <c r="BO23" s="368"/>
      <c r="BP23" s="368"/>
      <c r="BQ23" s="368"/>
      <c r="BR23" s="368"/>
      <c r="BS23" s="368"/>
      <c r="BT23" s="368"/>
      <c r="BU23" s="368"/>
      <c r="BV23" s="368"/>
      <c r="BW23" s="368"/>
      <c r="BX23" s="368"/>
      <c r="BY23" s="368"/>
      <c r="BZ23" s="368"/>
      <c r="CA23" s="368"/>
      <c r="CB23" s="368"/>
      <c r="CC23" s="368"/>
      <c r="CD23" s="368"/>
      <c r="CE23" s="368"/>
      <c r="CF23" s="368"/>
      <c r="CG23" s="368"/>
      <c r="CH23" s="368"/>
      <c r="CI23" s="368"/>
      <c r="CJ23" s="368"/>
      <c r="CK23" s="368"/>
      <c r="CL23" s="368"/>
      <c r="CM23" s="368"/>
      <c r="CN23" s="368"/>
      <c r="CO23" s="368"/>
      <c r="CP23" s="368"/>
      <c r="CQ23" s="368"/>
      <c r="CR23" s="368"/>
      <c r="CS23" s="368"/>
      <c r="CT23" s="368"/>
      <c r="CU23" s="368"/>
      <c r="CV23" s="368"/>
      <c r="CW23" s="368"/>
      <c r="CX23" s="368"/>
      <c r="CY23" s="368"/>
      <c r="CZ23" s="368"/>
      <c r="DA23" s="368"/>
      <c r="DB23" s="368"/>
      <c r="DC23" s="368"/>
      <c r="DD23" s="368"/>
      <c r="DE23" s="368"/>
      <c r="DF23" s="368"/>
      <c r="DG23" s="368"/>
      <c r="DH23" s="368"/>
      <c r="DI23" s="368"/>
      <c r="DJ23" s="368"/>
      <c r="DK23" s="368"/>
      <c r="DL23" s="368"/>
      <c r="DM23" s="368"/>
      <c r="DN23" s="368"/>
      <c r="DO23" s="368"/>
      <c r="DP23" s="368"/>
      <c r="DQ23" s="368"/>
      <c r="DR23" s="368"/>
      <c r="DS23" s="368"/>
      <c r="DT23" s="368"/>
      <c r="DU23" s="368"/>
      <c r="DV23" s="368"/>
      <c r="DW23" s="368"/>
      <c r="DX23" s="368"/>
      <c r="DY23" s="368"/>
      <c r="DZ23" s="368"/>
      <c r="EA23" s="368"/>
      <c r="EB23" s="368"/>
      <c r="EC23" s="368"/>
      <c r="ED23" s="368"/>
      <c r="EE23" s="368"/>
      <c r="EF23" s="368"/>
      <c r="EG23" s="368"/>
      <c r="EH23" s="368"/>
      <c r="EI23" s="368"/>
      <c r="EJ23" s="368"/>
      <c r="EK23" s="368"/>
      <c r="EL23" s="368"/>
      <c r="EM23" s="368"/>
      <c r="EN23" s="368"/>
      <c r="EO23" s="368"/>
      <c r="EP23" s="368"/>
      <c r="EQ23" s="368"/>
      <c r="ER23" s="368"/>
      <c r="ES23" s="368"/>
      <c r="ET23" s="368"/>
      <c r="EU23" s="368"/>
      <c r="EV23" s="368"/>
      <c r="EW23" s="368"/>
      <c r="EX23" s="368"/>
      <c r="EY23" s="368"/>
      <c r="EZ23" s="368"/>
      <c r="FA23" s="368"/>
      <c r="FB23" s="368"/>
      <c r="FC23" s="368"/>
      <c r="FD23" s="368"/>
      <c r="FE23" s="368"/>
      <c r="FF23" s="368"/>
      <c r="FG23" s="368"/>
      <c r="FH23" s="368"/>
      <c r="FI23" s="368"/>
      <c r="FJ23" s="368"/>
      <c r="FK23" s="368"/>
      <c r="FL23" s="368"/>
      <c r="FM23" s="368"/>
      <c r="FN23" s="368"/>
      <c r="FO23" s="368"/>
      <c r="FP23" s="368"/>
      <c r="FQ23" s="368"/>
      <c r="FR23" s="368"/>
      <c r="FS23" s="368"/>
      <c r="FT23" s="368"/>
      <c r="FU23" s="368"/>
      <c r="FV23" s="368"/>
      <c r="FW23" s="368"/>
      <c r="FX23" s="368"/>
      <c r="FY23" s="368"/>
      <c r="FZ23" s="368"/>
      <c r="GA23" s="368"/>
      <c r="GB23" s="368"/>
      <c r="GC23" s="368"/>
      <c r="GD23" s="368"/>
      <c r="GE23" s="368"/>
      <c r="GF23" s="368"/>
      <c r="GG23" s="368"/>
      <c r="GH23" s="368"/>
      <c r="GI23" s="368"/>
      <c r="GJ23" s="368"/>
      <c r="GK23" s="368"/>
      <c r="GL23" s="368"/>
      <c r="GM23" s="368"/>
      <c r="GN23" s="368"/>
      <c r="GO23" s="368"/>
      <c r="GP23" s="368"/>
      <c r="GQ23" s="368"/>
      <c r="GR23" s="368"/>
      <c r="GS23" s="368"/>
      <c r="GT23" s="368"/>
      <c r="GU23" s="368"/>
      <c r="GV23" s="368"/>
      <c r="GW23" s="368"/>
      <c r="GX23" s="368"/>
      <c r="GY23" s="368"/>
      <c r="GZ23" s="368"/>
      <c r="HA23" s="368"/>
      <c r="HB23" s="368"/>
      <c r="HC23" s="368"/>
      <c r="HD23" s="368"/>
      <c r="HE23" s="368"/>
      <c r="HF23" s="368"/>
      <c r="HG23" s="368"/>
      <c r="HH23" s="368"/>
      <c r="HI23" s="368"/>
      <c r="HJ23" s="368"/>
      <c r="HK23" s="368"/>
      <c r="HL23" s="368"/>
      <c r="HM23" s="368"/>
      <c r="HN23" s="368"/>
      <c r="HO23" s="368"/>
      <c r="HP23" s="368"/>
    </row>
    <row r="24" spans="2:224">
      <c r="B24" s="368">
        <f t="shared" si="0"/>
        <v>15</v>
      </c>
      <c r="C24" s="384"/>
      <c r="D24" s="384"/>
      <c r="E24" s="384"/>
      <c r="F24" s="385"/>
      <c r="G24" s="368"/>
      <c r="H24" s="368"/>
      <c r="I24" s="368"/>
      <c r="J24" s="368"/>
      <c r="K24" s="368"/>
      <c r="L24" s="368"/>
      <c r="M24" s="368"/>
      <c r="N24" s="368"/>
      <c r="O24" s="368"/>
      <c r="P24" s="368"/>
      <c r="Q24" s="368"/>
      <c r="R24" s="368"/>
      <c r="S24" s="368"/>
      <c r="T24" s="368"/>
      <c r="U24" s="368"/>
      <c r="V24" s="368"/>
      <c r="W24" s="368"/>
      <c r="X24" s="368"/>
      <c r="Y24" s="368"/>
      <c r="Z24" s="368"/>
      <c r="AA24" s="368"/>
      <c r="AB24" s="368"/>
      <c r="AC24" s="368"/>
      <c r="AD24" s="368"/>
      <c r="AE24" s="368"/>
      <c r="AF24" s="368"/>
      <c r="AG24" s="368"/>
      <c r="AH24" s="368"/>
      <c r="AI24" s="368"/>
      <c r="AJ24" s="368"/>
      <c r="AK24" s="368"/>
      <c r="AL24" s="368"/>
      <c r="AM24" s="368"/>
      <c r="AN24" s="368"/>
      <c r="AO24" s="368"/>
      <c r="AP24" s="368"/>
      <c r="AQ24" s="368"/>
      <c r="AR24" s="368"/>
      <c r="AS24" s="368"/>
      <c r="AT24" s="368"/>
      <c r="AU24" s="368"/>
      <c r="AV24" s="368"/>
      <c r="AW24" s="368"/>
      <c r="AX24" s="368"/>
      <c r="AY24" s="368"/>
      <c r="AZ24" s="368"/>
      <c r="BA24" s="368"/>
      <c r="BB24" s="368"/>
      <c r="BC24" s="368"/>
      <c r="BD24" s="368"/>
      <c r="BE24" s="368"/>
      <c r="BF24" s="368"/>
      <c r="BG24" s="368"/>
      <c r="BH24" s="368"/>
      <c r="BI24" s="368"/>
      <c r="BJ24" s="368"/>
      <c r="BK24" s="368"/>
      <c r="BL24" s="368"/>
      <c r="BM24" s="368"/>
      <c r="BN24" s="368"/>
      <c r="BO24" s="368"/>
      <c r="BP24" s="368"/>
      <c r="BQ24" s="368"/>
      <c r="BR24" s="368"/>
      <c r="BS24" s="368"/>
      <c r="BT24" s="368"/>
      <c r="BU24" s="368"/>
      <c r="BV24" s="368"/>
      <c r="BW24" s="368"/>
      <c r="BX24" s="368"/>
      <c r="BY24" s="368"/>
      <c r="BZ24" s="368"/>
      <c r="CA24" s="368"/>
      <c r="CB24" s="368"/>
      <c r="CC24" s="368"/>
      <c r="CD24" s="368"/>
      <c r="CE24" s="368"/>
      <c r="CF24" s="368"/>
      <c r="CG24" s="368"/>
      <c r="CH24" s="368"/>
      <c r="CI24" s="368"/>
      <c r="CJ24" s="368"/>
      <c r="CK24" s="368"/>
      <c r="CL24" s="368"/>
      <c r="CM24" s="368"/>
      <c r="CN24" s="368"/>
      <c r="CO24" s="368"/>
      <c r="CP24" s="368"/>
      <c r="CQ24" s="368"/>
      <c r="CR24" s="368"/>
      <c r="CS24" s="368"/>
      <c r="CT24" s="368"/>
      <c r="CU24" s="368"/>
      <c r="CV24" s="368"/>
      <c r="CW24" s="368"/>
      <c r="CX24" s="368"/>
      <c r="CY24" s="368"/>
      <c r="CZ24" s="368"/>
      <c r="DA24" s="368"/>
      <c r="DB24" s="368"/>
      <c r="DC24" s="368"/>
      <c r="DD24" s="368"/>
      <c r="DE24" s="368"/>
      <c r="DF24" s="368"/>
      <c r="DG24" s="368"/>
      <c r="DH24" s="368"/>
      <c r="DI24" s="368"/>
      <c r="DJ24" s="368"/>
      <c r="DK24" s="368"/>
      <c r="DL24" s="368"/>
      <c r="DM24" s="368"/>
      <c r="DN24" s="368"/>
      <c r="DO24" s="368"/>
      <c r="DP24" s="368"/>
      <c r="DQ24" s="368"/>
      <c r="DR24" s="368"/>
      <c r="DS24" s="368"/>
      <c r="DT24" s="368"/>
      <c r="DU24" s="368"/>
      <c r="DV24" s="368"/>
      <c r="DW24" s="368"/>
      <c r="DX24" s="368"/>
      <c r="DY24" s="368"/>
      <c r="DZ24" s="368"/>
      <c r="EA24" s="368"/>
      <c r="EB24" s="368"/>
      <c r="EC24" s="368"/>
      <c r="ED24" s="368"/>
      <c r="EE24" s="368"/>
      <c r="EF24" s="368"/>
      <c r="EG24" s="368"/>
      <c r="EH24" s="368"/>
      <c r="EI24" s="368"/>
      <c r="EJ24" s="368"/>
      <c r="EK24" s="368"/>
      <c r="EL24" s="368"/>
      <c r="EM24" s="368"/>
      <c r="EN24" s="368"/>
      <c r="EO24" s="368"/>
      <c r="EP24" s="368"/>
      <c r="EQ24" s="368"/>
      <c r="ER24" s="368"/>
      <c r="ES24" s="368"/>
      <c r="ET24" s="368"/>
      <c r="EU24" s="368"/>
      <c r="EV24" s="368"/>
      <c r="EW24" s="368"/>
      <c r="EX24" s="368"/>
      <c r="EY24" s="368"/>
      <c r="EZ24" s="368"/>
      <c r="FA24" s="368"/>
      <c r="FB24" s="368"/>
      <c r="FC24" s="368"/>
      <c r="FD24" s="368"/>
      <c r="FE24" s="368"/>
      <c r="FF24" s="368"/>
      <c r="FG24" s="368"/>
      <c r="FH24" s="368"/>
      <c r="FI24" s="368"/>
      <c r="FJ24" s="368"/>
      <c r="FK24" s="368"/>
      <c r="FL24" s="368"/>
      <c r="FM24" s="368"/>
      <c r="FN24" s="368"/>
      <c r="FO24" s="368"/>
      <c r="FP24" s="368"/>
      <c r="FQ24" s="368"/>
      <c r="FR24" s="368"/>
      <c r="FS24" s="368"/>
      <c r="FT24" s="368"/>
      <c r="FU24" s="368"/>
      <c r="FV24" s="368"/>
      <c r="FW24" s="368"/>
      <c r="FX24" s="368"/>
      <c r="FY24" s="368"/>
      <c r="FZ24" s="368"/>
      <c r="GA24" s="368"/>
      <c r="GB24" s="368"/>
      <c r="GC24" s="368"/>
      <c r="GD24" s="368"/>
      <c r="GE24" s="368"/>
      <c r="GF24" s="368"/>
      <c r="GG24" s="368"/>
      <c r="GH24" s="368"/>
      <c r="GI24" s="368"/>
      <c r="GJ24" s="368"/>
      <c r="GK24" s="368"/>
      <c r="GL24" s="368"/>
      <c r="GM24" s="368"/>
      <c r="GN24" s="368"/>
      <c r="GO24" s="368"/>
      <c r="GP24" s="368"/>
      <c r="GQ24" s="368"/>
      <c r="GR24" s="368"/>
      <c r="GS24" s="368"/>
      <c r="GT24" s="368"/>
      <c r="GU24" s="368"/>
      <c r="GV24" s="368"/>
      <c r="GW24" s="368"/>
      <c r="GX24" s="368"/>
      <c r="GY24" s="368"/>
      <c r="GZ24" s="368"/>
      <c r="HA24" s="368"/>
      <c r="HB24" s="368"/>
      <c r="HC24" s="368"/>
      <c r="HD24" s="368"/>
      <c r="HE24" s="368"/>
      <c r="HF24" s="368"/>
      <c r="HG24" s="368"/>
      <c r="HH24" s="368"/>
      <c r="HI24" s="368"/>
      <c r="HJ24" s="368"/>
      <c r="HK24" s="368"/>
      <c r="HL24" s="368"/>
      <c r="HM24" s="368"/>
      <c r="HN24" s="368"/>
      <c r="HO24" s="368"/>
      <c r="HP24" s="368"/>
    </row>
    <row r="25" spans="2:224">
      <c r="B25" s="368">
        <f t="shared" si="0"/>
        <v>16</v>
      </c>
      <c r="C25" s="384"/>
      <c r="D25" s="384"/>
      <c r="E25" s="384"/>
      <c r="F25" s="385"/>
      <c r="G25" s="368"/>
      <c r="H25" s="368"/>
      <c r="I25" s="368"/>
      <c r="J25" s="368"/>
      <c r="K25" s="368"/>
      <c r="L25" s="368"/>
      <c r="M25" s="368"/>
      <c r="N25" s="368"/>
      <c r="O25" s="368"/>
      <c r="P25" s="368"/>
      <c r="Q25" s="368"/>
      <c r="R25" s="368"/>
      <c r="S25" s="368"/>
      <c r="T25" s="368"/>
      <c r="U25" s="368"/>
      <c r="V25" s="368"/>
      <c r="W25" s="368"/>
      <c r="X25" s="368"/>
      <c r="Y25" s="368"/>
      <c r="Z25" s="368"/>
      <c r="AA25" s="368"/>
      <c r="AB25" s="368"/>
      <c r="AC25" s="368"/>
      <c r="AD25" s="368"/>
      <c r="AE25" s="368"/>
      <c r="AF25" s="368"/>
      <c r="AG25" s="368"/>
      <c r="AH25" s="368"/>
      <c r="AI25" s="368"/>
      <c r="AJ25" s="368"/>
      <c r="AK25" s="368"/>
      <c r="AL25" s="368"/>
      <c r="AM25" s="368"/>
      <c r="AN25" s="368"/>
      <c r="AO25" s="368"/>
      <c r="AP25" s="368"/>
      <c r="AQ25" s="368"/>
      <c r="AR25" s="368"/>
      <c r="AS25" s="368"/>
      <c r="AT25" s="368"/>
      <c r="AU25" s="368"/>
      <c r="AV25" s="368"/>
      <c r="AW25" s="368"/>
      <c r="AX25" s="368"/>
      <c r="AY25" s="368"/>
      <c r="AZ25" s="368"/>
      <c r="BA25" s="368"/>
      <c r="BB25" s="368"/>
      <c r="BC25" s="368"/>
      <c r="BD25" s="368"/>
      <c r="BE25" s="368"/>
      <c r="BF25" s="368"/>
      <c r="BG25" s="368"/>
      <c r="BH25" s="368"/>
      <c r="BI25" s="368"/>
      <c r="BJ25" s="368"/>
      <c r="BK25" s="368"/>
      <c r="BL25" s="368"/>
      <c r="BM25" s="368"/>
      <c r="BN25" s="368"/>
      <c r="BO25" s="368"/>
      <c r="BP25" s="368"/>
      <c r="BQ25" s="368"/>
      <c r="BR25" s="368"/>
      <c r="BS25" s="368"/>
      <c r="BT25" s="368"/>
      <c r="BU25" s="368"/>
      <c r="BV25" s="368"/>
      <c r="BW25" s="368"/>
      <c r="BX25" s="368"/>
      <c r="BY25" s="368"/>
      <c r="BZ25" s="368"/>
      <c r="CA25" s="368"/>
      <c r="CB25" s="368"/>
      <c r="CC25" s="368"/>
      <c r="CD25" s="368"/>
      <c r="CE25" s="368"/>
      <c r="CF25" s="368"/>
      <c r="CG25" s="368"/>
      <c r="CH25" s="368"/>
      <c r="CI25" s="368"/>
      <c r="CJ25" s="368"/>
      <c r="CK25" s="368"/>
      <c r="CL25" s="368"/>
      <c r="CM25" s="368"/>
      <c r="CN25" s="368"/>
      <c r="CO25" s="368"/>
      <c r="CP25" s="368"/>
      <c r="CQ25" s="368"/>
      <c r="CR25" s="368"/>
      <c r="CS25" s="368"/>
      <c r="CT25" s="368"/>
      <c r="CU25" s="368"/>
      <c r="CV25" s="368"/>
      <c r="CW25" s="368"/>
      <c r="CX25" s="368"/>
      <c r="CY25" s="368"/>
      <c r="CZ25" s="368"/>
      <c r="DA25" s="368"/>
      <c r="DB25" s="368"/>
      <c r="DC25" s="368"/>
      <c r="DD25" s="368"/>
      <c r="DE25" s="368"/>
      <c r="DF25" s="368"/>
      <c r="DG25" s="368"/>
      <c r="DH25" s="368"/>
      <c r="DI25" s="368"/>
      <c r="DJ25" s="368"/>
      <c r="DK25" s="368"/>
      <c r="DL25" s="368"/>
      <c r="DM25" s="368"/>
      <c r="DN25" s="368"/>
      <c r="DO25" s="368"/>
      <c r="DP25" s="368"/>
      <c r="DQ25" s="368"/>
      <c r="DR25" s="368"/>
      <c r="DS25" s="368"/>
      <c r="DT25" s="368"/>
      <c r="DU25" s="368"/>
      <c r="DV25" s="368"/>
      <c r="DW25" s="368"/>
      <c r="DX25" s="368"/>
      <c r="DY25" s="368"/>
      <c r="DZ25" s="368"/>
      <c r="EA25" s="368"/>
      <c r="EB25" s="368"/>
      <c r="EC25" s="368"/>
      <c r="ED25" s="368"/>
      <c r="EE25" s="368"/>
      <c r="EF25" s="368"/>
      <c r="EG25" s="368"/>
      <c r="EH25" s="368"/>
      <c r="EI25" s="368"/>
      <c r="EJ25" s="368"/>
      <c r="EK25" s="368"/>
      <c r="EL25" s="368"/>
      <c r="EM25" s="368"/>
      <c r="EN25" s="368"/>
      <c r="EO25" s="368"/>
      <c r="EP25" s="368"/>
      <c r="EQ25" s="368"/>
      <c r="ER25" s="368"/>
      <c r="ES25" s="368"/>
      <c r="ET25" s="368"/>
      <c r="EU25" s="368"/>
      <c r="EV25" s="368"/>
      <c r="EW25" s="368"/>
      <c r="EX25" s="368"/>
      <c r="EY25" s="368"/>
      <c r="EZ25" s="368"/>
      <c r="FA25" s="368"/>
      <c r="FB25" s="368"/>
      <c r="FC25" s="368"/>
      <c r="FD25" s="368"/>
      <c r="FE25" s="368"/>
      <c r="FF25" s="368"/>
      <c r="FG25" s="368"/>
      <c r="FH25" s="368"/>
      <c r="FI25" s="368"/>
      <c r="FJ25" s="368"/>
      <c r="FK25" s="368"/>
      <c r="FL25" s="368"/>
      <c r="FM25" s="368"/>
      <c r="FN25" s="368"/>
      <c r="FO25" s="368"/>
      <c r="FP25" s="368"/>
      <c r="FQ25" s="368"/>
      <c r="FR25" s="368"/>
      <c r="FS25" s="368"/>
      <c r="FT25" s="368"/>
      <c r="FU25" s="368"/>
      <c r="FV25" s="368"/>
      <c r="FW25" s="368"/>
      <c r="FX25" s="368"/>
      <c r="FY25" s="368"/>
      <c r="FZ25" s="368"/>
      <c r="GA25" s="368"/>
      <c r="GB25" s="368"/>
      <c r="GC25" s="368"/>
      <c r="GD25" s="368"/>
      <c r="GE25" s="368"/>
      <c r="GF25" s="368"/>
      <c r="GG25" s="368"/>
      <c r="GH25" s="368"/>
      <c r="GI25" s="368"/>
      <c r="GJ25" s="368"/>
      <c r="GK25" s="368"/>
      <c r="GL25" s="368"/>
      <c r="GM25" s="368"/>
      <c r="GN25" s="368"/>
      <c r="GO25" s="368"/>
      <c r="GP25" s="368"/>
      <c r="GQ25" s="368"/>
      <c r="GR25" s="368"/>
      <c r="GS25" s="368"/>
      <c r="GT25" s="368"/>
      <c r="GU25" s="368"/>
      <c r="GV25" s="368"/>
      <c r="GW25" s="368"/>
      <c r="GX25" s="368"/>
      <c r="GY25" s="368"/>
      <c r="GZ25" s="368"/>
      <c r="HA25" s="368"/>
      <c r="HB25" s="368"/>
      <c r="HC25" s="368"/>
      <c r="HD25" s="368"/>
      <c r="HE25" s="368"/>
      <c r="HF25" s="368"/>
      <c r="HG25" s="368"/>
      <c r="HH25" s="368"/>
      <c r="HI25" s="368"/>
      <c r="HJ25" s="368"/>
      <c r="HK25" s="368"/>
      <c r="HL25" s="368"/>
      <c r="HM25" s="368"/>
      <c r="HN25" s="368"/>
      <c r="HO25" s="368"/>
      <c r="HP25" s="368"/>
    </row>
    <row r="26" spans="2:224">
      <c r="B26" s="368">
        <f t="shared" si="0"/>
        <v>17</v>
      </c>
      <c r="C26" s="384"/>
      <c r="D26" s="384"/>
      <c r="E26" s="384"/>
      <c r="F26" s="385"/>
      <c r="G26" s="368"/>
      <c r="H26" s="368"/>
      <c r="I26" s="368"/>
      <c r="J26" s="368"/>
      <c r="K26" s="368"/>
      <c r="L26" s="368"/>
      <c r="M26" s="368"/>
      <c r="N26" s="368"/>
      <c r="O26" s="368"/>
      <c r="P26" s="368"/>
      <c r="Q26" s="368"/>
      <c r="R26" s="368"/>
      <c r="S26" s="368"/>
      <c r="T26" s="368"/>
      <c r="U26" s="368"/>
      <c r="V26" s="368"/>
      <c r="W26" s="368"/>
      <c r="X26" s="368"/>
      <c r="Y26" s="368"/>
      <c r="Z26" s="368"/>
      <c r="AA26" s="368"/>
      <c r="AB26" s="368"/>
      <c r="AC26" s="368"/>
      <c r="AD26" s="368"/>
      <c r="AE26" s="368"/>
      <c r="AF26" s="368"/>
      <c r="AG26" s="368"/>
      <c r="AH26" s="368"/>
      <c r="AI26" s="368"/>
      <c r="AJ26" s="368"/>
      <c r="AK26" s="368"/>
      <c r="AL26" s="368"/>
      <c r="AM26" s="368"/>
      <c r="AN26" s="368"/>
      <c r="AO26" s="368"/>
      <c r="AP26" s="368"/>
      <c r="AQ26" s="368"/>
      <c r="AR26" s="368"/>
      <c r="AS26" s="368"/>
      <c r="AT26" s="368"/>
      <c r="AU26" s="368"/>
      <c r="AV26" s="368"/>
      <c r="AW26" s="368"/>
      <c r="AX26" s="368"/>
      <c r="AY26" s="368"/>
      <c r="AZ26" s="368"/>
      <c r="BA26" s="368"/>
      <c r="BB26" s="368"/>
      <c r="BC26" s="368"/>
      <c r="BD26" s="368"/>
      <c r="BE26" s="368"/>
      <c r="BF26" s="368"/>
      <c r="BG26" s="368"/>
      <c r="BH26" s="368"/>
      <c r="BI26" s="368"/>
      <c r="BJ26" s="368"/>
      <c r="BK26" s="368"/>
      <c r="BL26" s="368"/>
      <c r="BM26" s="368"/>
      <c r="BN26" s="368"/>
      <c r="BO26" s="368"/>
      <c r="BP26" s="368"/>
      <c r="BQ26" s="368"/>
      <c r="BR26" s="368"/>
      <c r="BS26" s="368"/>
      <c r="BT26" s="368"/>
      <c r="BU26" s="368"/>
      <c r="BV26" s="368"/>
      <c r="BW26" s="368"/>
      <c r="BX26" s="368"/>
      <c r="BY26" s="368"/>
      <c r="BZ26" s="368"/>
      <c r="CA26" s="368"/>
      <c r="CB26" s="368"/>
      <c r="CC26" s="368"/>
      <c r="CD26" s="368"/>
      <c r="CE26" s="368"/>
      <c r="CF26" s="368"/>
      <c r="CG26" s="368"/>
      <c r="CH26" s="368"/>
      <c r="CI26" s="368"/>
      <c r="CJ26" s="368"/>
      <c r="CK26" s="368"/>
      <c r="CL26" s="368"/>
      <c r="CM26" s="368"/>
      <c r="CN26" s="368"/>
      <c r="CO26" s="368"/>
      <c r="CP26" s="368"/>
      <c r="CQ26" s="368"/>
      <c r="CR26" s="368"/>
      <c r="CS26" s="368"/>
      <c r="CT26" s="368"/>
      <c r="CU26" s="368"/>
      <c r="CV26" s="368"/>
      <c r="CW26" s="368"/>
      <c r="CX26" s="368"/>
      <c r="CY26" s="368"/>
      <c r="CZ26" s="368"/>
      <c r="DA26" s="368"/>
      <c r="DB26" s="368"/>
      <c r="DC26" s="368"/>
      <c r="DD26" s="368"/>
      <c r="DE26" s="368"/>
      <c r="DF26" s="368"/>
      <c r="DG26" s="368"/>
      <c r="DH26" s="368"/>
      <c r="DI26" s="368"/>
      <c r="DJ26" s="368"/>
      <c r="DK26" s="368"/>
      <c r="DL26" s="368"/>
      <c r="DM26" s="368"/>
      <c r="DN26" s="368"/>
      <c r="DO26" s="368"/>
      <c r="DP26" s="368"/>
      <c r="DQ26" s="368"/>
      <c r="DR26" s="368"/>
      <c r="DS26" s="368"/>
      <c r="DT26" s="368"/>
      <c r="DU26" s="368"/>
      <c r="DV26" s="368"/>
      <c r="DW26" s="368"/>
      <c r="DX26" s="368"/>
      <c r="DY26" s="368"/>
      <c r="DZ26" s="368"/>
      <c r="EA26" s="368"/>
      <c r="EB26" s="368"/>
      <c r="EC26" s="368"/>
      <c r="ED26" s="368"/>
      <c r="EE26" s="368"/>
      <c r="EF26" s="368"/>
      <c r="EG26" s="368"/>
      <c r="EH26" s="368"/>
      <c r="EI26" s="368"/>
      <c r="EJ26" s="368"/>
      <c r="EK26" s="368"/>
      <c r="EL26" s="368"/>
      <c r="EM26" s="368"/>
      <c r="EN26" s="368"/>
      <c r="EO26" s="368"/>
      <c r="EP26" s="368"/>
      <c r="EQ26" s="368"/>
      <c r="ER26" s="368"/>
      <c r="ES26" s="368"/>
      <c r="ET26" s="368"/>
      <c r="EU26" s="368"/>
      <c r="EV26" s="368"/>
      <c r="EW26" s="368"/>
      <c r="EX26" s="368"/>
      <c r="EY26" s="368"/>
      <c r="EZ26" s="368"/>
      <c r="FA26" s="368"/>
      <c r="FB26" s="368"/>
      <c r="FC26" s="368"/>
      <c r="FD26" s="368"/>
      <c r="FE26" s="368"/>
      <c r="FF26" s="368"/>
      <c r="FG26" s="368"/>
      <c r="FH26" s="368"/>
      <c r="FI26" s="368"/>
      <c r="FJ26" s="368"/>
      <c r="FK26" s="368"/>
      <c r="FL26" s="368"/>
      <c r="FM26" s="368"/>
      <c r="FN26" s="368"/>
      <c r="FO26" s="368"/>
      <c r="FP26" s="368"/>
      <c r="FQ26" s="368"/>
      <c r="FR26" s="368"/>
      <c r="FS26" s="368"/>
      <c r="FT26" s="368"/>
      <c r="FU26" s="368"/>
      <c r="FV26" s="368"/>
      <c r="FW26" s="368"/>
      <c r="FX26" s="368"/>
      <c r="FY26" s="368"/>
      <c r="FZ26" s="368"/>
      <c r="GA26" s="368"/>
      <c r="GB26" s="368"/>
      <c r="GC26" s="368"/>
      <c r="GD26" s="368"/>
      <c r="GE26" s="368"/>
      <c r="GF26" s="368"/>
      <c r="GG26" s="368"/>
      <c r="GH26" s="368"/>
      <c r="GI26" s="368"/>
      <c r="GJ26" s="368"/>
      <c r="GK26" s="368"/>
      <c r="GL26" s="368"/>
      <c r="GM26" s="368"/>
      <c r="GN26" s="368"/>
      <c r="GO26" s="368"/>
      <c r="GP26" s="368"/>
      <c r="GQ26" s="368"/>
      <c r="GR26" s="368"/>
      <c r="GS26" s="368"/>
      <c r="GT26" s="368"/>
      <c r="GU26" s="368"/>
      <c r="GV26" s="368"/>
      <c r="GW26" s="368"/>
      <c r="GX26" s="368"/>
      <c r="GY26" s="368"/>
      <c r="GZ26" s="368"/>
      <c r="HA26" s="368"/>
      <c r="HB26" s="368"/>
      <c r="HC26" s="368"/>
      <c r="HD26" s="368"/>
      <c r="HE26" s="368"/>
      <c r="HF26" s="368"/>
      <c r="HG26" s="368"/>
      <c r="HH26" s="368"/>
      <c r="HI26" s="368"/>
      <c r="HJ26" s="368"/>
      <c r="HK26" s="368"/>
      <c r="HL26" s="368"/>
      <c r="HM26" s="368"/>
      <c r="HN26" s="368"/>
      <c r="HO26" s="368"/>
      <c r="HP26" s="368"/>
    </row>
    <row r="27" spans="2:224">
      <c r="B27" s="368">
        <f t="shared" si="0"/>
        <v>18</v>
      </c>
      <c r="C27" s="384"/>
      <c r="D27" s="384"/>
      <c r="E27" s="384"/>
      <c r="F27" s="385"/>
      <c r="G27" s="368"/>
      <c r="H27" s="368"/>
      <c r="I27" s="368"/>
      <c r="J27" s="368"/>
      <c r="K27" s="368"/>
      <c r="L27" s="368"/>
      <c r="M27" s="368"/>
      <c r="N27" s="368"/>
      <c r="O27" s="368"/>
      <c r="P27" s="368"/>
      <c r="Q27" s="368"/>
      <c r="R27" s="368"/>
      <c r="S27" s="368"/>
      <c r="T27" s="368"/>
      <c r="U27" s="368"/>
      <c r="V27" s="368"/>
      <c r="W27" s="368"/>
      <c r="X27" s="368"/>
      <c r="Y27" s="368"/>
      <c r="Z27" s="368"/>
      <c r="AA27" s="368"/>
      <c r="AB27" s="368"/>
      <c r="AC27" s="368"/>
      <c r="AD27" s="368"/>
      <c r="AE27" s="368"/>
      <c r="AF27" s="368"/>
      <c r="AG27" s="368"/>
      <c r="AH27" s="368"/>
      <c r="AI27" s="368"/>
      <c r="AJ27" s="368"/>
      <c r="AK27" s="368"/>
      <c r="AL27" s="368"/>
      <c r="AM27" s="368"/>
      <c r="AN27" s="368"/>
      <c r="AO27" s="368"/>
      <c r="AP27" s="368"/>
      <c r="AQ27" s="368"/>
      <c r="AR27" s="368"/>
      <c r="AS27" s="368"/>
      <c r="AT27" s="368"/>
      <c r="AU27" s="368"/>
      <c r="AV27" s="368"/>
      <c r="AW27" s="368"/>
      <c r="AX27" s="368"/>
      <c r="AY27" s="368"/>
      <c r="AZ27" s="368"/>
      <c r="BA27" s="368"/>
      <c r="BB27" s="368"/>
      <c r="BC27" s="368"/>
      <c r="BD27" s="368"/>
      <c r="BE27" s="368"/>
      <c r="BF27" s="368"/>
      <c r="BG27" s="368"/>
      <c r="BH27" s="368"/>
      <c r="BI27" s="368"/>
      <c r="BJ27" s="368"/>
      <c r="BK27" s="368"/>
      <c r="BL27" s="368"/>
      <c r="BM27" s="368"/>
      <c r="BN27" s="368"/>
      <c r="BO27" s="368"/>
      <c r="BP27" s="368"/>
      <c r="BQ27" s="368"/>
      <c r="BR27" s="368"/>
      <c r="BS27" s="368"/>
      <c r="BT27" s="368"/>
      <c r="BU27" s="368"/>
      <c r="BV27" s="368"/>
      <c r="BW27" s="368"/>
      <c r="BX27" s="368"/>
      <c r="BY27" s="368"/>
      <c r="BZ27" s="368"/>
      <c r="CA27" s="368"/>
      <c r="CB27" s="368"/>
      <c r="CC27" s="368"/>
      <c r="CD27" s="368"/>
      <c r="CE27" s="368"/>
      <c r="CF27" s="368"/>
      <c r="CG27" s="368"/>
      <c r="CH27" s="368"/>
      <c r="CI27" s="368"/>
      <c r="CJ27" s="368"/>
      <c r="CK27" s="368"/>
      <c r="CL27" s="368"/>
      <c r="CM27" s="368"/>
      <c r="CN27" s="368"/>
      <c r="CO27" s="368"/>
      <c r="CP27" s="368"/>
      <c r="CQ27" s="368"/>
      <c r="CR27" s="368"/>
      <c r="CS27" s="368"/>
      <c r="CT27" s="368"/>
      <c r="CU27" s="368"/>
      <c r="CV27" s="368"/>
      <c r="CW27" s="368"/>
      <c r="CX27" s="368"/>
      <c r="CY27" s="368"/>
      <c r="CZ27" s="368"/>
      <c r="DA27" s="368"/>
      <c r="DB27" s="368"/>
      <c r="DC27" s="368"/>
      <c r="DD27" s="368"/>
      <c r="DE27" s="368"/>
      <c r="DF27" s="368"/>
      <c r="DG27" s="368"/>
      <c r="DH27" s="368"/>
      <c r="DI27" s="368"/>
      <c r="DJ27" s="368"/>
      <c r="DK27" s="368"/>
      <c r="DL27" s="368"/>
      <c r="DM27" s="368"/>
      <c r="DN27" s="368"/>
      <c r="DO27" s="368"/>
      <c r="DP27" s="368"/>
      <c r="DQ27" s="368"/>
      <c r="DR27" s="368"/>
      <c r="DS27" s="368"/>
      <c r="DT27" s="368"/>
      <c r="DU27" s="368"/>
      <c r="DV27" s="368"/>
      <c r="DW27" s="368"/>
      <c r="DX27" s="368"/>
      <c r="DY27" s="368"/>
      <c r="DZ27" s="368"/>
      <c r="EA27" s="368"/>
      <c r="EB27" s="368"/>
      <c r="EC27" s="368"/>
      <c r="ED27" s="368"/>
      <c r="EE27" s="368"/>
      <c r="EF27" s="368"/>
      <c r="EG27" s="368"/>
      <c r="EH27" s="368"/>
      <c r="EI27" s="368"/>
      <c r="EJ27" s="368"/>
      <c r="EK27" s="368"/>
      <c r="EL27" s="368"/>
      <c r="EM27" s="368"/>
      <c r="EN27" s="368"/>
      <c r="EO27" s="368"/>
      <c r="EP27" s="368"/>
      <c r="EQ27" s="368"/>
      <c r="ER27" s="368"/>
      <c r="ES27" s="368"/>
      <c r="ET27" s="368"/>
      <c r="EU27" s="368"/>
      <c r="EV27" s="368"/>
      <c r="EW27" s="368"/>
      <c r="EX27" s="368"/>
      <c r="EY27" s="368"/>
      <c r="EZ27" s="368"/>
      <c r="FA27" s="368"/>
      <c r="FB27" s="368"/>
      <c r="FC27" s="368"/>
      <c r="FD27" s="368"/>
      <c r="FE27" s="368"/>
      <c r="FF27" s="368"/>
      <c r="FG27" s="368"/>
      <c r="FH27" s="368"/>
      <c r="FI27" s="368"/>
      <c r="FJ27" s="368"/>
      <c r="FK27" s="368"/>
      <c r="FL27" s="368"/>
      <c r="FM27" s="368"/>
      <c r="FN27" s="368"/>
      <c r="FO27" s="368"/>
      <c r="FP27" s="368"/>
      <c r="FQ27" s="368"/>
      <c r="FR27" s="368"/>
      <c r="FS27" s="368"/>
      <c r="FT27" s="368"/>
      <c r="FU27" s="368"/>
      <c r="FV27" s="368"/>
      <c r="FW27" s="368"/>
      <c r="FX27" s="368"/>
      <c r="FY27" s="368"/>
      <c r="FZ27" s="368"/>
      <c r="GA27" s="368"/>
      <c r="GB27" s="368"/>
      <c r="GC27" s="368"/>
      <c r="GD27" s="368"/>
      <c r="GE27" s="368"/>
      <c r="GF27" s="368"/>
      <c r="GG27" s="368"/>
      <c r="GH27" s="368"/>
      <c r="GI27" s="368"/>
      <c r="GJ27" s="368"/>
      <c r="GK27" s="368"/>
      <c r="GL27" s="368"/>
      <c r="GM27" s="368"/>
      <c r="GN27" s="368"/>
      <c r="GO27" s="368"/>
      <c r="GP27" s="368"/>
      <c r="GQ27" s="368"/>
      <c r="GR27" s="368"/>
      <c r="GS27" s="368"/>
      <c r="GT27" s="368"/>
      <c r="GU27" s="368"/>
      <c r="GV27" s="368"/>
      <c r="GW27" s="368"/>
      <c r="GX27" s="368"/>
      <c r="GY27" s="368"/>
      <c r="GZ27" s="368"/>
      <c r="HA27" s="368"/>
      <c r="HB27" s="368"/>
      <c r="HC27" s="368"/>
      <c r="HD27" s="368"/>
      <c r="HE27" s="368"/>
      <c r="HF27" s="368"/>
      <c r="HG27" s="368"/>
      <c r="HH27" s="368"/>
      <c r="HI27" s="368"/>
      <c r="HJ27" s="368"/>
      <c r="HK27" s="368"/>
      <c r="HL27" s="368"/>
      <c r="HM27" s="368"/>
      <c r="HN27" s="368"/>
      <c r="HO27" s="368"/>
      <c r="HP27" s="368"/>
    </row>
    <row r="28" spans="2:224">
      <c r="B28" s="368">
        <f t="shared" si="0"/>
        <v>19</v>
      </c>
      <c r="C28" s="384"/>
      <c r="D28" s="384"/>
      <c r="E28" s="384"/>
      <c r="F28" s="385"/>
      <c r="G28" s="368"/>
      <c r="H28" s="368"/>
      <c r="I28" s="368"/>
      <c r="J28" s="368"/>
      <c r="K28" s="368"/>
      <c r="L28" s="368"/>
      <c r="M28" s="368"/>
      <c r="N28" s="368"/>
      <c r="O28" s="368"/>
      <c r="P28" s="368"/>
      <c r="Q28" s="368"/>
      <c r="R28" s="368"/>
      <c r="S28" s="368"/>
      <c r="T28" s="368"/>
      <c r="U28" s="368"/>
      <c r="V28" s="368"/>
      <c r="W28" s="368"/>
      <c r="X28" s="368"/>
      <c r="Y28" s="368"/>
      <c r="Z28" s="368"/>
      <c r="AA28" s="368"/>
      <c r="AB28" s="368"/>
      <c r="AC28" s="368"/>
      <c r="AD28" s="368"/>
      <c r="AE28" s="368"/>
      <c r="AF28" s="368"/>
      <c r="AG28" s="368"/>
      <c r="AH28" s="368"/>
      <c r="AI28" s="368"/>
      <c r="AJ28" s="368"/>
      <c r="AK28" s="368"/>
      <c r="AL28" s="368"/>
      <c r="AM28" s="368"/>
      <c r="AN28" s="368"/>
      <c r="AO28" s="368"/>
      <c r="AP28" s="368"/>
      <c r="AQ28" s="368"/>
      <c r="AR28" s="368"/>
      <c r="AS28" s="368"/>
      <c r="AT28" s="368"/>
      <c r="AU28" s="368"/>
      <c r="AV28" s="368"/>
      <c r="AW28" s="368"/>
      <c r="AX28" s="368"/>
      <c r="AY28" s="368"/>
      <c r="AZ28" s="368"/>
      <c r="BA28" s="368"/>
      <c r="BB28" s="368"/>
      <c r="BC28" s="368"/>
      <c r="BD28" s="368"/>
      <c r="BE28" s="368"/>
      <c r="BF28" s="368"/>
      <c r="BG28" s="368"/>
      <c r="BH28" s="368"/>
      <c r="BI28" s="368"/>
      <c r="BJ28" s="368"/>
      <c r="BK28" s="368"/>
      <c r="BL28" s="368"/>
      <c r="BM28" s="368"/>
      <c r="BN28" s="368"/>
      <c r="BO28" s="368"/>
      <c r="BP28" s="368"/>
      <c r="BQ28" s="368"/>
      <c r="BR28" s="368"/>
      <c r="BS28" s="368"/>
      <c r="BT28" s="368"/>
      <c r="BU28" s="368"/>
      <c r="BV28" s="368"/>
      <c r="BW28" s="368"/>
      <c r="BX28" s="368"/>
      <c r="BY28" s="368"/>
      <c r="BZ28" s="368"/>
      <c r="CA28" s="368"/>
      <c r="CB28" s="368"/>
      <c r="CC28" s="368"/>
      <c r="CD28" s="368"/>
      <c r="CE28" s="368"/>
      <c r="CF28" s="368"/>
      <c r="CG28" s="368"/>
      <c r="CH28" s="368"/>
      <c r="CI28" s="368"/>
      <c r="CJ28" s="368"/>
      <c r="CK28" s="368"/>
      <c r="CL28" s="368"/>
      <c r="CM28" s="368"/>
      <c r="CN28" s="368"/>
      <c r="CO28" s="368"/>
      <c r="CP28" s="368"/>
      <c r="CQ28" s="368"/>
      <c r="CR28" s="368"/>
      <c r="CS28" s="368"/>
      <c r="CT28" s="368"/>
      <c r="CU28" s="368"/>
      <c r="CV28" s="368"/>
      <c r="CW28" s="368"/>
      <c r="CX28" s="368"/>
      <c r="CY28" s="368"/>
      <c r="CZ28" s="368"/>
      <c r="DA28" s="368"/>
      <c r="DB28" s="368"/>
      <c r="DC28" s="368"/>
      <c r="DD28" s="368"/>
      <c r="DE28" s="368"/>
      <c r="DF28" s="368"/>
      <c r="DG28" s="368"/>
      <c r="DH28" s="368"/>
      <c r="DI28" s="368"/>
      <c r="DJ28" s="368"/>
      <c r="DK28" s="368"/>
      <c r="DL28" s="368"/>
      <c r="DM28" s="368"/>
      <c r="DN28" s="368"/>
      <c r="DO28" s="368"/>
      <c r="DP28" s="368"/>
      <c r="DQ28" s="368"/>
      <c r="DR28" s="368"/>
      <c r="DS28" s="368"/>
      <c r="DT28" s="368"/>
      <c r="DU28" s="368"/>
      <c r="DV28" s="368"/>
      <c r="DW28" s="368"/>
      <c r="DX28" s="368"/>
      <c r="DY28" s="368"/>
      <c r="DZ28" s="368"/>
      <c r="EA28" s="368"/>
      <c r="EB28" s="368"/>
      <c r="EC28" s="368"/>
      <c r="ED28" s="368"/>
      <c r="EE28" s="368"/>
      <c r="EF28" s="368"/>
      <c r="EG28" s="368"/>
      <c r="EH28" s="368"/>
      <c r="EI28" s="368"/>
      <c r="EJ28" s="368"/>
      <c r="EK28" s="368"/>
      <c r="EL28" s="368"/>
      <c r="EM28" s="368"/>
      <c r="EN28" s="368"/>
      <c r="EO28" s="368"/>
      <c r="EP28" s="368"/>
      <c r="EQ28" s="368"/>
      <c r="ER28" s="368"/>
      <c r="ES28" s="368"/>
      <c r="ET28" s="368"/>
      <c r="EU28" s="368"/>
      <c r="EV28" s="368"/>
      <c r="EW28" s="368"/>
      <c r="EX28" s="368"/>
      <c r="EY28" s="368"/>
      <c r="EZ28" s="368"/>
      <c r="FA28" s="368"/>
      <c r="FB28" s="368"/>
      <c r="FC28" s="368"/>
      <c r="FD28" s="368"/>
      <c r="FE28" s="368"/>
      <c r="FF28" s="368"/>
      <c r="FG28" s="368"/>
      <c r="FH28" s="368"/>
      <c r="FI28" s="368"/>
      <c r="FJ28" s="368"/>
      <c r="FK28" s="368"/>
      <c r="FL28" s="368"/>
      <c r="FM28" s="368"/>
      <c r="FN28" s="368"/>
      <c r="FO28" s="368"/>
      <c r="FP28" s="368"/>
      <c r="FQ28" s="368"/>
      <c r="FR28" s="368"/>
      <c r="FS28" s="368"/>
      <c r="FT28" s="368"/>
      <c r="FU28" s="368"/>
      <c r="FV28" s="368"/>
      <c r="FW28" s="368"/>
      <c r="FX28" s="368"/>
      <c r="FY28" s="368"/>
      <c r="FZ28" s="368"/>
      <c r="GA28" s="368"/>
      <c r="GB28" s="368"/>
      <c r="GC28" s="368"/>
      <c r="GD28" s="368"/>
      <c r="GE28" s="368"/>
      <c r="GF28" s="368"/>
      <c r="GG28" s="368"/>
      <c r="GH28" s="368"/>
      <c r="GI28" s="368"/>
      <c r="GJ28" s="368"/>
      <c r="GK28" s="368"/>
      <c r="GL28" s="368"/>
      <c r="GM28" s="368"/>
      <c r="GN28" s="368"/>
      <c r="GO28" s="368"/>
      <c r="GP28" s="368"/>
      <c r="GQ28" s="368"/>
      <c r="GR28" s="368"/>
      <c r="GS28" s="368"/>
      <c r="GT28" s="368"/>
      <c r="GU28" s="368"/>
      <c r="GV28" s="368"/>
      <c r="GW28" s="368"/>
      <c r="GX28" s="368"/>
      <c r="GY28" s="368"/>
      <c r="GZ28" s="368"/>
      <c r="HA28" s="368"/>
      <c r="HB28" s="368"/>
      <c r="HC28" s="368"/>
      <c r="HD28" s="368"/>
      <c r="HE28" s="368"/>
      <c r="HF28" s="368"/>
      <c r="HG28" s="368"/>
      <c r="HH28" s="368"/>
      <c r="HI28" s="368"/>
      <c r="HJ28" s="368"/>
      <c r="HK28" s="368"/>
      <c r="HL28" s="368"/>
      <c r="HM28" s="368"/>
      <c r="HN28" s="368"/>
      <c r="HO28" s="368"/>
      <c r="HP28" s="368"/>
    </row>
    <row r="29" spans="2:224">
      <c r="B29" s="368">
        <f t="shared" si="0"/>
        <v>20</v>
      </c>
      <c r="C29" s="384"/>
      <c r="D29" s="384"/>
      <c r="E29" s="384"/>
      <c r="F29" s="385"/>
      <c r="G29" s="368"/>
      <c r="H29" s="368"/>
      <c r="I29" s="368"/>
      <c r="J29" s="368"/>
      <c r="K29" s="368"/>
      <c r="L29" s="368"/>
      <c r="M29" s="368"/>
      <c r="N29" s="368"/>
      <c r="O29" s="368"/>
      <c r="P29" s="368"/>
      <c r="Q29" s="368"/>
      <c r="R29" s="368"/>
      <c r="S29" s="368"/>
      <c r="T29" s="368"/>
      <c r="U29" s="368"/>
      <c r="V29" s="368"/>
      <c r="W29" s="368"/>
      <c r="X29" s="368"/>
      <c r="Y29" s="368"/>
      <c r="Z29" s="368"/>
      <c r="AA29" s="368"/>
      <c r="AB29" s="368"/>
      <c r="AC29" s="368"/>
      <c r="AD29" s="368"/>
      <c r="AE29" s="368"/>
      <c r="AF29" s="368"/>
      <c r="AG29" s="368"/>
      <c r="AH29" s="368"/>
      <c r="AI29" s="368"/>
      <c r="AJ29" s="368"/>
      <c r="AK29" s="368"/>
      <c r="AL29" s="368"/>
      <c r="AM29" s="368"/>
      <c r="AN29" s="368"/>
      <c r="AO29" s="368"/>
      <c r="AP29" s="368"/>
      <c r="AQ29" s="368"/>
      <c r="AR29" s="368"/>
      <c r="AS29" s="368"/>
      <c r="AT29" s="368"/>
      <c r="AU29" s="368"/>
      <c r="AV29" s="368"/>
      <c r="AW29" s="368"/>
      <c r="AX29" s="368"/>
      <c r="AY29" s="368"/>
      <c r="AZ29" s="368"/>
      <c r="BA29" s="368"/>
      <c r="BB29" s="368"/>
      <c r="BC29" s="368"/>
      <c r="BD29" s="368"/>
      <c r="BE29" s="368"/>
      <c r="BF29" s="368"/>
      <c r="BG29" s="368"/>
      <c r="BH29" s="368"/>
      <c r="BI29" s="368"/>
      <c r="BJ29" s="368"/>
      <c r="BK29" s="368"/>
      <c r="BL29" s="368"/>
      <c r="BM29" s="368"/>
      <c r="BN29" s="368"/>
      <c r="BO29" s="368"/>
      <c r="BP29" s="368"/>
      <c r="BQ29" s="368"/>
      <c r="BR29" s="368"/>
      <c r="BS29" s="368"/>
      <c r="BT29" s="368"/>
      <c r="BU29" s="368"/>
      <c r="BV29" s="368"/>
      <c r="BW29" s="368"/>
      <c r="BX29" s="368"/>
      <c r="BY29" s="368"/>
      <c r="BZ29" s="368"/>
      <c r="CA29" s="368"/>
      <c r="CB29" s="368"/>
      <c r="CC29" s="368"/>
      <c r="CD29" s="368"/>
      <c r="CE29" s="368"/>
      <c r="CF29" s="368"/>
      <c r="CG29" s="368"/>
      <c r="CH29" s="368"/>
      <c r="CI29" s="368"/>
      <c r="CJ29" s="368"/>
      <c r="CK29" s="368"/>
      <c r="CL29" s="368"/>
      <c r="CM29" s="368"/>
      <c r="CN29" s="368"/>
      <c r="CO29" s="368"/>
      <c r="CP29" s="368"/>
      <c r="CQ29" s="368"/>
      <c r="CR29" s="368"/>
      <c r="CS29" s="368"/>
      <c r="CT29" s="368"/>
      <c r="CU29" s="368"/>
      <c r="CV29" s="368"/>
      <c r="CW29" s="368"/>
      <c r="CX29" s="368"/>
      <c r="CY29" s="368"/>
      <c r="CZ29" s="368"/>
      <c r="DA29" s="368"/>
      <c r="DB29" s="368"/>
      <c r="DC29" s="368"/>
      <c r="DD29" s="368"/>
      <c r="DE29" s="368"/>
      <c r="DF29" s="368"/>
      <c r="DG29" s="368"/>
      <c r="DH29" s="368"/>
      <c r="DI29" s="368"/>
      <c r="DJ29" s="368"/>
      <c r="DK29" s="368"/>
      <c r="DL29" s="368"/>
      <c r="DM29" s="368"/>
      <c r="DN29" s="368"/>
      <c r="DO29" s="368"/>
      <c r="DP29" s="368"/>
      <c r="DQ29" s="368"/>
      <c r="DR29" s="368"/>
      <c r="DS29" s="368"/>
      <c r="DT29" s="368"/>
      <c r="DU29" s="368"/>
      <c r="DV29" s="368"/>
      <c r="DW29" s="368"/>
      <c r="DX29" s="368"/>
      <c r="DY29" s="368"/>
      <c r="DZ29" s="368"/>
      <c r="EA29" s="368"/>
      <c r="EB29" s="368"/>
      <c r="EC29" s="368"/>
      <c r="ED29" s="368"/>
      <c r="EE29" s="368"/>
      <c r="EF29" s="368"/>
      <c r="EG29" s="368"/>
      <c r="EH29" s="368"/>
      <c r="EI29" s="368"/>
      <c r="EJ29" s="368"/>
      <c r="EK29" s="368"/>
      <c r="EL29" s="368"/>
      <c r="EM29" s="368"/>
      <c r="EN29" s="368"/>
      <c r="EO29" s="368"/>
      <c r="EP29" s="368"/>
      <c r="EQ29" s="368"/>
      <c r="ER29" s="368"/>
      <c r="ES29" s="368"/>
      <c r="ET29" s="368"/>
      <c r="EU29" s="368"/>
      <c r="EV29" s="368"/>
      <c r="EW29" s="368"/>
      <c r="EX29" s="368"/>
      <c r="EY29" s="368"/>
      <c r="EZ29" s="368"/>
      <c r="FA29" s="368"/>
      <c r="FB29" s="368"/>
      <c r="FC29" s="368"/>
      <c r="FD29" s="368"/>
      <c r="FE29" s="368"/>
      <c r="FF29" s="368"/>
      <c r="FG29" s="368"/>
      <c r="FH29" s="368"/>
      <c r="FI29" s="368"/>
      <c r="FJ29" s="368"/>
      <c r="FK29" s="368"/>
      <c r="FL29" s="368"/>
      <c r="FM29" s="368"/>
      <c r="FN29" s="368"/>
      <c r="FO29" s="368"/>
      <c r="FP29" s="368"/>
      <c r="FQ29" s="368"/>
      <c r="FR29" s="368"/>
      <c r="FS29" s="368"/>
      <c r="FT29" s="368"/>
      <c r="FU29" s="368"/>
      <c r="FV29" s="368"/>
      <c r="FW29" s="368"/>
      <c r="FX29" s="368"/>
      <c r="FY29" s="368"/>
      <c r="FZ29" s="368"/>
      <c r="GA29" s="368"/>
      <c r="GB29" s="368"/>
      <c r="GC29" s="368"/>
      <c r="GD29" s="368"/>
      <c r="GE29" s="368"/>
      <c r="GF29" s="368"/>
      <c r="GG29" s="368"/>
      <c r="GH29" s="368"/>
      <c r="GI29" s="368"/>
      <c r="GJ29" s="368"/>
      <c r="GK29" s="368"/>
      <c r="GL29" s="368"/>
      <c r="GM29" s="368"/>
      <c r="GN29" s="368"/>
      <c r="GO29" s="368"/>
      <c r="GP29" s="368"/>
      <c r="GQ29" s="368"/>
      <c r="GR29" s="368"/>
      <c r="GS29" s="368"/>
      <c r="GT29" s="368"/>
      <c r="GU29" s="368"/>
      <c r="GV29" s="368"/>
      <c r="GW29" s="368"/>
      <c r="GX29" s="368"/>
      <c r="GY29" s="368"/>
      <c r="GZ29" s="368"/>
      <c r="HA29" s="368"/>
      <c r="HB29" s="368"/>
      <c r="HC29" s="368"/>
      <c r="HD29" s="368"/>
      <c r="HE29" s="368"/>
      <c r="HF29" s="368"/>
      <c r="HG29" s="368"/>
      <c r="HH29" s="368"/>
      <c r="HI29" s="368"/>
      <c r="HJ29" s="368"/>
      <c r="HK29" s="368"/>
      <c r="HL29" s="368"/>
      <c r="HM29" s="368"/>
      <c r="HN29" s="368"/>
      <c r="HO29" s="368"/>
      <c r="HP29" s="368"/>
    </row>
  </sheetData>
  <sheetProtection insertRows="0" deleteRows="0" sort="0" autoFilter="0"/>
  <mergeCells count="1">
    <mergeCell ref="B4:B8"/>
  </mergeCells>
  <phoneticPr fontId="14"/>
  <hyperlinks>
    <hyperlink ref="A3" location="パラメータ設定一覧!A1" display="パラメータ設定一覧へ" xr:uid="{E23756A4-2142-4BCF-9BD6-0C105D4A182E}"/>
  </hyperlinks>
  <pageMargins left="0.7" right="0.7" top="0.75" bottom="0.75" header="0.3" footer="0.3"/>
  <pageSetup paperSize="9" orientation="portrait" verticalDpi="0"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E1238-698A-4D3A-A773-35B5DA616D53}">
  <sheetPr codeName="Sheet54"/>
  <dimension ref="A1:L35"/>
  <sheetViews>
    <sheetView showGridLines="0" zoomScaleNormal="100" workbookViewId="0">
      <pane xSplit="6" ySplit="5" topLeftCell="G6" activePane="bottomRight" state="frozen"/>
      <selection activeCell="A8" sqref="A8"/>
      <selection pane="topRight" activeCell="A8" sqref="A8"/>
      <selection pane="bottomLeft" activeCell="A8" sqref="A8"/>
      <selection pane="bottomRight" activeCell="G6" sqref="G6"/>
    </sheetView>
  </sheetViews>
  <sheetFormatPr defaultColWidth="8.78515625" defaultRowHeight="13.5"/>
  <cols>
    <col min="1" max="1" width="2.78515625" style="46" customWidth="1"/>
    <col min="2" max="2" width="3.42578125" style="46" customWidth="1"/>
    <col min="3" max="3" width="14" style="46" customWidth="1"/>
    <col min="4" max="4" width="10.2109375" style="46" customWidth="1"/>
    <col min="5" max="5" width="22.5703125" style="46" customWidth="1"/>
    <col min="6" max="7" width="23.42578125" style="46" customWidth="1"/>
    <col min="8" max="8" width="22.2109375" style="46" customWidth="1"/>
    <col min="9" max="9" width="16.2109375" style="46" customWidth="1"/>
    <col min="10" max="10" width="16.5703125" style="46" customWidth="1"/>
    <col min="11" max="11" width="18.2109375" style="46" customWidth="1"/>
    <col min="12" max="12" width="13.2109375" style="46" customWidth="1"/>
    <col min="13" max="16384" width="8.78515625" style="46"/>
  </cols>
  <sheetData>
    <row r="1" spans="1:12" customFormat="1" ht="19.5">
      <c r="A1" s="99" t="s">
        <v>1555</v>
      </c>
    </row>
    <row r="2" spans="1:12" customFormat="1" ht="19.5">
      <c r="A2" s="99"/>
      <c r="B2" t="s">
        <v>1587</v>
      </c>
    </row>
    <row r="3" spans="1:12" customFormat="1" ht="15">
      <c r="B3" t="s">
        <v>1586</v>
      </c>
    </row>
    <row r="4" spans="1:12" customFormat="1" ht="15">
      <c r="A4" s="10" t="s">
        <v>363</v>
      </c>
    </row>
    <row r="5" spans="1:12">
      <c r="B5" s="11" t="s">
        <v>1</v>
      </c>
      <c r="C5" s="12" t="s">
        <v>9</v>
      </c>
      <c r="D5" s="12" t="s">
        <v>10</v>
      </c>
      <c r="E5" s="12" t="s">
        <v>11</v>
      </c>
      <c r="F5" s="13" t="s">
        <v>12</v>
      </c>
      <c r="G5" s="13" t="s">
        <v>498</v>
      </c>
      <c r="H5" s="12" t="s">
        <v>14</v>
      </c>
      <c r="I5" s="12" t="s">
        <v>15</v>
      </c>
      <c r="J5" s="11" t="s">
        <v>16</v>
      </c>
      <c r="K5" s="14" t="s">
        <v>17</v>
      </c>
      <c r="L5" s="14" t="s">
        <v>18</v>
      </c>
    </row>
    <row r="6" spans="1:12">
      <c r="B6" s="15">
        <f t="shared" ref="B6:B35" si="0">ROW() - 5</f>
        <v>1</v>
      </c>
      <c r="C6" s="16" t="s">
        <v>1555</v>
      </c>
      <c r="D6" s="16"/>
      <c r="E6" s="16"/>
      <c r="F6" s="17" t="s">
        <v>19</v>
      </c>
      <c r="G6" s="17"/>
      <c r="H6" s="17" t="s">
        <v>20</v>
      </c>
      <c r="I6" s="17" t="s">
        <v>331</v>
      </c>
      <c r="J6" s="17"/>
      <c r="K6" s="147" t="s">
        <v>2804</v>
      </c>
      <c r="L6" s="3"/>
    </row>
    <row r="7" spans="1:12">
      <c r="B7" s="15">
        <f t="shared" si="0"/>
        <v>2</v>
      </c>
      <c r="C7" s="68"/>
      <c r="D7" s="68"/>
      <c r="E7" s="68"/>
      <c r="F7" s="17" t="s">
        <v>45</v>
      </c>
      <c r="G7" s="17"/>
      <c r="H7" s="17" t="s">
        <v>20</v>
      </c>
      <c r="I7" s="17" t="s">
        <v>21</v>
      </c>
      <c r="J7" s="17"/>
      <c r="K7" s="147" t="s">
        <v>2804</v>
      </c>
      <c r="L7" s="3"/>
    </row>
    <row r="8" spans="1:12">
      <c r="B8" s="15">
        <f t="shared" si="0"/>
        <v>3</v>
      </c>
      <c r="C8" s="68"/>
      <c r="D8" s="68"/>
      <c r="E8" s="68"/>
      <c r="F8" s="17" t="s">
        <v>1585</v>
      </c>
      <c r="G8" s="17"/>
      <c r="H8" s="17" t="s">
        <v>465</v>
      </c>
      <c r="I8" s="17" t="s">
        <v>1575</v>
      </c>
      <c r="J8" s="17"/>
      <c r="K8" s="147" t="s">
        <v>331</v>
      </c>
      <c r="L8" s="3"/>
    </row>
    <row r="9" spans="1:12">
      <c r="B9" s="15">
        <f t="shared" si="0"/>
        <v>4</v>
      </c>
      <c r="C9" s="19"/>
      <c r="D9" s="19"/>
      <c r="E9" s="19"/>
      <c r="F9" s="17" t="s">
        <v>1584</v>
      </c>
      <c r="G9" s="17"/>
      <c r="H9" s="17" t="s">
        <v>465</v>
      </c>
      <c r="I9" s="17" t="s">
        <v>1573</v>
      </c>
      <c r="J9" s="17"/>
      <c r="K9" s="147" t="s">
        <v>331</v>
      </c>
      <c r="L9" s="3"/>
    </row>
    <row r="10" spans="1:12" ht="54">
      <c r="B10" s="15">
        <f t="shared" si="0"/>
        <v>5</v>
      </c>
      <c r="C10" s="16" t="s">
        <v>1583</v>
      </c>
      <c r="D10" s="16" t="s">
        <v>166</v>
      </c>
      <c r="E10" s="16"/>
      <c r="F10" s="17" t="s">
        <v>19</v>
      </c>
      <c r="G10" s="17"/>
      <c r="H10" s="17" t="s">
        <v>20</v>
      </c>
      <c r="I10" s="17" t="s">
        <v>1570</v>
      </c>
      <c r="J10" s="17"/>
      <c r="K10" s="147" t="s">
        <v>2805</v>
      </c>
      <c r="L10" s="3"/>
    </row>
    <row r="11" spans="1:12" ht="27">
      <c r="B11" s="15">
        <f t="shared" si="0"/>
        <v>6</v>
      </c>
      <c r="C11" s="225"/>
      <c r="D11" s="225"/>
      <c r="E11" s="225"/>
      <c r="F11" s="17" t="s">
        <v>1582</v>
      </c>
      <c r="G11" s="17"/>
      <c r="H11" s="17" t="s">
        <v>20</v>
      </c>
      <c r="I11" s="49" t="s">
        <v>331</v>
      </c>
      <c r="J11" s="49"/>
      <c r="K11" s="147" t="s">
        <v>2806</v>
      </c>
      <c r="L11" s="3"/>
    </row>
    <row r="12" spans="1:12" ht="27">
      <c r="B12" s="15">
        <f t="shared" si="0"/>
        <v>7</v>
      </c>
      <c r="C12" s="225"/>
      <c r="D12" s="225"/>
      <c r="E12" s="225"/>
      <c r="F12" s="17" t="s">
        <v>766</v>
      </c>
      <c r="G12" s="17"/>
      <c r="H12" s="17" t="s">
        <v>465</v>
      </c>
      <c r="I12" s="17" t="s">
        <v>57</v>
      </c>
      <c r="J12" s="49"/>
      <c r="K12" s="147" t="s">
        <v>2806</v>
      </c>
      <c r="L12" s="3"/>
    </row>
    <row r="13" spans="1:12" ht="27">
      <c r="B13" s="15">
        <f t="shared" si="0"/>
        <v>8</v>
      </c>
      <c r="C13" s="225"/>
      <c r="D13" s="50"/>
      <c r="E13" s="50"/>
      <c r="F13" s="17" t="s">
        <v>1581</v>
      </c>
      <c r="G13" s="17"/>
      <c r="H13" s="17" t="s">
        <v>465</v>
      </c>
      <c r="I13" s="17" t="s">
        <v>1580</v>
      </c>
      <c r="J13" s="49"/>
      <c r="K13" s="147" t="s">
        <v>2806</v>
      </c>
      <c r="L13" s="3"/>
    </row>
    <row r="14" spans="1:12" ht="27">
      <c r="B14" s="15">
        <f t="shared" si="0"/>
        <v>9</v>
      </c>
      <c r="C14" s="225"/>
      <c r="D14" s="104" t="s">
        <v>23</v>
      </c>
      <c r="E14" s="104"/>
      <c r="F14" s="17" t="s">
        <v>1579</v>
      </c>
      <c r="G14" s="17"/>
      <c r="H14" s="17" t="s">
        <v>465</v>
      </c>
      <c r="I14" s="17" t="s">
        <v>1578</v>
      </c>
      <c r="J14" s="49"/>
      <c r="K14" s="147" t="s">
        <v>2806</v>
      </c>
      <c r="L14" s="3"/>
    </row>
    <row r="15" spans="1:12" ht="27">
      <c r="B15" s="15">
        <f t="shared" si="0"/>
        <v>10</v>
      </c>
      <c r="C15" s="225"/>
      <c r="D15" s="225"/>
      <c r="E15" s="225"/>
      <c r="F15" s="17" t="s">
        <v>1577</v>
      </c>
      <c r="G15" s="17"/>
      <c r="H15" s="17" t="s">
        <v>465</v>
      </c>
      <c r="I15" s="17" t="s">
        <v>1573</v>
      </c>
      <c r="J15" s="49"/>
      <c r="K15" s="147" t="s">
        <v>2806</v>
      </c>
      <c r="L15" s="3"/>
    </row>
    <row r="16" spans="1:12" ht="27">
      <c r="B16" s="15">
        <f t="shared" si="0"/>
        <v>11</v>
      </c>
      <c r="C16" s="225"/>
      <c r="D16" s="225"/>
      <c r="E16" s="225"/>
      <c r="F16" s="17" t="s">
        <v>1576</v>
      </c>
      <c r="G16" s="17"/>
      <c r="H16" s="17" t="s">
        <v>465</v>
      </c>
      <c r="I16" s="17" t="s">
        <v>1575</v>
      </c>
      <c r="J16" s="49"/>
      <c r="K16" s="147" t="s">
        <v>2806</v>
      </c>
      <c r="L16" s="3"/>
    </row>
    <row r="17" spans="2:12" ht="27">
      <c r="B17" s="15">
        <f t="shared" si="0"/>
        <v>12</v>
      </c>
      <c r="C17" s="225"/>
      <c r="D17" s="225"/>
      <c r="E17" s="225"/>
      <c r="F17" s="17" t="s">
        <v>1574</v>
      </c>
      <c r="G17" s="17"/>
      <c r="H17" s="17" t="s">
        <v>465</v>
      </c>
      <c r="I17" s="17" t="s">
        <v>1573</v>
      </c>
      <c r="J17" s="49"/>
      <c r="K17" s="147" t="s">
        <v>2806</v>
      </c>
      <c r="L17" s="3"/>
    </row>
    <row r="18" spans="2:12" ht="27">
      <c r="B18" s="15">
        <f t="shared" si="0"/>
        <v>13</v>
      </c>
      <c r="C18" s="225"/>
      <c r="D18" s="225"/>
      <c r="E18" s="225"/>
      <c r="F18" s="17" t="s">
        <v>1572</v>
      </c>
      <c r="G18" s="17"/>
      <c r="H18" s="17" t="s">
        <v>27</v>
      </c>
      <c r="I18" s="17" t="s">
        <v>28</v>
      </c>
      <c r="J18" s="49"/>
      <c r="K18" s="147" t="s">
        <v>2806</v>
      </c>
      <c r="L18" s="3"/>
    </row>
    <row r="19" spans="2:12" ht="27">
      <c r="B19" s="15">
        <f t="shared" si="0"/>
        <v>14</v>
      </c>
      <c r="C19" s="225"/>
      <c r="D19" s="225"/>
      <c r="E19" s="225"/>
      <c r="F19" s="17" t="s">
        <v>45</v>
      </c>
      <c r="G19" s="17"/>
      <c r="H19" s="17" t="s">
        <v>20</v>
      </c>
      <c r="I19" s="17" t="s">
        <v>331</v>
      </c>
      <c r="J19" s="49"/>
      <c r="K19" s="147" t="s">
        <v>2806</v>
      </c>
      <c r="L19" s="3"/>
    </row>
    <row r="20" spans="2:12" ht="27">
      <c r="B20" s="15">
        <f t="shared" si="0"/>
        <v>15</v>
      </c>
      <c r="C20" s="225"/>
      <c r="D20" s="225"/>
      <c r="E20" s="225"/>
      <c r="F20" s="17" t="s">
        <v>1571</v>
      </c>
      <c r="G20" s="17"/>
      <c r="H20" s="17" t="s">
        <v>20</v>
      </c>
      <c r="I20" s="17" t="s">
        <v>1570</v>
      </c>
      <c r="J20" s="49"/>
      <c r="K20" s="147" t="s">
        <v>2806</v>
      </c>
      <c r="L20" s="3"/>
    </row>
    <row r="21" spans="2:12" ht="27">
      <c r="B21" s="15">
        <f t="shared" si="0"/>
        <v>16</v>
      </c>
      <c r="C21" s="225"/>
      <c r="D21" s="225"/>
      <c r="E21" s="225"/>
      <c r="F21" s="17" t="s">
        <v>1569</v>
      </c>
      <c r="G21" s="17"/>
      <c r="H21" s="17" t="s">
        <v>20</v>
      </c>
      <c r="I21" s="17" t="s">
        <v>331</v>
      </c>
      <c r="J21" s="49"/>
      <c r="K21" s="147" t="s">
        <v>2806</v>
      </c>
      <c r="L21" s="3"/>
    </row>
    <row r="22" spans="2:12" ht="27">
      <c r="B22" s="15">
        <f t="shared" si="0"/>
        <v>17</v>
      </c>
      <c r="C22" s="225"/>
      <c r="D22" s="50"/>
      <c r="E22" s="50"/>
      <c r="F22" s="17" t="s">
        <v>1568</v>
      </c>
      <c r="G22" s="17" t="s">
        <v>1567</v>
      </c>
      <c r="H22" s="17" t="s">
        <v>50</v>
      </c>
      <c r="I22" s="162">
        <v>0</v>
      </c>
      <c r="J22" s="49"/>
      <c r="K22" s="147" t="s">
        <v>2806</v>
      </c>
      <c r="L22" s="3"/>
    </row>
    <row r="23" spans="2:12" ht="27">
      <c r="B23" s="15">
        <f t="shared" si="0"/>
        <v>18</v>
      </c>
      <c r="C23" s="225"/>
      <c r="D23" s="104" t="s">
        <v>239</v>
      </c>
      <c r="E23" s="294"/>
      <c r="F23" s="17" t="s">
        <v>1566</v>
      </c>
      <c r="G23" s="17"/>
      <c r="H23" s="17" t="s">
        <v>351</v>
      </c>
      <c r="I23" s="49" t="s">
        <v>331</v>
      </c>
      <c r="J23" s="49"/>
      <c r="K23" s="147" t="s">
        <v>2806</v>
      </c>
      <c r="L23" s="3"/>
    </row>
    <row r="24" spans="2:12" ht="27">
      <c r="B24" s="15">
        <f t="shared" si="0"/>
        <v>19</v>
      </c>
      <c r="C24" s="225"/>
      <c r="D24" s="225"/>
      <c r="E24" s="225"/>
      <c r="F24" s="17" t="s">
        <v>1565</v>
      </c>
      <c r="G24" s="17"/>
      <c r="H24" s="17" t="s">
        <v>351</v>
      </c>
      <c r="I24" s="49" t="s">
        <v>331</v>
      </c>
      <c r="J24" s="49"/>
      <c r="K24" s="147" t="s">
        <v>2806</v>
      </c>
      <c r="L24" s="3"/>
    </row>
    <row r="25" spans="2:12" ht="27">
      <c r="B25" s="15">
        <f t="shared" si="0"/>
        <v>20</v>
      </c>
      <c r="C25" s="225"/>
      <c r="D25" s="50"/>
      <c r="E25" s="295"/>
      <c r="F25" s="17" t="s">
        <v>1564</v>
      </c>
      <c r="G25" s="17" t="s">
        <v>1563</v>
      </c>
      <c r="H25" s="17" t="s">
        <v>50</v>
      </c>
      <c r="I25" s="162">
        <v>0</v>
      </c>
      <c r="J25" s="49"/>
      <c r="K25" s="147" t="s">
        <v>2806</v>
      </c>
      <c r="L25" s="3"/>
    </row>
    <row r="26" spans="2:12" ht="27">
      <c r="B26" s="15">
        <f t="shared" si="0"/>
        <v>21</v>
      </c>
      <c r="C26" s="225"/>
      <c r="D26" s="104" t="s">
        <v>1562</v>
      </c>
      <c r="E26" s="104"/>
      <c r="F26" s="48" t="s">
        <v>1561</v>
      </c>
      <c r="G26" s="17"/>
      <c r="H26" s="17" t="s">
        <v>27</v>
      </c>
      <c r="I26" s="17" t="s">
        <v>28</v>
      </c>
      <c r="J26" s="49"/>
      <c r="K26" s="147" t="s">
        <v>2806</v>
      </c>
      <c r="L26" s="3"/>
    </row>
    <row r="27" spans="2:12" ht="27">
      <c r="B27" s="15">
        <f t="shared" si="0"/>
        <v>22</v>
      </c>
      <c r="C27" s="225"/>
      <c r="D27" s="225"/>
      <c r="E27" s="225"/>
      <c r="F27" s="17" t="s">
        <v>19</v>
      </c>
      <c r="G27" s="17"/>
      <c r="H27" s="17" t="s">
        <v>351</v>
      </c>
      <c r="I27" s="17" t="s">
        <v>331</v>
      </c>
      <c r="J27" s="49"/>
      <c r="K27" s="147" t="s">
        <v>2806</v>
      </c>
      <c r="L27" s="3"/>
    </row>
    <row r="28" spans="2:12" ht="27">
      <c r="B28" s="15">
        <f t="shared" si="0"/>
        <v>23</v>
      </c>
      <c r="C28" s="225"/>
      <c r="D28" s="225"/>
      <c r="E28" s="225"/>
      <c r="F28" s="17" t="s">
        <v>46</v>
      </c>
      <c r="G28" s="17"/>
      <c r="H28" s="17" t="s">
        <v>351</v>
      </c>
      <c r="I28" s="17" t="s">
        <v>331</v>
      </c>
      <c r="J28" s="49"/>
      <c r="K28" s="147" t="s">
        <v>2806</v>
      </c>
      <c r="L28" s="3"/>
    </row>
    <row r="29" spans="2:12" ht="27">
      <c r="B29" s="15">
        <f t="shared" si="0"/>
        <v>24</v>
      </c>
      <c r="C29" s="225"/>
      <c r="D29" s="225"/>
      <c r="E29" s="225"/>
      <c r="F29" s="17" t="s">
        <v>1560</v>
      </c>
      <c r="G29" s="17"/>
      <c r="H29" s="17" t="s">
        <v>351</v>
      </c>
      <c r="I29" s="17" t="s">
        <v>331</v>
      </c>
      <c r="J29" s="49"/>
      <c r="K29" s="147" t="s">
        <v>2806</v>
      </c>
      <c r="L29" s="3"/>
    </row>
    <row r="30" spans="2:12" ht="27">
      <c r="B30" s="15">
        <f t="shared" si="0"/>
        <v>25</v>
      </c>
      <c r="C30" s="225"/>
      <c r="D30" s="50"/>
      <c r="E30" s="50"/>
      <c r="F30" s="17" t="s">
        <v>1559</v>
      </c>
      <c r="G30" s="17"/>
      <c r="H30" s="17" t="s">
        <v>465</v>
      </c>
      <c r="I30" s="17" t="s">
        <v>331</v>
      </c>
      <c r="J30" s="49"/>
      <c r="K30" s="147" t="s">
        <v>2806</v>
      </c>
      <c r="L30" s="3"/>
    </row>
    <row r="31" spans="2:12" ht="27">
      <c r="B31" s="15">
        <f t="shared" si="0"/>
        <v>26</v>
      </c>
      <c r="C31" s="225"/>
      <c r="D31" s="104" t="s">
        <v>1558</v>
      </c>
      <c r="E31" s="296"/>
      <c r="F31" s="17" t="s">
        <v>1558</v>
      </c>
      <c r="G31" s="17"/>
      <c r="H31" s="17" t="s">
        <v>351</v>
      </c>
      <c r="I31" s="17" t="s">
        <v>331</v>
      </c>
      <c r="J31" s="49"/>
      <c r="K31" s="147" t="s">
        <v>2806</v>
      </c>
      <c r="L31" s="3"/>
    </row>
    <row r="32" spans="2:12" ht="27">
      <c r="B32" s="15">
        <f t="shared" si="0"/>
        <v>27</v>
      </c>
      <c r="C32" s="225"/>
      <c r="D32" s="225"/>
      <c r="F32" s="17" t="s">
        <v>45</v>
      </c>
      <c r="G32" s="17"/>
      <c r="H32" s="17" t="s">
        <v>351</v>
      </c>
      <c r="I32" s="17" t="s">
        <v>331</v>
      </c>
      <c r="J32" s="49"/>
      <c r="K32" s="147" t="s">
        <v>2806</v>
      </c>
      <c r="L32" s="3"/>
    </row>
    <row r="33" spans="2:12" ht="27">
      <c r="B33" s="15">
        <f t="shared" si="0"/>
        <v>28</v>
      </c>
      <c r="C33" s="225"/>
      <c r="D33" s="225"/>
      <c r="F33" s="17" t="s">
        <v>1557</v>
      </c>
      <c r="G33" s="17"/>
      <c r="H33" s="17" t="s">
        <v>351</v>
      </c>
      <c r="I33" s="17" t="s">
        <v>331</v>
      </c>
      <c r="J33" s="49"/>
      <c r="K33" s="147" t="s">
        <v>2806</v>
      </c>
      <c r="L33" s="3"/>
    </row>
    <row r="34" spans="2:12" ht="27">
      <c r="B34" s="15">
        <f t="shared" si="0"/>
        <v>29</v>
      </c>
      <c r="C34" s="225"/>
      <c r="D34" s="104" t="s">
        <v>1556</v>
      </c>
      <c r="E34" s="296"/>
      <c r="F34" s="17" t="s">
        <v>19</v>
      </c>
      <c r="G34" s="17"/>
      <c r="H34" s="17" t="s">
        <v>20</v>
      </c>
      <c r="I34" s="17" t="s">
        <v>331</v>
      </c>
      <c r="J34" s="49"/>
      <c r="K34" s="147" t="s">
        <v>2806</v>
      </c>
      <c r="L34" s="3"/>
    </row>
    <row r="35" spans="2:12" ht="27">
      <c r="B35" s="15">
        <f t="shared" si="0"/>
        <v>30</v>
      </c>
      <c r="C35" s="50"/>
      <c r="D35" s="50"/>
      <c r="E35" s="297"/>
      <c r="F35" s="17" t="s">
        <v>45</v>
      </c>
      <c r="G35" s="17"/>
      <c r="H35" s="17" t="s">
        <v>20</v>
      </c>
      <c r="I35" s="17" t="s">
        <v>331</v>
      </c>
      <c r="J35" s="49"/>
      <c r="K35" s="147" t="s">
        <v>2806</v>
      </c>
      <c r="L35" s="3"/>
    </row>
  </sheetData>
  <phoneticPr fontId="14"/>
  <hyperlinks>
    <hyperlink ref="A4" location="パラメータ設定一覧!A1" display="パラメータ設定一覧へ" xr:uid="{82EECDB2-B9A5-4E51-988F-607E36A2A3DD}"/>
  </hyperlinks>
  <pageMargins left="0.7" right="0.7" top="0.75" bottom="0.75" header="0.3" footer="0.3"/>
  <pageSetup paperSize="9" orientation="portrait" verticalDpi="0"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A60FD-52E9-4886-8234-3C4F81D75427}">
  <sheetPr codeName="Sheet55"/>
  <dimension ref="A1:D18"/>
  <sheetViews>
    <sheetView showGridLines="0" zoomScaleNormal="100" workbookViewId="0">
      <pane ySplit="7" topLeftCell="A8" activePane="bottomLeft" state="frozen"/>
      <selection activeCell="A8" sqref="A8"/>
      <selection pane="bottomLeft" activeCell="A8" sqref="A8"/>
    </sheetView>
  </sheetViews>
  <sheetFormatPr defaultColWidth="8.78515625" defaultRowHeight="13.5"/>
  <cols>
    <col min="1" max="1" width="2.78515625" style="177" customWidth="1"/>
    <col min="2" max="2" width="3.5703125" style="177" bestFit="1" customWidth="1"/>
    <col min="3" max="3" width="17.78515625" style="177" customWidth="1"/>
    <col min="4" max="4" width="24.2109375" style="177" customWidth="1"/>
    <col min="5" max="16384" width="8.78515625" style="177"/>
  </cols>
  <sheetData>
    <row r="1" spans="1:4" s="116" customFormat="1" ht="19.5">
      <c r="A1" s="361" t="s">
        <v>1588</v>
      </c>
    </row>
    <row r="2" spans="1:4" s="116" customFormat="1" ht="15">
      <c r="A2" s="308" t="s">
        <v>2668</v>
      </c>
    </row>
    <row r="3" spans="1:4" s="116" customFormat="1" ht="15">
      <c r="A3" s="179" t="s">
        <v>363</v>
      </c>
    </row>
    <row r="4" spans="1:4" ht="15.75" customHeight="1">
      <c r="B4" s="454" t="s">
        <v>1</v>
      </c>
      <c r="C4" s="200" t="s">
        <v>1555</v>
      </c>
      <c r="D4" s="290"/>
    </row>
    <row r="5" spans="1:4">
      <c r="B5" s="454"/>
      <c r="C5" s="69" t="s">
        <v>19</v>
      </c>
      <c r="D5" s="69" t="s">
        <v>45</v>
      </c>
    </row>
    <row r="6" spans="1:4">
      <c r="B6" s="454"/>
      <c r="C6" s="8" t="s">
        <v>20</v>
      </c>
      <c r="D6" s="8" t="s">
        <v>20</v>
      </c>
    </row>
    <row r="7" spans="1:4">
      <c r="B7" s="454"/>
      <c r="C7" s="8" t="s">
        <v>2667</v>
      </c>
      <c r="D7" s="8"/>
    </row>
    <row r="8" spans="1:4">
      <c r="B8" s="364" t="s">
        <v>1226</v>
      </c>
      <c r="C8" s="388" t="s">
        <v>2884</v>
      </c>
      <c r="D8" s="389" t="s">
        <v>2883</v>
      </c>
    </row>
    <row r="9" spans="1:4">
      <c r="B9" s="368">
        <f>ROW() - 8</f>
        <v>1</v>
      </c>
      <c r="C9" s="164"/>
      <c r="D9" s="163"/>
    </row>
    <row r="10" spans="1:4">
      <c r="B10" s="368">
        <f t="shared" ref="B10:B18" si="0">ROW() - 8</f>
        <v>2</v>
      </c>
      <c r="C10" s="390"/>
      <c r="D10" s="309"/>
    </row>
    <row r="11" spans="1:4">
      <c r="B11" s="368">
        <f t="shared" si="0"/>
        <v>3</v>
      </c>
      <c r="C11" s="390"/>
      <c r="D11" s="309"/>
    </row>
    <row r="12" spans="1:4">
      <c r="B12" s="368">
        <f t="shared" si="0"/>
        <v>4</v>
      </c>
      <c r="C12" s="390"/>
      <c r="D12" s="309"/>
    </row>
    <row r="13" spans="1:4">
      <c r="B13" s="368">
        <f t="shared" si="0"/>
        <v>5</v>
      </c>
      <c r="C13" s="390"/>
      <c r="D13" s="309"/>
    </row>
    <row r="14" spans="1:4">
      <c r="B14" s="368">
        <f t="shared" si="0"/>
        <v>6</v>
      </c>
      <c r="C14" s="390"/>
      <c r="D14" s="309"/>
    </row>
    <row r="15" spans="1:4">
      <c r="B15" s="368">
        <f t="shared" si="0"/>
        <v>7</v>
      </c>
      <c r="C15" s="390"/>
      <c r="D15" s="309"/>
    </row>
    <row r="16" spans="1:4">
      <c r="B16" s="368">
        <f t="shared" si="0"/>
        <v>8</v>
      </c>
      <c r="C16" s="390"/>
      <c r="D16" s="309"/>
    </row>
    <row r="17" spans="2:4">
      <c r="B17" s="368">
        <f t="shared" si="0"/>
        <v>9</v>
      </c>
      <c r="C17" s="390"/>
      <c r="D17" s="309"/>
    </row>
    <row r="18" spans="2:4">
      <c r="B18" s="368">
        <f t="shared" si="0"/>
        <v>10</v>
      </c>
      <c r="C18" s="390"/>
      <c r="D18" s="309"/>
    </row>
  </sheetData>
  <sheetProtection insertRows="0" deleteRows="0" sort="0" autoFilter="0"/>
  <mergeCells count="1">
    <mergeCell ref="B4:B7"/>
  </mergeCells>
  <phoneticPr fontId="14"/>
  <hyperlinks>
    <hyperlink ref="A3" location="パラメータ設定一覧!A1" display="パラメータ設定一覧へ" xr:uid="{5E6BE06C-A930-488B-90A1-DE137BDCF3A5}"/>
  </hyperlinks>
  <pageMargins left="0.7" right="0.7" top="0.75" bottom="0.75" header="0.3" footer="0.3"/>
  <pageSetup paperSize="9" orientation="portrait" verticalDpi="0"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EE6FC-C719-48C2-9851-5F937A5D948E}">
  <sheetPr codeName="Sheet84"/>
  <dimension ref="A1:H52"/>
  <sheetViews>
    <sheetView showGridLines="0" zoomScaleNormal="100" workbookViewId="0">
      <pane ySplit="5" topLeftCell="A6" activePane="bottomLeft" state="frozen"/>
      <selection pane="bottomLeft" activeCell="A6" sqref="A6"/>
    </sheetView>
  </sheetViews>
  <sheetFormatPr defaultColWidth="8.78515625" defaultRowHeight="13.5"/>
  <cols>
    <col min="1" max="1" width="2.78515625" style="46" customWidth="1"/>
    <col min="2" max="2" width="3.5703125" style="46" bestFit="1" customWidth="1"/>
    <col min="3" max="3" width="17.78515625" style="46" customWidth="1"/>
    <col min="4" max="8" width="20.640625" style="46" customWidth="1"/>
    <col min="9" max="16384" width="8.78515625" style="46"/>
  </cols>
  <sheetData>
    <row r="1" spans="1:8" customFormat="1" ht="19.5">
      <c r="A1" s="99" t="s">
        <v>2704</v>
      </c>
    </row>
    <row r="2" spans="1:8" customFormat="1" ht="15">
      <c r="A2" s="196" t="s">
        <v>2668</v>
      </c>
    </row>
    <row r="3" spans="1:8" customFormat="1" ht="15">
      <c r="A3" s="10" t="s">
        <v>363</v>
      </c>
    </row>
    <row r="4" spans="1:8" ht="15.75" customHeight="1">
      <c r="B4" s="439" t="s">
        <v>1</v>
      </c>
      <c r="C4" s="277"/>
      <c r="D4" s="135" t="s">
        <v>19</v>
      </c>
      <c r="E4" s="134"/>
      <c r="F4" s="134"/>
      <c r="G4" s="134"/>
      <c r="H4" s="133"/>
    </row>
    <row r="5" spans="1:8">
      <c r="B5" s="440"/>
      <c r="C5" s="172" t="s">
        <v>1877</v>
      </c>
      <c r="D5" s="59" t="s">
        <v>1879</v>
      </c>
      <c r="E5" s="59" t="s">
        <v>2005</v>
      </c>
      <c r="F5" s="59" t="s">
        <v>2006</v>
      </c>
      <c r="G5" s="59" t="s">
        <v>2007</v>
      </c>
      <c r="H5" s="59" t="s">
        <v>2008</v>
      </c>
    </row>
    <row r="6" spans="1:8">
      <c r="B6" s="441"/>
      <c r="C6" s="8" t="s">
        <v>1878</v>
      </c>
      <c r="D6" s="8" t="s">
        <v>20</v>
      </c>
      <c r="E6" s="8" t="s">
        <v>20</v>
      </c>
      <c r="F6" s="8" t="s">
        <v>20</v>
      </c>
      <c r="G6" s="8" t="s">
        <v>20</v>
      </c>
      <c r="H6" s="8" t="s">
        <v>20</v>
      </c>
    </row>
    <row r="7" spans="1:8">
      <c r="B7" s="336" t="s">
        <v>1226</v>
      </c>
      <c r="C7" s="388" t="s">
        <v>2885</v>
      </c>
      <c r="D7" s="388" t="s">
        <v>2887</v>
      </c>
      <c r="E7" s="389"/>
      <c r="F7" s="389"/>
      <c r="G7" s="389"/>
      <c r="H7" s="389"/>
    </row>
    <row r="8" spans="1:8">
      <c r="B8" s="328"/>
      <c r="C8" s="388" t="s">
        <v>2885</v>
      </c>
      <c r="D8" s="388" t="s">
        <v>2887</v>
      </c>
      <c r="E8" s="388" t="s">
        <v>2886</v>
      </c>
      <c r="F8" s="389"/>
      <c r="G8" s="389"/>
      <c r="H8" s="389"/>
    </row>
    <row r="9" spans="1:8">
      <c r="B9" s="328"/>
      <c r="C9" s="388" t="s">
        <v>2885</v>
      </c>
      <c r="D9" s="388" t="s">
        <v>2887</v>
      </c>
      <c r="E9" s="388" t="s">
        <v>2886</v>
      </c>
      <c r="F9" s="388" t="s">
        <v>2889</v>
      </c>
      <c r="G9" s="389"/>
      <c r="H9" s="389"/>
    </row>
    <row r="10" spans="1:8">
      <c r="B10" s="328"/>
      <c r="C10" s="388" t="s">
        <v>2885</v>
      </c>
      <c r="D10" s="388" t="s">
        <v>2887</v>
      </c>
      <c r="E10" s="388" t="s">
        <v>2886</v>
      </c>
      <c r="F10" s="388" t="s">
        <v>2890</v>
      </c>
      <c r="G10" s="389"/>
      <c r="H10" s="389"/>
    </row>
    <row r="11" spans="1:8">
      <c r="B11" s="328"/>
      <c r="C11" s="388" t="s">
        <v>2885</v>
      </c>
      <c r="D11" s="388" t="s">
        <v>2887</v>
      </c>
      <c r="E11" s="388" t="s">
        <v>2888</v>
      </c>
      <c r="F11" s="389"/>
      <c r="G11" s="389"/>
      <c r="H11" s="389"/>
    </row>
    <row r="12" spans="1:8">
      <c r="B12" s="331"/>
      <c r="C12" s="388" t="s">
        <v>2885</v>
      </c>
      <c r="D12" s="388" t="s">
        <v>2887</v>
      </c>
      <c r="E12" s="388" t="s">
        <v>2888</v>
      </c>
      <c r="F12" s="388" t="s">
        <v>2891</v>
      </c>
      <c r="G12" s="389"/>
      <c r="H12" s="389"/>
    </row>
    <row r="13" spans="1:8">
      <c r="B13" s="253">
        <f>ROW() - 12</f>
        <v>1</v>
      </c>
      <c r="C13" s="164"/>
      <c r="D13" s="164"/>
      <c r="E13" s="163"/>
      <c r="F13" s="163"/>
      <c r="G13" s="163"/>
      <c r="H13" s="163"/>
    </row>
    <row r="14" spans="1:8">
      <c r="B14" s="253">
        <f t="shared" ref="B14:B52" si="0">ROW() - 12</f>
        <v>2</v>
      </c>
      <c r="C14" s="231"/>
      <c r="D14" s="231"/>
      <c r="E14" s="217"/>
      <c r="F14" s="217"/>
      <c r="G14" s="217"/>
      <c r="H14" s="217"/>
    </row>
    <row r="15" spans="1:8">
      <c r="B15" s="253">
        <f t="shared" si="0"/>
        <v>3</v>
      </c>
      <c r="C15" s="231"/>
      <c r="D15" s="231"/>
      <c r="E15" s="217"/>
      <c r="F15" s="217"/>
      <c r="G15" s="217"/>
      <c r="H15" s="217"/>
    </row>
    <row r="16" spans="1:8">
      <c r="B16" s="253">
        <f t="shared" si="0"/>
        <v>4</v>
      </c>
      <c r="C16" s="231"/>
      <c r="D16" s="231"/>
      <c r="E16" s="217"/>
      <c r="F16" s="217"/>
      <c r="G16" s="217"/>
      <c r="H16" s="217"/>
    </row>
    <row r="17" spans="2:8">
      <c r="B17" s="253">
        <f t="shared" si="0"/>
        <v>5</v>
      </c>
      <c r="C17" s="231"/>
      <c r="D17" s="231"/>
      <c r="E17" s="217"/>
      <c r="F17" s="217"/>
      <c r="G17" s="217"/>
      <c r="H17" s="217"/>
    </row>
    <row r="18" spans="2:8">
      <c r="B18" s="253">
        <f t="shared" si="0"/>
        <v>6</v>
      </c>
      <c r="C18" s="231"/>
      <c r="D18" s="231"/>
      <c r="E18" s="217"/>
      <c r="F18" s="217"/>
      <c r="G18" s="217"/>
      <c r="H18" s="217"/>
    </row>
    <row r="19" spans="2:8">
      <c r="B19" s="253">
        <f t="shared" si="0"/>
        <v>7</v>
      </c>
      <c r="C19" s="231"/>
      <c r="D19" s="231"/>
      <c r="E19" s="217"/>
      <c r="F19" s="217"/>
      <c r="G19" s="217"/>
      <c r="H19" s="217"/>
    </row>
    <row r="20" spans="2:8">
      <c r="B20" s="253">
        <f t="shared" si="0"/>
        <v>8</v>
      </c>
      <c r="C20" s="231"/>
      <c r="D20" s="231"/>
      <c r="E20" s="217"/>
      <c r="F20" s="217"/>
      <c r="G20" s="217"/>
      <c r="H20" s="217"/>
    </row>
    <row r="21" spans="2:8">
      <c r="B21" s="253">
        <f t="shared" si="0"/>
        <v>9</v>
      </c>
      <c r="C21" s="231"/>
      <c r="D21" s="231"/>
      <c r="E21" s="217"/>
      <c r="F21" s="217"/>
      <c r="G21" s="217"/>
      <c r="H21" s="217"/>
    </row>
    <row r="22" spans="2:8">
      <c r="B22" s="253">
        <f t="shared" si="0"/>
        <v>10</v>
      </c>
      <c r="C22" s="231"/>
      <c r="D22" s="231"/>
      <c r="E22" s="217"/>
      <c r="F22" s="217"/>
      <c r="G22" s="217"/>
      <c r="H22" s="217"/>
    </row>
    <row r="23" spans="2:8">
      <c r="B23" s="253">
        <f t="shared" si="0"/>
        <v>11</v>
      </c>
      <c r="C23" s="231"/>
      <c r="D23" s="231"/>
      <c r="E23" s="217"/>
      <c r="F23" s="217"/>
      <c r="G23" s="217"/>
      <c r="H23" s="217"/>
    </row>
    <row r="24" spans="2:8">
      <c r="B24" s="253">
        <f t="shared" si="0"/>
        <v>12</v>
      </c>
      <c r="C24" s="231"/>
      <c r="D24" s="231"/>
      <c r="E24" s="217"/>
      <c r="F24" s="217"/>
      <c r="G24" s="217"/>
      <c r="H24" s="217"/>
    </row>
    <row r="25" spans="2:8">
      <c r="B25" s="253">
        <f t="shared" si="0"/>
        <v>13</v>
      </c>
      <c r="C25" s="231"/>
      <c r="D25" s="231"/>
      <c r="E25" s="217"/>
      <c r="F25" s="217"/>
      <c r="G25" s="217"/>
      <c r="H25" s="217"/>
    </row>
    <row r="26" spans="2:8">
      <c r="B26" s="253">
        <f t="shared" si="0"/>
        <v>14</v>
      </c>
      <c r="C26" s="231"/>
      <c r="D26" s="231"/>
      <c r="E26" s="217"/>
      <c r="F26" s="217"/>
      <c r="G26" s="217"/>
      <c r="H26" s="217"/>
    </row>
    <row r="27" spans="2:8">
      <c r="B27" s="253">
        <f t="shared" si="0"/>
        <v>15</v>
      </c>
      <c r="C27" s="231"/>
      <c r="D27" s="231"/>
      <c r="E27" s="217"/>
      <c r="F27" s="217"/>
      <c r="G27" s="217"/>
      <c r="H27" s="217"/>
    </row>
    <row r="28" spans="2:8">
      <c r="B28" s="253">
        <f t="shared" si="0"/>
        <v>16</v>
      </c>
      <c r="C28" s="231"/>
      <c r="D28" s="231"/>
      <c r="E28" s="217"/>
      <c r="F28" s="217"/>
      <c r="G28" s="217"/>
      <c r="H28" s="217"/>
    </row>
    <row r="29" spans="2:8">
      <c r="B29" s="253">
        <f t="shared" si="0"/>
        <v>17</v>
      </c>
      <c r="C29" s="231"/>
      <c r="D29" s="231"/>
      <c r="E29" s="217"/>
      <c r="F29" s="217"/>
      <c r="G29" s="217"/>
      <c r="H29" s="217"/>
    </row>
    <row r="30" spans="2:8">
      <c r="B30" s="253">
        <f t="shared" si="0"/>
        <v>18</v>
      </c>
      <c r="C30" s="231"/>
      <c r="D30" s="231"/>
      <c r="E30" s="217"/>
      <c r="F30" s="217"/>
      <c r="G30" s="217"/>
      <c r="H30" s="217"/>
    </row>
    <row r="31" spans="2:8">
      <c r="B31" s="253">
        <f t="shared" si="0"/>
        <v>19</v>
      </c>
      <c r="C31" s="231"/>
      <c r="D31" s="231"/>
      <c r="E31" s="217"/>
      <c r="F31" s="217"/>
      <c r="G31" s="217"/>
      <c r="H31" s="217"/>
    </row>
    <row r="32" spans="2:8">
      <c r="B32" s="253">
        <f t="shared" si="0"/>
        <v>20</v>
      </c>
      <c r="C32" s="231"/>
      <c r="D32" s="231"/>
      <c r="E32" s="217"/>
      <c r="F32" s="217"/>
      <c r="G32" s="217"/>
      <c r="H32" s="217"/>
    </row>
    <row r="33" spans="2:8">
      <c r="B33" s="253">
        <f t="shared" si="0"/>
        <v>21</v>
      </c>
      <c r="C33" s="231"/>
      <c r="D33" s="231"/>
      <c r="E33" s="217"/>
      <c r="F33" s="217"/>
      <c r="G33" s="217"/>
      <c r="H33" s="217"/>
    </row>
    <row r="34" spans="2:8">
      <c r="B34" s="253">
        <f t="shared" si="0"/>
        <v>22</v>
      </c>
      <c r="C34" s="231"/>
      <c r="D34" s="231"/>
      <c r="E34" s="217"/>
      <c r="F34" s="217"/>
      <c r="G34" s="217"/>
      <c r="H34" s="217"/>
    </row>
    <row r="35" spans="2:8">
      <c r="B35" s="253">
        <f t="shared" si="0"/>
        <v>23</v>
      </c>
      <c r="C35" s="231"/>
      <c r="D35" s="231"/>
      <c r="E35" s="217"/>
      <c r="F35" s="217"/>
      <c r="G35" s="217"/>
      <c r="H35" s="217"/>
    </row>
    <row r="36" spans="2:8">
      <c r="B36" s="253">
        <f t="shared" si="0"/>
        <v>24</v>
      </c>
      <c r="C36" s="231"/>
      <c r="D36" s="231"/>
      <c r="E36" s="217"/>
      <c r="F36" s="217"/>
      <c r="G36" s="217"/>
      <c r="H36" s="217"/>
    </row>
    <row r="37" spans="2:8">
      <c r="B37" s="253">
        <f t="shared" si="0"/>
        <v>25</v>
      </c>
      <c r="C37" s="231"/>
      <c r="D37" s="231"/>
      <c r="E37" s="217"/>
      <c r="F37" s="217"/>
      <c r="G37" s="217"/>
      <c r="H37" s="217"/>
    </row>
    <row r="38" spans="2:8">
      <c r="B38" s="253">
        <f t="shared" si="0"/>
        <v>26</v>
      </c>
      <c r="C38" s="231"/>
      <c r="D38" s="231"/>
      <c r="E38" s="217"/>
      <c r="F38" s="217"/>
      <c r="G38" s="217"/>
      <c r="H38" s="217"/>
    </row>
    <row r="39" spans="2:8">
      <c r="B39" s="253">
        <f t="shared" si="0"/>
        <v>27</v>
      </c>
      <c r="C39" s="231"/>
      <c r="D39" s="231"/>
      <c r="E39" s="217"/>
      <c r="F39" s="217"/>
      <c r="G39" s="217"/>
      <c r="H39" s="217"/>
    </row>
    <row r="40" spans="2:8">
      <c r="B40" s="253">
        <f t="shared" si="0"/>
        <v>28</v>
      </c>
      <c r="C40" s="231"/>
      <c r="D40" s="231"/>
      <c r="E40" s="217"/>
      <c r="F40" s="217"/>
      <c r="G40" s="217"/>
      <c r="H40" s="217"/>
    </row>
    <row r="41" spans="2:8">
      <c r="B41" s="253">
        <f t="shared" si="0"/>
        <v>29</v>
      </c>
      <c r="C41" s="231"/>
      <c r="D41" s="231"/>
      <c r="E41" s="217"/>
      <c r="F41" s="217"/>
      <c r="G41" s="217"/>
      <c r="H41" s="217"/>
    </row>
    <row r="42" spans="2:8">
      <c r="B42" s="253">
        <f t="shared" si="0"/>
        <v>30</v>
      </c>
      <c r="C42" s="231"/>
      <c r="D42" s="231"/>
      <c r="E42" s="217"/>
      <c r="F42" s="217"/>
      <c r="G42" s="217"/>
      <c r="H42" s="217"/>
    </row>
    <row r="43" spans="2:8">
      <c r="B43" s="253">
        <f t="shared" si="0"/>
        <v>31</v>
      </c>
      <c r="C43" s="231"/>
      <c r="D43" s="231"/>
      <c r="E43" s="217"/>
      <c r="F43" s="217"/>
      <c r="G43" s="217"/>
      <c r="H43" s="217"/>
    </row>
    <row r="44" spans="2:8">
      <c r="B44" s="253">
        <f t="shared" si="0"/>
        <v>32</v>
      </c>
      <c r="C44" s="231"/>
      <c r="D44" s="231"/>
      <c r="E44" s="217"/>
      <c r="F44" s="217"/>
      <c r="G44" s="217"/>
      <c r="H44" s="217"/>
    </row>
    <row r="45" spans="2:8">
      <c r="B45" s="253">
        <f t="shared" si="0"/>
        <v>33</v>
      </c>
      <c r="C45" s="231"/>
      <c r="D45" s="231"/>
      <c r="E45" s="217"/>
      <c r="F45" s="217"/>
      <c r="G45" s="217"/>
      <c r="H45" s="217"/>
    </row>
    <row r="46" spans="2:8">
      <c r="B46" s="253">
        <f t="shared" si="0"/>
        <v>34</v>
      </c>
      <c r="C46" s="231"/>
      <c r="D46" s="231"/>
      <c r="E46" s="217"/>
      <c r="F46" s="217"/>
      <c r="G46" s="217"/>
      <c r="H46" s="217"/>
    </row>
    <row r="47" spans="2:8">
      <c r="B47" s="253">
        <f t="shared" si="0"/>
        <v>35</v>
      </c>
      <c r="C47" s="231"/>
      <c r="D47" s="231"/>
      <c r="E47" s="217"/>
      <c r="F47" s="217"/>
      <c r="G47" s="217"/>
      <c r="H47" s="217"/>
    </row>
    <row r="48" spans="2:8">
      <c r="B48" s="253">
        <f t="shared" si="0"/>
        <v>36</v>
      </c>
      <c r="C48" s="231"/>
      <c r="D48" s="231"/>
      <c r="E48" s="217"/>
      <c r="F48" s="217"/>
      <c r="G48" s="217"/>
      <c r="H48" s="217"/>
    </row>
    <row r="49" spans="2:8">
      <c r="B49" s="253">
        <f t="shared" si="0"/>
        <v>37</v>
      </c>
      <c r="C49" s="231"/>
      <c r="D49" s="231"/>
      <c r="E49" s="217"/>
      <c r="F49" s="217"/>
      <c r="G49" s="217"/>
      <c r="H49" s="217"/>
    </row>
    <row r="50" spans="2:8">
      <c r="B50" s="253">
        <f t="shared" si="0"/>
        <v>38</v>
      </c>
      <c r="C50" s="231"/>
      <c r="D50" s="231"/>
      <c r="E50" s="217"/>
      <c r="F50" s="217"/>
      <c r="G50" s="217"/>
      <c r="H50" s="217"/>
    </row>
    <row r="51" spans="2:8">
      <c r="B51" s="253">
        <f t="shared" si="0"/>
        <v>39</v>
      </c>
      <c r="C51" s="231"/>
      <c r="D51" s="231"/>
      <c r="E51" s="217"/>
      <c r="F51" s="217"/>
      <c r="G51" s="217"/>
      <c r="H51" s="217"/>
    </row>
    <row r="52" spans="2:8">
      <c r="B52" s="253">
        <f t="shared" si="0"/>
        <v>40</v>
      </c>
      <c r="C52" s="231"/>
      <c r="D52" s="231"/>
      <c r="E52" s="217"/>
      <c r="F52" s="217"/>
      <c r="G52" s="217"/>
      <c r="H52" s="217"/>
    </row>
  </sheetData>
  <sheetProtection insertRows="0" deleteRows="0" sort="0" autoFilter="0"/>
  <mergeCells count="1">
    <mergeCell ref="B4:B6"/>
  </mergeCells>
  <phoneticPr fontId="14"/>
  <hyperlinks>
    <hyperlink ref="A3" location="パラメータ設定一覧!A1" display="パラメータ設定一覧へ" xr:uid="{99B8167D-8E6D-458F-A2E1-9C20326B14D8}"/>
  </hyperlinks>
  <pageMargins left="0.7" right="0.7" top="0.75" bottom="0.75" header="0.3" footer="0.3"/>
  <pageSetup paperSize="9" orientation="portrait" verticalDpi="0"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E6262-73A4-4B18-8B9D-C4382AEF30FC}">
  <sheetPr codeName="Sheet73"/>
  <dimension ref="A1:T53"/>
  <sheetViews>
    <sheetView showGridLines="0" zoomScaleNormal="100" workbookViewId="0">
      <pane xSplit="5" ySplit="5" topLeftCell="F6" activePane="bottomRight" state="frozen"/>
      <selection pane="topRight" activeCell="F1" sqref="F1"/>
      <selection pane="bottomLeft" activeCell="A6" sqref="A6"/>
      <selection pane="bottomRight" activeCell="F6" sqref="F6"/>
    </sheetView>
  </sheetViews>
  <sheetFormatPr defaultColWidth="8.78515625" defaultRowHeight="13.5"/>
  <cols>
    <col min="1" max="1" width="2.78515625" style="46" customWidth="1"/>
    <col min="2" max="2" width="3.5703125" style="46" bestFit="1" customWidth="1"/>
    <col min="3" max="4" width="17.78515625" style="46" customWidth="1"/>
    <col min="5" max="6" width="24.2109375" style="46" customWidth="1"/>
    <col min="7" max="7" width="7.7109375" style="46" bestFit="1" customWidth="1"/>
    <col min="8" max="8" width="24.2109375" style="46" customWidth="1"/>
    <col min="9" max="9" width="10.78515625" style="46" bestFit="1" customWidth="1"/>
    <col min="10" max="10" width="12.640625" style="46" customWidth="1"/>
    <col min="11" max="11" width="10.78515625" style="46" bestFit="1" customWidth="1"/>
    <col min="12" max="12" width="12.640625" style="46" customWidth="1"/>
    <col min="13" max="13" width="15.85546875" style="46" bestFit="1" customWidth="1"/>
    <col min="14" max="14" width="30.640625" style="46" customWidth="1"/>
    <col min="15" max="15" width="15.640625" style="46" customWidth="1"/>
    <col min="16" max="16" width="30.640625" style="46" customWidth="1"/>
    <col min="17" max="17" width="12.2109375" style="46" bestFit="1" customWidth="1"/>
    <col min="18" max="20" width="15.640625" style="46" customWidth="1"/>
    <col min="21" max="16384" width="8.78515625" style="46"/>
  </cols>
  <sheetData>
    <row r="1" spans="1:20" customFormat="1" ht="19.5">
      <c r="A1" s="99" t="s">
        <v>2705</v>
      </c>
    </row>
    <row r="2" spans="1:20" customFormat="1" ht="15">
      <c r="A2" s="196" t="s">
        <v>2668</v>
      </c>
    </row>
    <row r="3" spans="1:20" customFormat="1" ht="15">
      <c r="A3" s="10" t="s">
        <v>363</v>
      </c>
    </row>
    <row r="4" spans="1:20" ht="15.75" customHeight="1">
      <c r="B4" s="439" t="s">
        <v>1</v>
      </c>
      <c r="C4" s="277"/>
      <c r="D4" s="201"/>
      <c r="E4" s="134" t="s">
        <v>1880</v>
      </c>
      <c r="F4" s="134"/>
      <c r="G4" s="134"/>
      <c r="H4" s="134"/>
      <c r="I4" s="135" t="s">
        <v>23</v>
      </c>
      <c r="J4" s="134"/>
      <c r="K4" s="134"/>
      <c r="L4" s="134"/>
      <c r="M4" s="134"/>
      <c r="N4" s="134"/>
      <c r="O4" s="134"/>
      <c r="P4" s="134"/>
      <c r="Q4" s="134"/>
      <c r="R4" s="135" t="s">
        <v>239</v>
      </c>
      <c r="S4" s="134"/>
      <c r="T4" s="133"/>
    </row>
    <row r="5" spans="1:20">
      <c r="B5" s="440"/>
      <c r="C5" s="172" t="s">
        <v>1877</v>
      </c>
      <c r="D5" s="59" t="s">
        <v>1884</v>
      </c>
      <c r="E5" s="59" t="s">
        <v>19</v>
      </c>
      <c r="F5" s="59" t="s">
        <v>1582</v>
      </c>
      <c r="G5" s="59" t="s">
        <v>766</v>
      </c>
      <c r="H5" s="59" t="s">
        <v>1581</v>
      </c>
      <c r="I5" s="59" t="s">
        <v>1881</v>
      </c>
      <c r="J5" s="59" t="s">
        <v>1577</v>
      </c>
      <c r="K5" s="59" t="s">
        <v>1882</v>
      </c>
      <c r="L5" s="59" t="s">
        <v>1574</v>
      </c>
      <c r="M5" s="59" t="s">
        <v>1572</v>
      </c>
      <c r="N5" s="59" t="s">
        <v>45</v>
      </c>
      <c r="O5" s="59" t="s">
        <v>1571</v>
      </c>
      <c r="P5" s="59" t="s">
        <v>1569</v>
      </c>
      <c r="Q5" s="59" t="s">
        <v>1883</v>
      </c>
      <c r="R5" s="59" t="s">
        <v>1566</v>
      </c>
      <c r="S5" s="59" t="s">
        <v>1745</v>
      </c>
      <c r="T5" s="59" t="s">
        <v>1564</v>
      </c>
    </row>
    <row r="6" spans="1:20">
      <c r="B6" s="440"/>
      <c r="C6" s="8" t="s">
        <v>1878</v>
      </c>
      <c r="D6" s="8"/>
      <c r="E6" s="8"/>
      <c r="F6" s="8"/>
      <c r="G6" s="8" t="s">
        <v>27</v>
      </c>
      <c r="H6" s="8"/>
      <c r="I6" s="8"/>
      <c r="J6" s="8"/>
      <c r="K6" s="8"/>
      <c r="L6" s="8"/>
      <c r="M6" s="8" t="s">
        <v>27</v>
      </c>
      <c r="N6" s="8" t="s">
        <v>20</v>
      </c>
      <c r="O6" s="8"/>
      <c r="P6" s="8"/>
      <c r="Q6" s="8" t="s">
        <v>50</v>
      </c>
      <c r="R6" s="8"/>
      <c r="S6" s="8"/>
      <c r="T6" s="8"/>
    </row>
    <row r="7" spans="1:20">
      <c r="B7" s="440"/>
      <c r="C7" s="8" t="s">
        <v>2667</v>
      </c>
      <c r="D7" s="8"/>
      <c r="E7" s="8" t="s">
        <v>2667</v>
      </c>
      <c r="F7" s="8"/>
      <c r="G7" s="8" t="s">
        <v>2667</v>
      </c>
      <c r="H7" s="8"/>
      <c r="I7" s="8"/>
      <c r="J7" s="8"/>
      <c r="K7" s="8"/>
      <c r="L7" s="8"/>
      <c r="M7" s="8"/>
      <c r="N7" s="8"/>
      <c r="O7" s="8"/>
      <c r="P7" s="8"/>
      <c r="Q7" s="8"/>
      <c r="R7" s="8"/>
      <c r="S7" s="8"/>
      <c r="T7" s="8"/>
    </row>
    <row r="8" spans="1:20">
      <c r="B8" s="336" t="s">
        <v>1226</v>
      </c>
      <c r="C8" s="388" t="s">
        <v>2885</v>
      </c>
      <c r="D8" s="388" t="s">
        <v>62</v>
      </c>
      <c r="E8" s="388" t="s">
        <v>2887</v>
      </c>
      <c r="F8" s="389"/>
      <c r="G8" s="389" t="s">
        <v>57</v>
      </c>
      <c r="H8" s="389"/>
      <c r="I8" s="74"/>
      <c r="J8" s="389"/>
      <c r="K8" s="74"/>
      <c r="L8" s="389"/>
      <c r="M8" s="389"/>
      <c r="N8" s="389"/>
      <c r="O8" s="389"/>
      <c r="P8" s="389"/>
      <c r="Q8" s="389"/>
      <c r="R8" s="389"/>
      <c r="S8" s="389"/>
      <c r="T8" s="389"/>
    </row>
    <row r="9" spans="1:20">
      <c r="B9" s="328"/>
      <c r="C9" s="388" t="s">
        <v>2885</v>
      </c>
      <c r="D9" s="388" t="s">
        <v>2887</v>
      </c>
      <c r="E9" s="388" t="s">
        <v>2886</v>
      </c>
      <c r="F9" s="389"/>
      <c r="G9" s="389" t="s">
        <v>57</v>
      </c>
      <c r="H9" s="389"/>
      <c r="I9" s="74"/>
      <c r="J9" s="389"/>
      <c r="K9" s="74"/>
      <c r="L9" s="389"/>
      <c r="M9" s="389"/>
      <c r="N9" s="389"/>
      <c r="O9" s="389"/>
      <c r="P9" s="389"/>
      <c r="Q9" s="389"/>
      <c r="R9" s="389"/>
      <c r="S9" s="389"/>
      <c r="T9" s="389"/>
    </row>
    <row r="10" spans="1:20">
      <c r="B10" s="328"/>
      <c r="C10" s="388" t="s">
        <v>2885</v>
      </c>
      <c r="D10" s="388" t="s">
        <v>2886</v>
      </c>
      <c r="E10" s="388" t="s">
        <v>2889</v>
      </c>
      <c r="F10" s="389"/>
      <c r="G10" s="389" t="s">
        <v>57</v>
      </c>
      <c r="H10" s="389"/>
      <c r="I10" s="74"/>
      <c r="J10" s="389"/>
      <c r="K10" s="74"/>
      <c r="L10" s="389"/>
      <c r="M10" s="389"/>
      <c r="N10" s="389"/>
      <c r="O10" s="389"/>
      <c r="P10" s="389"/>
      <c r="Q10" s="389"/>
      <c r="R10" s="389"/>
      <c r="S10" s="389"/>
      <c r="T10" s="389"/>
    </row>
    <row r="11" spans="1:20">
      <c r="B11" s="328"/>
      <c r="C11" s="388" t="s">
        <v>2885</v>
      </c>
      <c r="D11" s="388" t="s">
        <v>2886</v>
      </c>
      <c r="E11" s="388" t="s">
        <v>2890</v>
      </c>
      <c r="F11" s="389"/>
      <c r="G11" s="389" t="s">
        <v>57</v>
      </c>
      <c r="H11" s="389"/>
      <c r="I11" s="74"/>
      <c r="J11" s="389"/>
      <c r="K11" s="74"/>
      <c r="L11" s="389"/>
      <c r="M11" s="389"/>
      <c r="N11" s="389"/>
      <c r="O11" s="389"/>
      <c r="P11" s="389"/>
      <c r="Q11" s="389"/>
      <c r="R11" s="389"/>
      <c r="S11" s="389"/>
      <c r="T11" s="389"/>
    </row>
    <row r="12" spans="1:20">
      <c r="B12" s="328"/>
      <c r="C12" s="388" t="s">
        <v>2885</v>
      </c>
      <c r="D12" s="388" t="s">
        <v>2887</v>
      </c>
      <c r="E12" s="388" t="s">
        <v>2888</v>
      </c>
      <c r="F12" s="389"/>
      <c r="G12" s="389" t="s">
        <v>57</v>
      </c>
      <c r="H12" s="389"/>
      <c r="I12" s="74"/>
      <c r="J12" s="389"/>
      <c r="K12" s="74"/>
      <c r="L12" s="389"/>
      <c r="M12" s="389"/>
      <c r="N12" s="389"/>
      <c r="O12" s="389"/>
      <c r="P12" s="389"/>
      <c r="Q12" s="389"/>
      <c r="R12" s="389"/>
      <c r="S12" s="389"/>
      <c r="T12" s="389"/>
    </row>
    <row r="13" spans="1:20">
      <c r="B13" s="331"/>
      <c r="C13" s="388" t="s">
        <v>2885</v>
      </c>
      <c r="D13" s="388" t="s">
        <v>2888</v>
      </c>
      <c r="E13" s="388" t="s">
        <v>2891</v>
      </c>
      <c r="F13" s="389"/>
      <c r="G13" s="389" t="s">
        <v>57</v>
      </c>
      <c r="H13" s="389"/>
      <c r="I13" s="74"/>
      <c r="J13" s="389"/>
      <c r="K13" s="74"/>
      <c r="L13" s="389"/>
      <c r="M13" s="389"/>
      <c r="N13" s="389"/>
      <c r="O13" s="389"/>
      <c r="P13" s="389"/>
      <c r="Q13" s="389"/>
      <c r="R13" s="389"/>
      <c r="S13" s="389"/>
      <c r="T13" s="389"/>
    </row>
    <row r="14" spans="1:20">
      <c r="B14" s="245">
        <f>ROW() - 13</f>
        <v>1</v>
      </c>
      <c r="C14" s="164"/>
      <c r="D14" s="164"/>
      <c r="E14" s="163"/>
      <c r="F14" s="163"/>
      <c r="G14" s="163"/>
      <c r="H14" s="163"/>
      <c r="I14" s="121"/>
      <c r="J14" s="163"/>
      <c r="K14" s="121"/>
      <c r="L14" s="163"/>
      <c r="M14" s="163"/>
      <c r="N14" s="163"/>
      <c r="O14" s="163"/>
      <c r="P14" s="163"/>
      <c r="Q14" s="163"/>
      <c r="R14" s="163"/>
      <c r="S14" s="163"/>
      <c r="T14" s="163"/>
    </row>
    <row r="15" spans="1:20">
      <c r="B15" s="245">
        <f t="shared" ref="B15:B53" si="0">ROW() - 13</f>
        <v>2</v>
      </c>
      <c r="C15" s="231"/>
      <c r="D15" s="231"/>
      <c r="E15" s="217"/>
      <c r="F15" s="217"/>
      <c r="G15" s="217"/>
      <c r="H15" s="217"/>
      <c r="I15" s="298"/>
      <c r="J15" s="217"/>
      <c r="K15" s="298"/>
      <c r="L15" s="217"/>
      <c r="M15" s="217"/>
      <c r="N15" s="217"/>
      <c r="O15" s="217"/>
      <c r="P15" s="217"/>
      <c r="Q15" s="217"/>
      <c r="R15" s="217"/>
      <c r="S15" s="217"/>
      <c r="T15" s="217"/>
    </row>
    <row r="16" spans="1:20">
      <c r="B16" s="245">
        <f t="shared" si="0"/>
        <v>3</v>
      </c>
      <c r="C16" s="231"/>
      <c r="D16" s="231"/>
      <c r="E16" s="217"/>
      <c r="F16" s="217"/>
      <c r="G16" s="217"/>
      <c r="H16" s="217"/>
      <c r="I16" s="298"/>
      <c r="J16" s="217"/>
      <c r="K16" s="298"/>
      <c r="L16" s="217"/>
      <c r="M16" s="217"/>
      <c r="N16" s="217"/>
      <c r="O16" s="217"/>
      <c r="P16" s="217"/>
      <c r="Q16" s="217"/>
      <c r="R16" s="217"/>
      <c r="S16" s="217"/>
      <c r="T16" s="217"/>
    </row>
    <row r="17" spans="2:20">
      <c r="B17" s="245">
        <f t="shared" si="0"/>
        <v>4</v>
      </c>
      <c r="C17" s="231"/>
      <c r="D17" s="231"/>
      <c r="E17" s="217"/>
      <c r="F17" s="217"/>
      <c r="G17" s="217"/>
      <c r="H17" s="217"/>
      <c r="I17" s="217"/>
      <c r="J17" s="217"/>
      <c r="K17" s="217"/>
      <c r="L17" s="217"/>
      <c r="M17" s="217"/>
      <c r="N17" s="217"/>
      <c r="O17" s="217"/>
      <c r="P17" s="217"/>
      <c r="Q17" s="217"/>
      <c r="R17" s="217"/>
      <c r="S17" s="217"/>
      <c r="T17" s="217"/>
    </row>
    <row r="18" spans="2:20">
      <c r="B18" s="245">
        <f t="shared" si="0"/>
        <v>5</v>
      </c>
      <c r="C18" s="231"/>
      <c r="D18" s="231"/>
      <c r="E18" s="217"/>
      <c r="F18" s="217"/>
      <c r="G18" s="217"/>
      <c r="H18" s="217"/>
      <c r="I18" s="217"/>
      <c r="J18" s="217"/>
      <c r="K18" s="217"/>
      <c r="L18" s="217"/>
      <c r="M18" s="217"/>
      <c r="N18" s="217"/>
      <c r="O18" s="217"/>
      <c r="P18" s="217"/>
      <c r="Q18" s="217"/>
      <c r="R18" s="217"/>
      <c r="S18" s="217"/>
      <c r="T18" s="217"/>
    </row>
    <row r="19" spans="2:20">
      <c r="B19" s="245">
        <f t="shared" si="0"/>
        <v>6</v>
      </c>
      <c r="C19" s="231"/>
      <c r="D19" s="231"/>
      <c r="E19" s="217"/>
      <c r="F19" s="217"/>
      <c r="G19" s="217"/>
      <c r="H19" s="217"/>
      <c r="I19" s="217"/>
      <c r="J19" s="217"/>
      <c r="K19" s="217"/>
      <c r="L19" s="217"/>
      <c r="M19" s="217"/>
      <c r="N19" s="217"/>
      <c r="O19" s="217"/>
      <c r="P19" s="217"/>
      <c r="Q19" s="217"/>
      <c r="R19" s="217"/>
      <c r="S19" s="217"/>
      <c r="T19" s="217"/>
    </row>
    <row r="20" spans="2:20">
      <c r="B20" s="245">
        <f t="shared" si="0"/>
        <v>7</v>
      </c>
      <c r="C20" s="231"/>
      <c r="D20" s="231"/>
      <c r="E20" s="217"/>
      <c r="F20" s="217"/>
      <c r="G20" s="217"/>
      <c r="H20" s="217"/>
      <c r="I20" s="217"/>
      <c r="J20" s="217"/>
      <c r="K20" s="217"/>
      <c r="L20" s="217"/>
      <c r="M20" s="217"/>
      <c r="N20" s="217"/>
      <c r="O20" s="217"/>
      <c r="P20" s="217"/>
      <c r="Q20" s="217"/>
      <c r="R20" s="217"/>
      <c r="S20" s="217"/>
      <c r="T20" s="217"/>
    </row>
    <row r="21" spans="2:20">
      <c r="B21" s="245">
        <f t="shared" si="0"/>
        <v>8</v>
      </c>
      <c r="C21" s="231"/>
      <c r="D21" s="231"/>
      <c r="E21" s="217"/>
      <c r="F21" s="217"/>
      <c r="G21" s="217"/>
      <c r="H21" s="217"/>
      <c r="I21" s="217"/>
      <c r="J21" s="217"/>
      <c r="K21" s="217"/>
      <c r="L21" s="217"/>
      <c r="M21" s="217"/>
      <c r="N21" s="217"/>
      <c r="O21" s="217"/>
      <c r="P21" s="217"/>
      <c r="Q21" s="217"/>
      <c r="R21" s="217"/>
      <c r="S21" s="217"/>
      <c r="T21" s="217"/>
    </row>
    <row r="22" spans="2:20">
      <c r="B22" s="245">
        <f t="shared" si="0"/>
        <v>9</v>
      </c>
      <c r="C22" s="231"/>
      <c r="D22" s="231"/>
      <c r="E22" s="217"/>
      <c r="F22" s="217"/>
      <c r="G22" s="217"/>
      <c r="H22" s="217"/>
      <c r="I22" s="217"/>
      <c r="J22" s="217"/>
      <c r="K22" s="217"/>
      <c r="L22" s="217"/>
      <c r="M22" s="217"/>
      <c r="N22" s="217"/>
      <c r="O22" s="217"/>
      <c r="P22" s="217"/>
      <c r="Q22" s="217"/>
      <c r="R22" s="217"/>
      <c r="S22" s="217"/>
      <c r="T22" s="217"/>
    </row>
    <row r="23" spans="2:20">
      <c r="B23" s="245">
        <f t="shared" si="0"/>
        <v>10</v>
      </c>
      <c r="C23" s="231"/>
      <c r="D23" s="231"/>
      <c r="E23" s="217"/>
      <c r="F23" s="217"/>
      <c r="G23" s="217"/>
      <c r="H23" s="217"/>
      <c r="I23" s="217"/>
      <c r="J23" s="217"/>
      <c r="K23" s="217"/>
      <c r="L23" s="217"/>
      <c r="M23" s="217"/>
      <c r="N23" s="217"/>
      <c r="O23" s="217"/>
      <c r="P23" s="217"/>
      <c r="Q23" s="217"/>
      <c r="R23" s="217"/>
      <c r="S23" s="217"/>
      <c r="T23" s="217"/>
    </row>
    <row r="24" spans="2:20">
      <c r="B24" s="245">
        <f t="shared" si="0"/>
        <v>11</v>
      </c>
      <c r="C24" s="231"/>
      <c r="D24" s="231"/>
      <c r="E24" s="217"/>
      <c r="F24" s="217"/>
      <c r="G24" s="217"/>
      <c r="H24" s="217"/>
      <c r="I24" s="217"/>
      <c r="J24" s="217"/>
      <c r="K24" s="217"/>
      <c r="L24" s="217"/>
      <c r="M24" s="217"/>
      <c r="N24" s="217"/>
      <c r="O24" s="217"/>
      <c r="P24" s="217"/>
      <c r="Q24" s="217"/>
      <c r="R24" s="217"/>
      <c r="S24" s="217"/>
      <c r="T24" s="217"/>
    </row>
    <row r="25" spans="2:20">
      <c r="B25" s="245">
        <f t="shared" si="0"/>
        <v>12</v>
      </c>
      <c r="C25" s="231"/>
      <c r="D25" s="231"/>
      <c r="E25" s="217"/>
      <c r="F25" s="217"/>
      <c r="G25" s="217"/>
      <c r="H25" s="217"/>
      <c r="I25" s="298"/>
      <c r="J25" s="217"/>
      <c r="K25" s="298"/>
      <c r="L25" s="217"/>
      <c r="M25" s="217"/>
      <c r="N25" s="217"/>
      <c r="O25" s="217"/>
      <c r="P25" s="217"/>
      <c r="Q25" s="217"/>
      <c r="R25" s="217"/>
      <c r="S25" s="217"/>
      <c r="T25" s="217"/>
    </row>
    <row r="26" spans="2:20">
      <c r="B26" s="245">
        <f t="shared" si="0"/>
        <v>13</v>
      </c>
      <c r="C26" s="231"/>
      <c r="D26" s="231"/>
      <c r="E26" s="217"/>
      <c r="F26" s="217"/>
      <c r="G26" s="217"/>
      <c r="H26" s="217"/>
      <c r="I26" s="217"/>
      <c r="J26" s="217"/>
      <c r="K26" s="217"/>
      <c r="L26" s="217"/>
      <c r="M26" s="217"/>
      <c r="N26" s="217"/>
      <c r="O26" s="217"/>
      <c r="P26" s="217"/>
      <c r="Q26" s="217"/>
      <c r="R26" s="217"/>
      <c r="S26" s="217"/>
      <c r="T26" s="217"/>
    </row>
    <row r="27" spans="2:20">
      <c r="B27" s="245">
        <f t="shared" si="0"/>
        <v>14</v>
      </c>
      <c r="C27" s="231"/>
      <c r="D27" s="231"/>
      <c r="E27" s="217"/>
      <c r="F27" s="217"/>
      <c r="G27" s="217"/>
      <c r="H27" s="217"/>
      <c r="I27" s="217"/>
      <c r="J27" s="217"/>
      <c r="K27" s="217"/>
      <c r="L27" s="217"/>
      <c r="M27" s="217"/>
      <c r="N27" s="217"/>
      <c r="O27" s="217"/>
      <c r="P27" s="217"/>
      <c r="Q27" s="217"/>
      <c r="R27" s="217"/>
      <c r="S27" s="217"/>
      <c r="T27" s="217"/>
    </row>
    <row r="28" spans="2:20">
      <c r="B28" s="245">
        <f t="shared" si="0"/>
        <v>15</v>
      </c>
      <c r="C28" s="231"/>
      <c r="D28" s="231"/>
      <c r="E28" s="217"/>
      <c r="F28" s="217"/>
      <c r="G28" s="217"/>
      <c r="H28" s="217"/>
      <c r="I28" s="217"/>
      <c r="J28" s="217"/>
      <c r="K28" s="217"/>
      <c r="L28" s="217"/>
      <c r="M28" s="217"/>
      <c r="N28" s="217"/>
      <c r="O28" s="217"/>
      <c r="P28" s="217"/>
      <c r="Q28" s="217"/>
      <c r="R28" s="217"/>
      <c r="S28" s="217"/>
      <c r="T28" s="217"/>
    </row>
    <row r="29" spans="2:20">
      <c r="B29" s="245">
        <f t="shared" si="0"/>
        <v>16</v>
      </c>
      <c r="C29" s="231"/>
      <c r="D29" s="231"/>
      <c r="E29" s="217"/>
      <c r="F29" s="217"/>
      <c r="G29" s="217"/>
      <c r="H29" s="217"/>
      <c r="I29" s="217"/>
      <c r="J29" s="217"/>
      <c r="K29" s="217"/>
      <c r="L29" s="217"/>
      <c r="M29" s="217"/>
      <c r="N29" s="217"/>
      <c r="O29" s="217"/>
      <c r="P29" s="217"/>
      <c r="Q29" s="217"/>
      <c r="R29" s="217"/>
      <c r="S29" s="217"/>
      <c r="T29" s="217"/>
    </row>
    <row r="30" spans="2:20">
      <c r="B30" s="245">
        <f t="shared" si="0"/>
        <v>17</v>
      </c>
      <c r="C30" s="231"/>
      <c r="D30" s="231"/>
      <c r="E30" s="217"/>
      <c r="F30" s="217"/>
      <c r="G30" s="217"/>
      <c r="H30" s="217"/>
      <c r="I30" s="217"/>
      <c r="J30" s="217"/>
      <c r="K30" s="217"/>
      <c r="L30" s="217"/>
      <c r="M30" s="217"/>
      <c r="N30" s="217"/>
      <c r="O30" s="217"/>
      <c r="P30" s="217"/>
      <c r="Q30" s="217"/>
      <c r="R30" s="217"/>
      <c r="S30" s="217"/>
      <c r="T30" s="217"/>
    </row>
    <row r="31" spans="2:20">
      <c r="B31" s="245">
        <f t="shared" si="0"/>
        <v>18</v>
      </c>
      <c r="C31" s="231"/>
      <c r="D31" s="231"/>
      <c r="E31" s="217"/>
      <c r="F31" s="217"/>
      <c r="G31" s="217"/>
      <c r="H31" s="217"/>
      <c r="I31" s="217"/>
      <c r="J31" s="217"/>
      <c r="K31" s="217"/>
      <c r="L31" s="217"/>
      <c r="M31" s="217"/>
      <c r="N31" s="217"/>
      <c r="O31" s="217"/>
      <c r="P31" s="217"/>
      <c r="Q31" s="217"/>
      <c r="R31" s="217"/>
      <c r="S31" s="217"/>
      <c r="T31" s="217"/>
    </row>
    <row r="32" spans="2:20">
      <c r="B32" s="245">
        <f t="shared" si="0"/>
        <v>19</v>
      </c>
      <c r="C32" s="231"/>
      <c r="D32" s="231"/>
      <c r="E32" s="217"/>
      <c r="F32" s="217"/>
      <c r="G32" s="217"/>
      <c r="H32" s="217"/>
      <c r="I32" s="217"/>
      <c r="J32" s="217"/>
      <c r="K32" s="217"/>
      <c r="L32" s="217"/>
      <c r="M32" s="217"/>
      <c r="N32" s="217"/>
      <c r="O32" s="217"/>
      <c r="P32" s="217"/>
      <c r="Q32" s="217"/>
      <c r="R32" s="217"/>
      <c r="S32" s="217"/>
      <c r="T32" s="217"/>
    </row>
    <row r="33" spans="2:20">
      <c r="B33" s="245">
        <f t="shared" si="0"/>
        <v>20</v>
      </c>
      <c r="C33" s="231"/>
      <c r="D33" s="231"/>
      <c r="E33" s="217"/>
      <c r="F33" s="217"/>
      <c r="G33" s="217"/>
      <c r="H33" s="217"/>
      <c r="I33" s="217"/>
      <c r="J33" s="217"/>
      <c r="K33" s="217"/>
      <c r="L33" s="217"/>
      <c r="M33" s="217"/>
      <c r="N33" s="217"/>
      <c r="O33" s="217"/>
      <c r="P33" s="217"/>
      <c r="Q33" s="217"/>
      <c r="R33" s="217"/>
      <c r="S33" s="217"/>
      <c r="T33" s="217"/>
    </row>
    <row r="34" spans="2:20">
      <c r="B34" s="245">
        <f t="shared" si="0"/>
        <v>21</v>
      </c>
      <c r="C34" s="231"/>
      <c r="D34" s="231"/>
      <c r="E34" s="217"/>
      <c r="F34" s="217"/>
      <c r="G34" s="217"/>
      <c r="H34" s="217"/>
      <c r="I34" s="217"/>
      <c r="J34" s="217"/>
      <c r="K34" s="217"/>
      <c r="L34" s="217"/>
      <c r="M34" s="217"/>
      <c r="N34" s="217"/>
      <c r="O34" s="217"/>
      <c r="P34" s="217"/>
      <c r="Q34" s="217"/>
      <c r="R34" s="217"/>
      <c r="S34" s="217"/>
      <c r="T34" s="217"/>
    </row>
    <row r="35" spans="2:20">
      <c r="B35" s="245">
        <f t="shared" si="0"/>
        <v>22</v>
      </c>
      <c r="C35" s="231"/>
      <c r="D35" s="231"/>
      <c r="E35" s="217"/>
      <c r="F35" s="217"/>
      <c r="G35" s="217"/>
      <c r="H35" s="217"/>
      <c r="I35" s="298"/>
      <c r="J35" s="217"/>
      <c r="K35" s="298"/>
      <c r="L35" s="217"/>
      <c r="M35" s="217"/>
      <c r="N35" s="217"/>
      <c r="O35" s="217"/>
      <c r="P35" s="217"/>
      <c r="Q35" s="217"/>
      <c r="R35" s="217"/>
      <c r="S35" s="217"/>
      <c r="T35" s="217"/>
    </row>
    <row r="36" spans="2:20">
      <c r="B36" s="245">
        <f t="shared" si="0"/>
        <v>23</v>
      </c>
      <c r="C36" s="231"/>
      <c r="D36" s="231"/>
      <c r="E36" s="217"/>
      <c r="F36" s="217"/>
      <c r="G36" s="217"/>
      <c r="H36" s="217"/>
      <c r="I36" s="217"/>
      <c r="J36" s="217"/>
      <c r="K36" s="217"/>
      <c r="L36" s="217"/>
      <c r="M36" s="217"/>
      <c r="N36" s="217"/>
      <c r="O36" s="217"/>
      <c r="P36" s="217"/>
      <c r="Q36" s="217"/>
      <c r="R36" s="217"/>
      <c r="S36" s="217"/>
      <c r="T36" s="217"/>
    </row>
    <row r="37" spans="2:20">
      <c r="B37" s="245">
        <f t="shared" si="0"/>
        <v>24</v>
      </c>
      <c r="C37" s="231"/>
      <c r="D37" s="231"/>
      <c r="E37" s="217"/>
      <c r="F37" s="217"/>
      <c r="G37" s="217"/>
      <c r="H37" s="217"/>
      <c r="I37" s="217"/>
      <c r="J37" s="217"/>
      <c r="K37" s="217"/>
      <c r="L37" s="217"/>
      <c r="M37" s="217"/>
      <c r="N37" s="217"/>
      <c r="O37" s="217"/>
      <c r="P37" s="217"/>
      <c r="Q37" s="217"/>
      <c r="R37" s="217"/>
      <c r="S37" s="217"/>
      <c r="T37" s="217"/>
    </row>
    <row r="38" spans="2:20">
      <c r="B38" s="245">
        <f t="shared" si="0"/>
        <v>25</v>
      </c>
      <c r="C38" s="231"/>
      <c r="D38" s="231"/>
      <c r="E38" s="217"/>
      <c r="F38" s="217"/>
      <c r="G38" s="217"/>
      <c r="H38" s="217"/>
      <c r="I38" s="217"/>
      <c r="J38" s="217"/>
      <c r="K38" s="217"/>
      <c r="L38" s="217"/>
      <c r="M38" s="217"/>
      <c r="N38" s="217"/>
      <c r="O38" s="217"/>
      <c r="P38" s="217"/>
      <c r="Q38" s="217"/>
      <c r="R38" s="217"/>
      <c r="S38" s="217"/>
      <c r="T38" s="217"/>
    </row>
    <row r="39" spans="2:20">
      <c r="B39" s="245">
        <f t="shared" si="0"/>
        <v>26</v>
      </c>
      <c r="C39" s="231"/>
      <c r="D39" s="231"/>
      <c r="E39" s="217"/>
      <c r="F39" s="217"/>
      <c r="G39" s="217"/>
      <c r="H39" s="217"/>
      <c r="I39" s="217"/>
      <c r="J39" s="217"/>
      <c r="K39" s="217"/>
      <c r="L39" s="217"/>
      <c r="M39" s="217"/>
      <c r="N39" s="217"/>
      <c r="O39" s="217"/>
      <c r="P39" s="217"/>
      <c r="Q39" s="217"/>
      <c r="R39" s="217"/>
      <c r="S39" s="217"/>
      <c r="T39" s="217"/>
    </row>
    <row r="40" spans="2:20">
      <c r="B40" s="245">
        <f t="shared" si="0"/>
        <v>27</v>
      </c>
      <c r="C40" s="231"/>
      <c r="D40" s="231"/>
      <c r="E40" s="217"/>
      <c r="F40" s="217"/>
      <c r="G40" s="217"/>
      <c r="H40" s="217"/>
      <c r="I40" s="217"/>
      <c r="J40" s="217"/>
      <c r="K40" s="217"/>
      <c r="L40" s="217"/>
      <c r="M40" s="217"/>
      <c r="N40" s="217"/>
      <c r="O40" s="217"/>
      <c r="P40" s="217"/>
      <c r="Q40" s="217"/>
      <c r="R40" s="217"/>
      <c r="S40" s="217"/>
      <c r="T40" s="217"/>
    </row>
    <row r="41" spans="2:20">
      <c r="B41" s="245">
        <f t="shared" si="0"/>
        <v>28</v>
      </c>
      <c r="C41" s="231"/>
      <c r="D41" s="231"/>
      <c r="E41" s="217"/>
      <c r="F41" s="217"/>
      <c r="G41" s="217"/>
      <c r="H41" s="217"/>
      <c r="I41" s="217"/>
      <c r="J41" s="217"/>
      <c r="K41" s="217"/>
      <c r="L41" s="217"/>
      <c r="M41" s="217"/>
      <c r="N41" s="217"/>
      <c r="O41" s="217"/>
      <c r="P41" s="217"/>
      <c r="Q41" s="217"/>
      <c r="R41" s="217"/>
      <c r="S41" s="217"/>
      <c r="T41" s="217"/>
    </row>
    <row r="42" spans="2:20">
      <c r="B42" s="245">
        <f t="shared" si="0"/>
        <v>29</v>
      </c>
      <c r="C42" s="231"/>
      <c r="D42" s="231"/>
      <c r="E42" s="217"/>
      <c r="F42" s="217"/>
      <c r="G42" s="217"/>
      <c r="H42" s="217"/>
      <c r="I42" s="217"/>
      <c r="J42" s="217"/>
      <c r="K42" s="217"/>
      <c r="L42" s="217"/>
      <c r="M42" s="217"/>
      <c r="N42" s="217"/>
      <c r="O42" s="217"/>
      <c r="P42" s="217"/>
      <c r="Q42" s="217"/>
      <c r="R42" s="217"/>
      <c r="S42" s="217"/>
      <c r="T42" s="217"/>
    </row>
    <row r="43" spans="2:20">
      <c r="B43" s="245">
        <f t="shared" si="0"/>
        <v>30</v>
      </c>
      <c r="C43" s="231"/>
      <c r="D43" s="231"/>
      <c r="E43" s="217"/>
      <c r="F43" s="217"/>
      <c r="G43" s="217"/>
      <c r="H43" s="217"/>
      <c r="I43" s="217"/>
      <c r="J43" s="217"/>
      <c r="K43" s="217"/>
      <c r="L43" s="217"/>
      <c r="M43" s="217"/>
      <c r="N43" s="217"/>
      <c r="O43" s="217"/>
      <c r="P43" s="217"/>
      <c r="Q43" s="217"/>
      <c r="R43" s="217"/>
      <c r="S43" s="217"/>
      <c r="T43" s="217"/>
    </row>
    <row r="44" spans="2:20">
      <c r="B44" s="245">
        <f t="shared" si="0"/>
        <v>31</v>
      </c>
      <c r="C44" s="231"/>
      <c r="D44" s="231"/>
      <c r="E44" s="217"/>
      <c r="F44" s="217"/>
      <c r="G44" s="217"/>
      <c r="H44" s="217"/>
      <c r="I44" s="217"/>
      <c r="J44" s="217"/>
      <c r="K44" s="217"/>
      <c r="L44" s="217"/>
      <c r="M44" s="217"/>
      <c r="N44" s="217"/>
      <c r="O44" s="217"/>
      <c r="P44" s="217"/>
      <c r="Q44" s="217"/>
      <c r="R44" s="217"/>
      <c r="S44" s="217"/>
      <c r="T44" s="217"/>
    </row>
    <row r="45" spans="2:20">
      <c r="B45" s="245">
        <f t="shared" si="0"/>
        <v>32</v>
      </c>
      <c r="C45" s="231"/>
      <c r="D45" s="231"/>
      <c r="E45" s="217"/>
      <c r="F45" s="217"/>
      <c r="G45" s="217"/>
      <c r="H45" s="217"/>
      <c r="I45" s="298"/>
      <c r="J45" s="217"/>
      <c r="K45" s="298"/>
      <c r="L45" s="217"/>
      <c r="M45" s="217"/>
      <c r="N45" s="217"/>
      <c r="O45" s="217"/>
      <c r="P45" s="217"/>
      <c r="Q45" s="217"/>
      <c r="R45" s="217"/>
      <c r="S45" s="217"/>
      <c r="T45" s="217"/>
    </row>
    <row r="46" spans="2:20">
      <c r="B46" s="245">
        <f t="shared" si="0"/>
        <v>33</v>
      </c>
      <c r="C46" s="231"/>
      <c r="D46" s="231"/>
      <c r="E46" s="217"/>
      <c r="F46" s="217"/>
      <c r="G46" s="217"/>
      <c r="H46" s="217"/>
      <c r="I46" s="217"/>
      <c r="J46" s="217"/>
      <c r="K46" s="217"/>
      <c r="L46" s="217"/>
      <c r="M46" s="217"/>
      <c r="N46" s="217"/>
      <c r="O46" s="217"/>
      <c r="P46" s="217"/>
      <c r="Q46" s="217"/>
      <c r="R46" s="217"/>
      <c r="S46" s="217"/>
      <c r="T46" s="217"/>
    </row>
    <row r="47" spans="2:20">
      <c r="B47" s="245">
        <f t="shared" si="0"/>
        <v>34</v>
      </c>
      <c r="C47" s="231"/>
      <c r="D47" s="231"/>
      <c r="E47" s="217"/>
      <c r="F47" s="217"/>
      <c r="G47" s="217"/>
      <c r="H47" s="217"/>
      <c r="I47" s="217"/>
      <c r="J47" s="217"/>
      <c r="K47" s="217"/>
      <c r="L47" s="217"/>
      <c r="M47" s="217"/>
      <c r="N47" s="217"/>
      <c r="O47" s="217"/>
      <c r="P47" s="217"/>
      <c r="Q47" s="217"/>
      <c r="R47" s="217"/>
      <c r="S47" s="217"/>
      <c r="T47" s="217"/>
    </row>
    <row r="48" spans="2:20">
      <c r="B48" s="245">
        <f t="shared" si="0"/>
        <v>35</v>
      </c>
      <c r="C48" s="231"/>
      <c r="D48" s="231"/>
      <c r="E48" s="217"/>
      <c r="F48" s="217"/>
      <c r="G48" s="217"/>
      <c r="H48" s="217"/>
      <c r="I48" s="217"/>
      <c r="J48" s="217"/>
      <c r="K48" s="217"/>
      <c r="L48" s="217"/>
      <c r="M48" s="217"/>
      <c r="N48" s="217"/>
      <c r="O48" s="217"/>
      <c r="P48" s="217"/>
      <c r="Q48" s="217"/>
      <c r="R48" s="217"/>
      <c r="S48" s="217"/>
      <c r="T48" s="217"/>
    </row>
    <row r="49" spans="2:20">
      <c r="B49" s="245">
        <f t="shared" si="0"/>
        <v>36</v>
      </c>
      <c r="C49" s="231"/>
      <c r="D49" s="231"/>
      <c r="E49" s="217"/>
      <c r="F49" s="217"/>
      <c r="G49" s="217"/>
      <c r="H49" s="217"/>
      <c r="I49" s="217"/>
      <c r="J49" s="217"/>
      <c r="K49" s="217"/>
      <c r="L49" s="217"/>
      <c r="M49" s="217"/>
      <c r="N49" s="217"/>
      <c r="O49" s="217"/>
      <c r="P49" s="217"/>
      <c r="Q49" s="217"/>
      <c r="R49" s="217"/>
      <c r="S49" s="217"/>
      <c r="T49" s="217"/>
    </row>
    <row r="50" spans="2:20">
      <c r="B50" s="245">
        <f t="shared" si="0"/>
        <v>37</v>
      </c>
      <c r="C50" s="231"/>
      <c r="D50" s="231"/>
      <c r="E50" s="217"/>
      <c r="F50" s="217"/>
      <c r="G50" s="217"/>
      <c r="H50" s="217"/>
      <c r="I50" s="217"/>
      <c r="J50" s="217"/>
      <c r="K50" s="217"/>
      <c r="L50" s="217"/>
      <c r="M50" s="217"/>
      <c r="N50" s="217"/>
      <c r="O50" s="217"/>
      <c r="P50" s="217"/>
      <c r="Q50" s="217"/>
      <c r="R50" s="217"/>
      <c r="S50" s="217"/>
      <c r="T50" s="217"/>
    </row>
    <row r="51" spans="2:20">
      <c r="B51" s="245">
        <f t="shared" si="0"/>
        <v>38</v>
      </c>
      <c r="C51" s="231"/>
      <c r="D51" s="231"/>
      <c r="E51" s="217"/>
      <c r="F51" s="217"/>
      <c r="G51" s="217"/>
      <c r="H51" s="217"/>
      <c r="I51" s="217"/>
      <c r="J51" s="217"/>
      <c r="K51" s="217"/>
      <c r="L51" s="217"/>
      <c r="M51" s="217"/>
      <c r="N51" s="217"/>
      <c r="O51" s="217"/>
      <c r="P51" s="217"/>
      <c r="Q51" s="217"/>
      <c r="R51" s="217"/>
      <c r="S51" s="217"/>
      <c r="T51" s="217"/>
    </row>
    <row r="52" spans="2:20">
      <c r="B52" s="245">
        <f t="shared" si="0"/>
        <v>39</v>
      </c>
      <c r="C52" s="231"/>
      <c r="D52" s="231"/>
      <c r="E52" s="217"/>
      <c r="F52" s="217"/>
      <c r="G52" s="217"/>
      <c r="H52" s="217"/>
      <c r="I52" s="217"/>
      <c r="J52" s="217"/>
      <c r="K52" s="217"/>
      <c r="L52" s="217"/>
      <c r="M52" s="217"/>
      <c r="N52" s="217"/>
      <c r="O52" s="217"/>
      <c r="P52" s="217"/>
      <c r="Q52" s="217"/>
      <c r="R52" s="217"/>
      <c r="S52" s="217"/>
      <c r="T52" s="217"/>
    </row>
    <row r="53" spans="2:20">
      <c r="B53" s="245">
        <f t="shared" si="0"/>
        <v>40</v>
      </c>
      <c r="C53" s="231"/>
      <c r="D53" s="231"/>
      <c r="E53" s="217"/>
      <c r="F53" s="217"/>
      <c r="G53" s="217"/>
      <c r="H53" s="217"/>
      <c r="I53" s="217"/>
      <c r="J53" s="217"/>
      <c r="K53" s="217"/>
      <c r="L53" s="217"/>
      <c r="M53" s="217"/>
      <c r="N53" s="217"/>
      <c r="O53" s="217"/>
      <c r="P53" s="217"/>
      <c r="Q53" s="217"/>
      <c r="R53" s="217"/>
      <c r="S53" s="217"/>
      <c r="T53" s="217"/>
    </row>
  </sheetData>
  <sheetProtection insertRows="0" deleteRows="0" sort="0" autoFilter="0"/>
  <mergeCells count="1">
    <mergeCell ref="B4:B7"/>
  </mergeCells>
  <phoneticPr fontId="14"/>
  <hyperlinks>
    <hyperlink ref="A3" location="パラメータ設定一覧!A1" display="パラメータ設定一覧へ" xr:uid="{3103AA41-F88E-447F-A6A6-D61EA9DA731A}"/>
  </hyperlinks>
  <pageMargins left="0.7" right="0.7" top="0.75" bottom="0.75" header="0.3" footer="0.3"/>
  <pageSetup paperSize="9" orientation="portrait" verticalDpi="0"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736B0-7AE1-48DC-8981-99ECEEFAC3E3}">
  <sheetPr codeName="Sheet56"/>
  <dimension ref="A1:L7"/>
  <sheetViews>
    <sheetView showGridLines="0" zoomScaleNormal="100" workbookViewId="0">
      <pane xSplit="6" ySplit="5" topLeftCell="G6" activePane="bottomRight" state="frozen"/>
      <selection activeCell="A8" sqref="A8"/>
      <selection pane="topRight" activeCell="A8" sqref="A8"/>
      <selection pane="bottomLeft" activeCell="A8" sqref="A8"/>
      <selection pane="bottomRight" activeCell="G6" sqref="G6"/>
    </sheetView>
  </sheetViews>
  <sheetFormatPr defaultColWidth="8.78515625" defaultRowHeight="13.5"/>
  <cols>
    <col min="1" max="1" width="2.78515625" style="46" customWidth="1"/>
    <col min="2" max="2" width="3.42578125" style="46" customWidth="1"/>
    <col min="3" max="3" width="14" style="46" customWidth="1"/>
    <col min="4" max="4" width="10.2109375" style="46" customWidth="1"/>
    <col min="5" max="5" width="22.5703125" style="46" customWidth="1"/>
    <col min="6" max="6" width="19" style="46" customWidth="1"/>
    <col min="7" max="7" width="21.2109375" style="46" customWidth="1"/>
    <col min="8" max="8" width="22.2109375" style="46" customWidth="1"/>
    <col min="9" max="9" width="16.2109375" style="46" customWidth="1"/>
    <col min="10" max="10" width="16.5703125" style="46" customWidth="1"/>
    <col min="11" max="11" width="18.2109375" style="46" customWidth="1"/>
    <col min="12" max="12" width="13.2109375" style="46" customWidth="1"/>
    <col min="13" max="16384" width="8.78515625" style="46"/>
  </cols>
  <sheetData>
    <row r="1" spans="1:12" customFormat="1" ht="19.5">
      <c r="A1" s="99" t="s">
        <v>1594</v>
      </c>
    </row>
    <row r="2" spans="1:12" customFormat="1" ht="19.5">
      <c r="A2" s="99"/>
      <c r="B2" t="s">
        <v>1593</v>
      </c>
    </row>
    <row r="3" spans="1:12" customFormat="1" ht="15">
      <c r="B3" t="s">
        <v>1592</v>
      </c>
    </row>
    <row r="4" spans="1:12" customFormat="1" ht="15">
      <c r="A4" s="10" t="s">
        <v>363</v>
      </c>
    </row>
    <row r="5" spans="1:12">
      <c r="B5" s="11" t="s">
        <v>1</v>
      </c>
      <c r="C5" s="12" t="s">
        <v>9</v>
      </c>
      <c r="D5" s="12" t="s">
        <v>10</v>
      </c>
      <c r="E5" s="12" t="s">
        <v>11</v>
      </c>
      <c r="F5" s="13" t="s">
        <v>12</v>
      </c>
      <c r="G5" s="13" t="s">
        <v>498</v>
      </c>
      <c r="H5" s="12" t="s">
        <v>14</v>
      </c>
      <c r="I5" s="12" t="s">
        <v>15</v>
      </c>
      <c r="J5" s="11" t="s">
        <v>16</v>
      </c>
      <c r="K5" s="14" t="s">
        <v>17</v>
      </c>
      <c r="L5" s="14" t="s">
        <v>18</v>
      </c>
    </row>
    <row r="6" spans="1:12" ht="148.5">
      <c r="B6" s="15">
        <f>ROW() - 5</f>
        <v>1</v>
      </c>
      <c r="C6" s="433" t="s">
        <v>1591</v>
      </c>
      <c r="D6" s="16"/>
      <c r="E6" s="16"/>
      <c r="F6" s="17" t="s">
        <v>1590</v>
      </c>
      <c r="G6" s="17"/>
      <c r="H6" s="17" t="s">
        <v>1589</v>
      </c>
      <c r="I6" s="17" t="s">
        <v>21</v>
      </c>
      <c r="J6" s="17"/>
      <c r="K6" s="147"/>
      <c r="L6" s="3"/>
    </row>
    <row r="7" spans="1:12">
      <c r="B7" s="15">
        <f>ROW() - 5</f>
        <v>2</v>
      </c>
      <c r="C7" s="435"/>
      <c r="D7" s="19"/>
      <c r="E7" s="19"/>
      <c r="F7" s="17" t="s">
        <v>1555</v>
      </c>
      <c r="G7" s="17" t="s">
        <v>872</v>
      </c>
      <c r="H7" s="17" t="s">
        <v>905</v>
      </c>
      <c r="I7" s="17" t="s">
        <v>21</v>
      </c>
      <c r="J7" s="17"/>
      <c r="K7" s="147"/>
      <c r="L7" s="3"/>
    </row>
  </sheetData>
  <mergeCells count="1">
    <mergeCell ref="C6:C7"/>
  </mergeCells>
  <phoneticPr fontId="14"/>
  <hyperlinks>
    <hyperlink ref="A4" location="パラメータ設定一覧!A1" display="パラメータ設定一覧へ" xr:uid="{73547962-40F3-414F-9041-57C1CB2D02DA}"/>
  </hyperlinks>
  <pageMargins left="0.7" right="0.7" top="0.75" bottom="0.75" header="0.3" footer="0.3"/>
  <pageSetup paperSize="9" orientation="portrait" verticalDpi="0"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0E301-9AEE-4D10-8EB9-204F45174726}">
  <sheetPr codeName="Sheet57"/>
  <dimension ref="A1:D13"/>
  <sheetViews>
    <sheetView showGridLines="0" zoomScaleNormal="100" workbookViewId="0">
      <pane ySplit="8" topLeftCell="A9" activePane="bottomLeft" state="frozen"/>
      <selection activeCell="A8" sqref="A8"/>
      <selection pane="bottomLeft" activeCell="A9" sqref="A9"/>
    </sheetView>
  </sheetViews>
  <sheetFormatPr defaultColWidth="8.78515625" defaultRowHeight="13.5"/>
  <cols>
    <col min="1" max="1" width="2.78515625" style="46" customWidth="1"/>
    <col min="2" max="2" width="3.5703125" style="46" bestFit="1" customWidth="1"/>
    <col min="3" max="3" width="17.78515625" style="46" customWidth="1"/>
    <col min="4" max="4" width="24.2109375" style="46" customWidth="1"/>
    <col min="5" max="16384" width="8.78515625" style="46"/>
  </cols>
  <sheetData>
    <row r="1" spans="1:4" customFormat="1" ht="19.5">
      <c r="A1" s="99" t="s">
        <v>1597</v>
      </c>
    </row>
    <row r="2" spans="1:4" customFormat="1" ht="15">
      <c r="A2" s="196" t="s">
        <v>2668</v>
      </c>
    </row>
    <row r="3" spans="1:4" customFormat="1" ht="15">
      <c r="A3" s="10" t="s">
        <v>363</v>
      </c>
    </row>
    <row r="4" spans="1:4" ht="15.75" customHeight="1">
      <c r="B4" s="440" t="s">
        <v>1</v>
      </c>
      <c r="C4" s="277" t="s">
        <v>1596</v>
      </c>
      <c r="D4" s="278"/>
    </row>
    <row r="5" spans="1:4">
      <c r="B5" s="440"/>
      <c r="C5" s="282"/>
      <c r="D5" s="283"/>
    </row>
    <row r="6" spans="1:4">
      <c r="B6" s="440"/>
      <c r="C6" s="69" t="s">
        <v>1590</v>
      </c>
      <c r="D6" s="69" t="s">
        <v>1555</v>
      </c>
    </row>
    <row r="7" spans="1:4">
      <c r="B7" s="440"/>
      <c r="C7" s="8" t="s">
        <v>1595</v>
      </c>
      <c r="D7" s="8" t="s">
        <v>905</v>
      </c>
    </row>
    <row r="8" spans="1:4">
      <c r="B8" s="440"/>
      <c r="C8" s="8" t="s">
        <v>2667</v>
      </c>
      <c r="D8" s="8" t="s">
        <v>2667</v>
      </c>
    </row>
    <row r="9" spans="1:4">
      <c r="B9" s="245">
        <f>ROW() - 8</f>
        <v>1</v>
      </c>
      <c r="C9" s="163"/>
      <c r="D9" s="217"/>
    </row>
    <row r="10" spans="1:4">
      <c r="B10" s="245">
        <f t="shared" ref="B10:B13" si="0">ROW() - 8</f>
        <v>2</v>
      </c>
      <c r="C10" s="163"/>
      <c r="D10" s="217"/>
    </row>
    <row r="11" spans="1:4">
      <c r="B11" s="245">
        <f t="shared" si="0"/>
        <v>3</v>
      </c>
      <c r="C11" s="163"/>
      <c r="D11" s="217"/>
    </row>
    <row r="12" spans="1:4">
      <c r="B12" s="245">
        <f t="shared" si="0"/>
        <v>4</v>
      </c>
      <c r="C12" s="163"/>
      <c r="D12" s="217"/>
    </row>
    <row r="13" spans="1:4">
      <c r="B13" s="245">
        <f t="shared" si="0"/>
        <v>5</v>
      </c>
      <c r="C13" s="163"/>
      <c r="D13" s="217"/>
    </row>
  </sheetData>
  <sheetProtection insertRows="0" deleteRows="0" sort="0" autoFilter="0"/>
  <mergeCells count="1">
    <mergeCell ref="B4:B8"/>
  </mergeCells>
  <phoneticPr fontId="14"/>
  <hyperlinks>
    <hyperlink ref="A3" location="パラメータ設定一覧!A1" display="パラメータ設定一覧へ" xr:uid="{5877D684-8B70-4C94-8A90-4C129B3E780E}"/>
  </hyperlinks>
  <pageMargins left="0.7" right="0.7" top="0.75" bottom="0.75" header="0.3" footer="0.3"/>
  <pageSetup paperSize="9" orientation="portrait" verticalDpi="0"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72DBA-7ABB-4167-AF9F-5357937DE0F4}">
  <sheetPr codeName="Sheet32"/>
  <dimension ref="A1:L11"/>
  <sheetViews>
    <sheetView showGridLines="0" zoomScaleNormal="100" workbookViewId="0">
      <pane xSplit="6" ySplit="5" topLeftCell="G6" activePane="bottomRight" state="frozen"/>
      <selection activeCell="A2" sqref="A2"/>
      <selection pane="topRight" activeCell="A2" sqref="A2"/>
      <selection pane="bottomLeft" activeCell="A2" sqref="A2"/>
      <selection pane="bottomRight" activeCell="G6" sqref="G6"/>
    </sheetView>
  </sheetViews>
  <sheetFormatPr defaultColWidth="8.78515625" defaultRowHeight="13.5"/>
  <cols>
    <col min="1" max="1" width="2.78515625" style="46" customWidth="1"/>
    <col min="2" max="2" width="4" style="46" bestFit="1" customWidth="1"/>
    <col min="3" max="3" width="16.78515625" style="46" customWidth="1"/>
    <col min="4" max="4" width="19.2109375" style="46" customWidth="1"/>
    <col min="5" max="5" width="8.78515625" style="46" bestFit="1" customWidth="1"/>
    <col min="6" max="6" width="21" style="46" customWidth="1"/>
    <col min="7" max="7" width="44.640625" style="46" customWidth="1"/>
    <col min="8" max="8" width="27.5703125" style="46" customWidth="1"/>
    <col min="9" max="9" width="17.42578125" style="46" customWidth="1"/>
    <col min="10" max="10" width="35.35546875" style="46" customWidth="1"/>
    <col min="11" max="11" width="18.2109375" style="242" customWidth="1"/>
    <col min="12" max="12" width="13.2109375" style="46" customWidth="1"/>
    <col min="13" max="16384" width="8.78515625" style="46"/>
  </cols>
  <sheetData>
    <row r="1" spans="1:12" customFormat="1" ht="19.5">
      <c r="A1" s="99" t="s">
        <v>882</v>
      </c>
      <c r="K1" s="60"/>
    </row>
    <row r="2" spans="1:12" customFormat="1" ht="15">
      <c r="B2" t="s">
        <v>881</v>
      </c>
      <c r="K2" s="60"/>
    </row>
    <row r="3" spans="1:12" customFormat="1" ht="15">
      <c r="B3" t="s">
        <v>880</v>
      </c>
      <c r="K3" s="60"/>
      <c r="L3" s="60"/>
    </row>
    <row r="4" spans="1:12" customFormat="1" ht="15">
      <c r="A4" s="10" t="s">
        <v>363</v>
      </c>
      <c r="K4" s="60"/>
      <c r="L4" s="60"/>
    </row>
    <row r="5" spans="1:12">
      <c r="B5" s="11" t="s">
        <v>1</v>
      </c>
      <c r="C5" s="11" t="s">
        <v>9</v>
      </c>
      <c r="D5" s="11" t="s">
        <v>10</v>
      </c>
      <c r="E5" s="11" t="s">
        <v>11</v>
      </c>
      <c r="F5" s="20" t="s">
        <v>12</v>
      </c>
      <c r="G5" s="20" t="s">
        <v>498</v>
      </c>
      <c r="H5" s="11" t="s">
        <v>14</v>
      </c>
      <c r="I5" s="11" t="s">
        <v>15</v>
      </c>
      <c r="J5" s="11" t="s">
        <v>16</v>
      </c>
      <c r="K5" s="130" t="s">
        <v>17</v>
      </c>
      <c r="L5" s="14" t="s">
        <v>18</v>
      </c>
    </row>
    <row r="6" spans="1:12" ht="40.5">
      <c r="B6" s="21">
        <f t="shared" ref="B6:B11" si="0">ROW() - 5</f>
        <v>1</v>
      </c>
      <c r="C6" s="194" t="s">
        <v>879</v>
      </c>
      <c r="D6" s="16"/>
      <c r="E6" s="194"/>
      <c r="F6" s="26" t="s">
        <v>195</v>
      </c>
      <c r="G6" s="26" t="s">
        <v>331</v>
      </c>
      <c r="H6" s="25" t="s">
        <v>877</v>
      </c>
      <c r="I6" s="26" t="s">
        <v>876</v>
      </c>
      <c r="J6" s="26"/>
      <c r="K6" s="129" t="s">
        <v>870</v>
      </c>
      <c r="L6" s="2"/>
    </row>
    <row r="7" spans="1:12" ht="81">
      <c r="B7" s="21">
        <f t="shared" si="0"/>
        <v>2</v>
      </c>
      <c r="C7" s="194"/>
      <c r="D7" s="68"/>
      <c r="E7" s="194"/>
      <c r="F7" s="26" t="s">
        <v>237</v>
      </c>
      <c r="G7" s="26" t="s">
        <v>331</v>
      </c>
      <c r="H7" s="17" t="s">
        <v>875</v>
      </c>
      <c r="I7" s="17" t="s">
        <v>21</v>
      </c>
      <c r="J7" s="17" t="s">
        <v>874</v>
      </c>
      <c r="K7" s="129" t="s">
        <v>870</v>
      </c>
      <c r="L7" s="2"/>
    </row>
    <row r="8" spans="1:12" ht="27">
      <c r="B8" s="21">
        <f t="shared" si="0"/>
        <v>3</v>
      </c>
      <c r="C8" s="194"/>
      <c r="D8" s="68"/>
      <c r="E8" s="194"/>
      <c r="F8" s="26" t="s">
        <v>873</v>
      </c>
      <c r="G8" s="26" t="s">
        <v>872</v>
      </c>
      <c r="H8" s="25" t="s">
        <v>871</v>
      </c>
      <c r="I8" s="26" t="s">
        <v>331</v>
      </c>
      <c r="J8" s="26"/>
      <c r="K8" s="129" t="s">
        <v>870</v>
      </c>
      <c r="L8" s="2"/>
    </row>
    <row r="9" spans="1:12" ht="40.5">
      <c r="B9" s="21">
        <f t="shared" si="0"/>
        <v>4</v>
      </c>
      <c r="C9" s="460" t="s">
        <v>878</v>
      </c>
      <c r="D9" s="16"/>
      <c r="E9" s="460"/>
      <c r="F9" s="26" t="s">
        <v>195</v>
      </c>
      <c r="G9" s="26" t="s">
        <v>331</v>
      </c>
      <c r="H9" s="25" t="s">
        <v>877</v>
      </c>
      <c r="I9" s="26" t="s">
        <v>876</v>
      </c>
      <c r="J9" s="26"/>
      <c r="K9" s="129" t="s">
        <v>870</v>
      </c>
      <c r="L9" s="2"/>
    </row>
    <row r="10" spans="1:12" ht="81">
      <c r="B10" s="21">
        <f t="shared" si="0"/>
        <v>5</v>
      </c>
      <c r="C10" s="461"/>
      <c r="D10" s="68"/>
      <c r="E10" s="461"/>
      <c r="F10" s="26" t="s">
        <v>237</v>
      </c>
      <c r="G10" s="26" t="s">
        <v>331</v>
      </c>
      <c r="H10" s="17" t="s">
        <v>875</v>
      </c>
      <c r="I10" s="17" t="s">
        <v>21</v>
      </c>
      <c r="J10" s="17" t="s">
        <v>874</v>
      </c>
      <c r="K10" s="129" t="s">
        <v>870</v>
      </c>
      <c r="L10" s="2"/>
    </row>
    <row r="11" spans="1:12" ht="27">
      <c r="B11" s="21">
        <f t="shared" si="0"/>
        <v>6</v>
      </c>
      <c r="C11" s="462"/>
      <c r="D11" s="19"/>
      <c r="E11" s="462"/>
      <c r="F11" s="26" t="s">
        <v>873</v>
      </c>
      <c r="G11" s="26" t="s">
        <v>872</v>
      </c>
      <c r="H11" s="25" t="s">
        <v>871</v>
      </c>
      <c r="I11" s="26" t="s">
        <v>331</v>
      </c>
      <c r="J11" s="26"/>
      <c r="K11" s="129" t="s">
        <v>870</v>
      </c>
      <c r="L11" s="2"/>
    </row>
  </sheetData>
  <mergeCells count="2">
    <mergeCell ref="E9:E11"/>
    <mergeCell ref="C9:C11"/>
  </mergeCells>
  <phoneticPr fontId="14"/>
  <hyperlinks>
    <hyperlink ref="A4" location="パラメータ設定一覧!A1" display="パラメータ設定一覧へ" xr:uid="{D35F3641-734F-4196-9D23-D0C359601831}"/>
  </hyperlinks>
  <pageMargins left="0.7" right="0.7" top="0.75" bottom="0.75" header="0.3" footer="0.3"/>
  <pageSetup paperSize="9" orientation="portrait" horizontalDpi="1200" verticalDpi="1200"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C74BE-C2E8-4F75-A9F3-F6DABBF636D3}">
  <sheetPr codeName="Sheet33"/>
  <dimension ref="A1:F11"/>
  <sheetViews>
    <sheetView showGridLines="0" zoomScaleNormal="100" workbookViewId="0">
      <pane ySplit="6" topLeftCell="A7" activePane="bottomLeft" state="frozen"/>
      <selection activeCell="A2" sqref="A2"/>
      <selection pane="bottomLeft" activeCell="A7" sqref="A7"/>
    </sheetView>
  </sheetViews>
  <sheetFormatPr defaultRowHeight="13.5"/>
  <cols>
    <col min="1" max="1" width="2.78515625" style="46" customWidth="1"/>
    <col min="2" max="2" width="3.5703125" style="46" bestFit="1" customWidth="1"/>
    <col min="3" max="3" width="11.35546875" style="46" bestFit="1" customWidth="1"/>
    <col min="4" max="4" width="21.42578125" style="46" customWidth="1"/>
    <col min="5" max="5" width="29.35546875" style="46" bestFit="1" customWidth="1"/>
    <col min="6" max="6" width="40.85546875" style="46" customWidth="1"/>
    <col min="7" max="16384" width="9.140625" style="46"/>
  </cols>
  <sheetData>
    <row r="1" spans="1:6" customFormat="1" ht="19.5">
      <c r="A1" s="99" t="s">
        <v>2706</v>
      </c>
    </row>
    <row r="2" spans="1:6" customFormat="1" ht="15">
      <c r="A2" s="196" t="s">
        <v>2668</v>
      </c>
    </row>
    <row r="3" spans="1:6" customFormat="1" ht="15">
      <c r="A3" s="10" t="s">
        <v>363</v>
      </c>
    </row>
    <row r="4" spans="1:6">
      <c r="B4" s="440" t="s">
        <v>1</v>
      </c>
      <c r="C4" s="188" t="s">
        <v>885</v>
      </c>
      <c r="D4" s="33" t="s">
        <v>195</v>
      </c>
      <c r="E4" s="69" t="s">
        <v>884</v>
      </c>
      <c r="F4" s="69" t="s">
        <v>873</v>
      </c>
    </row>
    <row r="5" spans="1:6" ht="40.5">
      <c r="B5" s="440"/>
      <c r="C5" s="7" t="s">
        <v>883</v>
      </c>
      <c r="D5" s="7" t="s">
        <v>877</v>
      </c>
      <c r="E5" s="7" t="s">
        <v>875</v>
      </c>
      <c r="F5" s="7" t="s">
        <v>871</v>
      </c>
    </row>
    <row r="6" spans="1:6">
      <c r="B6" s="440"/>
      <c r="C6" s="7" t="s">
        <v>331</v>
      </c>
      <c r="D6" s="7" t="s">
        <v>2667</v>
      </c>
      <c r="E6" s="7" t="s">
        <v>2807</v>
      </c>
      <c r="F6" s="7" t="s">
        <v>2808</v>
      </c>
    </row>
    <row r="7" spans="1:6">
      <c r="B7" s="299">
        <f>ROW() - 6</f>
        <v>1</v>
      </c>
      <c r="C7" s="299"/>
      <c r="D7" s="300"/>
      <c r="E7" s="301"/>
      <c r="F7" s="300"/>
    </row>
    <row r="8" spans="1:6">
      <c r="B8" s="299">
        <f t="shared" ref="B8:B11" si="0">ROW() - 6</f>
        <v>2</v>
      </c>
      <c r="C8" s="299"/>
      <c r="D8" s="300"/>
      <c r="E8" s="301"/>
      <c r="F8" s="300"/>
    </row>
    <row r="9" spans="1:6">
      <c r="B9" s="299">
        <f t="shared" si="0"/>
        <v>3</v>
      </c>
      <c r="C9" s="299"/>
      <c r="D9" s="300"/>
      <c r="E9" s="301"/>
      <c r="F9" s="300"/>
    </row>
    <row r="10" spans="1:6">
      <c r="B10" s="299">
        <f t="shared" si="0"/>
        <v>4</v>
      </c>
      <c r="C10" s="299"/>
      <c r="D10" s="300"/>
      <c r="E10" s="301"/>
      <c r="F10" s="300"/>
    </row>
    <row r="11" spans="1:6">
      <c r="B11" s="299">
        <f t="shared" si="0"/>
        <v>5</v>
      </c>
      <c r="C11" s="299"/>
      <c r="D11" s="300"/>
      <c r="E11" s="301"/>
      <c r="F11" s="300"/>
    </row>
  </sheetData>
  <sheetProtection sort="0" autoFilter="0"/>
  <mergeCells count="1">
    <mergeCell ref="B4:B6"/>
  </mergeCells>
  <phoneticPr fontId="14"/>
  <hyperlinks>
    <hyperlink ref="A3" location="パラメータ設定一覧!A1" display="パラメータ設定一覧へ" xr:uid="{BF06BFBC-DD07-4213-8713-1AE43D5F04E5}"/>
  </hyperlinks>
  <pageMargins left="0.7" right="0.7" top="0.75" bottom="0.75" header="0.3" footer="0.3"/>
  <pageSetup paperSize="9" orientation="portrait" horizontalDpi="1200" verticalDpi="1200"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2C6C5-D191-42B3-9FC2-83F884FFDEE9}">
  <sheetPr codeName="Sheet74"/>
  <dimension ref="A1:L180"/>
  <sheetViews>
    <sheetView showGridLines="0" zoomScaleNormal="100" workbookViewId="0">
      <pane xSplit="6" ySplit="5" topLeftCell="G6" activePane="bottomRight" state="frozen"/>
      <selection activeCell="C18" sqref="C18"/>
      <selection pane="topRight" activeCell="C18" sqref="C18"/>
      <selection pane="bottomLeft" activeCell="C18" sqref="C18"/>
      <selection pane="bottomRight" activeCell="G6" sqref="G6"/>
    </sheetView>
  </sheetViews>
  <sheetFormatPr defaultColWidth="8.78515625" defaultRowHeight="13.5"/>
  <cols>
    <col min="1" max="1" width="2.78515625" style="46" customWidth="1"/>
    <col min="2" max="2" width="3.42578125" style="46" customWidth="1"/>
    <col min="3" max="3" width="14.5703125" style="46" customWidth="1"/>
    <col min="4" max="4" width="5.78515625" style="46" customWidth="1"/>
    <col min="5" max="5" width="14.78515625" style="46" customWidth="1"/>
    <col min="6" max="6" width="23.2109375" style="46" customWidth="1"/>
    <col min="7" max="7" width="59.78515625" style="46" customWidth="1"/>
    <col min="8" max="8" width="20.2109375" style="46" customWidth="1"/>
    <col min="9" max="9" width="11.2109375" style="46" customWidth="1"/>
    <col min="10" max="10" width="28.42578125" style="46" bestFit="1" customWidth="1"/>
    <col min="11" max="11" width="23.85546875" style="46" customWidth="1"/>
    <col min="12" max="12" width="13.2109375" style="46" customWidth="1"/>
    <col min="13" max="16384" width="8.78515625" style="46"/>
  </cols>
  <sheetData>
    <row r="1" spans="1:12" s="86" customFormat="1" ht="19.5">
      <c r="A1" s="148" t="s">
        <v>1885</v>
      </c>
    </row>
    <row r="2" spans="1:12" s="86" customFormat="1" ht="19.5">
      <c r="A2" s="148"/>
      <c r="B2" s="86" t="s">
        <v>1887</v>
      </c>
    </row>
    <row r="3" spans="1:12" s="86" customFormat="1" ht="15">
      <c r="B3" s="86" t="s">
        <v>1888</v>
      </c>
    </row>
    <row r="4" spans="1:12" s="86" customFormat="1" ht="15">
      <c r="A4" s="10" t="s">
        <v>363</v>
      </c>
    </row>
    <row r="5" spans="1:12" ht="27">
      <c r="B5" s="11" t="s">
        <v>1</v>
      </c>
      <c r="C5" s="12" t="s">
        <v>9</v>
      </c>
      <c r="D5" s="12" t="s">
        <v>10</v>
      </c>
      <c r="E5" s="12" t="s">
        <v>11</v>
      </c>
      <c r="F5" s="13" t="s">
        <v>12</v>
      </c>
      <c r="G5" s="13" t="s">
        <v>498</v>
      </c>
      <c r="H5" s="12" t="s">
        <v>14</v>
      </c>
      <c r="I5" s="12" t="s">
        <v>15</v>
      </c>
      <c r="J5" s="11" t="s">
        <v>16</v>
      </c>
      <c r="K5" s="14" t="s">
        <v>17</v>
      </c>
      <c r="L5" s="14" t="s">
        <v>18</v>
      </c>
    </row>
    <row r="6" spans="1:12">
      <c r="B6" s="15">
        <f t="shared" ref="B6:B180" si="0">ROW() - 5</f>
        <v>1</v>
      </c>
      <c r="C6" s="98" t="s">
        <v>1889</v>
      </c>
      <c r="D6" s="16"/>
      <c r="E6" s="167" t="s">
        <v>1890</v>
      </c>
      <c r="F6" s="17" t="s">
        <v>1891</v>
      </c>
      <c r="G6" s="17"/>
      <c r="H6" s="23" t="s">
        <v>20</v>
      </c>
      <c r="I6" s="23" t="s">
        <v>331</v>
      </c>
      <c r="J6" s="23" t="s">
        <v>1980</v>
      </c>
      <c r="K6" s="147" t="s">
        <v>1886</v>
      </c>
      <c r="L6" s="3"/>
    </row>
    <row r="7" spans="1:12">
      <c r="B7" s="15">
        <f t="shared" si="0"/>
        <v>2</v>
      </c>
      <c r="C7" s="43"/>
      <c r="D7" s="68"/>
      <c r="E7" s="143"/>
      <c r="F7" s="17" t="s">
        <v>1892</v>
      </c>
      <c r="G7" s="17"/>
      <c r="H7" s="17" t="s">
        <v>277</v>
      </c>
      <c r="I7" s="23" t="s">
        <v>331</v>
      </c>
      <c r="J7" s="17"/>
      <c r="K7" s="147" t="s">
        <v>1886</v>
      </c>
      <c r="L7" s="3"/>
    </row>
    <row r="8" spans="1:12">
      <c r="B8" s="15">
        <f t="shared" si="0"/>
        <v>3</v>
      </c>
      <c r="C8" s="43"/>
      <c r="D8" s="68"/>
      <c r="E8" s="143"/>
      <c r="F8" s="17" t="s">
        <v>1893</v>
      </c>
      <c r="G8" s="17"/>
      <c r="H8" s="17" t="s">
        <v>277</v>
      </c>
      <c r="I8" s="23" t="s">
        <v>331</v>
      </c>
      <c r="J8" s="17"/>
      <c r="K8" s="147" t="s">
        <v>1886</v>
      </c>
      <c r="L8" s="3"/>
    </row>
    <row r="9" spans="1:12">
      <c r="B9" s="15">
        <f t="shared" si="0"/>
        <v>4</v>
      </c>
      <c r="C9" s="43"/>
      <c r="D9" s="68"/>
      <c r="E9" s="143"/>
      <c r="F9" s="17" t="s">
        <v>1894</v>
      </c>
      <c r="G9" s="17"/>
      <c r="H9" s="17" t="s">
        <v>277</v>
      </c>
      <c r="I9" s="23" t="s">
        <v>331</v>
      </c>
      <c r="J9" s="17"/>
      <c r="K9" s="147" t="s">
        <v>1886</v>
      </c>
      <c r="L9" s="3"/>
    </row>
    <row r="10" spans="1:12" ht="40.5">
      <c r="B10" s="15">
        <f t="shared" si="0"/>
        <v>5</v>
      </c>
      <c r="C10" s="43"/>
      <c r="D10" s="68"/>
      <c r="E10" s="143"/>
      <c r="F10" s="17" t="s">
        <v>1397</v>
      </c>
      <c r="G10" s="17" t="s">
        <v>872</v>
      </c>
      <c r="H10" s="17" t="s">
        <v>2483</v>
      </c>
      <c r="I10" s="23" t="s">
        <v>331</v>
      </c>
      <c r="J10" s="17" t="s">
        <v>2607</v>
      </c>
      <c r="K10" s="147" t="s">
        <v>1886</v>
      </c>
      <c r="L10" s="3"/>
    </row>
    <row r="11" spans="1:12">
      <c r="B11" s="15">
        <f t="shared" si="0"/>
        <v>6</v>
      </c>
      <c r="C11" s="43"/>
      <c r="D11" s="68"/>
      <c r="E11" s="143"/>
      <c r="F11" s="17" t="s">
        <v>1895</v>
      </c>
      <c r="G11" s="17"/>
      <c r="H11" s="17" t="s">
        <v>27</v>
      </c>
      <c r="I11" s="17" t="s">
        <v>28</v>
      </c>
      <c r="J11" s="17"/>
      <c r="K11" s="147" t="s">
        <v>1886</v>
      </c>
      <c r="L11" s="3"/>
    </row>
    <row r="12" spans="1:12">
      <c r="B12" s="15">
        <f t="shared" si="0"/>
        <v>7</v>
      </c>
      <c r="C12" s="43"/>
      <c r="D12" s="68"/>
      <c r="E12" s="143"/>
      <c r="F12" s="17" t="s">
        <v>1896</v>
      </c>
      <c r="G12" s="17"/>
      <c r="H12" s="17" t="s">
        <v>20</v>
      </c>
      <c r="I12" s="23" t="s">
        <v>331</v>
      </c>
      <c r="J12" s="17"/>
      <c r="K12" s="147" t="s">
        <v>1886</v>
      </c>
      <c r="L12" s="3"/>
    </row>
    <row r="13" spans="1:12">
      <c r="B13" s="15">
        <f t="shared" si="0"/>
        <v>8</v>
      </c>
      <c r="C13" s="43"/>
      <c r="D13" s="68"/>
      <c r="E13" s="143"/>
      <c r="F13" s="17" t="s">
        <v>1897</v>
      </c>
      <c r="G13" s="17"/>
      <c r="H13" s="17"/>
      <c r="I13" s="23" t="s">
        <v>331</v>
      </c>
      <c r="J13" s="17"/>
      <c r="K13" s="147" t="s">
        <v>1886</v>
      </c>
      <c r="L13" s="3"/>
    </row>
    <row r="14" spans="1:12">
      <c r="B14" s="15">
        <f t="shared" si="0"/>
        <v>9</v>
      </c>
      <c r="C14" s="43"/>
      <c r="D14" s="68"/>
      <c r="E14" s="143"/>
      <c r="F14" s="17" t="s">
        <v>1898</v>
      </c>
      <c r="G14" s="17" t="s">
        <v>2481</v>
      </c>
      <c r="H14" s="17" t="s">
        <v>27</v>
      </c>
      <c r="I14" s="17" t="s">
        <v>28</v>
      </c>
      <c r="J14" s="17"/>
      <c r="K14" s="147" t="s">
        <v>1886</v>
      </c>
      <c r="L14" s="3"/>
    </row>
    <row r="15" spans="1:12" ht="27">
      <c r="B15" s="15">
        <f t="shared" si="0"/>
        <v>10</v>
      </c>
      <c r="C15" s="43"/>
      <c r="D15" s="68"/>
      <c r="E15" s="143"/>
      <c r="F15" s="17" t="s">
        <v>1899</v>
      </c>
      <c r="G15" s="17" t="s">
        <v>2482</v>
      </c>
      <c r="H15" s="17" t="s">
        <v>1005</v>
      </c>
      <c r="I15" s="23" t="s">
        <v>331</v>
      </c>
      <c r="J15" s="17"/>
      <c r="K15" s="147" t="s">
        <v>1886</v>
      </c>
      <c r="L15" s="3"/>
    </row>
    <row r="16" spans="1:12" ht="27">
      <c r="B16" s="15">
        <f t="shared" si="0"/>
        <v>11</v>
      </c>
      <c r="C16" s="43"/>
      <c r="D16" s="68"/>
      <c r="E16" s="142"/>
      <c r="F16" s="17" t="s">
        <v>1900</v>
      </c>
      <c r="G16" s="17"/>
      <c r="H16" s="17" t="s">
        <v>2484</v>
      </c>
      <c r="I16" s="17" t="s">
        <v>2485</v>
      </c>
      <c r="J16" s="17"/>
      <c r="K16" s="147" t="s">
        <v>1886</v>
      </c>
      <c r="L16" s="3"/>
    </row>
    <row r="17" spans="2:12">
      <c r="B17" s="15">
        <f t="shared" si="0"/>
        <v>12</v>
      </c>
      <c r="C17" s="43"/>
      <c r="D17" s="68"/>
      <c r="E17" s="167" t="s">
        <v>1901</v>
      </c>
      <c r="F17" s="17" t="s">
        <v>813</v>
      </c>
      <c r="G17" s="17"/>
      <c r="H17" s="17" t="s">
        <v>20</v>
      </c>
      <c r="I17" s="23" t="s">
        <v>331</v>
      </c>
      <c r="J17" s="17"/>
      <c r="K17" s="147" t="s">
        <v>1886</v>
      </c>
      <c r="L17" s="3"/>
    </row>
    <row r="18" spans="2:12">
      <c r="B18" s="15">
        <f t="shared" si="0"/>
        <v>13</v>
      </c>
      <c r="C18" s="43"/>
      <c r="D18" s="68"/>
      <c r="E18" s="143"/>
      <c r="F18" s="17" t="s">
        <v>1902</v>
      </c>
      <c r="G18" s="17"/>
      <c r="H18" s="17" t="s">
        <v>20</v>
      </c>
      <c r="I18" s="23" t="s">
        <v>331</v>
      </c>
      <c r="J18" s="17"/>
      <c r="K18" s="147" t="s">
        <v>1886</v>
      </c>
      <c r="L18" s="3"/>
    </row>
    <row r="19" spans="2:12">
      <c r="B19" s="15">
        <f t="shared" si="0"/>
        <v>14</v>
      </c>
      <c r="C19" s="43"/>
      <c r="D19" s="68"/>
      <c r="E19" s="143"/>
      <c r="F19" s="17" t="s">
        <v>1903</v>
      </c>
      <c r="G19" s="17"/>
      <c r="H19" s="17" t="s">
        <v>20</v>
      </c>
      <c r="I19" s="23" t="s">
        <v>331</v>
      </c>
      <c r="J19" s="17"/>
      <c r="K19" s="147" t="s">
        <v>1886</v>
      </c>
      <c r="L19" s="3"/>
    </row>
    <row r="20" spans="2:12">
      <c r="B20" s="15">
        <f t="shared" si="0"/>
        <v>15</v>
      </c>
      <c r="C20" s="43"/>
      <c r="D20" s="68"/>
      <c r="E20" s="143"/>
      <c r="F20" s="17" t="s">
        <v>812</v>
      </c>
      <c r="G20" s="17"/>
      <c r="H20" s="17" t="s">
        <v>20</v>
      </c>
      <c r="I20" s="23" t="s">
        <v>331</v>
      </c>
      <c r="J20" s="17"/>
      <c r="K20" s="147" t="s">
        <v>1886</v>
      </c>
      <c r="L20" s="3"/>
    </row>
    <row r="21" spans="2:12">
      <c r="B21" s="15">
        <f t="shared" si="0"/>
        <v>16</v>
      </c>
      <c r="C21" s="43"/>
      <c r="D21" s="68"/>
      <c r="E21" s="143"/>
      <c r="F21" s="17" t="s">
        <v>791</v>
      </c>
      <c r="G21" s="17"/>
      <c r="H21" s="17" t="s">
        <v>20</v>
      </c>
      <c r="I21" s="23" t="s">
        <v>331</v>
      </c>
      <c r="J21" s="17"/>
      <c r="K21" s="147" t="s">
        <v>1886</v>
      </c>
      <c r="L21" s="3"/>
    </row>
    <row r="22" spans="2:12">
      <c r="B22" s="15">
        <f t="shared" si="0"/>
        <v>17</v>
      </c>
      <c r="C22" s="43"/>
      <c r="D22" s="68"/>
      <c r="E22" s="143"/>
      <c r="F22" s="17" t="s">
        <v>25</v>
      </c>
      <c r="G22" s="17"/>
      <c r="H22" s="17" t="s">
        <v>20</v>
      </c>
      <c r="I22" s="23" t="s">
        <v>331</v>
      </c>
      <c r="J22" s="17"/>
      <c r="K22" s="147" t="s">
        <v>1886</v>
      </c>
      <c r="L22" s="3"/>
    </row>
    <row r="23" spans="2:12">
      <c r="B23" s="15">
        <f t="shared" si="0"/>
        <v>18</v>
      </c>
      <c r="C23" s="43"/>
      <c r="D23" s="68"/>
      <c r="E23" s="143"/>
      <c r="F23" s="17" t="s">
        <v>1021</v>
      </c>
      <c r="G23" s="17"/>
      <c r="H23" s="17" t="s">
        <v>20</v>
      </c>
      <c r="I23" s="23" t="s">
        <v>331</v>
      </c>
      <c r="J23" s="17"/>
      <c r="K23" s="147" t="s">
        <v>1886</v>
      </c>
      <c r="L23" s="3"/>
    </row>
    <row r="24" spans="2:12" ht="27">
      <c r="B24" s="15">
        <f t="shared" si="0"/>
        <v>19</v>
      </c>
      <c r="C24" s="43"/>
      <c r="D24" s="68"/>
      <c r="E24" s="143"/>
      <c r="F24" s="17" t="s">
        <v>202</v>
      </c>
      <c r="G24" s="17" t="s">
        <v>872</v>
      </c>
      <c r="H24" s="17" t="s">
        <v>2486</v>
      </c>
      <c r="I24" s="23" t="s">
        <v>331</v>
      </c>
      <c r="J24" s="17"/>
      <c r="K24" s="147" t="s">
        <v>1886</v>
      </c>
      <c r="L24" s="3"/>
    </row>
    <row r="25" spans="2:12" ht="27">
      <c r="B25" s="15">
        <f t="shared" si="0"/>
        <v>20</v>
      </c>
      <c r="C25" s="43"/>
      <c r="D25" s="68"/>
      <c r="E25" s="143"/>
      <c r="F25" s="17" t="s">
        <v>203</v>
      </c>
      <c r="G25" s="17" t="s">
        <v>872</v>
      </c>
      <c r="H25" s="17" t="s">
        <v>2486</v>
      </c>
      <c r="I25" s="17"/>
      <c r="J25" s="17"/>
      <c r="K25" s="147" t="s">
        <v>1886</v>
      </c>
      <c r="L25" s="3"/>
    </row>
    <row r="26" spans="2:12">
      <c r="B26" s="15">
        <f t="shared" si="0"/>
        <v>21</v>
      </c>
      <c r="C26" s="43"/>
      <c r="D26" s="68"/>
      <c r="E26" s="143"/>
      <c r="F26" s="17" t="s">
        <v>1904</v>
      </c>
      <c r="G26" s="17"/>
      <c r="H26" s="17" t="s">
        <v>20</v>
      </c>
      <c r="I26" s="23" t="s">
        <v>331</v>
      </c>
      <c r="J26" s="17"/>
      <c r="K26" s="147" t="s">
        <v>1886</v>
      </c>
      <c r="L26" s="3"/>
    </row>
    <row r="27" spans="2:12">
      <c r="B27" s="15">
        <f t="shared" si="0"/>
        <v>22</v>
      </c>
      <c r="C27" s="43"/>
      <c r="D27" s="68"/>
      <c r="E27" s="143"/>
      <c r="F27" s="17" t="s">
        <v>1018</v>
      </c>
      <c r="G27" s="17"/>
      <c r="H27" s="17" t="s">
        <v>20</v>
      </c>
      <c r="I27" s="23" t="s">
        <v>331</v>
      </c>
      <c r="J27" s="17"/>
      <c r="K27" s="147" t="s">
        <v>1886</v>
      </c>
      <c r="L27" s="3"/>
    </row>
    <row r="28" spans="2:12">
      <c r="B28" s="15">
        <f t="shared" si="0"/>
        <v>23</v>
      </c>
      <c r="C28" s="43"/>
      <c r="D28" s="68"/>
      <c r="E28" s="143"/>
      <c r="F28" s="17" t="s">
        <v>1017</v>
      </c>
      <c r="G28" s="17"/>
      <c r="H28" s="17" t="s">
        <v>20</v>
      </c>
      <c r="I28" s="23" t="s">
        <v>331</v>
      </c>
      <c r="J28" s="17"/>
      <c r="K28" s="147" t="s">
        <v>1886</v>
      </c>
      <c r="L28" s="3"/>
    </row>
    <row r="29" spans="2:12">
      <c r="B29" s="15">
        <f t="shared" si="0"/>
        <v>24</v>
      </c>
      <c r="C29" s="43"/>
      <c r="D29" s="68"/>
      <c r="E29" s="143"/>
      <c r="F29" s="17" t="s">
        <v>1905</v>
      </c>
      <c r="G29" s="17"/>
      <c r="H29" s="17" t="s">
        <v>20</v>
      </c>
      <c r="I29" s="23" t="s">
        <v>331</v>
      </c>
      <c r="J29" s="17"/>
      <c r="K29" s="147" t="s">
        <v>1886</v>
      </c>
      <c r="L29" s="3"/>
    </row>
    <row r="30" spans="2:12">
      <c r="B30" s="15">
        <f t="shared" si="0"/>
        <v>25</v>
      </c>
      <c r="C30" s="43"/>
      <c r="D30" s="68"/>
      <c r="E30" s="143"/>
      <c r="F30" s="17" t="s">
        <v>1906</v>
      </c>
      <c r="G30" s="17"/>
      <c r="H30" s="17" t="s">
        <v>20</v>
      </c>
      <c r="I30" s="23" t="s">
        <v>331</v>
      </c>
      <c r="J30" s="17"/>
      <c r="K30" s="147" t="s">
        <v>1886</v>
      </c>
      <c r="L30" s="3"/>
    </row>
    <row r="31" spans="2:12" ht="54">
      <c r="B31" s="15">
        <f t="shared" si="0"/>
        <v>26</v>
      </c>
      <c r="C31" s="43"/>
      <c r="D31" s="68"/>
      <c r="E31" s="142"/>
      <c r="F31" s="17" t="s">
        <v>204</v>
      </c>
      <c r="G31" s="17" t="s">
        <v>872</v>
      </c>
      <c r="H31" s="17" t="s">
        <v>2487</v>
      </c>
      <c r="I31" s="23" t="s">
        <v>2810</v>
      </c>
      <c r="J31" s="17"/>
      <c r="K31" s="147" t="s">
        <v>1886</v>
      </c>
      <c r="L31" s="3"/>
    </row>
    <row r="32" spans="2:12">
      <c r="B32" s="15">
        <f t="shared" si="0"/>
        <v>27</v>
      </c>
      <c r="C32" s="43"/>
      <c r="D32" s="68"/>
      <c r="E32" s="167" t="s">
        <v>31</v>
      </c>
      <c r="F32" s="17" t="s">
        <v>790</v>
      </c>
      <c r="G32" s="17"/>
      <c r="H32" s="17" t="s">
        <v>20</v>
      </c>
      <c r="I32" s="23" t="s">
        <v>331</v>
      </c>
      <c r="J32" s="17"/>
      <c r="K32" s="147" t="s">
        <v>1886</v>
      </c>
      <c r="L32" s="3"/>
    </row>
    <row r="33" spans="2:12">
      <c r="B33" s="15">
        <f t="shared" si="0"/>
        <v>28</v>
      </c>
      <c r="C33" s="43"/>
      <c r="D33" s="68"/>
      <c r="E33" s="143"/>
      <c r="F33" s="17" t="s">
        <v>2352</v>
      </c>
      <c r="G33" s="17"/>
      <c r="H33" s="17" t="s">
        <v>20</v>
      </c>
      <c r="I33" s="23" t="s">
        <v>331</v>
      </c>
      <c r="J33" s="17"/>
      <c r="K33" s="147" t="s">
        <v>1886</v>
      </c>
      <c r="L33" s="3"/>
    </row>
    <row r="34" spans="2:12" ht="27">
      <c r="B34" s="15">
        <f t="shared" si="0"/>
        <v>29</v>
      </c>
      <c r="C34" s="43"/>
      <c r="D34" s="68"/>
      <c r="E34" s="143"/>
      <c r="F34" s="17" t="s">
        <v>2353</v>
      </c>
      <c r="G34" s="17"/>
      <c r="H34" s="17" t="s">
        <v>2488</v>
      </c>
      <c r="I34" s="23" t="s">
        <v>331</v>
      </c>
      <c r="J34" s="17"/>
      <c r="K34" s="147" t="s">
        <v>1886</v>
      </c>
      <c r="L34" s="3"/>
    </row>
    <row r="35" spans="2:12">
      <c r="B35" s="15">
        <f t="shared" si="0"/>
        <v>30</v>
      </c>
      <c r="C35" s="43"/>
      <c r="D35" s="68"/>
      <c r="E35" s="143"/>
      <c r="F35" s="17" t="s">
        <v>32</v>
      </c>
      <c r="G35" s="17"/>
      <c r="H35" s="17" t="s">
        <v>2490</v>
      </c>
      <c r="I35" s="23" t="s">
        <v>2489</v>
      </c>
      <c r="J35" s="17"/>
      <c r="K35" s="147" t="s">
        <v>1886</v>
      </c>
      <c r="L35" s="3"/>
    </row>
    <row r="36" spans="2:12" ht="40.5">
      <c r="B36" s="15">
        <f t="shared" si="0"/>
        <v>31</v>
      </c>
      <c r="C36" s="43"/>
      <c r="D36" s="68"/>
      <c r="E36" s="143"/>
      <c r="F36" s="17" t="s">
        <v>35</v>
      </c>
      <c r="G36" s="17"/>
      <c r="H36" s="17" t="s">
        <v>2491</v>
      </c>
      <c r="I36" s="17" t="s">
        <v>2492</v>
      </c>
      <c r="J36" s="17"/>
      <c r="K36" s="147" t="s">
        <v>1886</v>
      </c>
      <c r="L36" s="3"/>
    </row>
    <row r="37" spans="2:12" ht="27">
      <c r="B37" s="15">
        <f t="shared" si="0"/>
        <v>32</v>
      </c>
      <c r="C37" s="43"/>
      <c r="D37" s="68"/>
      <c r="E37" s="143"/>
      <c r="F37" s="17" t="s">
        <v>38</v>
      </c>
      <c r="G37" s="17"/>
      <c r="H37" s="17" t="s">
        <v>1735</v>
      </c>
      <c r="I37" s="23" t="s">
        <v>331</v>
      </c>
      <c r="J37" s="17" t="s">
        <v>2493</v>
      </c>
      <c r="K37" s="147" t="s">
        <v>1886</v>
      </c>
      <c r="L37" s="3"/>
    </row>
    <row r="38" spans="2:12" ht="27">
      <c r="B38" s="15">
        <f t="shared" si="0"/>
        <v>33</v>
      </c>
      <c r="C38" s="43"/>
      <c r="D38" s="68"/>
      <c r="E38" s="143"/>
      <c r="F38" s="17" t="s">
        <v>31</v>
      </c>
      <c r="G38" s="17"/>
      <c r="H38" s="17" t="s">
        <v>20</v>
      </c>
      <c r="I38" s="23" t="s">
        <v>331</v>
      </c>
      <c r="J38" s="17" t="s">
        <v>2494</v>
      </c>
      <c r="K38" s="147" t="s">
        <v>1886</v>
      </c>
      <c r="L38" s="3"/>
    </row>
    <row r="39" spans="2:12" ht="27">
      <c r="B39" s="15">
        <f t="shared" si="0"/>
        <v>34</v>
      </c>
      <c r="C39" s="43"/>
      <c r="D39" s="68"/>
      <c r="E39" s="143"/>
      <c r="F39" s="17" t="s">
        <v>70</v>
      </c>
      <c r="G39" s="17"/>
      <c r="H39" s="17" t="s">
        <v>20</v>
      </c>
      <c r="I39" s="23" t="s">
        <v>331</v>
      </c>
      <c r="J39" s="17" t="s">
        <v>2495</v>
      </c>
      <c r="K39" s="147" t="s">
        <v>1886</v>
      </c>
      <c r="L39" s="3"/>
    </row>
    <row r="40" spans="2:12" ht="27">
      <c r="B40" s="15">
        <f t="shared" si="0"/>
        <v>35</v>
      </c>
      <c r="C40" s="43"/>
      <c r="D40" s="68"/>
      <c r="E40" s="143"/>
      <c r="F40" s="17" t="s">
        <v>42</v>
      </c>
      <c r="G40" s="17"/>
      <c r="H40" s="17" t="s">
        <v>20</v>
      </c>
      <c r="I40" s="23" t="s">
        <v>331</v>
      </c>
      <c r="J40" s="17" t="s">
        <v>2496</v>
      </c>
      <c r="K40" s="147" t="s">
        <v>1886</v>
      </c>
      <c r="L40" s="3"/>
    </row>
    <row r="41" spans="2:12" ht="27">
      <c r="B41" s="15">
        <f t="shared" si="0"/>
        <v>36</v>
      </c>
      <c r="C41" s="43"/>
      <c r="D41" s="68"/>
      <c r="E41" s="143"/>
      <c r="F41" s="17" t="s">
        <v>33</v>
      </c>
      <c r="G41" s="17"/>
      <c r="H41" s="17" t="s">
        <v>27</v>
      </c>
      <c r="I41" s="17" t="s">
        <v>57</v>
      </c>
      <c r="J41" s="17" t="s">
        <v>2553</v>
      </c>
      <c r="K41" s="147" t="s">
        <v>1886</v>
      </c>
      <c r="L41" s="3"/>
    </row>
    <row r="42" spans="2:12">
      <c r="B42" s="15">
        <f t="shared" si="0"/>
        <v>37</v>
      </c>
      <c r="C42" s="43"/>
      <c r="D42" s="68"/>
      <c r="E42" s="143"/>
      <c r="F42" s="17" t="s">
        <v>2354</v>
      </c>
      <c r="G42" s="17"/>
      <c r="H42" s="17" t="s">
        <v>27</v>
      </c>
      <c r="I42" s="17" t="s">
        <v>57</v>
      </c>
      <c r="J42" s="17"/>
      <c r="K42" s="147" t="s">
        <v>1886</v>
      </c>
      <c r="L42" s="3"/>
    </row>
    <row r="43" spans="2:12">
      <c r="B43" s="15">
        <f t="shared" si="0"/>
        <v>38</v>
      </c>
      <c r="C43" s="43"/>
      <c r="D43" s="68"/>
      <c r="E43" s="143"/>
      <c r="F43" s="17" t="s">
        <v>43</v>
      </c>
      <c r="G43" s="17"/>
      <c r="H43" s="17" t="s">
        <v>27</v>
      </c>
      <c r="I43" s="17" t="s">
        <v>57</v>
      </c>
      <c r="J43" s="17"/>
      <c r="K43" s="147" t="s">
        <v>1886</v>
      </c>
      <c r="L43" s="3"/>
    </row>
    <row r="44" spans="2:12">
      <c r="B44" s="15">
        <f t="shared" si="0"/>
        <v>39</v>
      </c>
      <c r="C44" s="43"/>
      <c r="D44" s="68"/>
      <c r="E44" s="167" t="s">
        <v>1106</v>
      </c>
      <c r="F44" s="17" t="s">
        <v>45</v>
      </c>
      <c r="G44" s="17"/>
      <c r="H44" s="17" t="s">
        <v>20</v>
      </c>
      <c r="I44" s="23" t="s">
        <v>331</v>
      </c>
      <c r="J44" s="17"/>
      <c r="K44" s="147" t="s">
        <v>1886</v>
      </c>
      <c r="L44" s="3"/>
    </row>
    <row r="45" spans="2:12" ht="108">
      <c r="B45" s="15">
        <f t="shared" si="0"/>
        <v>40</v>
      </c>
      <c r="C45" s="43"/>
      <c r="D45" s="68"/>
      <c r="E45" s="143"/>
      <c r="F45" s="17" t="s">
        <v>46</v>
      </c>
      <c r="G45" s="17"/>
      <c r="H45" s="17" t="s">
        <v>2497</v>
      </c>
      <c r="I45" s="23" t="s">
        <v>220</v>
      </c>
      <c r="J45" s="17"/>
      <c r="K45" s="147" t="s">
        <v>1886</v>
      </c>
      <c r="L45" s="3"/>
    </row>
    <row r="46" spans="2:12">
      <c r="B46" s="15">
        <f t="shared" si="0"/>
        <v>41</v>
      </c>
      <c r="C46" s="43"/>
      <c r="D46" s="68"/>
      <c r="E46" s="143"/>
      <c r="F46" s="17" t="s">
        <v>2355</v>
      </c>
      <c r="G46" s="17"/>
      <c r="H46" s="17" t="s">
        <v>20</v>
      </c>
      <c r="I46" s="23" t="s">
        <v>331</v>
      </c>
      <c r="J46" s="17"/>
      <c r="K46" s="147" t="s">
        <v>1886</v>
      </c>
      <c r="L46" s="3"/>
    </row>
    <row r="47" spans="2:12">
      <c r="B47" s="15">
        <f t="shared" si="0"/>
        <v>42</v>
      </c>
      <c r="C47" s="43"/>
      <c r="D47" s="68"/>
      <c r="E47" s="143"/>
      <c r="F47" s="17" t="s">
        <v>48</v>
      </c>
      <c r="G47" s="17"/>
      <c r="H47" s="17" t="s">
        <v>20</v>
      </c>
      <c r="I47" s="23" t="s">
        <v>331</v>
      </c>
      <c r="J47" s="17"/>
      <c r="K47" s="147" t="s">
        <v>1886</v>
      </c>
      <c r="L47" s="3"/>
    </row>
    <row r="48" spans="2:12">
      <c r="B48" s="15">
        <f t="shared" si="0"/>
        <v>43</v>
      </c>
      <c r="C48" s="43"/>
      <c r="D48" s="68"/>
      <c r="E48" s="143"/>
      <c r="F48" s="17" t="s">
        <v>33</v>
      </c>
      <c r="G48" s="17"/>
      <c r="H48" s="17" t="s">
        <v>1732</v>
      </c>
      <c r="I48" s="17" t="s">
        <v>783</v>
      </c>
      <c r="J48" s="17"/>
      <c r="K48" s="147" t="s">
        <v>1886</v>
      </c>
      <c r="L48" s="3"/>
    </row>
    <row r="49" spans="2:12" ht="121.5">
      <c r="B49" s="15">
        <f t="shared" si="0"/>
        <v>44</v>
      </c>
      <c r="C49" s="43"/>
      <c r="D49" s="68"/>
      <c r="E49" s="167" t="s">
        <v>1907</v>
      </c>
      <c r="F49" s="17" t="s">
        <v>2356</v>
      </c>
      <c r="G49" s="17"/>
      <c r="H49" s="17" t="s">
        <v>2498</v>
      </c>
      <c r="I49" s="17" t="s">
        <v>170</v>
      </c>
      <c r="J49" s="17"/>
      <c r="K49" s="147" t="s">
        <v>1886</v>
      </c>
      <c r="L49" s="3"/>
    </row>
    <row r="50" spans="2:12">
      <c r="B50" s="15">
        <f t="shared" si="0"/>
        <v>45</v>
      </c>
      <c r="C50" s="43"/>
      <c r="D50" s="68"/>
      <c r="E50" s="143"/>
      <c r="F50" s="17" t="s">
        <v>2357</v>
      </c>
      <c r="G50" s="17"/>
      <c r="H50" s="17" t="s">
        <v>50</v>
      </c>
      <c r="I50" s="169" t="s">
        <v>1644</v>
      </c>
      <c r="J50" s="17"/>
      <c r="K50" s="147" t="s">
        <v>1886</v>
      </c>
      <c r="L50" s="3"/>
    </row>
    <row r="51" spans="2:12">
      <c r="B51" s="15">
        <f t="shared" si="0"/>
        <v>46</v>
      </c>
      <c r="C51" s="43"/>
      <c r="D51" s="68"/>
      <c r="E51" s="143"/>
      <c r="F51" s="17" t="s">
        <v>2358</v>
      </c>
      <c r="G51" s="17" t="s">
        <v>2499</v>
      </c>
      <c r="H51" s="17" t="s">
        <v>277</v>
      </c>
      <c r="I51" s="23" t="s">
        <v>331</v>
      </c>
      <c r="J51" s="17"/>
      <c r="K51" s="147" t="s">
        <v>1886</v>
      </c>
      <c r="L51" s="3"/>
    </row>
    <row r="52" spans="2:12">
      <c r="B52" s="15">
        <f t="shared" si="0"/>
        <v>47</v>
      </c>
      <c r="C52" s="43"/>
      <c r="D52" s="68"/>
      <c r="E52" s="143"/>
      <c r="F52" s="17" t="s">
        <v>2359</v>
      </c>
      <c r="G52" s="17" t="s">
        <v>872</v>
      </c>
      <c r="H52" s="17" t="s">
        <v>2500</v>
      </c>
      <c r="I52" s="23" t="s">
        <v>331</v>
      </c>
      <c r="J52" s="17"/>
      <c r="K52" s="147" t="s">
        <v>1886</v>
      </c>
      <c r="L52" s="3"/>
    </row>
    <row r="53" spans="2:12" ht="40.5">
      <c r="B53" s="15">
        <f t="shared" si="0"/>
        <v>48</v>
      </c>
      <c r="C53" s="43"/>
      <c r="D53" s="68"/>
      <c r="E53" s="143"/>
      <c r="F53" s="17" t="s">
        <v>2360</v>
      </c>
      <c r="G53" s="17"/>
      <c r="H53" s="17" t="s">
        <v>1012</v>
      </c>
      <c r="I53" s="23" t="s">
        <v>331</v>
      </c>
      <c r="J53" s="17"/>
      <c r="K53" s="147" t="s">
        <v>1886</v>
      </c>
      <c r="L53" s="3"/>
    </row>
    <row r="54" spans="2:12">
      <c r="B54" s="15">
        <f t="shared" si="0"/>
        <v>49</v>
      </c>
      <c r="C54" s="43"/>
      <c r="D54" s="68"/>
      <c r="E54" s="143"/>
      <c r="F54" s="17" t="s">
        <v>2361</v>
      </c>
      <c r="G54" s="17"/>
      <c r="H54" s="17" t="s">
        <v>277</v>
      </c>
      <c r="I54" s="23" t="s">
        <v>331</v>
      </c>
      <c r="J54" s="17"/>
      <c r="K54" s="147" t="s">
        <v>1886</v>
      </c>
      <c r="L54" s="3"/>
    </row>
    <row r="55" spans="2:12">
      <c r="B55" s="15">
        <f t="shared" si="0"/>
        <v>50</v>
      </c>
      <c r="C55" s="43"/>
      <c r="D55" s="68"/>
      <c r="E55" s="143"/>
      <c r="F55" s="17" t="s">
        <v>2362</v>
      </c>
      <c r="G55" s="17" t="s">
        <v>2501</v>
      </c>
      <c r="H55" s="17" t="s">
        <v>2502</v>
      </c>
      <c r="I55" s="17"/>
      <c r="J55" s="17"/>
      <c r="K55" s="147" t="s">
        <v>1886</v>
      </c>
      <c r="L55" s="3"/>
    </row>
    <row r="56" spans="2:12">
      <c r="B56" s="15">
        <f t="shared" si="0"/>
        <v>51</v>
      </c>
      <c r="C56" s="43"/>
      <c r="D56" s="68"/>
      <c r="E56" s="143"/>
      <c r="F56" s="17" t="s">
        <v>2363</v>
      </c>
      <c r="G56" s="17"/>
      <c r="H56" s="17" t="s">
        <v>277</v>
      </c>
      <c r="I56" s="23" t="s">
        <v>331</v>
      </c>
      <c r="J56" s="17"/>
      <c r="K56" s="147" t="s">
        <v>1886</v>
      </c>
      <c r="L56" s="3"/>
    </row>
    <row r="57" spans="2:12">
      <c r="B57" s="15">
        <f t="shared" si="0"/>
        <v>52</v>
      </c>
      <c r="C57" s="43"/>
      <c r="D57" s="68"/>
      <c r="E57" s="143"/>
      <c r="F57" s="17" t="s">
        <v>2364</v>
      </c>
      <c r="G57" s="17" t="s">
        <v>872</v>
      </c>
      <c r="H57" s="17" t="s">
        <v>2503</v>
      </c>
      <c r="I57" s="23" t="s">
        <v>331</v>
      </c>
      <c r="J57" s="17"/>
      <c r="K57" s="147" t="s">
        <v>1886</v>
      </c>
      <c r="L57" s="3"/>
    </row>
    <row r="58" spans="2:12">
      <c r="B58" s="15">
        <f t="shared" si="0"/>
        <v>53</v>
      </c>
      <c r="C58" s="43"/>
      <c r="D58" s="68"/>
      <c r="E58" s="143"/>
      <c r="F58" s="17" t="s">
        <v>2365</v>
      </c>
      <c r="G58" s="17"/>
      <c r="H58" s="17" t="s">
        <v>27</v>
      </c>
      <c r="I58" s="17" t="s">
        <v>28</v>
      </c>
      <c r="J58" s="17"/>
      <c r="K58" s="147" t="s">
        <v>1886</v>
      </c>
      <c r="L58" s="3"/>
    </row>
    <row r="59" spans="2:12">
      <c r="B59" s="15">
        <f t="shared" si="0"/>
        <v>54</v>
      </c>
      <c r="C59" s="43"/>
      <c r="D59" s="68"/>
      <c r="E59" s="143"/>
      <c r="F59" s="17" t="s">
        <v>2366</v>
      </c>
      <c r="G59" s="17"/>
      <c r="H59" s="17" t="s">
        <v>20</v>
      </c>
      <c r="I59" s="23" t="s">
        <v>331</v>
      </c>
      <c r="J59" s="17"/>
      <c r="K59" s="147" t="s">
        <v>1886</v>
      </c>
      <c r="L59" s="3"/>
    </row>
    <row r="60" spans="2:12">
      <c r="B60" s="15">
        <f t="shared" si="0"/>
        <v>55</v>
      </c>
      <c r="C60" s="43"/>
      <c r="D60" s="68"/>
      <c r="E60" s="143"/>
      <c r="F60" s="17" t="s">
        <v>2367</v>
      </c>
      <c r="G60" s="17"/>
      <c r="H60" s="17" t="s">
        <v>27</v>
      </c>
      <c r="I60" s="17" t="s">
        <v>28</v>
      </c>
      <c r="J60" s="17"/>
      <c r="K60" s="147" t="s">
        <v>1886</v>
      </c>
      <c r="L60" s="3"/>
    </row>
    <row r="61" spans="2:12">
      <c r="B61" s="15">
        <f t="shared" si="0"/>
        <v>56</v>
      </c>
      <c r="C61" s="43"/>
      <c r="D61" s="68"/>
      <c r="E61" s="143"/>
      <c r="F61" s="17" t="s">
        <v>2368</v>
      </c>
      <c r="G61" s="17"/>
      <c r="H61" s="17" t="s">
        <v>277</v>
      </c>
      <c r="I61" s="23" t="s">
        <v>331</v>
      </c>
      <c r="J61" s="17"/>
      <c r="K61" s="147" t="s">
        <v>1886</v>
      </c>
      <c r="L61" s="3"/>
    </row>
    <row r="62" spans="2:12">
      <c r="B62" s="15">
        <f t="shared" si="0"/>
        <v>57</v>
      </c>
      <c r="C62" s="43"/>
      <c r="D62" s="68"/>
      <c r="E62" s="143"/>
      <c r="F62" s="17" t="s">
        <v>2369</v>
      </c>
      <c r="G62" s="17" t="s">
        <v>872</v>
      </c>
      <c r="H62" s="17" t="s">
        <v>2504</v>
      </c>
      <c r="I62" s="23" t="s">
        <v>331</v>
      </c>
      <c r="J62" s="17"/>
      <c r="K62" s="147" t="s">
        <v>1886</v>
      </c>
      <c r="L62" s="3"/>
    </row>
    <row r="63" spans="2:12">
      <c r="B63" s="15">
        <f t="shared" si="0"/>
        <v>58</v>
      </c>
      <c r="C63" s="43"/>
      <c r="D63" s="68"/>
      <c r="E63" s="143"/>
      <c r="F63" s="17" t="s">
        <v>2370</v>
      </c>
      <c r="G63" s="17"/>
      <c r="H63" s="17" t="s">
        <v>277</v>
      </c>
      <c r="I63" s="23" t="s">
        <v>331</v>
      </c>
      <c r="J63" s="17"/>
      <c r="K63" s="147" t="s">
        <v>1886</v>
      </c>
      <c r="L63" s="3"/>
    </row>
    <row r="64" spans="2:12">
      <c r="B64" s="15">
        <f t="shared" si="0"/>
        <v>59</v>
      </c>
      <c r="C64" s="43"/>
      <c r="D64" s="68"/>
      <c r="E64" s="143"/>
      <c r="F64" s="17" t="s">
        <v>2371</v>
      </c>
      <c r="G64" s="17"/>
      <c r="H64" s="17" t="s">
        <v>277</v>
      </c>
      <c r="I64" s="23" t="s">
        <v>331</v>
      </c>
      <c r="J64" s="17"/>
      <c r="K64" s="147" t="s">
        <v>1886</v>
      </c>
      <c r="L64" s="3"/>
    </row>
    <row r="65" spans="2:12">
      <c r="B65" s="15">
        <f t="shared" si="0"/>
        <v>60</v>
      </c>
      <c r="C65" s="43"/>
      <c r="D65" s="68"/>
      <c r="E65" s="143"/>
      <c r="F65" s="17" t="s">
        <v>2372</v>
      </c>
      <c r="G65" s="17"/>
      <c r="H65" s="17" t="s">
        <v>27</v>
      </c>
      <c r="I65" s="17" t="s">
        <v>28</v>
      </c>
      <c r="J65" s="17"/>
      <c r="K65" s="147" t="s">
        <v>1886</v>
      </c>
      <c r="L65" s="3"/>
    </row>
    <row r="66" spans="2:12">
      <c r="B66" s="15">
        <f t="shared" si="0"/>
        <v>61</v>
      </c>
      <c r="C66" s="43"/>
      <c r="D66" s="68"/>
      <c r="E66" s="143"/>
      <c r="F66" s="17" t="s">
        <v>2373</v>
      </c>
      <c r="G66" s="17"/>
      <c r="H66" s="17" t="s">
        <v>27</v>
      </c>
      <c r="I66" s="17" t="s">
        <v>28</v>
      </c>
      <c r="J66" s="17"/>
      <c r="K66" s="147" t="s">
        <v>1886</v>
      </c>
      <c r="L66" s="3"/>
    </row>
    <row r="67" spans="2:12" ht="27">
      <c r="B67" s="15">
        <f t="shared" si="0"/>
        <v>62</v>
      </c>
      <c r="C67" s="43"/>
      <c r="D67" s="68"/>
      <c r="E67" s="143"/>
      <c r="F67" s="17" t="s">
        <v>2374</v>
      </c>
      <c r="G67" s="17"/>
      <c r="H67" s="17" t="s">
        <v>277</v>
      </c>
      <c r="I67" s="23" t="s">
        <v>331</v>
      </c>
      <c r="J67" s="17" t="s">
        <v>2505</v>
      </c>
      <c r="K67" s="147" t="s">
        <v>1886</v>
      </c>
      <c r="L67" s="3"/>
    </row>
    <row r="68" spans="2:12" ht="27">
      <c r="B68" s="15">
        <f t="shared" si="0"/>
        <v>63</v>
      </c>
      <c r="C68" s="43"/>
      <c r="D68" s="68"/>
      <c r="E68" s="143"/>
      <c r="F68" s="17" t="s">
        <v>2375</v>
      </c>
      <c r="G68" s="17"/>
      <c r="H68" s="17" t="s">
        <v>277</v>
      </c>
      <c r="I68" s="23" t="s">
        <v>331</v>
      </c>
      <c r="J68" s="17" t="s">
        <v>2505</v>
      </c>
      <c r="K68" s="147" t="s">
        <v>1886</v>
      </c>
      <c r="L68" s="3"/>
    </row>
    <row r="69" spans="2:12" ht="27">
      <c r="B69" s="15">
        <f t="shared" si="0"/>
        <v>64</v>
      </c>
      <c r="C69" s="43"/>
      <c r="D69" s="68"/>
      <c r="E69" s="143"/>
      <c r="F69" s="17" t="s">
        <v>2376</v>
      </c>
      <c r="G69" s="17"/>
      <c r="H69" s="17" t="s">
        <v>2506</v>
      </c>
      <c r="I69" s="23" t="s">
        <v>331</v>
      </c>
      <c r="J69" s="17"/>
      <c r="K69" s="147" t="s">
        <v>1886</v>
      </c>
      <c r="L69" s="3"/>
    </row>
    <row r="70" spans="2:12" ht="27">
      <c r="B70" s="15">
        <f t="shared" si="0"/>
        <v>65</v>
      </c>
      <c r="C70" s="43"/>
      <c r="D70" s="68"/>
      <c r="E70" s="143"/>
      <c r="F70" s="17" t="s">
        <v>2377</v>
      </c>
      <c r="G70" s="17"/>
      <c r="H70" s="17" t="s">
        <v>2507</v>
      </c>
      <c r="I70" s="23" t="s">
        <v>331</v>
      </c>
      <c r="J70" s="17"/>
      <c r="K70" s="147" t="s">
        <v>1886</v>
      </c>
      <c r="L70" s="3"/>
    </row>
    <row r="71" spans="2:12" ht="27">
      <c r="B71" s="15">
        <f t="shared" si="0"/>
        <v>66</v>
      </c>
      <c r="C71" s="43"/>
      <c r="D71" s="68"/>
      <c r="E71" s="143"/>
      <c r="F71" s="17" t="s">
        <v>2378</v>
      </c>
      <c r="G71" s="17"/>
      <c r="H71" s="17" t="s">
        <v>2506</v>
      </c>
      <c r="I71" s="23" t="s">
        <v>331</v>
      </c>
      <c r="J71" s="17"/>
      <c r="K71" s="147" t="s">
        <v>1886</v>
      </c>
      <c r="L71" s="3"/>
    </row>
    <row r="72" spans="2:12" ht="27">
      <c r="B72" s="15">
        <f t="shared" si="0"/>
        <v>67</v>
      </c>
      <c r="C72" s="43"/>
      <c r="D72" s="68"/>
      <c r="E72" s="143"/>
      <c r="F72" s="17" t="s">
        <v>2379</v>
      </c>
      <c r="G72" s="17"/>
      <c r="H72" s="17" t="s">
        <v>2506</v>
      </c>
      <c r="I72" s="23" t="s">
        <v>331</v>
      </c>
      <c r="J72" s="17"/>
      <c r="K72" s="147" t="s">
        <v>1886</v>
      </c>
      <c r="L72" s="3"/>
    </row>
    <row r="73" spans="2:12" ht="27">
      <c r="B73" s="15">
        <f t="shared" si="0"/>
        <v>68</v>
      </c>
      <c r="C73" s="43"/>
      <c r="D73" s="68"/>
      <c r="E73" s="143"/>
      <c r="F73" s="17" t="s">
        <v>2380</v>
      </c>
      <c r="G73" s="17"/>
      <c r="H73" s="17" t="s">
        <v>2506</v>
      </c>
      <c r="I73" s="23" t="s">
        <v>331</v>
      </c>
      <c r="J73" s="17"/>
      <c r="K73" s="147" t="s">
        <v>1886</v>
      </c>
      <c r="L73" s="3"/>
    </row>
    <row r="74" spans="2:12" ht="27">
      <c r="B74" s="15">
        <f t="shared" si="0"/>
        <v>69</v>
      </c>
      <c r="C74" s="43"/>
      <c r="D74" s="68"/>
      <c r="E74" s="143"/>
      <c r="F74" s="17" t="s">
        <v>2381</v>
      </c>
      <c r="G74" s="17"/>
      <c r="H74" s="17" t="s">
        <v>2506</v>
      </c>
      <c r="I74" s="23" t="s">
        <v>331</v>
      </c>
      <c r="J74" s="17"/>
      <c r="K74" s="147" t="s">
        <v>1886</v>
      </c>
      <c r="L74" s="3"/>
    </row>
    <row r="75" spans="2:12">
      <c r="B75" s="15">
        <f t="shared" si="0"/>
        <v>70</v>
      </c>
      <c r="C75" s="43"/>
      <c r="D75" s="68"/>
      <c r="E75" s="167" t="s">
        <v>1908</v>
      </c>
      <c r="F75" s="115" t="s">
        <v>2382</v>
      </c>
      <c r="G75" s="17"/>
      <c r="H75" s="17" t="s">
        <v>27</v>
      </c>
      <c r="I75" s="17" t="s">
        <v>57</v>
      </c>
      <c r="J75" s="17"/>
      <c r="K75" s="147" t="s">
        <v>1886</v>
      </c>
      <c r="L75" s="3"/>
    </row>
    <row r="76" spans="2:12">
      <c r="B76" s="15">
        <f t="shared" si="0"/>
        <v>71</v>
      </c>
      <c r="C76" s="43"/>
      <c r="D76" s="68"/>
      <c r="E76" s="143"/>
      <c r="F76" s="115" t="s">
        <v>991</v>
      </c>
      <c r="G76" s="17"/>
      <c r="H76" s="17" t="s">
        <v>2508</v>
      </c>
      <c r="I76" s="23" t="s">
        <v>331</v>
      </c>
      <c r="J76" s="17"/>
      <c r="K76" s="147" t="s">
        <v>1886</v>
      </c>
      <c r="L76" s="3"/>
    </row>
    <row r="77" spans="2:12">
      <c r="B77" s="15">
        <f t="shared" si="0"/>
        <v>72</v>
      </c>
      <c r="C77" s="98" t="s">
        <v>1909</v>
      </c>
      <c r="D77" s="16"/>
      <c r="E77" s="167" t="s">
        <v>166</v>
      </c>
      <c r="F77" s="115" t="s">
        <v>2383</v>
      </c>
      <c r="G77" s="17" t="s">
        <v>2509</v>
      </c>
      <c r="H77" s="17" t="s">
        <v>2511</v>
      </c>
      <c r="I77" s="23" t="s">
        <v>331</v>
      </c>
      <c r="J77" s="17"/>
      <c r="K77" s="147" t="s">
        <v>1886</v>
      </c>
      <c r="L77" s="3"/>
    </row>
    <row r="78" spans="2:12">
      <c r="B78" s="15">
        <f t="shared" si="0"/>
        <v>73</v>
      </c>
      <c r="C78" s="43"/>
      <c r="D78" s="68"/>
      <c r="E78" s="143"/>
      <c r="F78" s="115" t="s">
        <v>2384</v>
      </c>
      <c r="G78" s="17"/>
      <c r="H78" s="17" t="s">
        <v>2511</v>
      </c>
      <c r="I78" s="23" t="s">
        <v>331</v>
      </c>
      <c r="J78" s="17"/>
      <c r="K78" s="147" t="s">
        <v>1886</v>
      </c>
      <c r="L78" s="3"/>
    </row>
    <row r="79" spans="2:12">
      <c r="B79" s="15">
        <f t="shared" si="0"/>
        <v>74</v>
      </c>
      <c r="C79" s="43"/>
      <c r="D79" s="68"/>
      <c r="E79" s="143"/>
      <c r="F79" s="115" t="s">
        <v>2385</v>
      </c>
      <c r="G79" s="17"/>
      <c r="H79" s="17" t="s">
        <v>2511</v>
      </c>
      <c r="I79" s="23" t="s">
        <v>331</v>
      </c>
      <c r="J79" s="17"/>
      <c r="K79" s="147" t="s">
        <v>1886</v>
      </c>
      <c r="L79" s="3"/>
    </row>
    <row r="80" spans="2:12">
      <c r="B80" s="15">
        <f t="shared" si="0"/>
        <v>75</v>
      </c>
      <c r="C80" s="43"/>
      <c r="D80" s="68"/>
      <c r="E80" s="143"/>
      <c r="F80" s="115" t="s">
        <v>2386</v>
      </c>
      <c r="G80" s="17"/>
      <c r="H80" s="17" t="s">
        <v>2511</v>
      </c>
      <c r="I80" s="23" t="s">
        <v>331</v>
      </c>
      <c r="J80" s="17"/>
      <c r="K80" s="147" t="s">
        <v>1886</v>
      </c>
      <c r="L80" s="3"/>
    </row>
    <row r="81" spans="2:12">
      <c r="B81" s="15">
        <f t="shared" si="0"/>
        <v>76</v>
      </c>
      <c r="C81" s="43"/>
      <c r="D81" s="68"/>
      <c r="E81" s="143"/>
      <c r="F81" s="115" t="s">
        <v>2387</v>
      </c>
      <c r="G81" s="17" t="s">
        <v>2510</v>
      </c>
      <c r="H81" s="17" t="s">
        <v>2511</v>
      </c>
      <c r="I81" s="23" t="s">
        <v>331</v>
      </c>
      <c r="J81" s="17"/>
      <c r="K81" s="147" t="s">
        <v>1886</v>
      </c>
      <c r="L81" s="3"/>
    </row>
    <row r="82" spans="2:12">
      <c r="B82" s="15">
        <f t="shared" si="0"/>
        <v>77</v>
      </c>
      <c r="C82" s="43"/>
      <c r="D82" s="68"/>
      <c r="E82" s="143"/>
      <c r="F82" s="115" t="s">
        <v>2388</v>
      </c>
      <c r="G82" s="17"/>
      <c r="H82" s="17" t="s">
        <v>2511</v>
      </c>
      <c r="I82" s="23" t="s">
        <v>331</v>
      </c>
      <c r="J82" s="17"/>
      <c r="K82" s="147" t="s">
        <v>1886</v>
      </c>
      <c r="L82" s="3"/>
    </row>
    <row r="83" spans="2:12">
      <c r="B83" s="15">
        <f t="shared" si="0"/>
        <v>78</v>
      </c>
      <c r="C83" s="43"/>
      <c r="D83" s="68"/>
      <c r="E83" s="143"/>
      <c r="F83" s="115" t="s">
        <v>2389</v>
      </c>
      <c r="G83" s="17"/>
      <c r="H83" s="17" t="s">
        <v>2511</v>
      </c>
      <c r="I83" s="23" t="s">
        <v>331</v>
      </c>
      <c r="J83" s="17"/>
      <c r="K83" s="147" t="s">
        <v>1886</v>
      </c>
      <c r="L83" s="3"/>
    </row>
    <row r="84" spans="2:12">
      <c r="B84" s="15">
        <f t="shared" si="0"/>
        <v>79</v>
      </c>
      <c r="C84" s="43"/>
      <c r="D84" s="68"/>
      <c r="E84" s="143"/>
      <c r="F84" s="115" t="s">
        <v>2390</v>
      </c>
      <c r="G84" s="17" t="s">
        <v>872</v>
      </c>
      <c r="H84" s="17" t="s">
        <v>2508</v>
      </c>
      <c r="I84" s="23" t="s">
        <v>331</v>
      </c>
      <c r="J84" s="17"/>
      <c r="K84" s="147" t="s">
        <v>1886</v>
      </c>
      <c r="L84" s="3"/>
    </row>
    <row r="85" spans="2:12">
      <c r="B85" s="15">
        <f t="shared" si="0"/>
        <v>80</v>
      </c>
      <c r="C85" s="43"/>
      <c r="D85" s="68"/>
      <c r="E85" s="167" t="s">
        <v>1910</v>
      </c>
      <c r="F85" s="115" t="s">
        <v>2391</v>
      </c>
      <c r="G85" s="17" t="s">
        <v>2512</v>
      </c>
      <c r="H85" s="17" t="s">
        <v>2515</v>
      </c>
      <c r="I85" s="23" t="s">
        <v>331</v>
      </c>
      <c r="J85" s="17"/>
      <c r="K85" s="147" t="s">
        <v>1886</v>
      </c>
      <c r="L85" s="3"/>
    </row>
    <row r="86" spans="2:12" ht="135">
      <c r="B86" s="15">
        <f t="shared" si="0"/>
        <v>81</v>
      </c>
      <c r="C86" s="43"/>
      <c r="D86" s="68"/>
      <c r="E86" s="143"/>
      <c r="F86" s="115" t="s">
        <v>2392</v>
      </c>
      <c r="G86" s="17" t="s">
        <v>2513</v>
      </c>
      <c r="H86" s="17" t="s">
        <v>2516</v>
      </c>
      <c r="I86" s="169" t="s">
        <v>2517</v>
      </c>
      <c r="J86" s="17"/>
      <c r="K86" s="147" t="s">
        <v>1886</v>
      </c>
      <c r="L86" s="3"/>
    </row>
    <row r="87" spans="2:12">
      <c r="B87" s="15">
        <f t="shared" si="0"/>
        <v>82</v>
      </c>
      <c r="C87" s="43"/>
      <c r="D87" s="68"/>
      <c r="E87" s="143"/>
      <c r="F87" s="115" t="s">
        <v>2393</v>
      </c>
      <c r="G87" s="17" t="s">
        <v>2514</v>
      </c>
      <c r="H87" s="17" t="s">
        <v>2518</v>
      </c>
      <c r="I87" s="23" t="s">
        <v>331</v>
      </c>
      <c r="J87" s="17"/>
      <c r="K87" s="147" t="s">
        <v>1886</v>
      </c>
      <c r="L87" s="3"/>
    </row>
    <row r="88" spans="2:12" ht="27">
      <c r="B88" s="15">
        <f t="shared" si="0"/>
        <v>83</v>
      </c>
      <c r="C88" s="43"/>
      <c r="D88" s="68"/>
      <c r="E88" s="143"/>
      <c r="F88" s="115" t="s">
        <v>2394</v>
      </c>
      <c r="G88" s="17"/>
      <c r="H88" s="17" t="s">
        <v>2519</v>
      </c>
      <c r="I88" s="169" t="s">
        <v>232</v>
      </c>
      <c r="J88" s="17"/>
      <c r="K88" s="147" t="s">
        <v>1886</v>
      </c>
      <c r="L88" s="3"/>
    </row>
    <row r="89" spans="2:12">
      <c r="B89" s="15">
        <f t="shared" si="0"/>
        <v>84</v>
      </c>
      <c r="C89" s="43"/>
      <c r="D89" s="68"/>
      <c r="E89" s="143"/>
      <c r="F89" s="115" t="s">
        <v>2395</v>
      </c>
      <c r="G89" s="17"/>
      <c r="H89" s="17" t="s">
        <v>50</v>
      </c>
      <c r="I89" s="169" t="s">
        <v>1644</v>
      </c>
      <c r="J89" s="17"/>
      <c r="K89" s="147" t="s">
        <v>1886</v>
      </c>
      <c r="L89" s="3"/>
    </row>
    <row r="90" spans="2:12" ht="27">
      <c r="B90" s="15">
        <f t="shared" si="0"/>
        <v>85</v>
      </c>
      <c r="C90" s="43"/>
      <c r="D90" s="68"/>
      <c r="E90" s="143"/>
      <c r="F90" s="115" t="s">
        <v>2396</v>
      </c>
      <c r="G90" s="17"/>
      <c r="H90" s="17" t="s">
        <v>2519</v>
      </c>
      <c r="I90" s="169" t="s">
        <v>232</v>
      </c>
      <c r="J90" s="17"/>
      <c r="K90" s="147" t="s">
        <v>1886</v>
      </c>
      <c r="L90" s="3"/>
    </row>
    <row r="91" spans="2:12">
      <c r="B91" s="15">
        <f t="shared" si="0"/>
        <v>86</v>
      </c>
      <c r="C91" s="43"/>
      <c r="D91" s="68"/>
      <c r="E91" s="143"/>
      <c r="F91" s="115" t="s">
        <v>2397</v>
      </c>
      <c r="G91" s="17"/>
      <c r="H91" s="17" t="s">
        <v>50</v>
      </c>
      <c r="I91" s="169" t="s">
        <v>1644</v>
      </c>
      <c r="J91" s="17"/>
      <c r="K91" s="147" t="s">
        <v>1886</v>
      </c>
      <c r="L91" s="3"/>
    </row>
    <row r="92" spans="2:12" ht="27">
      <c r="B92" s="15">
        <f t="shared" si="0"/>
        <v>87</v>
      </c>
      <c r="C92" s="43"/>
      <c r="D92" s="68"/>
      <c r="E92" s="142"/>
      <c r="F92" s="115" t="s">
        <v>2398</v>
      </c>
      <c r="G92" s="17"/>
      <c r="H92" s="17" t="s">
        <v>938</v>
      </c>
      <c r="I92" s="23" t="s">
        <v>331</v>
      </c>
      <c r="J92" s="17"/>
      <c r="K92" s="147" t="s">
        <v>1886</v>
      </c>
      <c r="L92" s="3"/>
    </row>
    <row r="93" spans="2:12" ht="27">
      <c r="B93" s="15">
        <f t="shared" si="0"/>
        <v>88</v>
      </c>
      <c r="C93" s="43"/>
      <c r="D93" s="19"/>
      <c r="E93" s="142" t="s">
        <v>892</v>
      </c>
      <c r="F93" s="115" t="s">
        <v>621</v>
      </c>
      <c r="G93" s="17" t="s">
        <v>2272</v>
      </c>
      <c r="H93" s="169" t="s">
        <v>21</v>
      </c>
      <c r="I93" s="169" t="s">
        <v>21</v>
      </c>
      <c r="J93" s="17" t="s">
        <v>2594</v>
      </c>
      <c r="K93" s="147" t="s">
        <v>1886</v>
      </c>
      <c r="L93" s="3"/>
    </row>
    <row r="94" spans="2:12" ht="40.5">
      <c r="B94" s="15">
        <f t="shared" si="0"/>
        <v>89</v>
      </c>
      <c r="C94" s="16" t="s">
        <v>1911</v>
      </c>
      <c r="D94" s="16"/>
      <c r="E94" s="16"/>
      <c r="F94" s="17" t="s">
        <v>720</v>
      </c>
      <c r="G94" s="17"/>
      <c r="H94" s="169" t="s">
        <v>21</v>
      </c>
      <c r="I94" s="169"/>
      <c r="J94" s="17"/>
      <c r="K94" s="147" t="s">
        <v>2564</v>
      </c>
      <c r="L94" s="3"/>
    </row>
    <row r="95" spans="2:12" ht="40.5">
      <c r="B95" s="15">
        <f t="shared" si="0"/>
        <v>90</v>
      </c>
      <c r="C95" s="68"/>
      <c r="D95" s="68"/>
      <c r="E95" s="68"/>
      <c r="F95" s="17" t="s">
        <v>1911</v>
      </c>
      <c r="G95" s="17" t="s">
        <v>872</v>
      </c>
      <c r="H95" s="17" t="s">
        <v>2520</v>
      </c>
      <c r="I95" s="23" t="s">
        <v>331</v>
      </c>
      <c r="J95" s="17"/>
      <c r="K95" s="147" t="s">
        <v>2564</v>
      </c>
      <c r="L95" s="3"/>
    </row>
    <row r="96" spans="2:12" ht="40.5">
      <c r="B96" s="15">
        <f t="shared" si="0"/>
        <v>91</v>
      </c>
      <c r="C96" s="68"/>
      <c r="D96" s="68"/>
      <c r="E96" s="68"/>
      <c r="F96" s="17" t="s">
        <v>45</v>
      </c>
      <c r="G96" s="17"/>
      <c r="H96" s="17" t="s">
        <v>20</v>
      </c>
      <c r="I96" s="169" t="s">
        <v>2525</v>
      </c>
      <c r="J96" s="17"/>
      <c r="K96" s="147" t="s">
        <v>2564</v>
      </c>
      <c r="L96" s="3"/>
    </row>
    <row r="97" spans="2:12" ht="40.5">
      <c r="B97" s="15">
        <f t="shared" si="0"/>
        <v>92</v>
      </c>
      <c r="C97" s="68"/>
      <c r="D97" s="68"/>
      <c r="E97" s="68"/>
      <c r="F97" s="17" t="s">
        <v>2399</v>
      </c>
      <c r="G97" s="17"/>
      <c r="H97" s="17" t="s">
        <v>27</v>
      </c>
      <c r="I97" s="169" t="s">
        <v>57</v>
      </c>
      <c r="J97" s="17" t="s">
        <v>2524</v>
      </c>
      <c r="K97" s="147" t="s">
        <v>2564</v>
      </c>
      <c r="L97" s="3"/>
    </row>
    <row r="98" spans="2:12" ht="40.5">
      <c r="B98" s="15">
        <f t="shared" si="0"/>
        <v>93</v>
      </c>
      <c r="C98" s="68"/>
      <c r="D98" s="68"/>
      <c r="E98" s="68"/>
      <c r="F98" s="17" t="s">
        <v>2400</v>
      </c>
      <c r="G98" s="17"/>
      <c r="H98" s="17" t="s">
        <v>2511</v>
      </c>
      <c r="I98" s="23" t="s">
        <v>2523</v>
      </c>
      <c r="J98" s="17"/>
      <c r="K98" s="147" t="s">
        <v>2564</v>
      </c>
      <c r="L98" s="3"/>
    </row>
    <row r="99" spans="2:12" ht="40.5">
      <c r="B99" s="15">
        <f t="shared" si="0"/>
        <v>94</v>
      </c>
      <c r="C99" s="68"/>
      <c r="D99" s="68"/>
      <c r="E99" s="68"/>
      <c r="F99" s="17" t="s">
        <v>2401</v>
      </c>
      <c r="G99" s="17"/>
      <c r="H99" s="17" t="s">
        <v>2511</v>
      </c>
      <c r="I99" s="23" t="s">
        <v>170</v>
      </c>
      <c r="J99" s="17"/>
      <c r="K99" s="147" t="s">
        <v>2564</v>
      </c>
      <c r="L99" s="3"/>
    </row>
    <row r="100" spans="2:12" ht="40.5">
      <c r="B100" s="15">
        <f t="shared" si="0"/>
        <v>95</v>
      </c>
      <c r="C100" s="68"/>
      <c r="D100" s="68"/>
      <c r="E100" s="68"/>
      <c r="F100" s="17" t="s">
        <v>991</v>
      </c>
      <c r="G100" s="17" t="s">
        <v>872</v>
      </c>
      <c r="H100" s="17" t="s">
        <v>2508</v>
      </c>
      <c r="I100" s="23" t="s">
        <v>331</v>
      </c>
      <c r="J100" s="17"/>
      <c r="K100" s="147" t="s">
        <v>2564</v>
      </c>
      <c r="L100" s="3"/>
    </row>
    <row r="101" spans="2:12" ht="40.5">
      <c r="B101" s="15">
        <f t="shared" si="0"/>
        <v>96</v>
      </c>
      <c r="C101" s="68"/>
      <c r="D101" s="68"/>
      <c r="E101" s="68"/>
      <c r="F101" s="17" t="s">
        <v>2402</v>
      </c>
      <c r="G101" s="17"/>
      <c r="H101" s="17" t="s">
        <v>50</v>
      </c>
      <c r="I101" s="169" t="s">
        <v>2526</v>
      </c>
      <c r="J101" s="17"/>
      <c r="K101" s="147" t="s">
        <v>2564</v>
      </c>
      <c r="L101" s="3"/>
    </row>
    <row r="102" spans="2:12" ht="40.5">
      <c r="B102" s="15">
        <f t="shared" si="0"/>
        <v>97</v>
      </c>
      <c r="C102" s="68"/>
      <c r="D102" s="19"/>
      <c r="E102" s="68"/>
      <c r="F102" s="17" t="s">
        <v>2403</v>
      </c>
      <c r="G102" s="17" t="s">
        <v>872</v>
      </c>
      <c r="H102" s="17" t="s">
        <v>2521</v>
      </c>
      <c r="I102" s="169" t="s">
        <v>2522</v>
      </c>
      <c r="J102" s="17"/>
      <c r="K102" s="147" t="s">
        <v>2564</v>
      </c>
      <c r="L102" s="3"/>
    </row>
    <row r="103" spans="2:12">
      <c r="B103" s="15">
        <f t="shared" si="0"/>
        <v>98</v>
      </c>
      <c r="C103" s="16" t="s">
        <v>560</v>
      </c>
      <c r="D103" s="16"/>
      <c r="E103" s="16" t="s">
        <v>560</v>
      </c>
      <c r="F103" s="115" t="s">
        <v>794</v>
      </c>
      <c r="G103" s="17"/>
      <c r="H103" s="17" t="s">
        <v>1152</v>
      </c>
      <c r="I103" s="23" t="s">
        <v>331</v>
      </c>
      <c r="J103" s="17"/>
      <c r="K103" s="147" t="s">
        <v>1886</v>
      </c>
      <c r="L103" s="3"/>
    </row>
    <row r="104" spans="2:12" ht="40.5">
      <c r="B104" s="15">
        <f t="shared" si="0"/>
        <v>99</v>
      </c>
      <c r="C104" s="68"/>
      <c r="D104" s="68"/>
      <c r="E104" s="68"/>
      <c r="F104" s="115" t="s">
        <v>2406</v>
      </c>
      <c r="G104" s="17"/>
      <c r="H104" s="17" t="s">
        <v>2529</v>
      </c>
      <c r="I104" s="17" t="s">
        <v>2530</v>
      </c>
      <c r="J104" s="17"/>
      <c r="K104" s="147" t="s">
        <v>1886</v>
      </c>
      <c r="L104" s="3"/>
    </row>
    <row r="105" spans="2:12" ht="27">
      <c r="B105" s="15">
        <f t="shared" si="0"/>
        <v>100</v>
      </c>
      <c r="C105" s="68"/>
      <c r="D105" s="68"/>
      <c r="E105" s="68"/>
      <c r="F105" s="115" t="s">
        <v>2404</v>
      </c>
      <c r="G105" s="17" t="s">
        <v>2405</v>
      </c>
      <c r="H105" s="17" t="s">
        <v>27</v>
      </c>
      <c r="I105" s="169" t="s">
        <v>57</v>
      </c>
      <c r="J105" s="17"/>
      <c r="K105" s="147" t="s">
        <v>1886</v>
      </c>
      <c r="L105" s="3"/>
    </row>
    <row r="106" spans="2:12" ht="54">
      <c r="B106" s="15">
        <f t="shared" si="0"/>
        <v>101</v>
      </c>
      <c r="C106" s="68"/>
      <c r="D106" s="68"/>
      <c r="E106" s="68"/>
      <c r="F106" s="115" t="s">
        <v>2407</v>
      </c>
      <c r="G106" s="17" t="s">
        <v>2527</v>
      </c>
      <c r="H106" s="17" t="s">
        <v>2531</v>
      </c>
      <c r="I106" s="23" t="s">
        <v>331</v>
      </c>
      <c r="J106" s="17"/>
      <c r="K106" s="147" t="s">
        <v>1886</v>
      </c>
      <c r="L106" s="3"/>
    </row>
    <row r="107" spans="2:12" ht="27">
      <c r="B107" s="15">
        <f t="shared" si="0"/>
        <v>102</v>
      </c>
      <c r="C107" s="68"/>
      <c r="D107" s="68"/>
      <c r="E107" s="68"/>
      <c r="F107" s="115" t="s">
        <v>2408</v>
      </c>
      <c r="G107" s="17" t="s">
        <v>2528</v>
      </c>
      <c r="H107" s="17" t="s">
        <v>20</v>
      </c>
      <c r="I107" s="23" t="s">
        <v>331</v>
      </c>
      <c r="J107" s="17"/>
      <c r="K107" s="147" t="s">
        <v>1886</v>
      </c>
      <c r="L107" s="3"/>
    </row>
    <row r="108" spans="2:12">
      <c r="B108" s="15">
        <f t="shared" si="0"/>
        <v>103</v>
      </c>
      <c r="C108" s="68"/>
      <c r="D108" s="68"/>
      <c r="E108" s="68"/>
      <c r="F108" s="115" t="s">
        <v>2409</v>
      </c>
      <c r="G108" s="17"/>
      <c r="H108" s="17" t="s">
        <v>20</v>
      </c>
      <c r="I108" s="23" t="s">
        <v>331</v>
      </c>
      <c r="J108" s="17"/>
      <c r="K108" s="147" t="s">
        <v>1886</v>
      </c>
      <c r="L108" s="3"/>
    </row>
    <row r="109" spans="2:12">
      <c r="B109" s="15">
        <f t="shared" si="0"/>
        <v>104</v>
      </c>
      <c r="C109" s="68"/>
      <c r="D109" s="68"/>
      <c r="E109" s="68"/>
      <c r="F109" s="115" t="s">
        <v>2410</v>
      </c>
      <c r="G109" s="17"/>
      <c r="H109" s="17" t="s">
        <v>27</v>
      </c>
      <c r="I109" s="169" t="s">
        <v>28</v>
      </c>
      <c r="J109" s="17"/>
      <c r="K109" s="147" t="s">
        <v>1886</v>
      </c>
      <c r="L109" s="3"/>
    </row>
    <row r="110" spans="2:12" ht="27">
      <c r="B110" s="15">
        <f t="shared" si="0"/>
        <v>105</v>
      </c>
      <c r="C110" s="68"/>
      <c r="D110" s="68"/>
      <c r="E110" s="68"/>
      <c r="F110" s="115" t="s">
        <v>2411</v>
      </c>
      <c r="G110" s="17"/>
      <c r="H110" s="17" t="s">
        <v>27</v>
      </c>
      <c r="I110" s="169" t="s">
        <v>57</v>
      </c>
      <c r="J110" s="17"/>
      <c r="K110" s="147" t="s">
        <v>1886</v>
      </c>
      <c r="L110" s="3"/>
    </row>
    <row r="111" spans="2:12">
      <c r="B111" s="15">
        <f t="shared" si="0"/>
        <v>106</v>
      </c>
      <c r="C111" s="68"/>
      <c r="D111" s="68"/>
      <c r="E111" s="68"/>
      <c r="F111" s="115" t="s">
        <v>2412</v>
      </c>
      <c r="G111" s="17"/>
      <c r="H111" s="17" t="s">
        <v>20</v>
      </c>
      <c r="I111" s="23" t="s">
        <v>331</v>
      </c>
      <c r="J111" s="17"/>
      <c r="K111" s="147" t="s">
        <v>1886</v>
      </c>
      <c r="L111" s="3"/>
    </row>
    <row r="112" spans="2:12">
      <c r="B112" s="15">
        <f t="shared" si="0"/>
        <v>107</v>
      </c>
      <c r="C112" s="68"/>
      <c r="D112" s="68"/>
      <c r="E112" s="68"/>
      <c r="F112" s="115" t="s">
        <v>2413</v>
      </c>
      <c r="G112" s="17"/>
      <c r="H112" s="17" t="s">
        <v>20</v>
      </c>
      <c r="I112" s="23" t="s">
        <v>331</v>
      </c>
      <c r="J112" s="17"/>
      <c r="K112" s="147" t="s">
        <v>1886</v>
      </c>
      <c r="L112" s="3"/>
    </row>
    <row r="113" spans="2:12">
      <c r="B113" s="15">
        <f t="shared" si="0"/>
        <v>108</v>
      </c>
      <c r="C113" s="68"/>
      <c r="D113" s="68"/>
      <c r="E113" s="68"/>
      <c r="F113" s="115" t="s">
        <v>2414</v>
      </c>
      <c r="G113" s="17"/>
      <c r="H113" s="17" t="s">
        <v>20</v>
      </c>
      <c r="I113" s="23" t="s">
        <v>331</v>
      </c>
      <c r="J113" s="17"/>
      <c r="K113" s="147" t="s">
        <v>1886</v>
      </c>
      <c r="L113" s="3"/>
    </row>
    <row r="114" spans="2:12" ht="27">
      <c r="B114" s="15">
        <f t="shared" si="0"/>
        <v>109</v>
      </c>
      <c r="C114" s="68"/>
      <c r="D114" s="68"/>
      <c r="E114" s="68"/>
      <c r="F114" s="115" t="s">
        <v>2415</v>
      </c>
      <c r="G114" s="17"/>
      <c r="H114" s="169" t="s">
        <v>21</v>
      </c>
      <c r="I114" s="169" t="s">
        <v>21</v>
      </c>
      <c r="J114" s="17"/>
      <c r="K114" s="147" t="s">
        <v>2418</v>
      </c>
      <c r="L114" s="3"/>
    </row>
    <row r="115" spans="2:12" ht="27">
      <c r="B115" s="15">
        <f t="shared" si="0"/>
        <v>110</v>
      </c>
      <c r="C115" s="68"/>
      <c r="D115" s="68"/>
      <c r="E115" s="68"/>
      <c r="F115" s="115" t="s">
        <v>2416</v>
      </c>
      <c r="G115" s="17"/>
      <c r="H115" s="169" t="s">
        <v>21</v>
      </c>
      <c r="I115" s="169" t="s">
        <v>21</v>
      </c>
      <c r="J115" s="17"/>
      <c r="K115" s="147" t="s">
        <v>2418</v>
      </c>
      <c r="L115" s="3"/>
    </row>
    <row r="116" spans="2:12" ht="27">
      <c r="B116" s="15">
        <f t="shared" si="0"/>
        <v>111</v>
      </c>
      <c r="C116" s="68"/>
      <c r="D116" s="68"/>
      <c r="E116" s="19"/>
      <c r="F116" s="115" t="s">
        <v>2417</v>
      </c>
      <c r="G116" s="17"/>
      <c r="H116" s="169" t="s">
        <v>21</v>
      </c>
      <c r="I116" s="169" t="s">
        <v>21</v>
      </c>
      <c r="J116" s="17"/>
      <c r="K116" s="147" t="s">
        <v>2418</v>
      </c>
      <c r="L116" s="3"/>
    </row>
    <row r="117" spans="2:12">
      <c r="B117" s="15">
        <f t="shared" si="0"/>
        <v>112</v>
      </c>
      <c r="C117" s="19"/>
      <c r="D117" s="19"/>
      <c r="E117" s="68" t="s">
        <v>1912</v>
      </c>
      <c r="F117" s="115" t="s">
        <v>2419</v>
      </c>
      <c r="G117" s="17"/>
      <c r="H117" s="17" t="s">
        <v>2532</v>
      </c>
      <c r="I117" s="23" t="s">
        <v>331</v>
      </c>
      <c r="J117" s="17"/>
      <c r="K117" s="147" t="s">
        <v>1886</v>
      </c>
      <c r="L117" s="3"/>
    </row>
    <row r="118" spans="2:12">
      <c r="B118" s="15">
        <f t="shared" si="0"/>
        <v>113</v>
      </c>
      <c r="C118" s="16" t="s">
        <v>1913</v>
      </c>
      <c r="D118" s="16"/>
      <c r="E118" s="16" t="s">
        <v>1913</v>
      </c>
      <c r="F118" s="115" t="s">
        <v>52</v>
      </c>
      <c r="G118" s="17"/>
      <c r="H118" s="17" t="s">
        <v>20</v>
      </c>
      <c r="I118" s="23" t="s">
        <v>331</v>
      </c>
      <c r="J118" s="17"/>
      <c r="K118" s="147" t="s">
        <v>1886</v>
      </c>
      <c r="L118" s="3"/>
    </row>
    <row r="119" spans="2:12">
      <c r="B119" s="15">
        <f t="shared" si="0"/>
        <v>114</v>
      </c>
      <c r="C119" s="68"/>
      <c r="D119" s="68"/>
      <c r="E119" s="68"/>
      <c r="F119" s="115" t="s">
        <v>922</v>
      </c>
      <c r="G119" s="17"/>
      <c r="H119" s="17" t="s">
        <v>20</v>
      </c>
      <c r="I119" s="23" t="s">
        <v>331</v>
      </c>
      <c r="J119" s="17"/>
      <c r="K119" s="147" t="s">
        <v>1886</v>
      </c>
      <c r="L119" s="3"/>
    </row>
    <row r="120" spans="2:12">
      <c r="B120" s="15">
        <f t="shared" si="0"/>
        <v>115</v>
      </c>
      <c r="C120" s="68"/>
      <c r="D120" s="68"/>
      <c r="E120" s="68"/>
      <c r="F120" s="115" t="s">
        <v>2430</v>
      </c>
      <c r="G120" s="17"/>
      <c r="H120" s="17" t="s">
        <v>20</v>
      </c>
      <c r="I120" s="23" t="s">
        <v>331</v>
      </c>
      <c r="J120" s="17"/>
      <c r="K120" s="147" t="s">
        <v>1886</v>
      </c>
      <c r="L120" s="3"/>
    </row>
    <row r="121" spans="2:12">
      <c r="B121" s="15">
        <f t="shared" si="0"/>
        <v>116</v>
      </c>
      <c r="C121" s="68"/>
      <c r="D121" s="68"/>
      <c r="E121" s="68"/>
      <c r="F121" s="115" t="s">
        <v>2431</v>
      </c>
      <c r="G121" s="17"/>
      <c r="H121" s="17" t="s">
        <v>20</v>
      </c>
      <c r="I121" s="23" t="s">
        <v>331</v>
      </c>
      <c r="J121" s="17"/>
      <c r="K121" s="147" t="s">
        <v>1886</v>
      </c>
      <c r="L121" s="3"/>
    </row>
    <row r="122" spans="2:12">
      <c r="B122" s="15">
        <f t="shared" si="0"/>
        <v>117</v>
      </c>
      <c r="C122" s="68"/>
      <c r="D122" s="68"/>
      <c r="E122" s="68"/>
      <c r="F122" s="115" t="s">
        <v>2420</v>
      </c>
      <c r="G122" s="17" t="s">
        <v>2541</v>
      </c>
      <c r="H122" s="17" t="s">
        <v>27</v>
      </c>
      <c r="I122" s="169" t="s">
        <v>28</v>
      </c>
      <c r="J122" s="17"/>
      <c r="K122" s="147" t="s">
        <v>1886</v>
      </c>
      <c r="L122" s="3"/>
    </row>
    <row r="123" spans="2:12">
      <c r="B123" s="15">
        <f t="shared" si="0"/>
        <v>118</v>
      </c>
      <c r="C123" s="68"/>
      <c r="D123" s="68"/>
      <c r="E123" s="68"/>
      <c r="F123" s="115" t="s">
        <v>2421</v>
      </c>
      <c r="G123" s="17" t="s">
        <v>2542</v>
      </c>
      <c r="H123" s="17" t="s">
        <v>277</v>
      </c>
      <c r="I123" s="23" t="s">
        <v>331</v>
      </c>
      <c r="J123" s="17"/>
      <c r="K123" s="147" t="s">
        <v>1886</v>
      </c>
      <c r="L123" s="3"/>
    </row>
    <row r="124" spans="2:12">
      <c r="B124" s="15">
        <f t="shared" si="0"/>
        <v>119</v>
      </c>
      <c r="C124" s="68"/>
      <c r="D124" s="68"/>
      <c r="E124" s="68"/>
      <c r="F124" s="115" t="s">
        <v>2422</v>
      </c>
      <c r="G124" s="17"/>
      <c r="H124" s="17" t="s">
        <v>2533</v>
      </c>
      <c r="I124" s="23" t="s">
        <v>331</v>
      </c>
      <c r="J124" s="17"/>
      <c r="K124" s="147" t="s">
        <v>1886</v>
      </c>
      <c r="L124" s="3"/>
    </row>
    <row r="125" spans="2:12">
      <c r="B125" s="15">
        <f t="shared" si="0"/>
        <v>120</v>
      </c>
      <c r="C125" s="68"/>
      <c r="D125" s="68"/>
      <c r="E125" s="68"/>
      <c r="F125" s="115" t="s">
        <v>2424</v>
      </c>
      <c r="G125" s="17"/>
      <c r="H125" s="17" t="s">
        <v>2534</v>
      </c>
      <c r="I125" s="23" t="s">
        <v>331</v>
      </c>
      <c r="J125" s="17"/>
      <c r="K125" s="147" t="s">
        <v>1886</v>
      </c>
      <c r="L125" s="3"/>
    </row>
    <row r="126" spans="2:12">
      <c r="B126" s="15">
        <f t="shared" si="0"/>
        <v>121</v>
      </c>
      <c r="C126" s="68"/>
      <c r="D126" s="68"/>
      <c r="E126" s="68"/>
      <c r="F126" s="115" t="s">
        <v>2425</v>
      </c>
      <c r="G126" s="17" t="s">
        <v>2543</v>
      </c>
      <c r="H126" s="17" t="s">
        <v>2535</v>
      </c>
      <c r="I126" s="23" t="s">
        <v>331</v>
      </c>
      <c r="J126" s="17"/>
      <c r="K126" s="147" t="s">
        <v>1886</v>
      </c>
      <c r="L126" s="3"/>
    </row>
    <row r="127" spans="2:12" ht="27">
      <c r="B127" s="15">
        <f t="shared" si="0"/>
        <v>122</v>
      </c>
      <c r="C127" s="68"/>
      <c r="D127" s="68"/>
      <c r="E127" s="68"/>
      <c r="F127" s="115" t="s">
        <v>2432</v>
      </c>
      <c r="G127" s="17"/>
      <c r="H127" s="17" t="s">
        <v>2538</v>
      </c>
      <c r="I127" s="23" t="s">
        <v>331</v>
      </c>
      <c r="J127" s="17"/>
      <c r="K127" s="147" t="s">
        <v>1886</v>
      </c>
      <c r="L127" s="3"/>
    </row>
    <row r="128" spans="2:12">
      <c r="B128" s="15">
        <f t="shared" si="0"/>
        <v>123</v>
      </c>
      <c r="C128" s="68"/>
      <c r="D128" s="68"/>
      <c r="E128" s="68"/>
      <c r="F128" s="115" t="s">
        <v>2433</v>
      </c>
      <c r="G128" s="17" t="s">
        <v>2544</v>
      </c>
      <c r="H128" s="17" t="s">
        <v>27</v>
      </c>
      <c r="I128" s="169" t="s">
        <v>28</v>
      </c>
      <c r="J128" s="17"/>
      <c r="K128" s="147" t="s">
        <v>1886</v>
      </c>
      <c r="L128" s="3"/>
    </row>
    <row r="129" spans="2:12" ht="27">
      <c r="B129" s="15">
        <f t="shared" si="0"/>
        <v>124</v>
      </c>
      <c r="C129" s="68"/>
      <c r="D129" s="68"/>
      <c r="E129" s="68"/>
      <c r="F129" s="115" t="s">
        <v>2434</v>
      </c>
      <c r="G129" s="17"/>
      <c r="H129" s="17" t="s">
        <v>2270</v>
      </c>
      <c r="I129" s="23" t="s">
        <v>331</v>
      </c>
      <c r="J129" s="17"/>
      <c r="K129" s="147" t="s">
        <v>1886</v>
      </c>
      <c r="L129" s="3"/>
    </row>
    <row r="130" spans="2:12">
      <c r="B130" s="15">
        <f t="shared" si="0"/>
        <v>125</v>
      </c>
      <c r="C130" s="68"/>
      <c r="D130" s="68"/>
      <c r="E130" s="68"/>
      <c r="F130" s="115" t="s">
        <v>2435</v>
      </c>
      <c r="G130" s="17" t="s">
        <v>2545</v>
      </c>
      <c r="H130" s="17" t="s">
        <v>27</v>
      </c>
      <c r="I130" s="169" t="s">
        <v>28</v>
      </c>
      <c r="J130" s="17"/>
      <c r="K130" s="147" t="s">
        <v>1886</v>
      </c>
      <c r="L130" s="3"/>
    </row>
    <row r="131" spans="2:12" ht="27">
      <c r="B131" s="15">
        <f t="shared" si="0"/>
        <v>126</v>
      </c>
      <c r="C131" s="68"/>
      <c r="D131" s="68"/>
      <c r="E131" s="68"/>
      <c r="F131" s="115" t="s">
        <v>2436</v>
      </c>
      <c r="G131" s="17"/>
      <c r="H131" s="17" t="s">
        <v>2539</v>
      </c>
      <c r="I131" s="23" t="s">
        <v>331</v>
      </c>
      <c r="J131" s="17"/>
      <c r="K131" s="147" t="s">
        <v>1886</v>
      </c>
      <c r="L131" s="3"/>
    </row>
    <row r="132" spans="2:12">
      <c r="B132" s="15">
        <f t="shared" si="0"/>
        <v>127</v>
      </c>
      <c r="C132" s="68"/>
      <c r="D132" s="68"/>
      <c r="E132" s="68"/>
      <c r="F132" s="115" t="s">
        <v>2437</v>
      </c>
      <c r="G132" s="17" t="s">
        <v>2546</v>
      </c>
      <c r="H132" s="17" t="s">
        <v>27</v>
      </c>
      <c r="I132" s="169" t="s">
        <v>28</v>
      </c>
      <c r="J132" s="17"/>
      <c r="K132" s="147" t="s">
        <v>1886</v>
      </c>
      <c r="L132" s="3"/>
    </row>
    <row r="133" spans="2:12">
      <c r="B133" s="15">
        <f t="shared" si="0"/>
        <v>128</v>
      </c>
      <c r="C133" s="68"/>
      <c r="D133" s="68"/>
      <c r="E133" s="68"/>
      <c r="F133" s="115" t="s">
        <v>2423</v>
      </c>
      <c r="G133" s="17"/>
      <c r="H133" s="17" t="s">
        <v>2533</v>
      </c>
      <c r="I133" s="23" t="s">
        <v>331</v>
      </c>
      <c r="J133" s="17"/>
      <c r="K133" s="147" t="s">
        <v>1886</v>
      </c>
      <c r="L133" s="3"/>
    </row>
    <row r="134" spans="2:12">
      <c r="B134" s="15">
        <f t="shared" si="0"/>
        <v>129</v>
      </c>
      <c r="C134" s="68"/>
      <c r="D134" s="68"/>
      <c r="E134" s="68"/>
      <c r="F134" s="115" t="s">
        <v>2426</v>
      </c>
      <c r="G134" s="17"/>
      <c r="H134" s="17" t="s">
        <v>2536</v>
      </c>
      <c r="I134" s="23" t="s">
        <v>331</v>
      </c>
      <c r="J134" s="17"/>
      <c r="K134" s="147" t="s">
        <v>1886</v>
      </c>
      <c r="L134" s="3"/>
    </row>
    <row r="135" spans="2:12">
      <c r="B135" s="15">
        <f t="shared" si="0"/>
        <v>130</v>
      </c>
      <c r="C135" s="68"/>
      <c r="D135" s="68"/>
      <c r="E135" s="68"/>
      <c r="F135" s="115" t="s">
        <v>2438</v>
      </c>
      <c r="G135" s="17"/>
      <c r="H135" s="17" t="s">
        <v>277</v>
      </c>
      <c r="I135" s="23" t="s">
        <v>331</v>
      </c>
      <c r="J135" s="17"/>
      <c r="K135" s="147" t="s">
        <v>1886</v>
      </c>
      <c r="L135" s="3"/>
    </row>
    <row r="136" spans="2:12">
      <c r="B136" s="15">
        <f t="shared" si="0"/>
        <v>131</v>
      </c>
      <c r="C136" s="68"/>
      <c r="D136" s="68"/>
      <c r="E136" s="68"/>
      <c r="F136" s="115" t="s">
        <v>2427</v>
      </c>
      <c r="G136" s="17"/>
      <c r="H136" s="17" t="s">
        <v>2537</v>
      </c>
      <c r="I136" s="23" t="s">
        <v>331</v>
      </c>
      <c r="J136" s="17"/>
      <c r="K136" s="147" t="s">
        <v>1886</v>
      </c>
      <c r="L136" s="3"/>
    </row>
    <row r="137" spans="2:12">
      <c r="B137" s="15">
        <f t="shared" si="0"/>
        <v>132</v>
      </c>
      <c r="C137" s="68"/>
      <c r="D137" s="68"/>
      <c r="E137" s="68"/>
      <c r="F137" s="115" t="s">
        <v>2428</v>
      </c>
      <c r="G137" s="17" t="s">
        <v>2547</v>
      </c>
      <c r="H137" s="17" t="s">
        <v>27</v>
      </c>
      <c r="I137" s="169" t="s">
        <v>28</v>
      </c>
      <c r="J137" s="17"/>
      <c r="K137" s="147" t="s">
        <v>1886</v>
      </c>
      <c r="L137" s="3"/>
    </row>
    <row r="138" spans="2:12" ht="27">
      <c r="B138" s="15">
        <f t="shared" si="0"/>
        <v>133</v>
      </c>
      <c r="C138" s="68"/>
      <c r="D138" s="68"/>
      <c r="E138" s="68"/>
      <c r="F138" s="115" t="s">
        <v>2429</v>
      </c>
      <c r="G138" s="17"/>
      <c r="H138" s="17" t="s">
        <v>2540</v>
      </c>
      <c r="I138" s="23" t="s">
        <v>331</v>
      </c>
      <c r="J138" s="17"/>
      <c r="K138" s="147" t="s">
        <v>1886</v>
      </c>
      <c r="L138" s="3"/>
    </row>
    <row r="139" spans="2:12" ht="27">
      <c r="B139" s="15">
        <f t="shared" si="0"/>
        <v>134</v>
      </c>
      <c r="C139" s="68"/>
      <c r="D139" s="68"/>
      <c r="E139" s="68"/>
      <c r="F139" s="115" t="s">
        <v>2439</v>
      </c>
      <c r="G139" s="17"/>
      <c r="H139" s="17" t="s">
        <v>50</v>
      </c>
      <c r="I139" s="169" t="s">
        <v>2549</v>
      </c>
      <c r="J139" s="17"/>
      <c r="K139" s="147" t="s">
        <v>1886</v>
      </c>
      <c r="L139" s="3"/>
    </row>
    <row r="140" spans="2:12">
      <c r="B140" s="15">
        <f t="shared" si="0"/>
        <v>135</v>
      </c>
      <c r="C140" s="68"/>
      <c r="D140" s="68"/>
      <c r="E140" s="68"/>
      <c r="F140" s="115" t="s">
        <v>2440</v>
      </c>
      <c r="G140" s="17"/>
      <c r="H140" s="17" t="s">
        <v>277</v>
      </c>
      <c r="I140" s="23" t="s">
        <v>331</v>
      </c>
      <c r="J140" s="17"/>
      <c r="K140" s="147" t="s">
        <v>1886</v>
      </c>
      <c r="L140" s="3"/>
    </row>
    <row r="141" spans="2:12">
      <c r="B141" s="15">
        <f t="shared" si="0"/>
        <v>136</v>
      </c>
      <c r="C141" s="68"/>
      <c r="D141" s="68"/>
      <c r="E141" s="68"/>
      <c r="F141" s="115" t="s">
        <v>2441</v>
      </c>
      <c r="G141" s="17"/>
      <c r="H141" s="17" t="s">
        <v>50</v>
      </c>
      <c r="I141" s="169" t="s">
        <v>2549</v>
      </c>
      <c r="J141" s="17"/>
      <c r="K141" s="147" t="s">
        <v>1886</v>
      </c>
      <c r="L141" s="3"/>
    </row>
    <row r="142" spans="2:12">
      <c r="B142" s="15">
        <f t="shared" si="0"/>
        <v>137</v>
      </c>
      <c r="C142" s="68"/>
      <c r="D142" s="19"/>
      <c r="E142" s="68"/>
      <c r="F142" s="115" t="s">
        <v>2442</v>
      </c>
      <c r="G142" s="17" t="s">
        <v>2548</v>
      </c>
      <c r="H142" s="17" t="s">
        <v>27</v>
      </c>
      <c r="I142" s="169" t="s">
        <v>28</v>
      </c>
      <c r="J142" s="17"/>
      <c r="K142" s="147" t="s">
        <v>1886</v>
      </c>
      <c r="L142" s="3"/>
    </row>
    <row r="143" spans="2:12" ht="27">
      <c r="B143" s="15">
        <f t="shared" si="0"/>
        <v>138</v>
      </c>
      <c r="C143" s="16" t="s">
        <v>1914</v>
      </c>
      <c r="D143" s="16"/>
      <c r="E143" s="16" t="s">
        <v>2443</v>
      </c>
      <c r="F143" s="115" t="s">
        <v>2444</v>
      </c>
      <c r="G143" s="17"/>
      <c r="H143" s="169" t="s">
        <v>21</v>
      </c>
      <c r="I143" s="169" t="s">
        <v>21</v>
      </c>
      <c r="J143" s="17"/>
      <c r="K143" s="147" t="s">
        <v>2418</v>
      </c>
      <c r="L143" s="3"/>
    </row>
    <row r="144" spans="2:12" ht="27">
      <c r="B144" s="15">
        <f t="shared" si="0"/>
        <v>139</v>
      </c>
      <c r="C144" s="68"/>
      <c r="D144" s="68"/>
      <c r="E144" s="68"/>
      <c r="F144" s="115" t="s">
        <v>2445</v>
      </c>
      <c r="G144" s="17"/>
      <c r="H144" s="169" t="s">
        <v>21</v>
      </c>
      <c r="I144" s="169" t="s">
        <v>21</v>
      </c>
      <c r="J144" s="17"/>
      <c r="K144" s="147" t="s">
        <v>2418</v>
      </c>
      <c r="L144" s="3"/>
    </row>
    <row r="145" spans="2:12" ht="27">
      <c r="B145" s="15">
        <f t="shared" si="0"/>
        <v>140</v>
      </c>
      <c r="C145" s="68"/>
      <c r="D145" s="68"/>
      <c r="E145" s="16" t="s">
        <v>2446</v>
      </c>
      <c r="F145" s="115" t="s">
        <v>2447</v>
      </c>
      <c r="G145" s="17"/>
      <c r="H145" s="169" t="s">
        <v>21</v>
      </c>
      <c r="I145" s="169" t="s">
        <v>21</v>
      </c>
      <c r="J145" s="17"/>
      <c r="K145" s="147" t="s">
        <v>2418</v>
      </c>
      <c r="L145" s="3"/>
    </row>
    <row r="146" spans="2:12" ht="27">
      <c r="B146" s="15">
        <f t="shared" si="0"/>
        <v>141</v>
      </c>
      <c r="C146" s="68"/>
      <c r="D146" s="68"/>
      <c r="E146" s="68"/>
      <c r="F146" s="115" t="s">
        <v>2448</v>
      </c>
      <c r="G146" s="17"/>
      <c r="H146" s="169" t="s">
        <v>21</v>
      </c>
      <c r="I146" s="169" t="s">
        <v>21</v>
      </c>
      <c r="J146" s="17"/>
      <c r="K146" s="147" t="s">
        <v>2418</v>
      </c>
      <c r="L146" s="3"/>
    </row>
    <row r="147" spans="2:12" ht="27">
      <c r="B147" s="15">
        <f t="shared" si="0"/>
        <v>142</v>
      </c>
      <c r="C147" s="68"/>
      <c r="D147" s="68"/>
      <c r="E147" s="68"/>
      <c r="F147" s="115" t="s">
        <v>2449</v>
      </c>
      <c r="G147" s="17"/>
      <c r="H147" s="169" t="s">
        <v>21</v>
      </c>
      <c r="I147" s="169" t="s">
        <v>21</v>
      </c>
      <c r="J147" s="17"/>
      <c r="K147" s="147" t="s">
        <v>2418</v>
      </c>
      <c r="L147" s="3"/>
    </row>
    <row r="148" spans="2:12" ht="27">
      <c r="B148" s="15">
        <f t="shared" si="0"/>
        <v>143</v>
      </c>
      <c r="C148" s="68"/>
      <c r="D148" s="68"/>
      <c r="E148" s="68"/>
      <c r="F148" s="115" t="s">
        <v>2450</v>
      </c>
      <c r="G148" s="17"/>
      <c r="H148" s="169" t="s">
        <v>21</v>
      </c>
      <c r="I148" s="169" t="s">
        <v>21</v>
      </c>
      <c r="J148" s="17"/>
      <c r="K148" s="147" t="s">
        <v>2418</v>
      </c>
      <c r="L148" s="3"/>
    </row>
    <row r="149" spans="2:12" ht="27">
      <c r="B149" s="15">
        <f t="shared" si="0"/>
        <v>144</v>
      </c>
      <c r="C149" s="68"/>
      <c r="D149" s="68"/>
      <c r="E149" s="19"/>
      <c r="F149" s="115" t="s">
        <v>2451</v>
      </c>
      <c r="G149" s="17"/>
      <c r="H149" s="169" t="s">
        <v>21</v>
      </c>
      <c r="I149" s="169" t="s">
        <v>21</v>
      </c>
      <c r="J149" s="17"/>
      <c r="K149" s="147" t="s">
        <v>2418</v>
      </c>
      <c r="L149" s="3"/>
    </row>
    <row r="150" spans="2:12" ht="27">
      <c r="B150" s="15">
        <f t="shared" si="0"/>
        <v>145</v>
      </c>
      <c r="C150" s="68"/>
      <c r="D150" s="68"/>
      <c r="E150" s="68" t="s">
        <v>2452</v>
      </c>
      <c r="F150" s="115" t="s">
        <v>2453</v>
      </c>
      <c r="G150" s="17"/>
      <c r="H150" s="169" t="s">
        <v>21</v>
      </c>
      <c r="I150" s="169" t="s">
        <v>21</v>
      </c>
      <c r="J150" s="17"/>
      <c r="K150" s="147" t="s">
        <v>2418</v>
      </c>
      <c r="L150" s="3"/>
    </row>
    <row r="151" spans="2:12" ht="27">
      <c r="B151" s="15">
        <f t="shared" si="0"/>
        <v>146</v>
      </c>
      <c r="C151" s="68"/>
      <c r="D151" s="68"/>
      <c r="E151" s="16" t="s">
        <v>2638</v>
      </c>
      <c r="F151" s="115" t="s">
        <v>2454</v>
      </c>
      <c r="G151" s="17"/>
      <c r="H151" s="169" t="s">
        <v>21</v>
      </c>
      <c r="I151" s="169" t="s">
        <v>21</v>
      </c>
      <c r="J151" s="17"/>
      <c r="K151" s="147" t="s">
        <v>2418</v>
      </c>
      <c r="L151" s="3"/>
    </row>
    <row r="152" spans="2:12" ht="27">
      <c r="B152" s="15">
        <f t="shared" si="0"/>
        <v>147</v>
      </c>
      <c r="C152" s="68"/>
      <c r="D152" s="68"/>
      <c r="E152" s="68"/>
      <c r="F152" s="115" t="s">
        <v>2455</v>
      </c>
      <c r="G152" s="17"/>
      <c r="H152" s="169" t="s">
        <v>21</v>
      </c>
      <c r="I152" s="169" t="s">
        <v>21</v>
      </c>
      <c r="J152" s="17"/>
      <c r="K152" s="147" t="s">
        <v>2418</v>
      </c>
      <c r="L152" s="3"/>
    </row>
    <row r="153" spans="2:12" ht="27">
      <c r="B153" s="15">
        <f t="shared" si="0"/>
        <v>148</v>
      </c>
      <c r="C153" s="68"/>
      <c r="D153" s="68"/>
      <c r="E153" s="68"/>
      <c r="F153" s="115" t="s">
        <v>569</v>
      </c>
      <c r="G153" s="17"/>
      <c r="H153" s="169" t="s">
        <v>21</v>
      </c>
      <c r="I153" s="169" t="s">
        <v>21</v>
      </c>
      <c r="J153" s="17"/>
      <c r="K153" s="147" t="s">
        <v>2418</v>
      </c>
      <c r="L153" s="3"/>
    </row>
    <row r="154" spans="2:12" ht="27">
      <c r="B154" s="15">
        <f t="shared" si="0"/>
        <v>149</v>
      </c>
      <c r="C154" s="68"/>
      <c r="D154" s="68"/>
      <c r="E154" s="68"/>
      <c r="F154" s="115" t="s">
        <v>2456</v>
      </c>
      <c r="G154" s="17"/>
      <c r="H154" s="169" t="s">
        <v>21</v>
      </c>
      <c r="I154" s="169" t="s">
        <v>21</v>
      </c>
      <c r="J154" s="17"/>
      <c r="K154" s="147" t="s">
        <v>2418</v>
      </c>
      <c r="L154" s="3"/>
    </row>
    <row r="155" spans="2:12" ht="27">
      <c r="B155" s="15">
        <f t="shared" si="0"/>
        <v>150</v>
      </c>
      <c r="C155" s="68"/>
      <c r="D155" s="68"/>
      <c r="E155" s="68"/>
      <c r="F155" s="115" t="s">
        <v>773</v>
      </c>
      <c r="G155" s="17"/>
      <c r="H155" s="169" t="s">
        <v>21</v>
      </c>
      <c r="I155" s="169" t="s">
        <v>21</v>
      </c>
      <c r="J155" s="17"/>
      <c r="K155" s="147" t="s">
        <v>2418</v>
      </c>
      <c r="L155" s="3"/>
    </row>
    <row r="156" spans="2:12" ht="27">
      <c r="B156" s="15">
        <f t="shared" si="0"/>
        <v>151</v>
      </c>
      <c r="C156" s="68"/>
      <c r="D156" s="68"/>
      <c r="E156" s="68"/>
      <c r="F156" s="115" t="s">
        <v>2457</v>
      </c>
      <c r="G156" s="17"/>
      <c r="H156" s="169" t="s">
        <v>21</v>
      </c>
      <c r="I156" s="169" t="s">
        <v>21</v>
      </c>
      <c r="J156" s="17"/>
      <c r="K156" s="147" t="s">
        <v>2418</v>
      </c>
      <c r="L156" s="3"/>
    </row>
    <row r="157" spans="2:12" ht="27">
      <c r="B157" s="15">
        <f t="shared" si="0"/>
        <v>152</v>
      </c>
      <c r="C157" s="68"/>
      <c r="D157" s="68"/>
      <c r="E157" s="68"/>
      <c r="F157" s="115" t="s">
        <v>1933</v>
      </c>
      <c r="G157" s="17"/>
      <c r="H157" s="169" t="s">
        <v>21</v>
      </c>
      <c r="I157" s="169" t="s">
        <v>21</v>
      </c>
      <c r="J157" s="17"/>
      <c r="K157" s="147" t="s">
        <v>2418</v>
      </c>
      <c r="L157" s="3"/>
    </row>
    <row r="158" spans="2:12" ht="27">
      <c r="B158" s="15">
        <f t="shared" si="0"/>
        <v>153</v>
      </c>
      <c r="C158" s="68"/>
      <c r="D158" s="68"/>
      <c r="E158" s="68"/>
      <c r="F158" s="115" t="s">
        <v>2458</v>
      </c>
      <c r="G158" s="17"/>
      <c r="H158" s="169" t="s">
        <v>21</v>
      </c>
      <c r="I158" s="169" t="s">
        <v>21</v>
      </c>
      <c r="J158" s="17"/>
      <c r="K158" s="147" t="s">
        <v>2418</v>
      </c>
      <c r="L158" s="3"/>
    </row>
    <row r="159" spans="2:12" ht="27">
      <c r="B159" s="15">
        <f t="shared" si="0"/>
        <v>154</v>
      </c>
      <c r="C159" s="68"/>
      <c r="D159" s="68"/>
      <c r="E159" s="68"/>
      <c r="F159" s="115" t="s">
        <v>2459</v>
      </c>
      <c r="G159" s="17"/>
      <c r="H159" s="169" t="s">
        <v>21</v>
      </c>
      <c r="I159" s="169" t="s">
        <v>21</v>
      </c>
      <c r="J159" s="17"/>
      <c r="K159" s="147" t="s">
        <v>2418</v>
      </c>
      <c r="L159" s="3"/>
    </row>
    <row r="160" spans="2:12" ht="27">
      <c r="B160" s="15">
        <f t="shared" si="0"/>
        <v>155</v>
      </c>
      <c r="C160" s="68"/>
      <c r="D160" s="68"/>
      <c r="E160" s="68"/>
      <c r="F160" s="115" t="s">
        <v>2460</v>
      </c>
      <c r="G160" s="17"/>
      <c r="H160" s="169" t="s">
        <v>21</v>
      </c>
      <c r="I160" s="169" t="s">
        <v>21</v>
      </c>
      <c r="J160" s="17"/>
      <c r="K160" s="147" t="s">
        <v>2418</v>
      </c>
      <c r="L160" s="3"/>
    </row>
    <row r="161" spans="2:12" ht="27">
      <c r="B161" s="15">
        <f t="shared" si="0"/>
        <v>156</v>
      </c>
      <c r="C161" s="68"/>
      <c r="D161" s="68"/>
      <c r="E161" s="68"/>
      <c r="F161" s="115" t="s">
        <v>1353</v>
      </c>
      <c r="G161" s="17"/>
      <c r="H161" s="169" t="s">
        <v>21</v>
      </c>
      <c r="I161" s="169" t="s">
        <v>21</v>
      </c>
      <c r="J161" s="17"/>
      <c r="K161" s="147" t="s">
        <v>2418</v>
      </c>
      <c r="L161" s="3"/>
    </row>
    <row r="162" spans="2:12" ht="27">
      <c r="B162" s="15">
        <f t="shared" si="0"/>
        <v>157</v>
      </c>
      <c r="C162" s="68"/>
      <c r="D162" s="68"/>
      <c r="E162" s="68"/>
      <c r="F162" s="115" t="s">
        <v>2461</v>
      </c>
      <c r="G162" s="17"/>
      <c r="H162" s="169" t="s">
        <v>21</v>
      </c>
      <c r="I162" s="169" t="s">
        <v>21</v>
      </c>
      <c r="J162" s="17"/>
      <c r="K162" s="147" t="s">
        <v>2418</v>
      </c>
      <c r="L162" s="3"/>
    </row>
    <row r="163" spans="2:12" ht="27">
      <c r="B163" s="15">
        <f t="shared" si="0"/>
        <v>158</v>
      </c>
      <c r="C163" s="68"/>
      <c r="D163" s="68"/>
      <c r="E163" s="16" t="s">
        <v>2462</v>
      </c>
      <c r="F163" s="115" t="s">
        <v>2463</v>
      </c>
      <c r="G163" s="17"/>
      <c r="H163" s="169" t="s">
        <v>21</v>
      </c>
      <c r="I163" s="169" t="s">
        <v>21</v>
      </c>
      <c r="J163" s="17"/>
      <c r="K163" s="147" t="s">
        <v>2418</v>
      </c>
      <c r="L163" s="3"/>
    </row>
    <row r="164" spans="2:12" ht="27">
      <c r="B164" s="15">
        <f t="shared" si="0"/>
        <v>159</v>
      </c>
      <c r="C164" s="68"/>
      <c r="D164" s="68"/>
      <c r="E164" s="68"/>
      <c r="F164" s="115" t="s">
        <v>2464</v>
      </c>
      <c r="G164" s="17"/>
      <c r="H164" s="169" t="s">
        <v>21</v>
      </c>
      <c r="I164" s="169" t="s">
        <v>21</v>
      </c>
      <c r="J164" s="17"/>
      <c r="K164" s="147" t="s">
        <v>2418</v>
      </c>
      <c r="L164" s="3"/>
    </row>
    <row r="165" spans="2:12" ht="27">
      <c r="B165" s="15">
        <f t="shared" si="0"/>
        <v>160</v>
      </c>
      <c r="C165" s="68"/>
      <c r="D165" s="68"/>
      <c r="E165" s="68"/>
      <c r="F165" s="115" t="s">
        <v>2465</v>
      </c>
      <c r="G165" s="17"/>
      <c r="H165" s="169" t="s">
        <v>21</v>
      </c>
      <c r="I165" s="169" t="s">
        <v>21</v>
      </c>
      <c r="J165" s="17"/>
      <c r="K165" s="147" t="s">
        <v>2418</v>
      </c>
      <c r="L165" s="3"/>
    </row>
    <row r="166" spans="2:12" ht="27">
      <c r="B166" s="15">
        <f t="shared" si="0"/>
        <v>161</v>
      </c>
      <c r="C166" s="68"/>
      <c r="D166" s="68"/>
      <c r="E166" s="16" t="s">
        <v>2466</v>
      </c>
      <c r="F166" s="115" t="s">
        <v>2467</v>
      </c>
      <c r="G166" s="17"/>
      <c r="H166" s="169" t="s">
        <v>21</v>
      </c>
      <c r="I166" s="169" t="s">
        <v>21</v>
      </c>
      <c r="J166" s="17"/>
      <c r="K166" s="147" t="s">
        <v>2418</v>
      </c>
      <c r="L166" s="3"/>
    </row>
    <row r="167" spans="2:12" ht="27">
      <c r="B167" s="15">
        <f t="shared" si="0"/>
        <v>162</v>
      </c>
      <c r="C167" s="68"/>
      <c r="D167" s="68"/>
      <c r="E167" s="68"/>
      <c r="F167" s="115" t="s">
        <v>2468</v>
      </c>
      <c r="G167" s="17"/>
      <c r="H167" s="169" t="s">
        <v>21</v>
      </c>
      <c r="I167" s="169" t="s">
        <v>21</v>
      </c>
      <c r="J167" s="17"/>
      <c r="K167" s="147" t="s">
        <v>2418</v>
      </c>
      <c r="L167" s="3"/>
    </row>
    <row r="168" spans="2:12" ht="27">
      <c r="B168" s="15">
        <f t="shared" si="0"/>
        <v>163</v>
      </c>
      <c r="C168" s="68"/>
      <c r="D168" s="68"/>
      <c r="E168" s="16" t="s">
        <v>2469</v>
      </c>
      <c r="F168" s="115" t="s">
        <v>2470</v>
      </c>
      <c r="G168" s="17"/>
      <c r="H168" s="169" t="s">
        <v>21</v>
      </c>
      <c r="I168" s="169" t="s">
        <v>21</v>
      </c>
      <c r="J168" s="17"/>
      <c r="K168" s="147" t="s">
        <v>2418</v>
      </c>
      <c r="L168" s="3"/>
    </row>
    <row r="169" spans="2:12" ht="27">
      <c r="B169" s="15">
        <f t="shared" si="0"/>
        <v>164</v>
      </c>
      <c r="C169" s="68"/>
      <c r="D169" s="68"/>
      <c r="E169" s="68"/>
      <c r="F169" s="115" t="s">
        <v>2471</v>
      </c>
      <c r="G169" s="17"/>
      <c r="H169" s="169" t="s">
        <v>21</v>
      </c>
      <c r="I169" s="169" t="s">
        <v>21</v>
      </c>
      <c r="J169" s="17"/>
      <c r="K169" s="147" t="s">
        <v>2418</v>
      </c>
      <c r="L169" s="3"/>
    </row>
    <row r="170" spans="2:12" ht="27">
      <c r="B170" s="15">
        <f t="shared" si="0"/>
        <v>165</v>
      </c>
      <c r="C170" s="68"/>
      <c r="D170" s="68"/>
      <c r="E170" s="16" t="s">
        <v>2472</v>
      </c>
      <c r="F170" s="115" t="s">
        <v>1366</v>
      </c>
      <c r="G170" s="17"/>
      <c r="H170" s="169" t="s">
        <v>21</v>
      </c>
      <c r="I170" s="169" t="s">
        <v>21</v>
      </c>
      <c r="J170" s="17"/>
      <c r="K170" s="147" t="s">
        <v>2418</v>
      </c>
      <c r="L170" s="3"/>
    </row>
    <row r="171" spans="2:12" ht="27">
      <c r="B171" s="15">
        <f t="shared" si="0"/>
        <v>166</v>
      </c>
      <c r="C171" s="68"/>
      <c r="D171" s="68"/>
      <c r="E171" s="68"/>
      <c r="F171" s="115" t="s">
        <v>2473</v>
      </c>
      <c r="G171" s="17"/>
      <c r="H171" s="169" t="s">
        <v>21</v>
      </c>
      <c r="I171" s="169" t="s">
        <v>21</v>
      </c>
      <c r="J171" s="17"/>
      <c r="K171" s="147" t="s">
        <v>2418</v>
      </c>
      <c r="L171" s="3"/>
    </row>
    <row r="172" spans="2:12" ht="27">
      <c r="B172" s="15">
        <f t="shared" si="0"/>
        <v>167</v>
      </c>
      <c r="C172" s="68"/>
      <c r="D172" s="68"/>
      <c r="E172" s="68"/>
      <c r="F172" s="115" t="s">
        <v>1358</v>
      </c>
      <c r="G172" s="17"/>
      <c r="H172" s="169" t="s">
        <v>21</v>
      </c>
      <c r="I172" s="169" t="s">
        <v>21</v>
      </c>
      <c r="J172" s="17"/>
      <c r="K172" s="147" t="s">
        <v>2418</v>
      </c>
      <c r="L172" s="3"/>
    </row>
    <row r="173" spans="2:12" ht="27">
      <c r="B173" s="15">
        <f t="shared" si="0"/>
        <v>168</v>
      </c>
      <c r="C173" s="68"/>
      <c r="D173" s="68"/>
      <c r="E173" s="68"/>
      <c r="F173" s="115" t="s">
        <v>2474</v>
      </c>
      <c r="G173" s="17"/>
      <c r="H173" s="169" t="s">
        <v>21</v>
      </c>
      <c r="I173" s="169" t="s">
        <v>21</v>
      </c>
      <c r="J173" s="17"/>
      <c r="K173" s="147" t="s">
        <v>2418</v>
      </c>
      <c r="L173" s="3"/>
    </row>
    <row r="174" spans="2:12" ht="27">
      <c r="B174" s="15">
        <f t="shared" si="0"/>
        <v>169</v>
      </c>
      <c r="C174" s="68"/>
      <c r="D174" s="68"/>
      <c r="E174" s="68"/>
      <c r="F174" s="115" t="s">
        <v>1362</v>
      </c>
      <c r="G174" s="17"/>
      <c r="H174" s="169" t="s">
        <v>21</v>
      </c>
      <c r="I174" s="169" t="s">
        <v>21</v>
      </c>
      <c r="J174" s="17"/>
      <c r="K174" s="147" t="s">
        <v>2418</v>
      </c>
      <c r="L174" s="3"/>
    </row>
    <row r="175" spans="2:12" ht="27">
      <c r="B175" s="15">
        <f t="shared" si="0"/>
        <v>170</v>
      </c>
      <c r="C175" s="68"/>
      <c r="D175" s="68"/>
      <c r="E175" s="68"/>
      <c r="F175" s="115" t="s">
        <v>2475</v>
      </c>
      <c r="G175" s="17"/>
      <c r="H175" s="169" t="s">
        <v>21</v>
      </c>
      <c r="I175" s="169" t="s">
        <v>21</v>
      </c>
      <c r="J175" s="17"/>
      <c r="K175" s="147" t="s">
        <v>2418</v>
      </c>
      <c r="L175" s="3"/>
    </row>
    <row r="176" spans="2:12" ht="27">
      <c r="B176" s="15">
        <f t="shared" si="0"/>
        <v>171</v>
      </c>
      <c r="C176" s="68"/>
      <c r="D176" s="68"/>
      <c r="E176" s="68"/>
      <c r="F176" s="115" t="s">
        <v>1369</v>
      </c>
      <c r="G176" s="17"/>
      <c r="H176" s="169" t="s">
        <v>21</v>
      </c>
      <c r="I176" s="169" t="s">
        <v>21</v>
      </c>
      <c r="J176" s="17"/>
      <c r="K176" s="147" t="s">
        <v>2418</v>
      </c>
      <c r="L176" s="3"/>
    </row>
    <row r="177" spans="2:12" ht="27">
      <c r="B177" s="15">
        <f t="shared" si="0"/>
        <v>172</v>
      </c>
      <c r="C177" s="68"/>
      <c r="D177" s="68"/>
      <c r="E177" s="16" t="s">
        <v>2476</v>
      </c>
      <c r="F177" s="115" t="s">
        <v>2477</v>
      </c>
      <c r="G177" s="17"/>
      <c r="H177" s="169" t="s">
        <v>21</v>
      </c>
      <c r="I177" s="169" t="s">
        <v>21</v>
      </c>
      <c r="J177" s="17"/>
      <c r="K177" s="147" t="s">
        <v>2418</v>
      </c>
      <c r="L177" s="3"/>
    </row>
    <row r="178" spans="2:12" ht="27">
      <c r="B178" s="15">
        <f t="shared" si="0"/>
        <v>173</v>
      </c>
      <c r="C178" s="68"/>
      <c r="D178" s="68"/>
      <c r="E178" s="68"/>
      <c r="F178" s="115" t="s">
        <v>2478</v>
      </c>
      <c r="G178" s="17"/>
      <c r="H178" s="169" t="s">
        <v>21</v>
      </c>
      <c r="I178" s="169" t="s">
        <v>21</v>
      </c>
      <c r="J178" s="17"/>
      <c r="K178" s="147" t="s">
        <v>2418</v>
      </c>
      <c r="L178" s="3"/>
    </row>
    <row r="179" spans="2:12" ht="27">
      <c r="B179" s="15">
        <f t="shared" si="0"/>
        <v>174</v>
      </c>
      <c r="C179" s="68"/>
      <c r="D179" s="68"/>
      <c r="E179" s="16" t="s">
        <v>2479</v>
      </c>
      <c r="F179" s="115" t="s">
        <v>2480</v>
      </c>
      <c r="G179" s="17"/>
      <c r="H179" s="169" t="s">
        <v>21</v>
      </c>
      <c r="I179" s="169" t="s">
        <v>21</v>
      </c>
      <c r="J179" s="17"/>
      <c r="K179" s="147" t="s">
        <v>2418</v>
      </c>
      <c r="L179" s="3"/>
    </row>
    <row r="180" spans="2:12" ht="27">
      <c r="B180" s="15">
        <f t="shared" si="0"/>
        <v>175</v>
      </c>
      <c r="C180" s="19"/>
      <c r="D180" s="19"/>
      <c r="E180" s="19"/>
      <c r="F180" s="115" t="s">
        <v>2479</v>
      </c>
      <c r="G180" s="17"/>
      <c r="H180" s="169" t="s">
        <v>21</v>
      </c>
      <c r="I180" s="169" t="s">
        <v>21</v>
      </c>
      <c r="J180" s="17"/>
      <c r="K180" s="147" t="s">
        <v>2418</v>
      </c>
      <c r="L180" s="3"/>
    </row>
  </sheetData>
  <phoneticPr fontId="14"/>
  <hyperlinks>
    <hyperlink ref="A4" location="パラメータ設定一覧!A1" display="パラメータ設定一覧へ" xr:uid="{2BCEF296-0E8D-4ABB-A545-F2269D34D914}"/>
  </hyperlinks>
  <pageMargins left="0.7" right="0.7" top="0.75" bottom="0.75" header="0.3" footer="0.3"/>
  <pageSetup paperSize="9" orientation="portrait" verticalDpi="0"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6A909-F198-4DCC-B838-F573F78C2DE0}">
  <sheetPr codeName="Sheet75"/>
  <dimension ref="A1:FW39"/>
  <sheetViews>
    <sheetView showGridLines="0" zoomScaleNormal="100" workbookViewId="0">
      <pane xSplit="4" ySplit="6" topLeftCell="E7" activePane="bottomRight" state="frozen"/>
      <selection pane="topRight" activeCell="E1" sqref="E1"/>
      <selection pane="bottomLeft" activeCell="A7" sqref="A7"/>
      <selection pane="bottomRight" activeCell="E7" sqref="E7"/>
    </sheetView>
  </sheetViews>
  <sheetFormatPr defaultColWidth="8.78515625" defaultRowHeight="13.5"/>
  <cols>
    <col min="1" max="1" width="2.78515625" style="46" customWidth="1"/>
    <col min="2" max="2" width="3.5703125" style="46" bestFit="1" customWidth="1"/>
    <col min="3" max="3" width="14.78515625" style="46" bestFit="1" customWidth="1"/>
    <col min="4" max="4" width="20.35546875" style="46" customWidth="1"/>
    <col min="5" max="5" width="16.35546875" style="46" bestFit="1" customWidth="1"/>
    <col min="6" max="6" width="13.42578125" style="46" customWidth="1"/>
    <col min="7" max="7" width="16.640625" style="46" customWidth="1"/>
    <col min="8" max="179" width="15.640625" style="46" customWidth="1"/>
    <col min="180" max="16384" width="8.78515625" style="46"/>
  </cols>
  <sheetData>
    <row r="1" spans="1:179" s="86" customFormat="1" ht="19.5">
      <c r="A1" s="148" t="s">
        <v>2708</v>
      </c>
    </row>
    <row r="2" spans="1:179" s="86" customFormat="1" ht="15">
      <c r="A2" s="196" t="s">
        <v>2668</v>
      </c>
    </row>
    <row r="3" spans="1:179" s="86" customFormat="1" ht="15">
      <c r="A3" s="10" t="s">
        <v>363</v>
      </c>
    </row>
    <row r="4" spans="1:179">
      <c r="B4" s="439" t="s">
        <v>463</v>
      </c>
      <c r="C4" s="200" t="s">
        <v>1889</v>
      </c>
      <c r="D4" s="290"/>
      <c r="E4" s="290"/>
      <c r="F4" s="290"/>
      <c r="G4" s="290"/>
      <c r="H4" s="290"/>
      <c r="I4" s="290"/>
      <c r="J4" s="290"/>
      <c r="K4" s="290"/>
      <c r="L4" s="290"/>
      <c r="M4" s="290"/>
      <c r="N4" s="290"/>
      <c r="O4" s="290"/>
      <c r="P4" s="290"/>
      <c r="Q4" s="290"/>
      <c r="R4" s="290"/>
      <c r="S4" s="290"/>
      <c r="T4" s="290"/>
      <c r="U4" s="290"/>
      <c r="V4" s="290"/>
      <c r="W4" s="290"/>
      <c r="X4" s="290"/>
      <c r="Y4" s="290"/>
      <c r="Z4" s="290"/>
      <c r="AA4" s="290"/>
      <c r="AB4" s="290"/>
      <c r="AC4" s="290"/>
      <c r="AD4" s="290"/>
      <c r="AE4" s="290"/>
      <c r="AF4" s="290"/>
      <c r="AG4" s="290"/>
      <c r="AH4" s="290"/>
      <c r="AI4" s="290"/>
      <c r="AJ4" s="290"/>
      <c r="AK4" s="290"/>
      <c r="AL4" s="290"/>
      <c r="AM4" s="290"/>
      <c r="AN4" s="290"/>
      <c r="AO4" s="290"/>
      <c r="AP4" s="290"/>
      <c r="AQ4" s="290"/>
      <c r="AR4" s="290"/>
      <c r="AS4" s="290"/>
      <c r="AT4" s="290"/>
      <c r="AU4" s="290"/>
      <c r="AV4" s="290"/>
      <c r="AW4" s="290"/>
      <c r="AX4" s="290"/>
      <c r="AY4" s="290"/>
      <c r="AZ4" s="290"/>
      <c r="BA4" s="290"/>
      <c r="BB4" s="290"/>
      <c r="BC4" s="290"/>
      <c r="BD4" s="290"/>
      <c r="BE4" s="290"/>
      <c r="BF4" s="290"/>
      <c r="BG4" s="290"/>
      <c r="BH4" s="290"/>
      <c r="BI4" s="290"/>
      <c r="BJ4" s="290"/>
      <c r="BK4" s="290"/>
      <c r="BL4" s="290"/>
      <c r="BM4" s="290"/>
      <c r="BN4" s="290"/>
      <c r="BO4" s="290"/>
      <c r="BP4" s="290"/>
      <c r="BQ4" s="290"/>
      <c r="BR4" s="290"/>
      <c r="BS4" s="290"/>
      <c r="BT4" s="290"/>
      <c r="BU4" s="302"/>
      <c r="BV4" s="200" t="s">
        <v>1909</v>
      </c>
      <c r="BW4" s="290"/>
      <c r="BX4" s="290"/>
      <c r="BY4" s="290"/>
      <c r="BZ4" s="290"/>
      <c r="CA4" s="290"/>
      <c r="CB4" s="290"/>
      <c r="CC4" s="290"/>
      <c r="CD4" s="290"/>
      <c r="CE4" s="290"/>
      <c r="CF4" s="290"/>
      <c r="CG4" s="290"/>
      <c r="CH4" s="290"/>
      <c r="CI4" s="290"/>
      <c r="CJ4" s="290"/>
      <c r="CK4" s="290"/>
      <c r="CL4" s="290"/>
      <c r="CM4" s="290"/>
      <c r="CN4" s="290"/>
      <c r="CO4" s="263" t="s">
        <v>1911</v>
      </c>
      <c r="CP4" s="264"/>
      <c r="CQ4" s="264"/>
      <c r="CR4" s="264"/>
      <c r="CS4" s="264"/>
      <c r="CT4" s="264"/>
      <c r="CU4" s="264"/>
      <c r="CV4" s="264"/>
      <c r="CW4" s="303"/>
      <c r="CX4" s="200" t="s">
        <v>560</v>
      </c>
      <c r="CY4" s="290"/>
      <c r="CZ4" s="290"/>
      <c r="DA4" s="290"/>
      <c r="DB4" s="290"/>
      <c r="DC4" s="290"/>
      <c r="DD4" s="290"/>
      <c r="DE4" s="290"/>
      <c r="DF4" s="290"/>
      <c r="DG4" s="290"/>
      <c r="DH4" s="290"/>
      <c r="DI4" s="290"/>
      <c r="DJ4" s="290"/>
      <c r="DK4" s="290"/>
      <c r="DL4" s="302"/>
      <c r="DM4" s="200" t="s">
        <v>2648</v>
      </c>
      <c r="DN4" s="290"/>
      <c r="DO4" s="290"/>
      <c r="DP4" s="290"/>
      <c r="DQ4" s="290"/>
      <c r="DR4" s="290"/>
      <c r="DS4" s="290"/>
      <c r="DT4" s="290"/>
      <c r="DU4" s="290"/>
      <c r="DV4" s="290"/>
      <c r="DW4" s="290"/>
      <c r="DX4" s="290"/>
      <c r="DY4" s="290"/>
      <c r="DZ4" s="290"/>
      <c r="EA4" s="290"/>
      <c r="EB4" s="290"/>
      <c r="EC4" s="290"/>
      <c r="ED4" s="290"/>
      <c r="EE4" s="290"/>
      <c r="EF4" s="290"/>
      <c r="EG4" s="290"/>
      <c r="EH4" s="290"/>
      <c r="EI4" s="290"/>
      <c r="EJ4" s="290"/>
      <c r="EK4" s="302"/>
      <c r="EL4" s="200" t="s">
        <v>1914</v>
      </c>
      <c r="EM4" s="290"/>
      <c r="EN4" s="290"/>
      <c r="EO4" s="290"/>
      <c r="EP4" s="290"/>
      <c r="EQ4" s="290"/>
      <c r="ER4" s="290"/>
      <c r="ES4" s="290"/>
      <c r="ET4" s="290"/>
      <c r="EU4" s="290"/>
      <c r="EV4" s="290"/>
      <c r="EW4" s="290"/>
      <c r="EX4" s="290"/>
      <c r="EY4" s="290"/>
      <c r="EZ4" s="290"/>
      <c r="FA4" s="290"/>
      <c r="FB4" s="290"/>
      <c r="FC4" s="290"/>
      <c r="FD4" s="290"/>
      <c r="FE4" s="290"/>
      <c r="FF4" s="290"/>
      <c r="FG4" s="290"/>
      <c r="FH4" s="290"/>
      <c r="FI4" s="290"/>
      <c r="FJ4" s="290"/>
      <c r="FK4" s="290"/>
      <c r="FL4" s="290"/>
      <c r="FM4" s="290"/>
      <c r="FN4" s="290"/>
      <c r="FO4" s="290"/>
      <c r="FP4" s="290"/>
      <c r="FQ4" s="290"/>
      <c r="FR4" s="290"/>
      <c r="FS4" s="290"/>
      <c r="FT4" s="290"/>
      <c r="FU4" s="290"/>
      <c r="FV4" s="290"/>
      <c r="FW4" s="302"/>
    </row>
    <row r="5" spans="1:179">
      <c r="B5" s="439"/>
      <c r="C5" s="291" t="s">
        <v>2639</v>
      </c>
      <c r="D5" s="292"/>
      <c r="E5" s="41"/>
      <c r="F5" s="41"/>
      <c r="G5" s="41"/>
      <c r="H5" s="41"/>
      <c r="I5" s="41"/>
      <c r="J5" s="41"/>
      <c r="K5" s="41"/>
      <c r="L5" s="41"/>
      <c r="M5" s="41"/>
      <c r="N5" s="37" t="s">
        <v>1901</v>
      </c>
      <c r="O5" s="38"/>
      <c r="P5" s="38"/>
      <c r="Q5" s="38"/>
      <c r="R5" s="38"/>
      <c r="S5" s="38"/>
      <c r="T5" s="38"/>
      <c r="U5" s="38"/>
      <c r="V5" s="38"/>
      <c r="W5" s="38"/>
      <c r="X5" s="38"/>
      <c r="Y5" s="38"/>
      <c r="Z5" s="38"/>
      <c r="AA5" s="38"/>
      <c r="AB5" s="38"/>
      <c r="AC5" s="37" t="s">
        <v>31</v>
      </c>
      <c r="AD5" s="38"/>
      <c r="AE5" s="38"/>
      <c r="AF5" s="38"/>
      <c r="AG5" s="38"/>
      <c r="AH5" s="38"/>
      <c r="AI5" s="38"/>
      <c r="AJ5" s="38"/>
      <c r="AK5" s="38"/>
      <c r="AL5" s="38"/>
      <c r="AM5" s="38"/>
      <c r="AN5" s="39"/>
      <c r="AO5" s="37" t="s">
        <v>1106</v>
      </c>
      <c r="AP5" s="38"/>
      <c r="AQ5" s="38"/>
      <c r="AR5" s="38"/>
      <c r="AS5" s="39"/>
      <c r="AT5" s="37" t="s">
        <v>1907</v>
      </c>
      <c r="AU5" s="38"/>
      <c r="AV5" s="38"/>
      <c r="AW5" s="38"/>
      <c r="AX5" s="38"/>
      <c r="AY5" s="38"/>
      <c r="AZ5" s="38"/>
      <c r="BA5" s="38"/>
      <c r="BB5" s="38"/>
      <c r="BC5" s="38"/>
      <c r="BD5" s="38"/>
      <c r="BE5" s="38"/>
      <c r="BF5" s="38"/>
      <c r="BG5" s="38"/>
      <c r="BH5" s="38"/>
      <c r="BI5" s="38"/>
      <c r="BJ5" s="38"/>
      <c r="BK5" s="38"/>
      <c r="BL5" s="38"/>
      <c r="BM5" s="38"/>
      <c r="BN5" s="38"/>
      <c r="BO5" s="38"/>
      <c r="BP5" s="38"/>
      <c r="BQ5" s="38"/>
      <c r="BR5" s="38"/>
      <c r="BS5" s="39"/>
      <c r="BT5" s="37" t="s">
        <v>1908</v>
      </c>
      <c r="BU5" s="39"/>
      <c r="BV5" s="37" t="s">
        <v>166</v>
      </c>
      <c r="BW5" s="38"/>
      <c r="BX5" s="38"/>
      <c r="BY5" s="38"/>
      <c r="BZ5" s="38"/>
      <c r="CA5" s="38"/>
      <c r="CB5" s="38"/>
      <c r="CC5" s="39"/>
      <c r="CD5" s="37" t="s">
        <v>1910</v>
      </c>
      <c r="CE5" s="38"/>
      <c r="CF5" s="38"/>
      <c r="CG5" s="38"/>
      <c r="CH5" s="38"/>
      <c r="CI5" s="38"/>
      <c r="CJ5" s="38"/>
      <c r="CK5" s="39"/>
      <c r="CL5" s="200" t="s">
        <v>2326</v>
      </c>
      <c r="CM5" s="38"/>
      <c r="CN5" s="38"/>
      <c r="CO5" s="56"/>
      <c r="CP5" s="41"/>
      <c r="CQ5" s="41"/>
      <c r="CR5" s="41"/>
      <c r="CS5" s="41"/>
      <c r="CT5" s="41"/>
      <c r="CU5" s="41"/>
      <c r="CV5" s="41"/>
      <c r="CW5" s="42"/>
      <c r="CX5" s="37" t="s">
        <v>560</v>
      </c>
      <c r="CY5" s="38"/>
      <c r="CZ5" s="38"/>
      <c r="DA5" s="38"/>
      <c r="DB5" s="38"/>
      <c r="DC5" s="38"/>
      <c r="DD5" s="38"/>
      <c r="DE5" s="38"/>
      <c r="DF5" s="38"/>
      <c r="DG5" s="38"/>
      <c r="DH5" s="38"/>
      <c r="DI5" s="38"/>
      <c r="DJ5" s="38"/>
      <c r="DK5" s="39"/>
      <c r="DL5" s="40" t="s">
        <v>1912</v>
      </c>
      <c r="DM5" s="37" t="s">
        <v>1913</v>
      </c>
      <c r="DN5" s="38"/>
      <c r="DO5" s="38"/>
      <c r="DP5" s="38"/>
      <c r="DQ5" s="38"/>
      <c r="DR5" s="38"/>
      <c r="DS5" s="38"/>
      <c r="DT5" s="38"/>
      <c r="DU5" s="38"/>
      <c r="DV5" s="38"/>
      <c r="DW5" s="38"/>
      <c r="DX5" s="38"/>
      <c r="DY5" s="38"/>
      <c r="DZ5" s="38"/>
      <c r="EA5" s="38"/>
      <c r="EB5" s="38"/>
      <c r="EC5" s="38"/>
      <c r="ED5" s="38"/>
      <c r="EE5" s="38"/>
      <c r="EF5" s="38"/>
      <c r="EG5" s="38"/>
      <c r="EH5" s="38"/>
      <c r="EI5" s="38"/>
      <c r="EJ5" s="38"/>
      <c r="EK5" s="39"/>
      <c r="EL5" s="37" t="s">
        <v>2443</v>
      </c>
      <c r="EM5" s="39"/>
      <c r="EN5" s="37" t="s">
        <v>2446</v>
      </c>
      <c r="EO5" s="38"/>
      <c r="EP5" s="38"/>
      <c r="EQ5" s="38"/>
      <c r="ER5" s="39"/>
      <c r="ES5" s="40" t="s">
        <v>2452</v>
      </c>
      <c r="ET5" s="37" t="s">
        <v>1907</v>
      </c>
      <c r="EU5" s="38"/>
      <c r="EV5" s="38"/>
      <c r="EW5" s="38"/>
      <c r="EX5" s="38"/>
      <c r="EY5" s="38"/>
      <c r="EZ5" s="38"/>
      <c r="FA5" s="38"/>
      <c r="FB5" s="38"/>
      <c r="FC5" s="38"/>
      <c r="FD5" s="38"/>
      <c r="FE5" s="39"/>
      <c r="FF5" s="37" t="s">
        <v>2462</v>
      </c>
      <c r="FG5" s="38"/>
      <c r="FH5" s="39"/>
      <c r="FI5" s="37" t="s">
        <v>2466</v>
      </c>
      <c r="FJ5" s="39"/>
      <c r="FK5" s="37" t="s">
        <v>2469</v>
      </c>
      <c r="FL5" s="39"/>
      <c r="FM5" s="37" t="s">
        <v>2472</v>
      </c>
      <c r="FN5" s="38"/>
      <c r="FO5" s="38"/>
      <c r="FP5" s="38"/>
      <c r="FQ5" s="38"/>
      <c r="FR5" s="38"/>
      <c r="FS5" s="39"/>
      <c r="FT5" s="37" t="s">
        <v>2476</v>
      </c>
      <c r="FU5" s="39"/>
      <c r="FV5" s="37" t="s">
        <v>2479</v>
      </c>
      <c r="FW5" s="39"/>
    </row>
    <row r="6" spans="1:179" ht="40.5">
      <c r="B6" s="440"/>
      <c r="C6" s="185" t="s">
        <v>1891</v>
      </c>
      <c r="D6" s="185" t="s">
        <v>1892</v>
      </c>
      <c r="E6" s="125" t="s">
        <v>1893</v>
      </c>
      <c r="F6" s="125" t="s">
        <v>1894</v>
      </c>
      <c r="G6" s="125" t="s">
        <v>1407</v>
      </c>
      <c r="H6" s="125" t="s">
        <v>1895</v>
      </c>
      <c r="I6" s="125" t="s">
        <v>1896</v>
      </c>
      <c r="J6" s="125" t="s">
        <v>1897</v>
      </c>
      <c r="K6" s="125" t="s">
        <v>1898</v>
      </c>
      <c r="L6" s="125" t="s">
        <v>1899</v>
      </c>
      <c r="M6" s="125" t="s">
        <v>1900</v>
      </c>
      <c r="N6" s="125" t="s">
        <v>813</v>
      </c>
      <c r="O6" s="125" t="s">
        <v>256</v>
      </c>
      <c r="P6" s="125" t="s">
        <v>1903</v>
      </c>
      <c r="Q6" s="125" t="s">
        <v>812</v>
      </c>
      <c r="R6" s="125" t="s">
        <v>791</v>
      </c>
      <c r="S6" s="125" t="s">
        <v>25</v>
      </c>
      <c r="T6" s="125" t="s">
        <v>2640</v>
      </c>
      <c r="U6" s="125" t="s">
        <v>202</v>
      </c>
      <c r="V6" s="125" t="s">
        <v>203</v>
      </c>
      <c r="W6" s="125" t="s">
        <v>1904</v>
      </c>
      <c r="X6" s="125" t="s">
        <v>1018</v>
      </c>
      <c r="Y6" s="125" t="s">
        <v>1017</v>
      </c>
      <c r="Z6" s="125" t="s">
        <v>2641</v>
      </c>
      <c r="AA6" s="125" t="s">
        <v>1906</v>
      </c>
      <c r="AB6" s="125" t="s">
        <v>204</v>
      </c>
      <c r="AC6" s="125" t="s">
        <v>790</v>
      </c>
      <c r="AD6" s="125" t="s">
        <v>2352</v>
      </c>
      <c r="AE6" s="125" t="s">
        <v>2353</v>
      </c>
      <c r="AF6" s="125" t="s">
        <v>32</v>
      </c>
      <c r="AG6" s="125" t="s">
        <v>35</v>
      </c>
      <c r="AH6" s="125" t="s">
        <v>38</v>
      </c>
      <c r="AI6" s="125" t="s">
        <v>31</v>
      </c>
      <c r="AJ6" s="125" t="s">
        <v>70</v>
      </c>
      <c r="AK6" s="125" t="s">
        <v>42</v>
      </c>
      <c r="AL6" s="125" t="s">
        <v>33</v>
      </c>
      <c r="AM6" s="125" t="s">
        <v>788</v>
      </c>
      <c r="AN6" s="125" t="s">
        <v>43</v>
      </c>
      <c r="AO6" s="125" t="s">
        <v>45</v>
      </c>
      <c r="AP6" s="125" t="s">
        <v>2554</v>
      </c>
      <c r="AQ6" s="125" t="s">
        <v>2555</v>
      </c>
      <c r="AR6" s="125" t="s">
        <v>48</v>
      </c>
      <c r="AS6" s="125" t="s">
        <v>33</v>
      </c>
      <c r="AT6" s="125" t="s">
        <v>2356</v>
      </c>
      <c r="AU6" s="125" t="s">
        <v>2357</v>
      </c>
      <c r="AV6" s="125" t="s">
        <v>2358</v>
      </c>
      <c r="AW6" s="125" t="s">
        <v>2359</v>
      </c>
      <c r="AX6" s="125" t="s">
        <v>2360</v>
      </c>
      <c r="AY6" s="125" t="s">
        <v>2361</v>
      </c>
      <c r="AZ6" s="125" t="s">
        <v>2362</v>
      </c>
      <c r="BA6" s="125" t="s">
        <v>2363</v>
      </c>
      <c r="BB6" s="125" t="s">
        <v>2364</v>
      </c>
      <c r="BC6" s="125" t="s">
        <v>2365</v>
      </c>
      <c r="BD6" s="125" t="s">
        <v>2366</v>
      </c>
      <c r="BE6" s="125" t="s">
        <v>2367</v>
      </c>
      <c r="BF6" s="125" t="s">
        <v>2368</v>
      </c>
      <c r="BG6" s="125" t="s">
        <v>2369</v>
      </c>
      <c r="BH6" s="125" t="s">
        <v>2370</v>
      </c>
      <c r="BI6" s="125" t="s">
        <v>2371</v>
      </c>
      <c r="BJ6" s="125" t="s">
        <v>2372</v>
      </c>
      <c r="BK6" s="125" t="s">
        <v>2373</v>
      </c>
      <c r="BL6" s="125" t="s">
        <v>2374</v>
      </c>
      <c r="BM6" s="125" t="s">
        <v>2375</v>
      </c>
      <c r="BN6" s="125" t="s">
        <v>2376</v>
      </c>
      <c r="BO6" s="125" t="s">
        <v>2377</v>
      </c>
      <c r="BP6" s="125" t="s">
        <v>2378</v>
      </c>
      <c r="BQ6" s="125" t="s">
        <v>2379</v>
      </c>
      <c r="BR6" s="125" t="s">
        <v>2380</v>
      </c>
      <c r="BS6" s="125" t="s">
        <v>2381</v>
      </c>
      <c r="BT6" s="125" t="s">
        <v>2642</v>
      </c>
      <c r="BU6" s="125" t="s">
        <v>991</v>
      </c>
      <c r="BV6" s="125" t="s">
        <v>2383</v>
      </c>
      <c r="BW6" s="125" t="s">
        <v>2384</v>
      </c>
      <c r="BX6" s="125" t="s">
        <v>2385</v>
      </c>
      <c r="BY6" s="125" t="s">
        <v>2386</v>
      </c>
      <c r="BZ6" s="125" t="s">
        <v>2387</v>
      </c>
      <c r="CA6" s="125" t="s">
        <v>2388</v>
      </c>
      <c r="CB6" s="125" t="s">
        <v>2389</v>
      </c>
      <c r="CC6" s="125" t="s">
        <v>2390</v>
      </c>
      <c r="CD6" s="125" t="s">
        <v>2391</v>
      </c>
      <c r="CE6" s="125" t="s">
        <v>2392</v>
      </c>
      <c r="CF6" s="125" t="s">
        <v>2393</v>
      </c>
      <c r="CG6" s="125" t="s">
        <v>2394</v>
      </c>
      <c r="CH6" s="125" t="s">
        <v>2395</v>
      </c>
      <c r="CI6" s="125" t="s">
        <v>2396</v>
      </c>
      <c r="CJ6" s="125" t="s">
        <v>2397</v>
      </c>
      <c r="CK6" s="125" t="s">
        <v>2644</v>
      </c>
      <c r="CL6" s="40" t="s">
        <v>2325</v>
      </c>
      <c r="CM6" s="40" t="s">
        <v>2325</v>
      </c>
      <c r="CN6" s="40" t="s">
        <v>2325</v>
      </c>
      <c r="CO6" s="125" t="s">
        <v>720</v>
      </c>
      <c r="CP6" s="125" t="s">
        <v>1911</v>
      </c>
      <c r="CQ6" s="125" t="s">
        <v>45</v>
      </c>
      <c r="CR6" s="125" t="s">
        <v>2399</v>
      </c>
      <c r="CS6" s="125" t="s">
        <v>2400</v>
      </c>
      <c r="CT6" s="125" t="s">
        <v>2401</v>
      </c>
      <c r="CU6" s="125" t="s">
        <v>991</v>
      </c>
      <c r="CV6" s="125" t="s">
        <v>2402</v>
      </c>
      <c r="CW6" s="125" t="s">
        <v>2403</v>
      </c>
      <c r="CX6" s="125" t="s">
        <v>794</v>
      </c>
      <c r="CY6" s="125" t="s">
        <v>2406</v>
      </c>
      <c r="CZ6" s="125" t="s">
        <v>2645</v>
      </c>
      <c r="DA6" s="125" t="s">
        <v>2407</v>
      </c>
      <c r="DB6" s="125" t="s">
        <v>2408</v>
      </c>
      <c r="DC6" s="125" t="s">
        <v>2409</v>
      </c>
      <c r="DD6" s="125" t="s">
        <v>2410</v>
      </c>
      <c r="DE6" s="125" t="s">
        <v>2411</v>
      </c>
      <c r="DF6" s="125" t="s">
        <v>2412</v>
      </c>
      <c r="DG6" s="125" t="s">
        <v>2413</v>
      </c>
      <c r="DH6" s="125" t="s">
        <v>2414</v>
      </c>
      <c r="DI6" s="125" t="s">
        <v>2415</v>
      </c>
      <c r="DJ6" s="125" t="s">
        <v>2416</v>
      </c>
      <c r="DK6" s="125" t="s">
        <v>2417</v>
      </c>
      <c r="DL6" s="125" t="s">
        <v>2419</v>
      </c>
      <c r="DM6" s="125" t="s">
        <v>2649</v>
      </c>
      <c r="DN6" s="125" t="s">
        <v>922</v>
      </c>
      <c r="DO6" s="125" t="s">
        <v>2650</v>
      </c>
      <c r="DP6" s="125" t="s">
        <v>2637</v>
      </c>
      <c r="DQ6" s="125" t="s">
        <v>2420</v>
      </c>
      <c r="DR6" s="125" t="s">
        <v>2421</v>
      </c>
      <c r="DS6" s="125" t="s">
        <v>2422</v>
      </c>
      <c r="DT6" s="125" t="s">
        <v>2424</v>
      </c>
      <c r="DU6" s="125" t="s">
        <v>2425</v>
      </c>
      <c r="DV6" s="125" t="s">
        <v>2432</v>
      </c>
      <c r="DW6" s="125" t="s">
        <v>2433</v>
      </c>
      <c r="DX6" s="125" t="s">
        <v>2434</v>
      </c>
      <c r="DY6" s="125" t="s">
        <v>2435</v>
      </c>
      <c r="DZ6" s="125" t="s">
        <v>2436</v>
      </c>
      <c r="EA6" s="125" t="s">
        <v>2437</v>
      </c>
      <c r="EB6" s="125" t="s">
        <v>2423</v>
      </c>
      <c r="EC6" s="125" t="s">
        <v>2426</v>
      </c>
      <c r="ED6" s="125" t="s">
        <v>2438</v>
      </c>
      <c r="EE6" s="125" t="s">
        <v>2427</v>
      </c>
      <c r="EF6" s="125" t="s">
        <v>2428</v>
      </c>
      <c r="EG6" s="125" t="s">
        <v>2651</v>
      </c>
      <c r="EH6" s="125" t="s">
        <v>2439</v>
      </c>
      <c r="EI6" s="125" t="s">
        <v>2440</v>
      </c>
      <c r="EJ6" s="125" t="s">
        <v>2441</v>
      </c>
      <c r="EK6" s="125" t="s">
        <v>2442</v>
      </c>
      <c r="EL6" s="125" t="s">
        <v>2444</v>
      </c>
      <c r="EM6" s="125" t="s">
        <v>2445</v>
      </c>
      <c r="EN6" s="125" t="s">
        <v>2447</v>
      </c>
      <c r="EO6" s="125" t="s">
        <v>2448</v>
      </c>
      <c r="EP6" s="125" t="s">
        <v>2449</v>
      </c>
      <c r="EQ6" s="125" t="s">
        <v>2450</v>
      </c>
      <c r="ER6" s="125" t="s">
        <v>2451</v>
      </c>
      <c r="ES6" s="125" t="s">
        <v>2453</v>
      </c>
      <c r="ET6" s="125" t="s">
        <v>2454</v>
      </c>
      <c r="EU6" s="125" t="s">
        <v>2455</v>
      </c>
      <c r="EV6" s="125" t="s">
        <v>569</v>
      </c>
      <c r="EW6" s="125" t="s">
        <v>2456</v>
      </c>
      <c r="EX6" s="125" t="s">
        <v>773</v>
      </c>
      <c r="EY6" s="125" t="s">
        <v>2457</v>
      </c>
      <c r="EZ6" s="125" t="s">
        <v>1933</v>
      </c>
      <c r="FA6" s="125" t="s">
        <v>2458</v>
      </c>
      <c r="FB6" s="125" t="s">
        <v>2459</v>
      </c>
      <c r="FC6" s="125" t="s">
        <v>2460</v>
      </c>
      <c r="FD6" s="125" t="s">
        <v>1353</v>
      </c>
      <c r="FE6" s="125" t="s">
        <v>2461</v>
      </c>
      <c r="FF6" s="125" t="s">
        <v>2463</v>
      </c>
      <c r="FG6" s="125" t="s">
        <v>2464</v>
      </c>
      <c r="FH6" s="125" t="s">
        <v>2465</v>
      </c>
      <c r="FI6" s="125" t="s">
        <v>2467</v>
      </c>
      <c r="FJ6" s="125" t="s">
        <v>2657</v>
      </c>
      <c r="FK6" s="125" t="s">
        <v>2658</v>
      </c>
      <c r="FL6" s="125" t="s">
        <v>2471</v>
      </c>
      <c r="FM6" s="125" t="s">
        <v>1366</v>
      </c>
      <c r="FN6" s="125" t="s">
        <v>2659</v>
      </c>
      <c r="FO6" s="125" t="s">
        <v>1358</v>
      </c>
      <c r="FP6" s="125" t="s">
        <v>2474</v>
      </c>
      <c r="FQ6" s="125" t="s">
        <v>2660</v>
      </c>
      <c r="FR6" s="125" t="s">
        <v>2475</v>
      </c>
      <c r="FS6" s="125" t="s">
        <v>1404</v>
      </c>
      <c r="FT6" s="125" t="s">
        <v>2477</v>
      </c>
      <c r="FU6" s="125" t="s">
        <v>2478</v>
      </c>
      <c r="FV6" s="125" t="s">
        <v>2480</v>
      </c>
      <c r="FW6" s="125" t="s">
        <v>2479</v>
      </c>
    </row>
    <row r="7" spans="1:179" ht="135">
      <c r="B7" s="440"/>
      <c r="C7" s="24" t="s">
        <v>2892</v>
      </c>
      <c r="D7" s="24" t="s">
        <v>277</v>
      </c>
      <c r="E7" s="24" t="s">
        <v>277</v>
      </c>
      <c r="F7" s="24" t="s">
        <v>277</v>
      </c>
      <c r="G7" s="24" t="s">
        <v>2603</v>
      </c>
      <c r="H7" s="24" t="s">
        <v>833</v>
      </c>
      <c r="I7" s="24" t="s">
        <v>20</v>
      </c>
      <c r="J7" s="24"/>
      <c r="K7" s="24" t="s">
        <v>833</v>
      </c>
      <c r="L7" s="24" t="s">
        <v>1005</v>
      </c>
      <c r="M7" s="24" t="s">
        <v>2484</v>
      </c>
      <c r="N7" s="24" t="s">
        <v>20</v>
      </c>
      <c r="O7" s="24" t="s">
        <v>20</v>
      </c>
      <c r="P7" s="24" t="s">
        <v>20</v>
      </c>
      <c r="Q7" s="24" t="s">
        <v>20</v>
      </c>
      <c r="R7" s="24" t="s">
        <v>20</v>
      </c>
      <c r="S7" s="24" t="s">
        <v>20</v>
      </c>
      <c r="T7" s="24" t="s">
        <v>20</v>
      </c>
      <c r="U7" s="24" t="s">
        <v>2486</v>
      </c>
      <c r="V7" s="24" t="s">
        <v>2486</v>
      </c>
      <c r="W7" s="24" t="s">
        <v>20</v>
      </c>
      <c r="X7" s="24" t="s">
        <v>20</v>
      </c>
      <c r="Y7" s="24" t="s">
        <v>20</v>
      </c>
      <c r="Z7" s="24" t="s">
        <v>20</v>
      </c>
      <c r="AA7" s="24" t="s">
        <v>20</v>
      </c>
      <c r="AB7" s="24" t="s">
        <v>2487</v>
      </c>
      <c r="AC7" s="24" t="s">
        <v>20</v>
      </c>
      <c r="AD7" s="24" t="s">
        <v>20</v>
      </c>
      <c r="AE7" s="24" t="s">
        <v>2488</v>
      </c>
      <c r="AF7" s="24" t="s">
        <v>2490</v>
      </c>
      <c r="AG7" s="24" t="s">
        <v>2491</v>
      </c>
      <c r="AH7" s="24" t="s">
        <v>1735</v>
      </c>
      <c r="AI7" s="24" t="s">
        <v>20</v>
      </c>
      <c r="AJ7" s="24" t="s">
        <v>20</v>
      </c>
      <c r="AK7" s="24" t="s">
        <v>20</v>
      </c>
      <c r="AL7" s="24" t="s">
        <v>833</v>
      </c>
      <c r="AM7" s="24" t="s">
        <v>833</v>
      </c>
      <c r="AN7" s="24" t="s">
        <v>833</v>
      </c>
      <c r="AO7" s="24" t="s">
        <v>20</v>
      </c>
      <c r="AP7" s="24" t="s">
        <v>2497</v>
      </c>
      <c r="AQ7" s="24" t="s">
        <v>20</v>
      </c>
      <c r="AR7" s="24" t="s">
        <v>20</v>
      </c>
      <c r="AS7" s="24" t="s">
        <v>1732</v>
      </c>
      <c r="AT7" s="24" t="s">
        <v>2498</v>
      </c>
      <c r="AU7" s="24" t="s">
        <v>50</v>
      </c>
      <c r="AV7" s="24" t="s">
        <v>277</v>
      </c>
      <c r="AW7" s="24" t="s">
        <v>2500</v>
      </c>
      <c r="AX7" s="24" t="s">
        <v>1012</v>
      </c>
      <c r="AY7" s="24" t="s">
        <v>277</v>
      </c>
      <c r="AZ7" s="24" t="s">
        <v>2502</v>
      </c>
      <c r="BA7" s="24" t="s">
        <v>277</v>
      </c>
      <c r="BB7" s="24" t="s">
        <v>2503</v>
      </c>
      <c r="BC7" s="24" t="s">
        <v>833</v>
      </c>
      <c r="BD7" s="24" t="s">
        <v>20</v>
      </c>
      <c r="BE7" s="24" t="s">
        <v>833</v>
      </c>
      <c r="BF7" s="24" t="s">
        <v>277</v>
      </c>
      <c r="BG7" s="24" t="s">
        <v>2504</v>
      </c>
      <c r="BH7" s="24" t="s">
        <v>277</v>
      </c>
      <c r="BI7" s="24" t="s">
        <v>277</v>
      </c>
      <c r="BJ7" s="24" t="s">
        <v>833</v>
      </c>
      <c r="BK7" s="24" t="s">
        <v>833</v>
      </c>
      <c r="BL7" s="24" t="s">
        <v>277</v>
      </c>
      <c r="BM7" s="24" t="s">
        <v>277</v>
      </c>
      <c r="BN7" s="24" t="s">
        <v>2506</v>
      </c>
      <c r="BO7" s="24" t="s">
        <v>2507</v>
      </c>
      <c r="BP7" s="24" t="s">
        <v>2506</v>
      </c>
      <c r="BQ7" s="24" t="s">
        <v>2506</v>
      </c>
      <c r="BR7" s="24" t="s">
        <v>2506</v>
      </c>
      <c r="BS7" s="24" t="s">
        <v>2506</v>
      </c>
      <c r="BT7" s="24" t="s">
        <v>27</v>
      </c>
      <c r="BU7" s="24" t="s">
        <v>2643</v>
      </c>
      <c r="BV7" s="24" t="s">
        <v>2511</v>
      </c>
      <c r="BW7" s="24" t="s">
        <v>2511</v>
      </c>
      <c r="BX7" s="24" t="s">
        <v>2511</v>
      </c>
      <c r="BY7" s="24" t="s">
        <v>2511</v>
      </c>
      <c r="BZ7" s="24" t="s">
        <v>2511</v>
      </c>
      <c r="CA7" s="24" t="s">
        <v>2511</v>
      </c>
      <c r="CB7" s="24" t="s">
        <v>2511</v>
      </c>
      <c r="CC7" s="24" t="s">
        <v>2508</v>
      </c>
      <c r="CD7" s="24" t="s">
        <v>2515</v>
      </c>
      <c r="CE7" s="24" t="s">
        <v>2516</v>
      </c>
      <c r="CF7" s="24" t="s">
        <v>2518</v>
      </c>
      <c r="CG7" s="24" t="s">
        <v>2519</v>
      </c>
      <c r="CH7" s="24" t="s">
        <v>50</v>
      </c>
      <c r="CI7" s="24" t="s">
        <v>2519</v>
      </c>
      <c r="CJ7" s="24" t="s">
        <v>50</v>
      </c>
      <c r="CK7" s="24" t="s">
        <v>938</v>
      </c>
      <c r="CL7" s="24"/>
      <c r="CM7" s="24"/>
      <c r="CN7" s="24"/>
      <c r="CO7" s="24" t="s">
        <v>21</v>
      </c>
      <c r="CP7" s="24" t="s">
        <v>2520</v>
      </c>
      <c r="CQ7" s="24" t="s">
        <v>20</v>
      </c>
      <c r="CR7" s="24" t="s">
        <v>833</v>
      </c>
      <c r="CS7" s="24" t="s">
        <v>2511</v>
      </c>
      <c r="CT7" s="24" t="s">
        <v>2511</v>
      </c>
      <c r="CU7" s="24" t="s">
        <v>2508</v>
      </c>
      <c r="CV7" s="24" t="s">
        <v>50</v>
      </c>
      <c r="CW7" s="24" t="s">
        <v>2521</v>
      </c>
      <c r="CX7" s="24" t="s">
        <v>1152</v>
      </c>
      <c r="CY7" s="24" t="s">
        <v>2529</v>
      </c>
      <c r="CZ7" s="24" t="s">
        <v>833</v>
      </c>
      <c r="DA7" s="24" t="s">
        <v>2646</v>
      </c>
      <c r="DB7" s="24" t="s">
        <v>20</v>
      </c>
      <c r="DC7" s="24" t="s">
        <v>20</v>
      </c>
      <c r="DD7" s="24" t="s">
        <v>833</v>
      </c>
      <c r="DE7" s="24" t="s">
        <v>833</v>
      </c>
      <c r="DF7" s="24" t="s">
        <v>20</v>
      </c>
      <c r="DG7" s="24" t="s">
        <v>20</v>
      </c>
      <c r="DH7" s="24" t="s">
        <v>20</v>
      </c>
      <c r="DI7" s="24" t="s">
        <v>21</v>
      </c>
      <c r="DJ7" s="24" t="s">
        <v>21</v>
      </c>
      <c r="DK7" s="24" t="s">
        <v>21</v>
      </c>
      <c r="DL7" s="24" t="s">
        <v>2647</v>
      </c>
      <c r="DM7" s="24" t="s">
        <v>20</v>
      </c>
      <c r="DN7" s="24" t="s">
        <v>20</v>
      </c>
      <c r="DO7" s="24" t="s">
        <v>20</v>
      </c>
      <c r="DP7" s="24" t="s">
        <v>20</v>
      </c>
      <c r="DQ7" s="24" t="s">
        <v>833</v>
      </c>
      <c r="DR7" s="24" t="s">
        <v>277</v>
      </c>
      <c r="DS7" s="24" t="s">
        <v>2533</v>
      </c>
      <c r="DT7" s="24" t="s">
        <v>2534</v>
      </c>
      <c r="DU7" s="24" t="s">
        <v>2652</v>
      </c>
      <c r="DV7" s="24" t="s">
        <v>2653</v>
      </c>
      <c r="DW7" s="24" t="s">
        <v>833</v>
      </c>
      <c r="DX7" s="24" t="s">
        <v>2654</v>
      </c>
      <c r="DY7" s="24" t="s">
        <v>833</v>
      </c>
      <c r="DZ7" s="24" t="s">
        <v>2655</v>
      </c>
      <c r="EA7" s="24" t="s">
        <v>833</v>
      </c>
      <c r="EB7" s="24" t="s">
        <v>2533</v>
      </c>
      <c r="EC7" s="24" t="s">
        <v>2536</v>
      </c>
      <c r="ED7" s="24" t="s">
        <v>277</v>
      </c>
      <c r="EE7" s="24" t="s">
        <v>2537</v>
      </c>
      <c r="EF7" s="24" t="s">
        <v>833</v>
      </c>
      <c r="EG7" s="24" t="s">
        <v>2656</v>
      </c>
      <c r="EH7" s="24" t="s">
        <v>50</v>
      </c>
      <c r="EI7" s="24" t="s">
        <v>277</v>
      </c>
      <c r="EJ7" s="24" t="s">
        <v>50</v>
      </c>
      <c r="EK7" s="24" t="s">
        <v>833</v>
      </c>
      <c r="EL7" s="24"/>
      <c r="EM7" s="24"/>
      <c r="EN7" s="24"/>
      <c r="EO7" s="24"/>
      <c r="EP7" s="24"/>
      <c r="EQ7" s="24"/>
      <c r="ER7" s="24"/>
      <c r="ES7" s="24"/>
      <c r="ET7" s="24"/>
      <c r="EU7" s="24"/>
      <c r="EV7" s="24"/>
      <c r="EW7" s="24"/>
      <c r="EX7" s="24"/>
      <c r="EY7" s="24"/>
      <c r="EZ7" s="24"/>
      <c r="FA7" s="24"/>
      <c r="FB7" s="24"/>
      <c r="FC7" s="24"/>
      <c r="FD7" s="24"/>
      <c r="FE7" s="24"/>
      <c r="FF7" s="24"/>
      <c r="FG7" s="24"/>
      <c r="FH7" s="24"/>
      <c r="FI7" s="24"/>
      <c r="FJ7" s="24"/>
      <c r="FK7" s="24"/>
      <c r="FL7" s="24"/>
      <c r="FM7" s="24"/>
      <c r="FN7" s="24"/>
      <c r="FO7" s="24"/>
      <c r="FP7" s="24"/>
      <c r="FQ7" s="24"/>
      <c r="FR7" s="24"/>
      <c r="FS7" s="24"/>
      <c r="FT7" s="24"/>
      <c r="FU7" s="24"/>
      <c r="FV7" s="24"/>
      <c r="FW7" s="24"/>
    </row>
    <row r="8" spans="1:179">
      <c r="B8" s="440"/>
      <c r="C8" s="24" t="s">
        <v>2667</v>
      </c>
      <c r="D8" s="24"/>
      <c r="E8" s="24"/>
      <c r="F8" s="24"/>
      <c r="G8" s="24"/>
      <c r="H8" s="24"/>
      <c r="I8" s="24"/>
      <c r="J8" s="24"/>
      <c r="K8" s="24"/>
      <c r="L8" s="24"/>
      <c r="M8" s="24"/>
      <c r="N8" s="24" t="s">
        <v>2667</v>
      </c>
      <c r="O8" s="24"/>
      <c r="P8" s="24"/>
      <c r="Q8" s="24" t="s">
        <v>2667</v>
      </c>
      <c r="R8" s="24"/>
      <c r="S8" s="24"/>
      <c r="T8" s="24"/>
      <c r="U8" s="24"/>
      <c r="V8" s="24"/>
      <c r="W8" s="24"/>
      <c r="X8" s="24"/>
      <c r="Y8" s="24"/>
      <c r="Z8" s="24"/>
      <c r="AA8" s="24"/>
      <c r="AB8" s="24" t="s">
        <v>2667</v>
      </c>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t="s">
        <v>2667</v>
      </c>
      <c r="BW8" s="24"/>
      <c r="BX8" s="24"/>
      <c r="BY8" s="24"/>
      <c r="BZ8" s="24"/>
      <c r="CA8" s="24"/>
      <c r="CB8" s="24"/>
      <c r="CC8" s="24"/>
      <c r="CD8" s="24"/>
      <c r="CE8" s="24"/>
      <c r="CF8" s="24"/>
      <c r="CG8" s="24"/>
      <c r="CH8" s="24"/>
      <c r="CI8" s="24"/>
      <c r="CJ8" s="24"/>
      <c r="CK8" s="24"/>
      <c r="CL8" s="24"/>
      <c r="CM8" s="24"/>
      <c r="CN8" s="24"/>
      <c r="CO8" s="24"/>
      <c r="CP8" s="24"/>
      <c r="CQ8" s="24"/>
      <c r="CR8" s="24"/>
      <c r="CS8" s="24"/>
      <c r="CT8" s="24"/>
      <c r="CU8" s="24"/>
      <c r="CV8" s="24"/>
      <c r="CW8" s="24"/>
      <c r="CX8" s="24"/>
      <c r="CY8" s="24"/>
      <c r="CZ8" s="24"/>
      <c r="DA8" s="24"/>
      <c r="DB8" s="24"/>
      <c r="DC8" s="24"/>
      <c r="DD8" s="24"/>
      <c r="DE8" s="24"/>
      <c r="DF8" s="24"/>
      <c r="DG8" s="24"/>
      <c r="DH8" s="24"/>
      <c r="DI8" s="24"/>
      <c r="DJ8" s="24"/>
      <c r="DK8" s="24"/>
      <c r="DL8" s="24"/>
      <c r="DM8" s="24"/>
      <c r="DN8" s="24"/>
      <c r="DO8" s="24"/>
      <c r="DP8" s="24"/>
      <c r="DQ8" s="24"/>
      <c r="DR8" s="24"/>
      <c r="DS8" s="24"/>
      <c r="DT8" s="24"/>
      <c r="DU8" s="24"/>
      <c r="DV8" s="24"/>
      <c r="DW8" s="24"/>
      <c r="DX8" s="24"/>
      <c r="DY8" s="24"/>
      <c r="DZ8" s="24"/>
      <c r="EA8" s="24"/>
      <c r="EB8" s="24"/>
      <c r="EC8" s="24"/>
      <c r="ED8" s="24"/>
      <c r="EE8" s="24"/>
      <c r="EF8" s="24"/>
      <c r="EG8" s="24"/>
      <c r="EH8" s="24"/>
      <c r="EI8" s="24"/>
      <c r="EJ8" s="24"/>
      <c r="EK8" s="24"/>
      <c r="EL8" s="24"/>
      <c r="EM8" s="24"/>
      <c r="EN8" s="24"/>
      <c r="EO8" s="24"/>
      <c r="EP8" s="24"/>
      <c r="EQ8" s="24"/>
      <c r="ER8" s="24"/>
      <c r="ES8" s="24"/>
      <c r="ET8" s="24"/>
      <c r="EU8" s="24"/>
      <c r="EV8" s="24"/>
      <c r="EW8" s="24"/>
      <c r="EX8" s="24"/>
      <c r="EY8" s="24"/>
      <c r="EZ8" s="24"/>
      <c r="FA8" s="24"/>
      <c r="FB8" s="24"/>
      <c r="FC8" s="24"/>
      <c r="FD8" s="24"/>
      <c r="FE8" s="24"/>
      <c r="FF8" s="24"/>
      <c r="FG8" s="24"/>
      <c r="FH8" s="24"/>
      <c r="FI8" s="24"/>
      <c r="FJ8" s="24"/>
      <c r="FK8" s="24"/>
      <c r="FL8" s="24"/>
      <c r="FM8" s="24"/>
      <c r="FN8" s="24"/>
      <c r="FO8" s="24"/>
      <c r="FP8" s="24"/>
      <c r="FQ8" s="24"/>
      <c r="FR8" s="24"/>
      <c r="FS8" s="24"/>
      <c r="FT8" s="24"/>
      <c r="FU8" s="24"/>
      <c r="FV8" s="24"/>
      <c r="FW8" s="24"/>
    </row>
    <row r="9" spans="1:179">
      <c r="B9" s="229" t="s">
        <v>1226</v>
      </c>
      <c r="C9" s="375" t="s">
        <v>2893</v>
      </c>
      <c r="D9" s="375"/>
      <c r="E9" s="375"/>
      <c r="F9" s="376"/>
      <c r="G9" s="229"/>
      <c r="H9" s="229"/>
      <c r="I9" s="229"/>
      <c r="J9" s="229"/>
      <c r="K9" s="229"/>
      <c r="L9" s="229"/>
      <c r="M9" s="229" t="s">
        <v>2856</v>
      </c>
      <c r="N9" s="229" t="s">
        <v>2895</v>
      </c>
      <c r="O9" s="229"/>
      <c r="P9" s="229"/>
      <c r="Q9" s="229" t="s">
        <v>2894</v>
      </c>
      <c r="R9" s="229"/>
      <c r="S9" s="229"/>
      <c r="T9" s="229"/>
      <c r="U9" s="229"/>
      <c r="V9" s="229"/>
      <c r="W9" s="229"/>
      <c r="X9" s="229"/>
      <c r="Y9" s="229"/>
      <c r="Z9" s="229"/>
      <c r="AA9" s="229"/>
      <c r="AB9" s="229" t="s">
        <v>2896</v>
      </c>
      <c r="AC9" s="229"/>
      <c r="AD9" s="229"/>
      <c r="AE9" s="229"/>
      <c r="AF9" s="229"/>
      <c r="AG9" s="229"/>
      <c r="AH9" s="229"/>
      <c r="AI9" s="229"/>
      <c r="AJ9" s="229"/>
      <c r="AK9" s="229"/>
      <c r="AL9" s="229"/>
      <c r="AM9" s="229"/>
      <c r="AN9" s="229"/>
      <c r="AO9" s="229"/>
      <c r="AP9" s="229"/>
      <c r="AQ9" s="229"/>
      <c r="AR9" s="229"/>
      <c r="AS9" s="229"/>
      <c r="AT9" s="229"/>
      <c r="AU9" s="229"/>
      <c r="AV9" s="229"/>
      <c r="AW9" s="229"/>
      <c r="AX9" s="229"/>
      <c r="AY9" s="229"/>
      <c r="AZ9" s="229"/>
      <c r="BA9" s="229"/>
      <c r="BB9" s="229"/>
      <c r="BC9" s="229"/>
      <c r="BD9" s="229"/>
      <c r="BE9" s="229"/>
      <c r="BF9" s="229"/>
      <c r="BG9" s="229"/>
      <c r="BH9" s="229"/>
      <c r="BI9" s="229"/>
      <c r="BJ9" s="229"/>
      <c r="BK9" s="229"/>
      <c r="BL9" s="229"/>
      <c r="BM9" s="229"/>
      <c r="BN9" s="229"/>
      <c r="BO9" s="229"/>
      <c r="BP9" s="229"/>
      <c r="BQ9" s="229"/>
      <c r="BR9" s="229"/>
      <c r="BS9" s="229"/>
      <c r="BT9" s="229"/>
      <c r="BU9" s="229"/>
      <c r="BV9" s="391">
        <v>45017</v>
      </c>
      <c r="BW9" s="229"/>
      <c r="BX9" s="229"/>
      <c r="BY9" s="229"/>
      <c r="BZ9" s="229"/>
      <c r="CA9" s="229"/>
      <c r="CB9" s="229"/>
      <c r="CC9" s="229"/>
      <c r="CD9" s="229"/>
      <c r="CE9" s="229"/>
      <c r="CF9" s="229"/>
      <c r="CG9" s="229"/>
      <c r="CH9" s="229"/>
      <c r="CI9" s="229"/>
      <c r="CJ9" s="229"/>
      <c r="CK9" s="229"/>
      <c r="CL9" s="229"/>
      <c r="CM9" s="229"/>
      <c r="CN9" s="229"/>
      <c r="CO9" s="229"/>
      <c r="CP9" s="229"/>
      <c r="CQ9" s="229"/>
      <c r="CR9" s="229"/>
      <c r="CS9" s="229"/>
      <c r="CT9" s="229"/>
      <c r="CU9" s="229"/>
      <c r="CV9" s="229"/>
      <c r="CW9" s="229"/>
      <c r="CX9" s="229"/>
      <c r="CY9" s="229"/>
      <c r="CZ9" s="229"/>
      <c r="DA9" s="229"/>
      <c r="DB9" s="229"/>
      <c r="DC9" s="229"/>
      <c r="DD9" s="229"/>
      <c r="DE9" s="229"/>
      <c r="DF9" s="229"/>
      <c r="DG9" s="229"/>
      <c r="DH9" s="229"/>
      <c r="DI9" s="229"/>
      <c r="DJ9" s="229"/>
      <c r="DK9" s="229"/>
      <c r="DL9" s="229"/>
      <c r="DM9" s="229"/>
      <c r="DN9" s="229"/>
      <c r="DO9" s="229"/>
      <c r="DP9" s="229"/>
      <c r="DQ9" s="229"/>
      <c r="DR9" s="229"/>
      <c r="DS9" s="229"/>
      <c r="DT9" s="229"/>
      <c r="DU9" s="229"/>
      <c r="DV9" s="229"/>
      <c r="DW9" s="229"/>
      <c r="DX9" s="229"/>
      <c r="DY9" s="229"/>
      <c r="DZ9" s="229"/>
      <c r="EA9" s="229"/>
      <c r="EB9" s="229"/>
      <c r="EC9" s="229"/>
      <c r="ED9" s="229"/>
      <c r="EE9" s="229"/>
      <c r="EF9" s="229"/>
      <c r="EG9" s="229"/>
      <c r="EH9" s="229"/>
      <c r="EI9" s="229"/>
      <c r="EJ9" s="229"/>
      <c r="EK9" s="229"/>
      <c r="EL9" s="229"/>
      <c r="EM9" s="229"/>
      <c r="EN9" s="229"/>
      <c r="EO9" s="229"/>
      <c r="EP9" s="229"/>
      <c r="EQ9" s="229"/>
      <c r="ER9" s="229"/>
      <c r="ES9" s="229"/>
      <c r="ET9" s="229"/>
      <c r="EU9" s="229"/>
      <c r="EV9" s="229"/>
      <c r="EW9" s="229"/>
      <c r="EX9" s="229"/>
      <c r="EY9" s="229"/>
      <c r="EZ9" s="229"/>
      <c r="FA9" s="229"/>
      <c r="FB9" s="229"/>
      <c r="FC9" s="229"/>
      <c r="FD9" s="229"/>
      <c r="FE9" s="229"/>
      <c r="FF9" s="229"/>
      <c r="FG9" s="229"/>
      <c r="FH9" s="229"/>
      <c r="FI9" s="229"/>
      <c r="FJ9" s="229"/>
      <c r="FK9" s="229"/>
      <c r="FL9" s="229"/>
      <c r="FM9" s="229"/>
      <c r="FN9" s="229"/>
      <c r="FO9" s="229"/>
      <c r="FP9" s="229"/>
      <c r="FQ9" s="229"/>
      <c r="FR9" s="229"/>
      <c r="FS9" s="229"/>
      <c r="FT9" s="229"/>
      <c r="FU9" s="229"/>
      <c r="FV9" s="229"/>
      <c r="FW9" s="229"/>
    </row>
    <row r="10" spans="1:179">
      <c r="B10" s="245">
        <f>ROW() - 9</f>
        <v>1</v>
      </c>
      <c r="C10" s="285"/>
      <c r="D10" s="285"/>
      <c r="E10" s="285"/>
      <c r="F10" s="286"/>
      <c r="G10" s="245"/>
      <c r="H10" s="245"/>
      <c r="I10" s="245"/>
      <c r="J10" s="245"/>
      <c r="K10" s="245"/>
      <c r="L10" s="245"/>
      <c r="M10" s="245"/>
      <c r="N10" s="245"/>
      <c r="O10" s="245"/>
      <c r="P10" s="245"/>
      <c r="Q10" s="245"/>
      <c r="R10" s="245"/>
      <c r="S10" s="245"/>
      <c r="T10" s="245"/>
      <c r="U10" s="245"/>
      <c r="V10" s="245"/>
      <c r="W10" s="245"/>
      <c r="X10" s="245"/>
      <c r="Y10" s="245"/>
      <c r="Z10" s="245"/>
      <c r="AA10" s="245"/>
      <c r="AB10" s="245"/>
      <c r="AC10" s="245"/>
      <c r="AD10" s="245"/>
      <c r="AE10" s="245"/>
      <c r="AF10" s="245"/>
      <c r="AG10" s="245"/>
      <c r="AH10" s="245"/>
      <c r="AI10" s="245"/>
      <c r="AJ10" s="245"/>
      <c r="AK10" s="245"/>
      <c r="AL10" s="245"/>
      <c r="AM10" s="245"/>
      <c r="AN10" s="245"/>
      <c r="AO10" s="245"/>
      <c r="AP10" s="245"/>
      <c r="AQ10" s="245"/>
      <c r="AR10" s="245"/>
      <c r="AS10" s="245"/>
      <c r="AT10" s="245"/>
      <c r="AU10" s="245"/>
      <c r="AV10" s="245"/>
      <c r="AW10" s="245"/>
      <c r="AX10" s="245"/>
      <c r="AY10" s="245"/>
      <c r="AZ10" s="245"/>
      <c r="BA10" s="245"/>
      <c r="BB10" s="245"/>
      <c r="BC10" s="245"/>
      <c r="BD10" s="245"/>
      <c r="BE10" s="245"/>
      <c r="BF10" s="245"/>
      <c r="BG10" s="245"/>
      <c r="BH10" s="245"/>
      <c r="BI10" s="245"/>
      <c r="BJ10" s="245"/>
      <c r="BK10" s="245"/>
      <c r="BL10" s="245"/>
      <c r="BM10" s="245"/>
      <c r="BN10" s="245"/>
      <c r="BO10" s="245"/>
      <c r="BP10" s="245"/>
      <c r="BQ10" s="245"/>
      <c r="BR10" s="245"/>
      <c r="BS10" s="245"/>
      <c r="BT10" s="245"/>
      <c r="BU10" s="245"/>
      <c r="BV10" s="245"/>
      <c r="BW10" s="245"/>
      <c r="BX10" s="245"/>
      <c r="BY10" s="245"/>
      <c r="BZ10" s="245"/>
      <c r="CA10" s="245"/>
      <c r="CB10" s="245"/>
      <c r="CC10" s="245"/>
      <c r="CD10" s="245"/>
      <c r="CE10" s="245"/>
      <c r="CF10" s="245"/>
      <c r="CG10" s="245"/>
      <c r="CH10" s="245"/>
      <c r="CI10" s="245"/>
      <c r="CJ10" s="245"/>
      <c r="CK10" s="245"/>
      <c r="CL10" s="245"/>
      <c r="CM10" s="245"/>
      <c r="CN10" s="245"/>
      <c r="CO10" s="245"/>
      <c r="CP10" s="245"/>
      <c r="CQ10" s="245"/>
      <c r="CR10" s="245"/>
      <c r="CS10" s="245"/>
      <c r="CT10" s="245"/>
      <c r="CU10" s="245"/>
      <c r="CV10" s="245"/>
      <c r="CW10" s="245"/>
      <c r="CX10" s="245"/>
      <c r="CY10" s="245"/>
      <c r="CZ10" s="245"/>
      <c r="DA10" s="245"/>
      <c r="DB10" s="245"/>
      <c r="DC10" s="245"/>
      <c r="DD10" s="245"/>
      <c r="DE10" s="245"/>
      <c r="DF10" s="245"/>
      <c r="DG10" s="245"/>
      <c r="DH10" s="245"/>
      <c r="DI10" s="245"/>
      <c r="DJ10" s="245"/>
      <c r="DK10" s="245"/>
      <c r="DL10" s="245"/>
      <c r="DM10" s="245"/>
      <c r="DN10" s="245"/>
      <c r="DO10" s="245"/>
      <c r="DP10" s="245"/>
      <c r="DQ10" s="245"/>
      <c r="DR10" s="245"/>
      <c r="DS10" s="245"/>
      <c r="DT10" s="245"/>
      <c r="DU10" s="245"/>
      <c r="DV10" s="245"/>
      <c r="DW10" s="245"/>
      <c r="DX10" s="245"/>
      <c r="DY10" s="245"/>
      <c r="DZ10" s="245"/>
      <c r="EA10" s="245"/>
      <c r="EB10" s="245"/>
      <c r="EC10" s="245"/>
      <c r="ED10" s="245"/>
      <c r="EE10" s="245"/>
      <c r="EF10" s="245"/>
      <c r="EG10" s="245"/>
      <c r="EH10" s="245"/>
      <c r="EI10" s="245"/>
      <c r="EJ10" s="245"/>
      <c r="EK10" s="245"/>
      <c r="EL10" s="245"/>
      <c r="EM10" s="245"/>
      <c r="EN10" s="245"/>
      <c r="EO10" s="245"/>
      <c r="EP10" s="245"/>
      <c r="EQ10" s="245"/>
      <c r="ER10" s="245"/>
      <c r="ES10" s="245"/>
      <c r="ET10" s="245"/>
      <c r="EU10" s="245"/>
      <c r="EV10" s="245"/>
      <c r="EW10" s="245"/>
      <c r="EX10" s="245"/>
      <c r="EY10" s="245"/>
      <c r="EZ10" s="245"/>
      <c r="FA10" s="245"/>
      <c r="FB10" s="245"/>
      <c r="FC10" s="245"/>
      <c r="FD10" s="245"/>
      <c r="FE10" s="245"/>
      <c r="FF10" s="245"/>
      <c r="FG10" s="245"/>
      <c r="FH10" s="245"/>
      <c r="FI10" s="245"/>
      <c r="FJ10" s="245"/>
      <c r="FK10" s="245"/>
      <c r="FL10" s="245"/>
      <c r="FM10" s="245"/>
      <c r="FN10" s="245"/>
      <c r="FO10" s="245"/>
      <c r="FP10" s="245"/>
      <c r="FQ10" s="245"/>
      <c r="FR10" s="245"/>
      <c r="FS10" s="245"/>
      <c r="FT10" s="245"/>
      <c r="FU10" s="245"/>
      <c r="FV10" s="245"/>
      <c r="FW10" s="245"/>
    </row>
    <row r="11" spans="1:179">
      <c r="B11" s="245">
        <f t="shared" ref="B11:B39" si="0">ROW() - 9</f>
        <v>2</v>
      </c>
      <c r="C11" s="285"/>
      <c r="D11" s="285"/>
      <c r="E11" s="285"/>
      <c r="F11" s="286"/>
      <c r="G11" s="245"/>
      <c r="H11" s="245"/>
      <c r="I11" s="245"/>
      <c r="J11" s="245"/>
      <c r="K11" s="245"/>
      <c r="L11" s="245"/>
      <c r="M11" s="245"/>
      <c r="N11" s="245"/>
      <c r="O11" s="245"/>
      <c r="P11" s="245"/>
      <c r="Q11" s="245"/>
      <c r="R11" s="245"/>
      <c r="S11" s="245"/>
      <c r="T11" s="245"/>
      <c r="U11" s="245"/>
      <c r="V11" s="245"/>
      <c r="W11" s="245"/>
      <c r="X11" s="245"/>
      <c r="Y11" s="245"/>
      <c r="Z11" s="245"/>
      <c r="AA11" s="245"/>
      <c r="AB11" s="245"/>
      <c r="AC11" s="245"/>
      <c r="AD11" s="245"/>
      <c r="AE11" s="245"/>
      <c r="AF11" s="245"/>
      <c r="AG11" s="245"/>
      <c r="AH11" s="245"/>
      <c r="AI11" s="245"/>
      <c r="AJ11" s="245"/>
      <c r="AK11" s="245"/>
      <c r="AL11" s="245"/>
      <c r="AM11" s="245"/>
      <c r="AN11" s="245"/>
      <c r="AO11" s="245"/>
      <c r="AP11" s="245"/>
      <c r="AQ11" s="245"/>
      <c r="AR11" s="245"/>
      <c r="AS11" s="245"/>
      <c r="AT11" s="245"/>
      <c r="AU11" s="245"/>
      <c r="AV11" s="245"/>
      <c r="AW11" s="245"/>
      <c r="AX11" s="245"/>
      <c r="AY11" s="245"/>
      <c r="AZ11" s="245"/>
      <c r="BA11" s="245"/>
      <c r="BB11" s="245"/>
      <c r="BC11" s="245"/>
      <c r="BD11" s="245"/>
      <c r="BE11" s="245"/>
      <c r="BF11" s="245"/>
      <c r="BG11" s="245"/>
      <c r="BH11" s="245"/>
      <c r="BI11" s="245"/>
      <c r="BJ11" s="245"/>
      <c r="BK11" s="245"/>
      <c r="BL11" s="245"/>
      <c r="BM11" s="245"/>
      <c r="BN11" s="245"/>
      <c r="BO11" s="245"/>
      <c r="BP11" s="245"/>
      <c r="BQ11" s="245"/>
      <c r="BR11" s="245"/>
      <c r="BS11" s="245"/>
      <c r="BT11" s="245"/>
      <c r="BU11" s="245"/>
      <c r="BV11" s="245"/>
      <c r="BW11" s="245"/>
      <c r="BX11" s="245"/>
      <c r="BY11" s="245"/>
      <c r="BZ11" s="245"/>
      <c r="CA11" s="245"/>
      <c r="CB11" s="245"/>
      <c r="CC11" s="245"/>
      <c r="CD11" s="245"/>
      <c r="CE11" s="245"/>
      <c r="CF11" s="245"/>
      <c r="CG11" s="245"/>
      <c r="CH11" s="245"/>
      <c r="CI11" s="245"/>
      <c r="CJ11" s="245"/>
      <c r="CK11" s="245"/>
      <c r="CL11" s="245"/>
      <c r="CM11" s="245"/>
      <c r="CN11" s="245"/>
      <c r="CO11" s="245"/>
      <c r="CP11" s="245"/>
      <c r="CQ11" s="245"/>
      <c r="CR11" s="245"/>
      <c r="CS11" s="245"/>
      <c r="CT11" s="245"/>
      <c r="CU11" s="245"/>
      <c r="CV11" s="245"/>
      <c r="CW11" s="245"/>
      <c r="CX11" s="245"/>
      <c r="CY11" s="245"/>
      <c r="CZ11" s="245"/>
      <c r="DA11" s="245"/>
      <c r="DB11" s="245"/>
      <c r="DC11" s="245"/>
      <c r="DD11" s="245"/>
      <c r="DE11" s="245"/>
      <c r="DF11" s="245"/>
      <c r="DG11" s="245"/>
      <c r="DH11" s="245"/>
      <c r="DI11" s="245"/>
      <c r="DJ11" s="245"/>
      <c r="DK11" s="245"/>
      <c r="DL11" s="245"/>
      <c r="DM11" s="245"/>
      <c r="DN11" s="245"/>
      <c r="DO11" s="245"/>
      <c r="DP11" s="245"/>
      <c r="DQ11" s="245"/>
      <c r="DR11" s="245"/>
      <c r="DS11" s="245"/>
      <c r="DT11" s="245"/>
      <c r="DU11" s="245"/>
      <c r="DV11" s="245"/>
      <c r="DW11" s="245"/>
      <c r="DX11" s="245"/>
      <c r="DY11" s="245"/>
      <c r="DZ11" s="245"/>
      <c r="EA11" s="245"/>
      <c r="EB11" s="245"/>
      <c r="EC11" s="245"/>
      <c r="ED11" s="245"/>
      <c r="EE11" s="245"/>
      <c r="EF11" s="245"/>
      <c r="EG11" s="245"/>
      <c r="EH11" s="245"/>
      <c r="EI11" s="245"/>
      <c r="EJ11" s="245"/>
      <c r="EK11" s="245"/>
      <c r="EL11" s="245"/>
      <c r="EM11" s="245"/>
      <c r="EN11" s="245"/>
      <c r="EO11" s="245"/>
      <c r="EP11" s="245"/>
      <c r="EQ11" s="245"/>
      <c r="ER11" s="245"/>
      <c r="ES11" s="245"/>
      <c r="ET11" s="245"/>
      <c r="EU11" s="245"/>
      <c r="EV11" s="245"/>
      <c r="EW11" s="245"/>
      <c r="EX11" s="245"/>
      <c r="EY11" s="245"/>
      <c r="EZ11" s="245"/>
      <c r="FA11" s="245"/>
      <c r="FB11" s="245"/>
      <c r="FC11" s="245"/>
      <c r="FD11" s="245"/>
      <c r="FE11" s="245"/>
      <c r="FF11" s="245"/>
      <c r="FG11" s="245"/>
      <c r="FH11" s="245"/>
      <c r="FI11" s="245"/>
      <c r="FJ11" s="245"/>
      <c r="FK11" s="245"/>
      <c r="FL11" s="245"/>
      <c r="FM11" s="245"/>
      <c r="FN11" s="245"/>
      <c r="FO11" s="245"/>
      <c r="FP11" s="245"/>
      <c r="FQ11" s="245"/>
      <c r="FR11" s="245"/>
      <c r="FS11" s="245"/>
      <c r="FT11" s="245"/>
      <c r="FU11" s="245"/>
      <c r="FV11" s="245"/>
      <c r="FW11" s="245"/>
    </row>
    <row r="12" spans="1:179">
      <c r="B12" s="245">
        <f t="shared" si="0"/>
        <v>3</v>
      </c>
      <c r="C12" s="285"/>
      <c r="D12" s="285"/>
      <c r="E12" s="285"/>
      <c r="F12" s="286"/>
      <c r="G12" s="245"/>
      <c r="H12" s="245"/>
      <c r="I12" s="245"/>
      <c r="J12" s="245"/>
      <c r="K12" s="245"/>
      <c r="L12" s="245"/>
      <c r="M12" s="245"/>
      <c r="N12" s="245"/>
      <c r="O12" s="245"/>
      <c r="P12" s="245"/>
      <c r="Q12" s="245"/>
      <c r="R12" s="245"/>
      <c r="S12" s="245"/>
      <c r="T12" s="245"/>
      <c r="U12" s="245"/>
      <c r="V12" s="245"/>
      <c r="W12" s="245"/>
      <c r="X12" s="245"/>
      <c r="Y12" s="245"/>
      <c r="Z12" s="245"/>
      <c r="AA12" s="245"/>
      <c r="AB12" s="245"/>
      <c r="AC12" s="245"/>
      <c r="AD12" s="245"/>
      <c r="AE12" s="245"/>
      <c r="AF12" s="245"/>
      <c r="AG12" s="245"/>
      <c r="AH12" s="245"/>
      <c r="AI12" s="245"/>
      <c r="AJ12" s="245"/>
      <c r="AK12" s="245"/>
      <c r="AL12" s="245"/>
      <c r="AM12" s="245"/>
      <c r="AN12" s="245"/>
      <c r="AO12" s="245"/>
      <c r="AP12" s="245"/>
      <c r="AQ12" s="245"/>
      <c r="AR12" s="245"/>
      <c r="AS12" s="245"/>
      <c r="AT12" s="245"/>
      <c r="AU12" s="245"/>
      <c r="AV12" s="245"/>
      <c r="AW12" s="245"/>
      <c r="AX12" s="245"/>
      <c r="AY12" s="245"/>
      <c r="AZ12" s="245"/>
      <c r="BA12" s="245"/>
      <c r="BB12" s="245"/>
      <c r="BC12" s="245"/>
      <c r="BD12" s="245"/>
      <c r="BE12" s="245"/>
      <c r="BF12" s="245"/>
      <c r="BG12" s="245"/>
      <c r="BH12" s="245"/>
      <c r="BI12" s="245"/>
      <c r="BJ12" s="245"/>
      <c r="BK12" s="245"/>
      <c r="BL12" s="245"/>
      <c r="BM12" s="245"/>
      <c r="BN12" s="245"/>
      <c r="BO12" s="245"/>
      <c r="BP12" s="245"/>
      <c r="BQ12" s="245"/>
      <c r="BR12" s="245"/>
      <c r="BS12" s="245"/>
      <c r="BT12" s="245"/>
      <c r="BU12" s="245"/>
      <c r="BV12" s="245"/>
      <c r="BW12" s="245"/>
      <c r="BX12" s="245"/>
      <c r="BY12" s="245"/>
      <c r="BZ12" s="245"/>
      <c r="CA12" s="245"/>
      <c r="CB12" s="245"/>
      <c r="CC12" s="245"/>
      <c r="CD12" s="245"/>
      <c r="CE12" s="245"/>
      <c r="CF12" s="245"/>
      <c r="CG12" s="245"/>
      <c r="CH12" s="245"/>
      <c r="CI12" s="245"/>
      <c r="CJ12" s="245"/>
      <c r="CK12" s="245"/>
      <c r="CL12" s="245"/>
      <c r="CM12" s="245"/>
      <c r="CN12" s="245"/>
      <c r="CO12" s="245"/>
      <c r="CP12" s="245"/>
      <c r="CQ12" s="245"/>
      <c r="CR12" s="245"/>
      <c r="CS12" s="245"/>
      <c r="CT12" s="245"/>
      <c r="CU12" s="245"/>
      <c r="CV12" s="245"/>
      <c r="CW12" s="245"/>
      <c r="CX12" s="245"/>
      <c r="CY12" s="245"/>
      <c r="CZ12" s="245"/>
      <c r="DA12" s="245"/>
      <c r="DB12" s="245"/>
      <c r="DC12" s="245"/>
      <c r="DD12" s="245"/>
      <c r="DE12" s="245"/>
      <c r="DF12" s="245"/>
      <c r="DG12" s="245"/>
      <c r="DH12" s="245"/>
      <c r="DI12" s="245"/>
      <c r="DJ12" s="245"/>
      <c r="DK12" s="245"/>
      <c r="DL12" s="245"/>
      <c r="DM12" s="245"/>
      <c r="DN12" s="245"/>
      <c r="DO12" s="245"/>
      <c r="DP12" s="245"/>
      <c r="DQ12" s="245"/>
      <c r="DR12" s="245"/>
      <c r="DS12" s="245"/>
      <c r="DT12" s="245"/>
      <c r="DU12" s="245"/>
      <c r="DV12" s="245"/>
      <c r="DW12" s="245"/>
      <c r="DX12" s="245"/>
      <c r="DY12" s="245"/>
      <c r="DZ12" s="245"/>
      <c r="EA12" s="245"/>
      <c r="EB12" s="245"/>
      <c r="EC12" s="245"/>
      <c r="ED12" s="245"/>
      <c r="EE12" s="245"/>
      <c r="EF12" s="245"/>
      <c r="EG12" s="245"/>
      <c r="EH12" s="245"/>
      <c r="EI12" s="245"/>
      <c r="EJ12" s="245"/>
      <c r="EK12" s="245"/>
      <c r="EL12" s="245"/>
      <c r="EM12" s="245"/>
      <c r="EN12" s="245"/>
      <c r="EO12" s="245"/>
      <c r="EP12" s="245"/>
      <c r="EQ12" s="245"/>
      <c r="ER12" s="245"/>
      <c r="ES12" s="245"/>
      <c r="ET12" s="245"/>
      <c r="EU12" s="245"/>
      <c r="EV12" s="245"/>
      <c r="EW12" s="245"/>
      <c r="EX12" s="245"/>
      <c r="EY12" s="245"/>
      <c r="EZ12" s="245"/>
      <c r="FA12" s="245"/>
      <c r="FB12" s="245"/>
      <c r="FC12" s="245"/>
      <c r="FD12" s="245"/>
      <c r="FE12" s="245"/>
      <c r="FF12" s="245"/>
      <c r="FG12" s="245"/>
      <c r="FH12" s="245"/>
      <c r="FI12" s="245"/>
      <c r="FJ12" s="245"/>
      <c r="FK12" s="245"/>
      <c r="FL12" s="245"/>
      <c r="FM12" s="245"/>
      <c r="FN12" s="245"/>
      <c r="FO12" s="245"/>
      <c r="FP12" s="245"/>
      <c r="FQ12" s="245"/>
      <c r="FR12" s="245"/>
      <c r="FS12" s="245"/>
      <c r="FT12" s="245"/>
      <c r="FU12" s="245"/>
      <c r="FV12" s="245"/>
      <c r="FW12" s="245"/>
    </row>
    <row r="13" spans="1:179">
      <c r="B13" s="245">
        <f t="shared" si="0"/>
        <v>4</v>
      </c>
      <c r="C13" s="285"/>
      <c r="D13" s="285"/>
      <c r="E13" s="285"/>
      <c r="F13" s="286"/>
      <c r="G13" s="245"/>
      <c r="H13" s="245"/>
      <c r="I13" s="245"/>
      <c r="J13" s="245"/>
      <c r="K13" s="245"/>
      <c r="L13" s="245"/>
      <c r="M13" s="245"/>
      <c r="N13" s="245"/>
      <c r="O13" s="245"/>
      <c r="P13" s="245"/>
      <c r="Q13" s="245"/>
      <c r="R13" s="245"/>
      <c r="S13" s="245"/>
      <c r="T13" s="245"/>
      <c r="U13" s="245"/>
      <c r="V13" s="245"/>
      <c r="W13" s="245"/>
      <c r="X13" s="245"/>
      <c r="Y13" s="245"/>
      <c r="Z13" s="245"/>
      <c r="AA13" s="245"/>
      <c r="AB13" s="245"/>
      <c r="AC13" s="245"/>
      <c r="AD13" s="245"/>
      <c r="AE13" s="245"/>
      <c r="AF13" s="245"/>
      <c r="AG13" s="245"/>
      <c r="AH13" s="245"/>
      <c r="AI13" s="245"/>
      <c r="AJ13" s="245"/>
      <c r="AK13" s="245"/>
      <c r="AL13" s="245"/>
      <c r="AM13" s="245"/>
      <c r="AN13" s="245"/>
      <c r="AO13" s="245"/>
      <c r="AP13" s="245"/>
      <c r="AQ13" s="245"/>
      <c r="AR13" s="245"/>
      <c r="AS13" s="245"/>
      <c r="AT13" s="245"/>
      <c r="AU13" s="245"/>
      <c r="AV13" s="245"/>
      <c r="AW13" s="245"/>
      <c r="AX13" s="245"/>
      <c r="AY13" s="245"/>
      <c r="AZ13" s="245"/>
      <c r="BA13" s="245"/>
      <c r="BB13" s="245"/>
      <c r="BC13" s="245"/>
      <c r="BD13" s="245"/>
      <c r="BE13" s="245"/>
      <c r="BF13" s="245"/>
      <c r="BG13" s="245"/>
      <c r="BH13" s="245"/>
      <c r="BI13" s="245"/>
      <c r="BJ13" s="245"/>
      <c r="BK13" s="245"/>
      <c r="BL13" s="245"/>
      <c r="BM13" s="245"/>
      <c r="BN13" s="245"/>
      <c r="BO13" s="245"/>
      <c r="BP13" s="245"/>
      <c r="BQ13" s="245"/>
      <c r="BR13" s="245"/>
      <c r="BS13" s="245"/>
      <c r="BT13" s="245"/>
      <c r="BU13" s="245"/>
      <c r="BV13" s="245"/>
      <c r="BW13" s="245"/>
      <c r="BX13" s="245"/>
      <c r="BY13" s="245"/>
      <c r="BZ13" s="245"/>
      <c r="CA13" s="245"/>
      <c r="CB13" s="245"/>
      <c r="CC13" s="245"/>
      <c r="CD13" s="245"/>
      <c r="CE13" s="245"/>
      <c r="CF13" s="245"/>
      <c r="CG13" s="245"/>
      <c r="CH13" s="245"/>
      <c r="CI13" s="245"/>
      <c r="CJ13" s="245"/>
      <c r="CK13" s="245"/>
      <c r="CL13" s="245"/>
      <c r="CM13" s="245"/>
      <c r="CN13" s="245"/>
      <c r="CO13" s="245"/>
      <c r="CP13" s="245"/>
      <c r="CQ13" s="245"/>
      <c r="CR13" s="245"/>
      <c r="CS13" s="245"/>
      <c r="CT13" s="245"/>
      <c r="CU13" s="245"/>
      <c r="CV13" s="245"/>
      <c r="CW13" s="245"/>
      <c r="CX13" s="245"/>
      <c r="CY13" s="245"/>
      <c r="CZ13" s="245"/>
      <c r="DA13" s="245"/>
      <c r="DB13" s="245"/>
      <c r="DC13" s="245"/>
      <c r="DD13" s="245"/>
      <c r="DE13" s="245"/>
      <c r="DF13" s="245"/>
      <c r="DG13" s="245"/>
      <c r="DH13" s="245"/>
      <c r="DI13" s="245"/>
      <c r="DJ13" s="245"/>
      <c r="DK13" s="245"/>
      <c r="DL13" s="245"/>
      <c r="DM13" s="245"/>
      <c r="DN13" s="245"/>
      <c r="DO13" s="245"/>
      <c r="DP13" s="245"/>
      <c r="DQ13" s="245"/>
      <c r="DR13" s="245"/>
      <c r="DS13" s="245"/>
      <c r="DT13" s="245"/>
      <c r="DU13" s="245"/>
      <c r="DV13" s="245"/>
      <c r="DW13" s="245"/>
      <c r="DX13" s="245"/>
      <c r="DY13" s="245"/>
      <c r="DZ13" s="245"/>
      <c r="EA13" s="245"/>
      <c r="EB13" s="245"/>
      <c r="EC13" s="245"/>
      <c r="ED13" s="245"/>
      <c r="EE13" s="245"/>
      <c r="EF13" s="245"/>
      <c r="EG13" s="245"/>
      <c r="EH13" s="245"/>
      <c r="EI13" s="245"/>
      <c r="EJ13" s="245"/>
      <c r="EK13" s="245"/>
      <c r="EL13" s="245"/>
      <c r="EM13" s="245"/>
      <c r="EN13" s="245"/>
      <c r="EO13" s="245"/>
      <c r="EP13" s="245"/>
      <c r="EQ13" s="245"/>
      <c r="ER13" s="245"/>
      <c r="ES13" s="245"/>
      <c r="ET13" s="245"/>
      <c r="EU13" s="245"/>
      <c r="EV13" s="245"/>
      <c r="EW13" s="245"/>
      <c r="EX13" s="245"/>
      <c r="EY13" s="245"/>
      <c r="EZ13" s="245"/>
      <c r="FA13" s="245"/>
      <c r="FB13" s="245"/>
      <c r="FC13" s="245"/>
      <c r="FD13" s="245"/>
      <c r="FE13" s="245"/>
      <c r="FF13" s="245"/>
      <c r="FG13" s="245"/>
      <c r="FH13" s="245"/>
      <c r="FI13" s="245"/>
      <c r="FJ13" s="245"/>
      <c r="FK13" s="245"/>
      <c r="FL13" s="245"/>
      <c r="FM13" s="245"/>
      <c r="FN13" s="245"/>
      <c r="FO13" s="245"/>
      <c r="FP13" s="245"/>
      <c r="FQ13" s="245"/>
      <c r="FR13" s="245"/>
      <c r="FS13" s="245"/>
      <c r="FT13" s="245"/>
      <c r="FU13" s="245"/>
      <c r="FV13" s="245"/>
      <c r="FW13" s="245"/>
    </row>
    <row r="14" spans="1:179">
      <c r="B14" s="245">
        <f t="shared" si="0"/>
        <v>5</v>
      </c>
      <c r="C14" s="285"/>
      <c r="D14" s="285"/>
      <c r="E14" s="285"/>
      <c r="F14" s="286"/>
      <c r="G14" s="245"/>
      <c r="H14" s="245"/>
      <c r="I14" s="245"/>
      <c r="J14" s="245"/>
      <c r="K14" s="245"/>
      <c r="L14" s="245"/>
      <c r="M14" s="245"/>
      <c r="N14" s="245"/>
      <c r="O14" s="245"/>
      <c r="P14" s="245"/>
      <c r="Q14" s="245"/>
      <c r="R14" s="245"/>
      <c r="S14" s="245"/>
      <c r="T14" s="245"/>
      <c r="U14" s="245"/>
      <c r="V14" s="245"/>
      <c r="W14" s="245"/>
      <c r="X14" s="245"/>
      <c r="Y14" s="245"/>
      <c r="Z14" s="245"/>
      <c r="AA14" s="245"/>
      <c r="AB14" s="245"/>
      <c r="AC14" s="245"/>
      <c r="AD14" s="245"/>
      <c r="AE14" s="245"/>
      <c r="AF14" s="245"/>
      <c r="AG14" s="245"/>
      <c r="AH14" s="245"/>
      <c r="AI14" s="245"/>
      <c r="AJ14" s="245"/>
      <c r="AK14" s="245"/>
      <c r="AL14" s="245"/>
      <c r="AM14" s="245"/>
      <c r="AN14" s="245"/>
      <c r="AO14" s="245"/>
      <c r="AP14" s="245"/>
      <c r="AQ14" s="245"/>
      <c r="AR14" s="245"/>
      <c r="AS14" s="245"/>
      <c r="AT14" s="245"/>
      <c r="AU14" s="245"/>
      <c r="AV14" s="245"/>
      <c r="AW14" s="245"/>
      <c r="AX14" s="245"/>
      <c r="AY14" s="245"/>
      <c r="AZ14" s="245"/>
      <c r="BA14" s="245"/>
      <c r="BB14" s="245"/>
      <c r="BC14" s="245"/>
      <c r="BD14" s="245"/>
      <c r="BE14" s="245"/>
      <c r="BF14" s="245"/>
      <c r="BG14" s="245"/>
      <c r="BH14" s="245"/>
      <c r="BI14" s="245"/>
      <c r="BJ14" s="245"/>
      <c r="BK14" s="245"/>
      <c r="BL14" s="245"/>
      <c r="BM14" s="245"/>
      <c r="BN14" s="245"/>
      <c r="BO14" s="245"/>
      <c r="BP14" s="245"/>
      <c r="BQ14" s="245"/>
      <c r="BR14" s="245"/>
      <c r="BS14" s="245"/>
      <c r="BT14" s="245"/>
      <c r="BU14" s="245"/>
      <c r="BV14" s="245"/>
      <c r="BW14" s="245"/>
      <c r="BX14" s="245"/>
      <c r="BY14" s="245"/>
      <c r="BZ14" s="245"/>
      <c r="CA14" s="245"/>
      <c r="CB14" s="245"/>
      <c r="CC14" s="245"/>
      <c r="CD14" s="245"/>
      <c r="CE14" s="245"/>
      <c r="CF14" s="245"/>
      <c r="CG14" s="245"/>
      <c r="CH14" s="245"/>
      <c r="CI14" s="245"/>
      <c r="CJ14" s="245"/>
      <c r="CK14" s="245"/>
      <c r="CL14" s="245"/>
      <c r="CM14" s="245"/>
      <c r="CN14" s="245"/>
      <c r="CO14" s="245"/>
      <c r="CP14" s="245"/>
      <c r="CQ14" s="245"/>
      <c r="CR14" s="245"/>
      <c r="CS14" s="245"/>
      <c r="CT14" s="245"/>
      <c r="CU14" s="245"/>
      <c r="CV14" s="245"/>
      <c r="CW14" s="245"/>
      <c r="CX14" s="245"/>
      <c r="CY14" s="245"/>
      <c r="CZ14" s="245"/>
      <c r="DA14" s="245"/>
      <c r="DB14" s="245"/>
      <c r="DC14" s="245"/>
      <c r="DD14" s="245"/>
      <c r="DE14" s="245"/>
      <c r="DF14" s="245"/>
      <c r="DG14" s="245"/>
      <c r="DH14" s="245"/>
      <c r="DI14" s="245"/>
      <c r="DJ14" s="245"/>
      <c r="DK14" s="245"/>
      <c r="DL14" s="245"/>
      <c r="DM14" s="245"/>
      <c r="DN14" s="245"/>
      <c r="DO14" s="245"/>
      <c r="DP14" s="245"/>
      <c r="DQ14" s="245"/>
      <c r="DR14" s="245"/>
      <c r="DS14" s="245"/>
      <c r="DT14" s="245"/>
      <c r="DU14" s="245"/>
      <c r="DV14" s="245"/>
      <c r="DW14" s="245"/>
      <c r="DX14" s="245"/>
      <c r="DY14" s="245"/>
      <c r="DZ14" s="245"/>
      <c r="EA14" s="245"/>
      <c r="EB14" s="245"/>
      <c r="EC14" s="245"/>
      <c r="ED14" s="245"/>
      <c r="EE14" s="245"/>
      <c r="EF14" s="245"/>
      <c r="EG14" s="245"/>
      <c r="EH14" s="245"/>
      <c r="EI14" s="245"/>
      <c r="EJ14" s="245"/>
      <c r="EK14" s="245"/>
      <c r="EL14" s="245"/>
      <c r="EM14" s="245"/>
      <c r="EN14" s="245"/>
      <c r="EO14" s="245"/>
      <c r="EP14" s="245"/>
      <c r="EQ14" s="245"/>
      <c r="ER14" s="245"/>
      <c r="ES14" s="245"/>
      <c r="ET14" s="245"/>
      <c r="EU14" s="245"/>
      <c r="EV14" s="245"/>
      <c r="EW14" s="245"/>
      <c r="EX14" s="245"/>
      <c r="EY14" s="245"/>
      <c r="EZ14" s="245"/>
      <c r="FA14" s="245"/>
      <c r="FB14" s="245"/>
      <c r="FC14" s="245"/>
      <c r="FD14" s="245"/>
      <c r="FE14" s="245"/>
      <c r="FF14" s="245"/>
      <c r="FG14" s="245"/>
      <c r="FH14" s="245"/>
      <c r="FI14" s="245"/>
      <c r="FJ14" s="245"/>
      <c r="FK14" s="245"/>
      <c r="FL14" s="245"/>
      <c r="FM14" s="245"/>
      <c r="FN14" s="245"/>
      <c r="FO14" s="245"/>
      <c r="FP14" s="245"/>
      <c r="FQ14" s="245"/>
      <c r="FR14" s="245"/>
      <c r="FS14" s="245"/>
      <c r="FT14" s="245"/>
      <c r="FU14" s="245"/>
      <c r="FV14" s="245"/>
      <c r="FW14" s="245"/>
    </row>
    <row r="15" spans="1:179">
      <c r="B15" s="245">
        <f t="shared" si="0"/>
        <v>6</v>
      </c>
      <c r="C15" s="285"/>
      <c r="D15" s="285"/>
      <c r="E15" s="285"/>
      <c r="F15" s="286"/>
      <c r="G15" s="245"/>
      <c r="H15" s="245"/>
      <c r="I15" s="245"/>
      <c r="J15" s="245"/>
      <c r="K15" s="245"/>
      <c r="L15" s="245"/>
      <c r="M15" s="245"/>
      <c r="N15" s="245"/>
      <c r="O15" s="245"/>
      <c r="P15" s="245"/>
      <c r="Q15" s="245"/>
      <c r="R15" s="245"/>
      <c r="S15" s="245"/>
      <c r="T15" s="245"/>
      <c r="U15" s="245"/>
      <c r="V15" s="245"/>
      <c r="W15" s="245"/>
      <c r="X15" s="245"/>
      <c r="Y15" s="245"/>
      <c r="Z15" s="245"/>
      <c r="AA15" s="245"/>
      <c r="AB15" s="245"/>
      <c r="AC15" s="245"/>
      <c r="AD15" s="245"/>
      <c r="AE15" s="245"/>
      <c r="AF15" s="245"/>
      <c r="AG15" s="245"/>
      <c r="AH15" s="245"/>
      <c r="AI15" s="245"/>
      <c r="AJ15" s="245"/>
      <c r="AK15" s="245"/>
      <c r="AL15" s="245"/>
      <c r="AM15" s="245"/>
      <c r="AN15" s="245"/>
      <c r="AO15" s="245"/>
      <c r="AP15" s="245"/>
      <c r="AQ15" s="245"/>
      <c r="AR15" s="245"/>
      <c r="AS15" s="245"/>
      <c r="AT15" s="245"/>
      <c r="AU15" s="245"/>
      <c r="AV15" s="245"/>
      <c r="AW15" s="245"/>
      <c r="AX15" s="245"/>
      <c r="AY15" s="245"/>
      <c r="AZ15" s="245"/>
      <c r="BA15" s="245"/>
      <c r="BB15" s="245"/>
      <c r="BC15" s="245"/>
      <c r="BD15" s="245"/>
      <c r="BE15" s="245"/>
      <c r="BF15" s="245"/>
      <c r="BG15" s="245"/>
      <c r="BH15" s="245"/>
      <c r="BI15" s="245"/>
      <c r="BJ15" s="245"/>
      <c r="BK15" s="245"/>
      <c r="BL15" s="245"/>
      <c r="BM15" s="245"/>
      <c r="BN15" s="245"/>
      <c r="BO15" s="245"/>
      <c r="BP15" s="245"/>
      <c r="BQ15" s="245"/>
      <c r="BR15" s="245"/>
      <c r="BS15" s="245"/>
      <c r="BT15" s="245"/>
      <c r="BU15" s="245"/>
      <c r="BV15" s="245"/>
      <c r="BW15" s="245"/>
      <c r="BX15" s="245"/>
      <c r="BY15" s="245"/>
      <c r="BZ15" s="245"/>
      <c r="CA15" s="245"/>
      <c r="CB15" s="245"/>
      <c r="CC15" s="245"/>
      <c r="CD15" s="245"/>
      <c r="CE15" s="245"/>
      <c r="CF15" s="245"/>
      <c r="CG15" s="245"/>
      <c r="CH15" s="245"/>
      <c r="CI15" s="245"/>
      <c r="CJ15" s="245"/>
      <c r="CK15" s="245"/>
      <c r="CL15" s="245"/>
      <c r="CM15" s="245"/>
      <c r="CN15" s="245"/>
      <c r="CO15" s="245"/>
      <c r="CP15" s="245"/>
      <c r="CQ15" s="245"/>
      <c r="CR15" s="245"/>
      <c r="CS15" s="245"/>
      <c r="CT15" s="245"/>
      <c r="CU15" s="245"/>
      <c r="CV15" s="245"/>
      <c r="CW15" s="245"/>
      <c r="CX15" s="245"/>
      <c r="CY15" s="245"/>
      <c r="CZ15" s="245"/>
      <c r="DA15" s="245"/>
      <c r="DB15" s="245"/>
      <c r="DC15" s="245"/>
      <c r="DD15" s="245"/>
      <c r="DE15" s="245"/>
      <c r="DF15" s="245"/>
      <c r="DG15" s="245"/>
      <c r="DH15" s="245"/>
      <c r="DI15" s="245"/>
      <c r="DJ15" s="245"/>
      <c r="DK15" s="245"/>
      <c r="DL15" s="245"/>
      <c r="DM15" s="245"/>
      <c r="DN15" s="245"/>
      <c r="DO15" s="245"/>
      <c r="DP15" s="245"/>
      <c r="DQ15" s="245"/>
      <c r="DR15" s="245"/>
      <c r="DS15" s="245"/>
      <c r="DT15" s="245"/>
      <c r="DU15" s="245"/>
      <c r="DV15" s="245"/>
      <c r="DW15" s="245"/>
      <c r="DX15" s="245"/>
      <c r="DY15" s="245"/>
      <c r="DZ15" s="245"/>
      <c r="EA15" s="245"/>
      <c r="EB15" s="245"/>
      <c r="EC15" s="245"/>
      <c r="ED15" s="245"/>
      <c r="EE15" s="245"/>
      <c r="EF15" s="245"/>
      <c r="EG15" s="245"/>
      <c r="EH15" s="245"/>
      <c r="EI15" s="245"/>
      <c r="EJ15" s="245"/>
      <c r="EK15" s="245"/>
      <c r="EL15" s="245"/>
      <c r="EM15" s="245"/>
      <c r="EN15" s="245"/>
      <c r="EO15" s="245"/>
      <c r="EP15" s="245"/>
      <c r="EQ15" s="245"/>
      <c r="ER15" s="245"/>
      <c r="ES15" s="245"/>
      <c r="ET15" s="245"/>
      <c r="EU15" s="245"/>
      <c r="EV15" s="245"/>
      <c r="EW15" s="245"/>
      <c r="EX15" s="245"/>
      <c r="EY15" s="245"/>
      <c r="EZ15" s="245"/>
      <c r="FA15" s="245"/>
      <c r="FB15" s="245"/>
      <c r="FC15" s="245"/>
      <c r="FD15" s="245"/>
      <c r="FE15" s="245"/>
      <c r="FF15" s="245"/>
      <c r="FG15" s="245"/>
      <c r="FH15" s="245"/>
      <c r="FI15" s="245"/>
      <c r="FJ15" s="245"/>
      <c r="FK15" s="245"/>
      <c r="FL15" s="245"/>
      <c r="FM15" s="245"/>
      <c r="FN15" s="245"/>
      <c r="FO15" s="245"/>
      <c r="FP15" s="245"/>
      <c r="FQ15" s="245"/>
      <c r="FR15" s="245"/>
      <c r="FS15" s="245"/>
      <c r="FT15" s="245"/>
      <c r="FU15" s="245"/>
      <c r="FV15" s="245"/>
      <c r="FW15" s="245"/>
    </row>
    <row r="16" spans="1:179">
      <c r="B16" s="245">
        <f t="shared" si="0"/>
        <v>7</v>
      </c>
      <c r="C16" s="285"/>
      <c r="D16" s="285"/>
      <c r="E16" s="285"/>
      <c r="F16" s="286"/>
      <c r="G16" s="245"/>
      <c r="H16" s="245"/>
      <c r="I16" s="245"/>
      <c r="J16" s="245"/>
      <c r="K16" s="245"/>
      <c r="L16" s="245"/>
      <c r="M16" s="245"/>
      <c r="N16" s="245"/>
      <c r="O16" s="245"/>
      <c r="P16" s="245"/>
      <c r="Q16" s="245"/>
      <c r="R16" s="245"/>
      <c r="S16" s="245"/>
      <c r="T16" s="245"/>
      <c r="U16" s="245"/>
      <c r="V16" s="245"/>
      <c r="W16" s="245"/>
      <c r="X16" s="245"/>
      <c r="Y16" s="245"/>
      <c r="Z16" s="245"/>
      <c r="AA16" s="245"/>
      <c r="AB16" s="245"/>
      <c r="AC16" s="245"/>
      <c r="AD16" s="245"/>
      <c r="AE16" s="245"/>
      <c r="AF16" s="245"/>
      <c r="AG16" s="245"/>
      <c r="AH16" s="245"/>
      <c r="AI16" s="245"/>
      <c r="AJ16" s="245"/>
      <c r="AK16" s="245"/>
      <c r="AL16" s="245"/>
      <c r="AM16" s="245"/>
      <c r="AN16" s="245"/>
      <c r="AO16" s="245"/>
      <c r="AP16" s="245"/>
      <c r="AQ16" s="245"/>
      <c r="AR16" s="245"/>
      <c r="AS16" s="245"/>
      <c r="AT16" s="245"/>
      <c r="AU16" s="245"/>
      <c r="AV16" s="245"/>
      <c r="AW16" s="245"/>
      <c r="AX16" s="245"/>
      <c r="AY16" s="245"/>
      <c r="AZ16" s="245"/>
      <c r="BA16" s="245"/>
      <c r="BB16" s="245"/>
      <c r="BC16" s="245"/>
      <c r="BD16" s="245"/>
      <c r="BE16" s="245"/>
      <c r="BF16" s="245"/>
      <c r="BG16" s="245"/>
      <c r="BH16" s="245"/>
      <c r="BI16" s="245"/>
      <c r="BJ16" s="245"/>
      <c r="BK16" s="245"/>
      <c r="BL16" s="245"/>
      <c r="BM16" s="245"/>
      <c r="BN16" s="245"/>
      <c r="BO16" s="245"/>
      <c r="BP16" s="245"/>
      <c r="BQ16" s="245"/>
      <c r="BR16" s="245"/>
      <c r="BS16" s="245"/>
      <c r="BT16" s="245"/>
      <c r="BU16" s="245"/>
      <c r="BV16" s="245"/>
      <c r="BW16" s="245"/>
      <c r="BX16" s="245"/>
      <c r="BY16" s="245"/>
      <c r="BZ16" s="245"/>
      <c r="CA16" s="245"/>
      <c r="CB16" s="245"/>
      <c r="CC16" s="245"/>
      <c r="CD16" s="245"/>
      <c r="CE16" s="245"/>
      <c r="CF16" s="245"/>
      <c r="CG16" s="245"/>
      <c r="CH16" s="245"/>
      <c r="CI16" s="245"/>
      <c r="CJ16" s="245"/>
      <c r="CK16" s="245"/>
      <c r="CL16" s="245"/>
      <c r="CM16" s="245"/>
      <c r="CN16" s="245"/>
      <c r="CO16" s="245"/>
      <c r="CP16" s="245"/>
      <c r="CQ16" s="245"/>
      <c r="CR16" s="245"/>
      <c r="CS16" s="245"/>
      <c r="CT16" s="245"/>
      <c r="CU16" s="245"/>
      <c r="CV16" s="245"/>
      <c r="CW16" s="245"/>
      <c r="CX16" s="245"/>
      <c r="CY16" s="245"/>
      <c r="CZ16" s="245"/>
      <c r="DA16" s="245"/>
      <c r="DB16" s="245"/>
      <c r="DC16" s="245"/>
      <c r="DD16" s="245"/>
      <c r="DE16" s="245"/>
      <c r="DF16" s="245"/>
      <c r="DG16" s="245"/>
      <c r="DH16" s="245"/>
      <c r="DI16" s="245"/>
      <c r="DJ16" s="245"/>
      <c r="DK16" s="245"/>
      <c r="DL16" s="245"/>
      <c r="DM16" s="245"/>
      <c r="DN16" s="245"/>
      <c r="DO16" s="245"/>
      <c r="DP16" s="245"/>
      <c r="DQ16" s="245"/>
      <c r="DR16" s="245"/>
      <c r="DS16" s="245"/>
      <c r="DT16" s="245"/>
      <c r="DU16" s="245"/>
      <c r="DV16" s="245"/>
      <c r="DW16" s="245"/>
      <c r="DX16" s="245"/>
      <c r="DY16" s="245"/>
      <c r="DZ16" s="245"/>
      <c r="EA16" s="245"/>
      <c r="EB16" s="245"/>
      <c r="EC16" s="245"/>
      <c r="ED16" s="245"/>
      <c r="EE16" s="245"/>
      <c r="EF16" s="245"/>
      <c r="EG16" s="245"/>
      <c r="EH16" s="245"/>
      <c r="EI16" s="245"/>
      <c r="EJ16" s="245"/>
      <c r="EK16" s="245"/>
      <c r="EL16" s="245"/>
      <c r="EM16" s="245"/>
      <c r="EN16" s="245"/>
      <c r="EO16" s="245"/>
      <c r="EP16" s="245"/>
      <c r="EQ16" s="245"/>
      <c r="ER16" s="245"/>
      <c r="ES16" s="245"/>
      <c r="ET16" s="245"/>
      <c r="EU16" s="245"/>
      <c r="EV16" s="245"/>
      <c r="EW16" s="245"/>
      <c r="EX16" s="245"/>
      <c r="EY16" s="245"/>
      <c r="EZ16" s="245"/>
      <c r="FA16" s="245"/>
      <c r="FB16" s="245"/>
      <c r="FC16" s="245"/>
      <c r="FD16" s="245"/>
      <c r="FE16" s="245"/>
      <c r="FF16" s="245"/>
      <c r="FG16" s="245"/>
      <c r="FH16" s="245"/>
      <c r="FI16" s="245"/>
      <c r="FJ16" s="245"/>
      <c r="FK16" s="245"/>
      <c r="FL16" s="245"/>
      <c r="FM16" s="245"/>
      <c r="FN16" s="245"/>
      <c r="FO16" s="245"/>
      <c r="FP16" s="245"/>
      <c r="FQ16" s="245"/>
      <c r="FR16" s="245"/>
      <c r="FS16" s="245"/>
      <c r="FT16" s="245"/>
      <c r="FU16" s="245"/>
      <c r="FV16" s="245"/>
      <c r="FW16" s="245"/>
    </row>
    <row r="17" spans="2:179">
      <c r="B17" s="245">
        <f t="shared" si="0"/>
        <v>8</v>
      </c>
      <c r="C17" s="285"/>
      <c r="D17" s="285"/>
      <c r="E17" s="285"/>
      <c r="F17" s="286"/>
      <c r="G17" s="245"/>
      <c r="H17" s="245"/>
      <c r="I17" s="245"/>
      <c r="J17" s="245"/>
      <c r="K17" s="245"/>
      <c r="L17" s="245"/>
      <c r="M17" s="245"/>
      <c r="N17" s="245"/>
      <c r="O17" s="245"/>
      <c r="P17" s="245"/>
      <c r="Q17" s="245"/>
      <c r="R17" s="245"/>
      <c r="S17" s="245"/>
      <c r="T17" s="245"/>
      <c r="U17" s="245"/>
      <c r="V17" s="245"/>
      <c r="W17" s="245"/>
      <c r="X17" s="245"/>
      <c r="Y17" s="245"/>
      <c r="Z17" s="245"/>
      <c r="AA17" s="245"/>
      <c r="AB17" s="245"/>
      <c r="AC17" s="245"/>
      <c r="AD17" s="245"/>
      <c r="AE17" s="245"/>
      <c r="AF17" s="245"/>
      <c r="AG17" s="245"/>
      <c r="AH17" s="245"/>
      <c r="AI17" s="245"/>
      <c r="AJ17" s="245"/>
      <c r="AK17" s="245"/>
      <c r="AL17" s="245"/>
      <c r="AM17" s="245"/>
      <c r="AN17" s="245"/>
      <c r="AO17" s="245"/>
      <c r="AP17" s="245"/>
      <c r="AQ17" s="245"/>
      <c r="AR17" s="245"/>
      <c r="AS17" s="245"/>
      <c r="AT17" s="245"/>
      <c r="AU17" s="245"/>
      <c r="AV17" s="245"/>
      <c r="AW17" s="245"/>
      <c r="AX17" s="245"/>
      <c r="AY17" s="245"/>
      <c r="AZ17" s="245"/>
      <c r="BA17" s="245"/>
      <c r="BB17" s="245"/>
      <c r="BC17" s="245"/>
      <c r="BD17" s="245"/>
      <c r="BE17" s="245"/>
      <c r="BF17" s="245"/>
      <c r="BG17" s="245"/>
      <c r="BH17" s="245"/>
      <c r="BI17" s="245"/>
      <c r="BJ17" s="245"/>
      <c r="BK17" s="245"/>
      <c r="BL17" s="245"/>
      <c r="BM17" s="245"/>
      <c r="BN17" s="245"/>
      <c r="BO17" s="245"/>
      <c r="BP17" s="245"/>
      <c r="BQ17" s="245"/>
      <c r="BR17" s="245"/>
      <c r="BS17" s="245"/>
      <c r="BT17" s="245"/>
      <c r="BU17" s="245"/>
      <c r="BV17" s="245"/>
      <c r="BW17" s="245"/>
      <c r="BX17" s="245"/>
      <c r="BY17" s="245"/>
      <c r="BZ17" s="245"/>
      <c r="CA17" s="245"/>
      <c r="CB17" s="245"/>
      <c r="CC17" s="245"/>
      <c r="CD17" s="245"/>
      <c r="CE17" s="245"/>
      <c r="CF17" s="245"/>
      <c r="CG17" s="245"/>
      <c r="CH17" s="245"/>
      <c r="CI17" s="245"/>
      <c r="CJ17" s="245"/>
      <c r="CK17" s="245"/>
      <c r="CL17" s="245"/>
      <c r="CM17" s="245"/>
      <c r="CN17" s="245"/>
      <c r="CO17" s="245"/>
      <c r="CP17" s="245"/>
      <c r="CQ17" s="245"/>
      <c r="CR17" s="245"/>
      <c r="CS17" s="245"/>
      <c r="CT17" s="245"/>
      <c r="CU17" s="245"/>
      <c r="CV17" s="245"/>
      <c r="CW17" s="245"/>
      <c r="CX17" s="245"/>
      <c r="CY17" s="245"/>
      <c r="CZ17" s="245"/>
      <c r="DA17" s="245"/>
      <c r="DB17" s="245"/>
      <c r="DC17" s="245"/>
      <c r="DD17" s="245"/>
      <c r="DE17" s="245"/>
      <c r="DF17" s="245"/>
      <c r="DG17" s="245"/>
      <c r="DH17" s="245"/>
      <c r="DI17" s="245"/>
      <c r="DJ17" s="245"/>
      <c r="DK17" s="245"/>
      <c r="DL17" s="245"/>
      <c r="DM17" s="245"/>
      <c r="DN17" s="245"/>
      <c r="DO17" s="245"/>
      <c r="DP17" s="245"/>
      <c r="DQ17" s="245"/>
      <c r="DR17" s="245"/>
      <c r="DS17" s="245"/>
      <c r="DT17" s="245"/>
      <c r="DU17" s="245"/>
      <c r="DV17" s="245"/>
      <c r="DW17" s="245"/>
      <c r="DX17" s="245"/>
      <c r="DY17" s="245"/>
      <c r="DZ17" s="245"/>
      <c r="EA17" s="245"/>
      <c r="EB17" s="245"/>
      <c r="EC17" s="245"/>
      <c r="ED17" s="245"/>
      <c r="EE17" s="245"/>
      <c r="EF17" s="245"/>
      <c r="EG17" s="245"/>
      <c r="EH17" s="245"/>
      <c r="EI17" s="245"/>
      <c r="EJ17" s="245"/>
      <c r="EK17" s="245"/>
      <c r="EL17" s="245"/>
      <c r="EM17" s="245"/>
      <c r="EN17" s="245"/>
      <c r="EO17" s="245"/>
      <c r="EP17" s="245"/>
      <c r="EQ17" s="245"/>
      <c r="ER17" s="245"/>
      <c r="ES17" s="245"/>
      <c r="ET17" s="245"/>
      <c r="EU17" s="245"/>
      <c r="EV17" s="245"/>
      <c r="EW17" s="245"/>
      <c r="EX17" s="245"/>
      <c r="EY17" s="245"/>
      <c r="EZ17" s="245"/>
      <c r="FA17" s="245"/>
      <c r="FB17" s="245"/>
      <c r="FC17" s="245"/>
      <c r="FD17" s="245"/>
      <c r="FE17" s="245"/>
      <c r="FF17" s="245"/>
      <c r="FG17" s="245"/>
      <c r="FH17" s="245"/>
      <c r="FI17" s="245"/>
      <c r="FJ17" s="245"/>
      <c r="FK17" s="245"/>
      <c r="FL17" s="245"/>
      <c r="FM17" s="245"/>
      <c r="FN17" s="245"/>
      <c r="FO17" s="245"/>
      <c r="FP17" s="245"/>
      <c r="FQ17" s="245"/>
      <c r="FR17" s="245"/>
      <c r="FS17" s="245"/>
      <c r="FT17" s="245"/>
      <c r="FU17" s="245"/>
      <c r="FV17" s="245"/>
      <c r="FW17" s="245"/>
    </row>
    <row r="18" spans="2:179">
      <c r="B18" s="245">
        <f t="shared" si="0"/>
        <v>9</v>
      </c>
      <c r="C18" s="285"/>
      <c r="D18" s="285"/>
      <c r="E18" s="285"/>
      <c r="F18" s="286"/>
      <c r="G18" s="245"/>
      <c r="H18" s="245"/>
      <c r="I18" s="245"/>
      <c r="J18" s="245"/>
      <c r="K18" s="245"/>
      <c r="L18" s="245"/>
      <c r="M18" s="245"/>
      <c r="N18" s="245"/>
      <c r="O18" s="245"/>
      <c r="P18" s="245"/>
      <c r="Q18" s="245"/>
      <c r="R18" s="245"/>
      <c r="S18" s="245"/>
      <c r="T18" s="245"/>
      <c r="U18" s="245"/>
      <c r="V18" s="245"/>
      <c r="W18" s="245"/>
      <c r="X18" s="245"/>
      <c r="Y18" s="245"/>
      <c r="Z18" s="245"/>
      <c r="AA18" s="245"/>
      <c r="AB18" s="245"/>
      <c r="AC18" s="245"/>
      <c r="AD18" s="245"/>
      <c r="AE18" s="245"/>
      <c r="AF18" s="245"/>
      <c r="AG18" s="245"/>
      <c r="AH18" s="245"/>
      <c r="AI18" s="245"/>
      <c r="AJ18" s="245"/>
      <c r="AK18" s="245"/>
      <c r="AL18" s="245"/>
      <c r="AM18" s="245"/>
      <c r="AN18" s="245"/>
      <c r="AO18" s="245"/>
      <c r="AP18" s="245"/>
      <c r="AQ18" s="245"/>
      <c r="AR18" s="245"/>
      <c r="AS18" s="245"/>
      <c r="AT18" s="245"/>
      <c r="AU18" s="245"/>
      <c r="AV18" s="245"/>
      <c r="AW18" s="245"/>
      <c r="AX18" s="245"/>
      <c r="AY18" s="245"/>
      <c r="AZ18" s="245"/>
      <c r="BA18" s="245"/>
      <c r="BB18" s="245"/>
      <c r="BC18" s="245"/>
      <c r="BD18" s="245"/>
      <c r="BE18" s="245"/>
      <c r="BF18" s="245"/>
      <c r="BG18" s="245"/>
      <c r="BH18" s="245"/>
      <c r="BI18" s="245"/>
      <c r="BJ18" s="245"/>
      <c r="BK18" s="245"/>
      <c r="BL18" s="245"/>
      <c r="BM18" s="245"/>
      <c r="BN18" s="245"/>
      <c r="BO18" s="245"/>
      <c r="BP18" s="245"/>
      <c r="BQ18" s="245"/>
      <c r="BR18" s="245"/>
      <c r="BS18" s="245"/>
      <c r="BT18" s="245"/>
      <c r="BU18" s="245"/>
      <c r="BV18" s="245"/>
      <c r="BW18" s="245"/>
      <c r="BX18" s="245"/>
      <c r="BY18" s="245"/>
      <c r="BZ18" s="245"/>
      <c r="CA18" s="245"/>
      <c r="CB18" s="245"/>
      <c r="CC18" s="245"/>
      <c r="CD18" s="245"/>
      <c r="CE18" s="245"/>
      <c r="CF18" s="245"/>
      <c r="CG18" s="245"/>
      <c r="CH18" s="245"/>
      <c r="CI18" s="245"/>
      <c r="CJ18" s="245"/>
      <c r="CK18" s="245"/>
      <c r="CL18" s="245"/>
      <c r="CM18" s="245"/>
      <c r="CN18" s="245"/>
      <c r="CO18" s="245"/>
      <c r="CP18" s="245"/>
      <c r="CQ18" s="245"/>
      <c r="CR18" s="245"/>
      <c r="CS18" s="245"/>
      <c r="CT18" s="245"/>
      <c r="CU18" s="245"/>
      <c r="CV18" s="245"/>
      <c r="CW18" s="245"/>
      <c r="CX18" s="245"/>
      <c r="CY18" s="245"/>
      <c r="CZ18" s="245"/>
      <c r="DA18" s="245"/>
      <c r="DB18" s="245"/>
      <c r="DC18" s="245"/>
      <c r="DD18" s="245"/>
      <c r="DE18" s="245"/>
      <c r="DF18" s="245"/>
      <c r="DG18" s="245"/>
      <c r="DH18" s="245"/>
      <c r="DI18" s="245"/>
      <c r="DJ18" s="245"/>
      <c r="DK18" s="245"/>
      <c r="DL18" s="245"/>
      <c r="DM18" s="245"/>
      <c r="DN18" s="245"/>
      <c r="DO18" s="245"/>
      <c r="DP18" s="245"/>
      <c r="DQ18" s="245"/>
      <c r="DR18" s="245"/>
      <c r="DS18" s="245"/>
      <c r="DT18" s="245"/>
      <c r="DU18" s="245"/>
      <c r="DV18" s="245"/>
      <c r="DW18" s="245"/>
      <c r="DX18" s="245"/>
      <c r="DY18" s="245"/>
      <c r="DZ18" s="245"/>
      <c r="EA18" s="245"/>
      <c r="EB18" s="245"/>
      <c r="EC18" s="245"/>
      <c r="ED18" s="245"/>
      <c r="EE18" s="245"/>
      <c r="EF18" s="245"/>
      <c r="EG18" s="245"/>
      <c r="EH18" s="245"/>
      <c r="EI18" s="245"/>
      <c r="EJ18" s="245"/>
      <c r="EK18" s="245"/>
      <c r="EL18" s="245"/>
      <c r="EM18" s="245"/>
      <c r="EN18" s="245"/>
      <c r="EO18" s="245"/>
      <c r="EP18" s="245"/>
      <c r="EQ18" s="245"/>
      <c r="ER18" s="245"/>
      <c r="ES18" s="245"/>
      <c r="ET18" s="245"/>
      <c r="EU18" s="245"/>
      <c r="EV18" s="245"/>
      <c r="EW18" s="245"/>
      <c r="EX18" s="245"/>
      <c r="EY18" s="245"/>
      <c r="EZ18" s="245"/>
      <c r="FA18" s="245"/>
      <c r="FB18" s="245"/>
      <c r="FC18" s="245"/>
      <c r="FD18" s="245"/>
      <c r="FE18" s="245"/>
      <c r="FF18" s="245"/>
      <c r="FG18" s="245"/>
      <c r="FH18" s="245"/>
      <c r="FI18" s="245"/>
      <c r="FJ18" s="245"/>
      <c r="FK18" s="245"/>
      <c r="FL18" s="245"/>
      <c r="FM18" s="245"/>
      <c r="FN18" s="245"/>
      <c r="FO18" s="245"/>
      <c r="FP18" s="245"/>
      <c r="FQ18" s="245"/>
      <c r="FR18" s="245"/>
      <c r="FS18" s="245"/>
      <c r="FT18" s="245"/>
      <c r="FU18" s="245"/>
      <c r="FV18" s="245"/>
      <c r="FW18" s="245"/>
    </row>
    <row r="19" spans="2:179">
      <c r="B19" s="245">
        <f t="shared" si="0"/>
        <v>10</v>
      </c>
      <c r="C19" s="285"/>
      <c r="D19" s="285"/>
      <c r="E19" s="285"/>
      <c r="F19" s="286"/>
      <c r="G19" s="245"/>
      <c r="H19" s="245"/>
      <c r="I19" s="245"/>
      <c r="J19" s="245"/>
      <c r="K19" s="245"/>
      <c r="L19" s="245"/>
      <c r="M19" s="245"/>
      <c r="N19" s="245"/>
      <c r="O19" s="245"/>
      <c r="P19" s="245"/>
      <c r="Q19" s="245"/>
      <c r="R19" s="245"/>
      <c r="S19" s="245"/>
      <c r="T19" s="245"/>
      <c r="U19" s="245"/>
      <c r="V19" s="245"/>
      <c r="W19" s="245"/>
      <c r="X19" s="245"/>
      <c r="Y19" s="245"/>
      <c r="Z19" s="245"/>
      <c r="AA19" s="245"/>
      <c r="AB19" s="245"/>
      <c r="AC19" s="245"/>
      <c r="AD19" s="245"/>
      <c r="AE19" s="245"/>
      <c r="AF19" s="245"/>
      <c r="AG19" s="245"/>
      <c r="AH19" s="245"/>
      <c r="AI19" s="245"/>
      <c r="AJ19" s="245"/>
      <c r="AK19" s="245"/>
      <c r="AL19" s="245"/>
      <c r="AM19" s="245"/>
      <c r="AN19" s="245"/>
      <c r="AO19" s="245"/>
      <c r="AP19" s="245"/>
      <c r="AQ19" s="245"/>
      <c r="AR19" s="245"/>
      <c r="AS19" s="245"/>
      <c r="AT19" s="245"/>
      <c r="AU19" s="245"/>
      <c r="AV19" s="245"/>
      <c r="AW19" s="245"/>
      <c r="AX19" s="245"/>
      <c r="AY19" s="245"/>
      <c r="AZ19" s="245"/>
      <c r="BA19" s="245"/>
      <c r="BB19" s="245"/>
      <c r="BC19" s="245"/>
      <c r="BD19" s="245"/>
      <c r="BE19" s="245"/>
      <c r="BF19" s="245"/>
      <c r="BG19" s="245"/>
      <c r="BH19" s="245"/>
      <c r="BI19" s="245"/>
      <c r="BJ19" s="245"/>
      <c r="BK19" s="245"/>
      <c r="BL19" s="245"/>
      <c r="BM19" s="245"/>
      <c r="BN19" s="245"/>
      <c r="BO19" s="245"/>
      <c r="BP19" s="245"/>
      <c r="BQ19" s="245"/>
      <c r="BR19" s="245"/>
      <c r="BS19" s="245"/>
      <c r="BT19" s="245"/>
      <c r="BU19" s="245"/>
      <c r="BV19" s="245"/>
      <c r="BW19" s="245"/>
      <c r="BX19" s="245"/>
      <c r="BY19" s="245"/>
      <c r="BZ19" s="245"/>
      <c r="CA19" s="245"/>
      <c r="CB19" s="245"/>
      <c r="CC19" s="245"/>
      <c r="CD19" s="245"/>
      <c r="CE19" s="245"/>
      <c r="CF19" s="245"/>
      <c r="CG19" s="245"/>
      <c r="CH19" s="245"/>
      <c r="CI19" s="245"/>
      <c r="CJ19" s="245"/>
      <c r="CK19" s="245"/>
      <c r="CL19" s="245"/>
      <c r="CM19" s="245"/>
      <c r="CN19" s="245"/>
      <c r="CO19" s="245"/>
      <c r="CP19" s="245"/>
      <c r="CQ19" s="245"/>
      <c r="CR19" s="245"/>
      <c r="CS19" s="245"/>
      <c r="CT19" s="245"/>
      <c r="CU19" s="245"/>
      <c r="CV19" s="245"/>
      <c r="CW19" s="245"/>
      <c r="CX19" s="245"/>
      <c r="CY19" s="245"/>
      <c r="CZ19" s="245"/>
      <c r="DA19" s="245"/>
      <c r="DB19" s="245"/>
      <c r="DC19" s="245"/>
      <c r="DD19" s="245"/>
      <c r="DE19" s="245"/>
      <c r="DF19" s="245"/>
      <c r="DG19" s="245"/>
      <c r="DH19" s="245"/>
      <c r="DI19" s="245"/>
      <c r="DJ19" s="245"/>
      <c r="DK19" s="245"/>
      <c r="DL19" s="245"/>
      <c r="DM19" s="245"/>
      <c r="DN19" s="245"/>
      <c r="DO19" s="245"/>
      <c r="DP19" s="245"/>
      <c r="DQ19" s="245"/>
      <c r="DR19" s="245"/>
      <c r="DS19" s="245"/>
      <c r="DT19" s="245"/>
      <c r="DU19" s="245"/>
      <c r="DV19" s="245"/>
      <c r="DW19" s="245"/>
      <c r="DX19" s="245"/>
      <c r="DY19" s="245"/>
      <c r="DZ19" s="245"/>
      <c r="EA19" s="245"/>
      <c r="EB19" s="245"/>
      <c r="EC19" s="245"/>
      <c r="ED19" s="245"/>
      <c r="EE19" s="245"/>
      <c r="EF19" s="245"/>
      <c r="EG19" s="245"/>
      <c r="EH19" s="245"/>
      <c r="EI19" s="245"/>
      <c r="EJ19" s="245"/>
      <c r="EK19" s="245"/>
      <c r="EL19" s="245"/>
      <c r="EM19" s="245"/>
      <c r="EN19" s="245"/>
      <c r="EO19" s="245"/>
      <c r="EP19" s="245"/>
      <c r="EQ19" s="245"/>
      <c r="ER19" s="245"/>
      <c r="ES19" s="245"/>
      <c r="ET19" s="245"/>
      <c r="EU19" s="245"/>
      <c r="EV19" s="245"/>
      <c r="EW19" s="245"/>
      <c r="EX19" s="245"/>
      <c r="EY19" s="245"/>
      <c r="EZ19" s="245"/>
      <c r="FA19" s="245"/>
      <c r="FB19" s="245"/>
      <c r="FC19" s="245"/>
      <c r="FD19" s="245"/>
      <c r="FE19" s="245"/>
      <c r="FF19" s="245"/>
      <c r="FG19" s="245"/>
      <c r="FH19" s="245"/>
      <c r="FI19" s="245"/>
      <c r="FJ19" s="245"/>
      <c r="FK19" s="245"/>
      <c r="FL19" s="245"/>
      <c r="FM19" s="245"/>
      <c r="FN19" s="245"/>
      <c r="FO19" s="245"/>
      <c r="FP19" s="245"/>
      <c r="FQ19" s="245"/>
      <c r="FR19" s="245"/>
      <c r="FS19" s="245"/>
      <c r="FT19" s="245"/>
      <c r="FU19" s="245"/>
      <c r="FV19" s="245"/>
      <c r="FW19" s="245"/>
    </row>
    <row r="20" spans="2:179">
      <c r="B20" s="245">
        <f t="shared" si="0"/>
        <v>11</v>
      </c>
      <c r="C20" s="285"/>
      <c r="D20" s="285"/>
      <c r="E20" s="285"/>
      <c r="F20" s="286"/>
      <c r="G20" s="245"/>
      <c r="H20" s="245"/>
      <c r="I20" s="245"/>
      <c r="J20" s="245"/>
      <c r="K20" s="245"/>
      <c r="L20" s="245"/>
      <c r="M20" s="245"/>
      <c r="N20" s="245"/>
      <c r="O20" s="245"/>
      <c r="P20" s="245"/>
      <c r="Q20" s="245"/>
      <c r="R20" s="245"/>
      <c r="S20" s="245"/>
      <c r="T20" s="245"/>
      <c r="U20" s="245"/>
      <c r="V20" s="245"/>
      <c r="W20" s="245"/>
      <c r="X20" s="245"/>
      <c r="Y20" s="245"/>
      <c r="Z20" s="245"/>
      <c r="AA20" s="245"/>
      <c r="AB20" s="245"/>
      <c r="AC20" s="245"/>
      <c r="AD20" s="245"/>
      <c r="AE20" s="245"/>
      <c r="AF20" s="245"/>
      <c r="AG20" s="245"/>
      <c r="AH20" s="245"/>
      <c r="AI20" s="245"/>
      <c r="AJ20" s="245"/>
      <c r="AK20" s="245"/>
      <c r="AL20" s="245"/>
      <c r="AM20" s="245"/>
      <c r="AN20" s="245"/>
      <c r="AO20" s="245"/>
      <c r="AP20" s="245"/>
      <c r="AQ20" s="245"/>
      <c r="AR20" s="245"/>
      <c r="AS20" s="245"/>
      <c r="AT20" s="245"/>
      <c r="AU20" s="245"/>
      <c r="AV20" s="245"/>
      <c r="AW20" s="245"/>
      <c r="AX20" s="245"/>
      <c r="AY20" s="245"/>
      <c r="AZ20" s="245"/>
      <c r="BA20" s="245"/>
      <c r="BB20" s="245"/>
      <c r="BC20" s="245"/>
      <c r="BD20" s="245"/>
      <c r="BE20" s="245"/>
      <c r="BF20" s="245"/>
      <c r="BG20" s="245"/>
      <c r="BH20" s="245"/>
      <c r="BI20" s="245"/>
      <c r="BJ20" s="245"/>
      <c r="BK20" s="245"/>
      <c r="BL20" s="245"/>
      <c r="BM20" s="245"/>
      <c r="BN20" s="245"/>
      <c r="BO20" s="245"/>
      <c r="BP20" s="245"/>
      <c r="BQ20" s="245"/>
      <c r="BR20" s="245"/>
      <c r="BS20" s="245"/>
      <c r="BT20" s="245"/>
      <c r="BU20" s="245"/>
      <c r="BV20" s="245"/>
      <c r="BW20" s="245"/>
      <c r="BX20" s="245"/>
      <c r="BY20" s="245"/>
      <c r="BZ20" s="245"/>
      <c r="CA20" s="245"/>
      <c r="CB20" s="245"/>
      <c r="CC20" s="245"/>
      <c r="CD20" s="245"/>
      <c r="CE20" s="245"/>
      <c r="CF20" s="245"/>
      <c r="CG20" s="245"/>
      <c r="CH20" s="245"/>
      <c r="CI20" s="245"/>
      <c r="CJ20" s="245"/>
      <c r="CK20" s="245"/>
      <c r="CL20" s="245"/>
      <c r="CM20" s="245"/>
      <c r="CN20" s="245"/>
      <c r="CO20" s="245"/>
      <c r="CP20" s="245"/>
      <c r="CQ20" s="245"/>
      <c r="CR20" s="245"/>
      <c r="CS20" s="245"/>
      <c r="CT20" s="245"/>
      <c r="CU20" s="245"/>
      <c r="CV20" s="245"/>
      <c r="CW20" s="245"/>
      <c r="CX20" s="245"/>
      <c r="CY20" s="245"/>
      <c r="CZ20" s="245"/>
      <c r="DA20" s="245"/>
      <c r="DB20" s="245"/>
      <c r="DC20" s="245"/>
      <c r="DD20" s="245"/>
      <c r="DE20" s="245"/>
      <c r="DF20" s="245"/>
      <c r="DG20" s="245"/>
      <c r="DH20" s="245"/>
      <c r="DI20" s="245"/>
      <c r="DJ20" s="245"/>
      <c r="DK20" s="245"/>
      <c r="DL20" s="245"/>
      <c r="DM20" s="245"/>
      <c r="DN20" s="245"/>
      <c r="DO20" s="245"/>
      <c r="DP20" s="245"/>
      <c r="DQ20" s="245"/>
      <c r="DR20" s="245"/>
      <c r="DS20" s="245"/>
      <c r="DT20" s="245"/>
      <c r="DU20" s="245"/>
      <c r="DV20" s="245"/>
      <c r="DW20" s="245"/>
      <c r="DX20" s="245"/>
      <c r="DY20" s="245"/>
      <c r="DZ20" s="245"/>
      <c r="EA20" s="245"/>
      <c r="EB20" s="245"/>
      <c r="EC20" s="245"/>
      <c r="ED20" s="245"/>
      <c r="EE20" s="245"/>
      <c r="EF20" s="245"/>
      <c r="EG20" s="245"/>
      <c r="EH20" s="245"/>
      <c r="EI20" s="245"/>
      <c r="EJ20" s="245"/>
      <c r="EK20" s="245"/>
      <c r="EL20" s="245"/>
      <c r="EM20" s="245"/>
      <c r="EN20" s="245"/>
      <c r="EO20" s="245"/>
      <c r="EP20" s="245"/>
      <c r="EQ20" s="245"/>
      <c r="ER20" s="245"/>
      <c r="ES20" s="245"/>
      <c r="ET20" s="245"/>
      <c r="EU20" s="245"/>
      <c r="EV20" s="245"/>
      <c r="EW20" s="245"/>
      <c r="EX20" s="245"/>
      <c r="EY20" s="245"/>
      <c r="EZ20" s="245"/>
      <c r="FA20" s="245"/>
      <c r="FB20" s="245"/>
      <c r="FC20" s="245"/>
      <c r="FD20" s="245"/>
      <c r="FE20" s="245"/>
      <c r="FF20" s="245"/>
      <c r="FG20" s="245"/>
      <c r="FH20" s="245"/>
      <c r="FI20" s="245"/>
      <c r="FJ20" s="245"/>
      <c r="FK20" s="245"/>
      <c r="FL20" s="245"/>
      <c r="FM20" s="245"/>
      <c r="FN20" s="245"/>
      <c r="FO20" s="245"/>
      <c r="FP20" s="245"/>
      <c r="FQ20" s="245"/>
      <c r="FR20" s="245"/>
      <c r="FS20" s="245"/>
      <c r="FT20" s="245"/>
      <c r="FU20" s="245"/>
      <c r="FV20" s="245"/>
      <c r="FW20" s="245"/>
    </row>
    <row r="21" spans="2:179">
      <c r="B21" s="245">
        <f t="shared" si="0"/>
        <v>12</v>
      </c>
      <c r="C21" s="285"/>
      <c r="D21" s="285"/>
      <c r="E21" s="285"/>
      <c r="F21" s="286"/>
      <c r="G21" s="245"/>
      <c r="H21" s="245"/>
      <c r="I21" s="245"/>
      <c r="J21" s="245"/>
      <c r="K21" s="245"/>
      <c r="L21" s="245"/>
      <c r="M21" s="245"/>
      <c r="N21" s="245"/>
      <c r="O21" s="245"/>
      <c r="P21" s="245"/>
      <c r="Q21" s="245"/>
      <c r="R21" s="245"/>
      <c r="S21" s="245"/>
      <c r="T21" s="245"/>
      <c r="U21" s="245"/>
      <c r="V21" s="245"/>
      <c r="W21" s="245"/>
      <c r="X21" s="245"/>
      <c r="Y21" s="245"/>
      <c r="Z21" s="245"/>
      <c r="AA21" s="245"/>
      <c r="AB21" s="245"/>
      <c r="AC21" s="245"/>
      <c r="AD21" s="245"/>
      <c r="AE21" s="245"/>
      <c r="AF21" s="245"/>
      <c r="AG21" s="245"/>
      <c r="AH21" s="245"/>
      <c r="AI21" s="245"/>
      <c r="AJ21" s="245"/>
      <c r="AK21" s="245"/>
      <c r="AL21" s="245"/>
      <c r="AM21" s="245"/>
      <c r="AN21" s="245"/>
      <c r="AO21" s="245"/>
      <c r="AP21" s="245"/>
      <c r="AQ21" s="245"/>
      <c r="AR21" s="245"/>
      <c r="AS21" s="245"/>
      <c r="AT21" s="245"/>
      <c r="AU21" s="245"/>
      <c r="AV21" s="245"/>
      <c r="AW21" s="245"/>
      <c r="AX21" s="245"/>
      <c r="AY21" s="245"/>
      <c r="AZ21" s="245"/>
      <c r="BA21" s="245"/>
      <c r="BB21" s="245"/>
      <c r="BC21" s="245"/>
      <c r="BD21" s="245"/>
      <c r="BE21" s="245"/>
      <c r="BF21" s="245"/>
      <c r="BG21" s="245"/>
      <c r="BH21" s="245"/>
      <c r="BI21" s="245"/>
      <c r="BJ21" s="245"/>
      <c r="BK21" s="245"/>
      <c r="BL21" s="245"/>
      <c r="BM21" s="245"/>
      <c r="BN21" s="245"/>
      <c r="BO21" s="245"/>
      <c r="BP21" s="245"/>
      <c r="BQ21" s="245"/>
      <c r="BR21" s="245"/>
      <c r="BS21" s="245"/>
      <c r="BT21" s="245"/>
      <c r="BU21" s="245"/>
      <c r="BV21" s="245"/>
      <c r="BW21" s="245"/>
      <c r="BX21" s="245"/>
      <c r="BY21" s="245"/>
      <c r="BZ21" s="245"/>
      <c r="CA21" s="245"/>
      <c r="CB21" s="245"/>
      <c r="CC21" s="245"/>
      <c r="CD21" s="245"/>
      <c r="CE21" s="245"/>
      <c r="CF21" s="245"/>
      <c r="CG21" s="245"/>
      <c r="CH21" s="245"/>
      <c r="CI21" s="245"/>
      <c r="CJ21" s="245"/>
      <c r="CK21" s="245"/>
      <c r="CL21" s="245"/>
      <c r="CM21" s="245"/>
      <c r="CN21" s="245"/>
      <c r="CO21" s="245"/>
      <c r="CP21" s="245"/>
      <c r="CQ21" s="245"/>
      <c r="CR21" s="245"/>
      <c r="CS21" s="245"/>
      <c r="CT21" s="245"/>
      <c r="CU21" s="245"/>
      <c r="CV21" s="245"/>
      <c r="CW21" s="245"/>
      <c r="CX21" s="245"/>
      <c r="CY21" s="245"/>
      <c r="CZ21" s="245"/>
      <c r="DA21" s="245"/>
      <c r="DB21" s="245"/>
      <c r="DC21" s="245"/>
      <c r="DD21" s="245"/>
      <c r="DE21" s="245"/>
      <c r="DF21" s="245"/>
      <c r="DG21" s="245"/>
      <c r="DH21" s="245"/>
      <c r="DI21" s="245"/>
      <c r="DJ21" s="245"/>
      <c r="DK21" s="245"/>
      <c r="DL21" s="245"/>
      <c r="DM21" s="245"/>
      <c r="DN21" s="245"/>
      <c r="DO21" s="245"/>
      <c r="DP21" s="245"/>
      <c r="DQ21" s="245"/>
      <c r="DR21" s="245"/>
      <c r="DS21" s="245"/>
      <c r="DT21" s="245"/>
      <c r="DU21" s="245"/>
      <c r="DV21" s="245"/>
      <c r="DW21" s="245"/>
      <c r="DX21" s="245"/>
      <c r="DY21" s="245"/>
      <c r="DZ21" s="245"/>
      <c r="EA21" s="245"/>
      <c r="EB21" s="245"/>
      <c r="EC21" s="245"/>
      <c r="ED21" s="245"/>
      <c r="EE21" s="245"/>
      <c r="EF21" s="245"/>
      <c r="EG21" s="245"/>
      <c r="EH21" s="245"/>
      <c r="EI21" s="245"/>
      <c r="EJ21" s="245"/>
      <c r="EK21" s="245"/>
      <c r="EL21" s="245"/>
      <c r="EM21" s="245"/>
      <c r="EN21" s="245"/>
      <c r="EO21" s="245"/>
      <c r="EP21" s="245"/>
      <c r="EQ21" s="245"/>
      <c r="ER21" s="245"/>
      <c r="ES21" s="245"/>
      <c r="ET21" s="245"/>
      <c r="EU21" s="245"/>
      <c r="EV21" s="245"/>
      <c r="EW21" s="245"/>
      <c r="EX21" s="245"/>
      <c r="EY21" s="245"/>
      <c r="EZ21" s="245"/>
      <c r="FA21" s="245"/>
      <c r="FB21" s="245"/>
      <c r="FC21" s="245"/>
      <c r="FD21" s="245"/>
      <c r="FE21" s="245"/>
      <c r="FF21" s="245"/>
      <c r="FG21" s="245"/>
      <c r="FH21" s="245"/>
      <c r="FI21" s="245"/>
      <c r="FJ21" s="245"/>
      <c r="FK21" s="245"/>
      <c r="FL21" s="245"/>
      <c r="FM21" s="245"/>
      <c r="FN21" s="245"/>
      <c r="FO21" s="245"/>
      <c r="FP21" s="245"/>
      <c r="FQ21" s="245"/>
      <c r="FR21" s="245"/>
      <c r="FS21" s="245"/>
      <c r="FT21" s="245"/>
      <c r="FU21" s="245"/>
      <c r="FV21" s="245"/>
      <c r="FW21" s="245"/>
    </row>
    <row r="22" spans="2:179">
      <c r="B22" s="245">
        <f t="shared" si="0"/>
        <v>13</v>
      </c>
      <c r="C22" s="285"/>
      <c r="D22" s="285"/>
      <c r="E22" s="285"/>
      <c r="F22" s="286"/>
      <c r="G22" s="245"/>
      <c r="H22" s="245"/>
      <c r="I22" s="245"/>
      <c r="J22" s="245"/>
      <c r="K22" s="245"/>
      <c r="L22" s="245"/>
      <c r="M22" s="245"/>
      <c r="N22" s="245"/>
      <c r="O22" s="245"/>
      <c r="P22" s="245"/>
      <c r="Q22" s="245"/>
      <c r="R22" s="245"/>
      <c r="S22" s="245"/>
      <c r="T22" s="245"/>
      <c r="U22" s="245"/>
      <c r="V22" s="245"/>
      <c r="W22" s="245"/>
      <c r="X22" s="245"/>
      <c r="Y22" s="245"/>
      <c r="Z22" s="245"/>
      <c r="AA22" s="245"/>
      <c r="AB22" s="245"/>
      <c r="AC22" s="245"/>
      <c r="AD22" s="245"/>
      <c r="AE22" s="245"/>
      <c r="AF22" s="245"/>
      <c r="AG22" s="245"/>
      <c r="AH22" s="245"/>
      <c r="AI22" s="245"/>
      <c r="AJ22" s="245"/>
      <c r="AK22" s="245"/>
      <c r="AL22" s="245"/>
      <c r="AM22" s="245"/>
      <c r="AN22" s="245"/>
      <c r="AO22" s="245"/>
      <c r="AP22" s="245"/>
      <c r="AQ22" s="245"/>
      <c r="AR22" s="245"/>
      <c r="AS22" s="245"/>
      <c r="AT22" s="245"/>
      <c r="AU22" s="245"/>
      <c r="AV22" s="245"/>
      <c r="AW22" s="245"/>
      <c r="AX22" s="245"/>
      <c r="AY22" s="245"/>
      <c r="AZ22" s="245"/>
      <c r="BA22" s="245"/>
      <c r="BB22" s="245"/>
      <c r="BC22" s="245"/>
      <c r="BD22" s="245"/>
      <c r="BE22" s="245"/>
      <c r="BF22" s="245"/>
      <c r="BG22" s="245"/>
      <c r="BH22" s="245"/>
      <c r="BI22" s="245"/>
      <c r="BJ22" s="245"/>
      <c r="BK22" s="245"/>
      <c r="BL22" s="245"/>
      <c r="BM22" s="245"/>
      <c r="BN22" s="245"/>
      <c r="BO22" s="245"/>
      <c r="BP22" s="245"/>
      <c r="BQ22" s="245"/>
      <c r="BR22" s="245"/>
      <c r="BS22" s="245"/>
      <c r="BT22" s="245"/>
      <c r="BU22" s="245"/>
      <c r="BV22" s="245"/>
      <c r="BW22" s="245"/>
      <c r="BX22" s="245"/>
      <c r="BY22" s="245"/>
      <c r="BZ22" s="245"/>
      <c r="CA22" s="245"/>
      <c r="CB22" s="245"/>
      <c r="CC22" s="245"/>
      <c r="CD22" s="245"/>
      <c r="CE22" s="245"/>
      <c r="CF22" s="245"/>
      <c r="CG22" s="245"/>
      <c r="CH22" s="245"/>
      <c r="CI22" s="245"/>
      <c r="CJ22" s="245"/>
      <c r="CK22" s="245"/>
      <c r="CL22" s="245"/>
      <c r="CM22" s="245"/>
      <c r="CN22" s="245"/>
      <c r="CO22" s="245"/>
      <c r="CP22" s="245"/>
      <c r="CQ22" s="245"/>
      <c r="CR22" s="245"/>
      <c r="CS22" s="245"/>
      <c r="CT22" s="245"/>
      <c r="CU22" s="245"/>
      <c r="CV22" s="245"/>
      <c r="CW22" s="245"/>
      <c r="CX22" s="245"/>
      <c r="CY22" s="245"/>
      <c r="CZ22" s="245"/>
      <c r="DA22" s="245"/>
      <c r="DB22" s="245"/>
      <c r="DC22" s="245"/>
      <c r="DD22" s="245"/>
      <c r="DE22" s="245"/>
      <c r="DF22" s="245"/>
      <c r="DG22" s="245"/>
      <c r="DH22" s="245"/>
      <c r="DI22" s="245"/>
      <c r="DJ22" s="245"/>
      <c r="DK22" s="245"/>
      <c r="DL22" s="245"/>
      <c r="DM22" s="245"/>
      <c r="DN22" s="245"/>
      <c r="DO22" s="245"/>
      <c r="DP22" s="245"/>
      <c r="DQ22" s="245"/>
      <c r="DR22" s="245"/>
      <c r="DS22" s="245"/>
      <c r="DT22" s="245"/>
      <c r="DU22" s="245"/>
      <c r="DV22" s="245"/>
      <c r="DW22" s="245"/>
      <c r="DX22" s="245"/>
      <c r="DY22" s="245"/>
      <c r="DZ22" s="245"/>
      <c r="EA22" s="245"/>
      <c r="EB22" s="245"/>
      <c r="EC22" s="245"/>
      <c r="ED22" s="245"/>
      <c r="EE22" s="245"/>
      <c r="EF22" s="245"/>
      <c r="EG22" s="245"/>
      <c r="EH22" s="245"/>
      <c r="EI22" s="245"/>
      <c r="EJ22" s="245"/>
      <c r="EK22" s="245"/>
      <c r="EL22" s="245"/>
      <c r="EM22" s="245"/>
      <c r="EN22" s="245"/>
      <c r="EO22" s="245"/>
      <c r="EP22" s="245"/>
      <c r="EQ22" s="245"/>
      <c r="ER22" s="245"/>
      <c r="ES22" s="245"/>
      <c r="ET22" s="245"/>
      <c r="EU22" s="245"/>
      <c r="EV22" s="245"/>
      <c r="EW22" s="245"/>
      <c r="EX22" s="245"/>
      <c r="EY22" s="245"/>
      <c r="EZ22" s="245"/>
      <c r="FA22" s="245"/>
      <c r="FB22" s="245"/>
      <c r="FC22" s="245"/>
      <c r="FD22" s="245"/>
      <c r="FE22" s="245"/>
      <c r="FF22" s="245"/>
      <c r="FG22" s="245"/>
      <c r="FH22" s="245"/>
      <c r="FI22" s="245"/>
      <c r="FJ22" s="245"/>
      <c r="FK22" s="245"/>
      <c r="FL22" s="245"/>
      <c r="FM22" s="245"/>
      <c r="FN22" s="245"/>
      <c r="FO22" s="245"/>
      <c r="FP22" s="245"/>
      <c r="FQ22" s="245"/>
      <c r="FR22" s="245"/>
      <c r="FS22" s="245"/>
      <c r="FT22" s="245"/>
      <c r="FU22" s="245"/>
      <c r="FV22" s="245"/>
      <c r="FW22" s="245"/>
    </row>
    <row r="23" spans="2:179">
      <c r="B23" s="245">
        <f t="shared" si="0"/>
        <v>14</v>
      </c>
      <c r="C23" s="285"/>
      <c r="D23" s="285"/>
      <c r="E23" s="285"/>
      <c r="F23" s="286"/>
      <c r="G23" s="245"/>
      <c r="H23" s="245"/>
      <c r="I23" s="245"/>
      <c r="J23" s="245"/>
      <c r="K23" s="245"/>
      <c r="L23" s="245"/>
      <c r="M23" s="245"/>
      <c r="N23" s="245"/>
      <c r="O23" s="245"/>
      <c r="P23" s="245"/>
      <c r="Q23" s="245"/>
      <c r="R23" s="245"/>
      <c r="S23" s="245"/>
      <c r="T23" s="245"/>
      <c r="U23" s="245"/>
      <c r="V23" s="245"/>
      <c r="W23" s="245"/>
      <c r="X23" s="245"/>
      <c r="Y23" s="245"/>
      <c r="Z23" s="245"/>
      <c r="AA23" s="245"/>
      <c r="AB23" s="245"/>
      <c r="AC23" s="245"/>
      <c r="AD23" s="245"/>
      <c r="AE23" s="245"/>
      <c r="AF23" s="245"/>
      <c r="AG23" s="245"/>
      <c r="AH23" s="245"/>
      <c r="AI23" s="245"/>
      <c r="AJ23" s="245"/>
      <c r="AK23" s="245"/>
      <c r="AL23" s="245"/>
      <c r="AM23" s="245"/>
      <c r="AN23" s="245"/>
      <c r="AO23" s="245"/>
      <c r="AP23" s="245"/>
      <c r="AQ23" s="245"/>
      <c r="AR23" s="245"/>
      <c r="AS23" s="245"/>
      <c r="AT23" s="245"/>
      <c r="AU23" s="245"/>
      <c r="AV23" s="245"/>
      <c r="AW23" s="245"/>
      <c r="AX23" s="245"/>
      <c r="AY23" s="245"/>
      <c r="AZ23" s="245"/>
      <c r="BA23" s="245"/>
      <c r="BB23" s="245"/>
      <c r="BC23" s="245"/>
      <c r="BD23" s="245"/>
      <c r="BE23" s="245"/>
      <c r="BF23" s="245"/>
      <c r="BG23" s="245"/>
      <c r="BH23" s="245"/>
      <c r="BI23" s="245"/>
      <c r="BJ23" s="245"/>
      <c r="BK23" s="245"/>
      <c r="BL23" s="245"/>
      <c r="BM23" s="245"/>
      <c r="BN23" s="245"/>
      <c r="BO23" s="245"/>
      <c r="BP23" s="245"/>
      <c r="BQ23" s="245"/>
      <c r="BR23" s="245"/>
      <c r="BS23" s="245"/>
      <c r="BT23" s="245"/>
      <c r="BU23" s="245"/>
      <c r="BV23" s="245"/>
      <c r="BW23" s="245"/>
      <c r="BX23" s="245"/>
      <c r="BY23" s="245"/>
      <c r="BZ23" s="245"/>
      <c r="CA23" s="245"/>
      <c r="CB23" s="245"/>
      <c r="CC23" s="245"/>
      <c r="CD23" s="245"/>
      <c r="CE23" s="245"/>
      <c r="CF23" s="245"/>
      <c r="CG23" s="245"/>
      <c r="CH23" s="245"/>
      <c r="CI23" s="245"/>
      <c r="CJ23" s="245"/>
      <c r="CK23" s="245"/>
      <c r="CL23" s="245"/>
      <c r="CM23" s="245"/>
      <c r="CN23" s="245"/>
      <c r="CO23" s="245"/>
      <c r="CP23" s="245"/>
      <c r="CQ23" s="245"/>
      <c r="CR23" s="245"/>
      <c r="CS23" s="245"/>
      <c r="CT23" s="245"/>
      <c r="CU23" s="245"/>
      <c r="CV23" s="245"/>
      <c r="CW23" s="245"/>
      <c r="CX23" s="245"/>
      <c r="CY23" s="245"/>
      <c r="CZ23" s="245"/>
      <c r="DA23" s="245"/>
      <c r="DB23" s="245"/>
      <c r="DC23" s="245"/>
      <c r="DD23" s="245"/>
      <c r="DE23" s="245"/>
      <c r="DF23" s="245"/>
      <c r="DG23" s="245"/>
      <c r="DH23" s="245"/>
      <c r="DI23" s="245"/>
      <c r="DJ23" s="245"/>
      <c r="DK23" s="245"/>
      <c r="DL23" s="245"/>
      <c r="DM23" s="245"/>
      <c r="DN23" s="245"/>
      <c r="DO23" s="245"/>
      <c r="DP23" s="245"/>
      <c r="DQ23" s="245"/>
      <c r="DR23" s="245"/>
      <c r="DS23" s="245"/>
      <c r="DT23" s="245"/>
      <c r="DU23" s="245"/>
      <c r="DV23" s="245"/>
      <c r="DW23" s="245"/>
      <c r="DX23" s="245"/>
      <c r="DY23" s="245"/>
      <c r="DZ23" s="245"/>
      <c r="EA23" s="245"/>
      <c r="EB23" s="245"/>
      <c r="EC23" s="245"/>
      <c r="ED23" s="245"/>
      <c r="EE23" s="245"/>
      <c r="EF23" s="245"/>
      <c r="EG23" s="245"/>
      <c r="EH23" s="245"/>
      <c r="EI23" s="245"/>
      <c r="EJ23" s="245"/>
      <c r="EK23" s="245"/>
      <c r="EL23" s="245"/>
      <c r="EM23" s="245"/>
      <c r="EN23" s="245"/>
      <c r="EO23" s="245"/>
      <c r="EP23" s="245"/>
      <c r="EQ23" s="245"/>
      <c r="ER23" s="245"/>
      <c r="ES23" s="245"/>
      <c r="ET23" s="245"/>
      <c r="EU23" s="245"/>
      <c r="EV23" s="245"/>
      <c r="EW23" s="245"/>
      <c r="EX23" s="245"/>
      <c r="EY23" s="245"/>
      <c r="EZ23" s="245"/>
      <c r="FA23" s="245"/>
      <c r="FB23" s="245"/>
      <c r="FC23" s="245"/>
      <c r="FD23" s="245"/>
      <c r="FE23" s="245"/>
      <c r="FF23" s="245"/>
      <c r="FG23" s="245"/>
      <c r="FH23" s="245"/>
      <c r="FI23" s="245"/>
      <c r="FJ23" s="245"/>
      <c r="FK23" s="245"/>
      <c r="FL23" s="245"/>
      <c r="FM23" s="245"/>
      <c r="FN23" s="245"/>
      <c r="FO23" s="245"/>
      <c r="FP23" s="245"/>
      <c r="FQ23" s="245"/>
      <c r="FR23" s="245"/>
      <c r="FS23" s="245"/>
      <c r="FT23" s="245"/>
      <c r="FU23" s="245"/>
      <c r="FV23" s="245"/>
      <c r="FW23" s="245"/>
    </row>
    <row r="24" spans="2:179">
      <c r="B24" s="245">
        <f t="shared" si="0"/>
        <v>15</v>
      </c>
      <c r="C24" s="285"/>
      <c r="D24" s="285"/>
      <c r="E24" s="285"/>
      <c r="F24" s="286"/>
      <c r="G24" s="245"/>
      <c r="H24" s="245"/>
      <c r="I24" s="245"/>
      <c r="J24" s="245"/>
      <c r="K24" s="245"/>
      <c r="L24" s="245"/>
      <c r="M24" s="245"/>
      <c r="N24" s="245"/>
      <c r="O24" s="245"/>
      <c r="P24" s="245"/>
      <c r="Q24" s="245"/>
      <c r="R24" s="245"/>
      <c r="S24" s="245"/>
      <c r="T24" s="245"/>
      <c r="U24" s="245"/>
      <c r="V24" s="245"/>
      <c r="W24" s="245"/>
      <c r="X24" s="245"/>
      <c r="Y24" s="245"/>
      <c r="Z24" s="245"/>
      <c r="AA24" s="245"/>
      <c r="AB24" s="245"/>
      <c r="AC24" s="245"/>
      <c r="AD24" s="245"/>
      <c r="AE24" s="245"/>
      <c r="AF24" s="245"/>
      <c r="AG24" s="245"/>
      <c r="AH24" s="245"/>
      <c r="AI24" s="245"/>
      <c r="AJ24" s="245"/>
      <c r="AK24" s="245"/>
      <c r="AL24" s="245"/>
      <c r="AM24" s="245"/>
      <c r="AN24" s="245"/>
      <c r="AO24" s="245"/>
      <c r="AP24" s="245"/>
      <c r="AQ24" s="245"/>
      <c r="AR24" s="245"/>
      <c r="AS24" s="245"/>
      <c r="AT24" s="245"/>
      <c r="AU24" s="245"/>
      <c r="AV24" s="245"/>
      <c r="AW24" s="245"/>
      <c r="AX24" s="245"/>
      <c r="AY24" s="245"/>
      <c r="AZ24" s="245"/>
      <c r="BA24" s="245"/>
      <c r="BB24" s="245"/>
      <c r="BC24" s="245"/>
      <c r="BD24" s="245"/>
      <c r="BE24" s="245"/>
      <c r="BF24" s="245"/>
      <c r="BG24" s="245"/>
      <c r="BH24" s="245"/>
      <c r="BI24" s="245"/>
      <c r="BJ24" s="245"/>
      <c r="BK24" s="245"/>
      <c r="BL24" s="245"/>
      <c r="BM24" s="245"/>
      <c r="BN24" s="245"/>
      <c r="BO24" s="245"/>
      <c r="BP24" s="245"/>
      <c r="BQ24" s="245"/>
      <c r="BR24" s="245"/>
      <c r="BS24" s="245"/>
      <c r="BT24" s="245"/>
      <c r="BU24" s="245"/>
      <c r="BV24" s="245"/>
      <c r="BW24" s="245"/>
      <c r="BX24" s="245"/>
      <c r="BY24" s="245"/>
      <c r="BZ24" s="245"/>
      <c r="CA24" s="245"/>
      <c r="CB24" s="245"/>
      <c r="CC24" s="245"/>
      <c r="CD24" s="245"/>
      <c r="CE24" s="245"/>
      <c r="CF24" s="245"/>
      <c r="CG24" s="245"/>
      <c r="CH24" s="245"/>
      <c r="CI24" s="245"/>
      <c r="CJ24" s="245"/>
      <c r="CK24" s="245"/>
      <c r="CL24" s="245"/>
      <c r="CM24" s="245"/>
      <c r="CN24" s="245"/>
      <c r="CO24" s="245"/>
      <c r="CP24" s="245"/>
      <c r="CQ24" s="245"/>
      <c r="CR24" s="245"/>
      <c r="CS24" s="245"/>
      <c r="CT24" s="245"/>
      <c r="CU24" s="245"/>
      <c r="CV24" s="245"/>
      <c r="CW24" s="245"/>
      <c r="CX24" s="245"/>
      <c r="CY24" s="245"/>
      <c r="CZ24" s="245"/>
      <c r="DA24" s="245"/>
      <c r="DB24" s="245"/>
      <c r="DC24" s="245"/>
      <c r="DD24" s="245"/>
      <c r="DE24" s="245"/>
      <c r="DF24" s="245"/>
      <c r="DG24" s="245"/>
      <c r="DH24" s="245"/>
      <c r="DI24" s="245"/>
      <c r="DJ24" s="245"/>
      <c r="DK24" s="245"/>
      <c r="DL24" s="245"/>
      <c r="DM24" s="245"/>
      <c r="DN24" s="245"/>
      <c r="DO24" s="245"/>
      <c r="DP24" s="245"/>
      <c r="DQ24" s="245"/>
      <c r="DR24" s="245"/>
      <c r="DS24" s="245"/>
      <c r="DT24" s="245"/>
      <c r="DU24" s="245"/>
      <c r="DV24" s="245"/>
      <c r="DW24" s="245"/>
      <c r="DX24" s="245"/>
      <c r="DY24" s="245"/>
      <c r="DZ24" s="245"/>
      <c r="EA24" s="245"/>
      <c r="EB24" s="245"/>
      <c r="EC24" s="245"/>
      <c r="ED24" s="245"/>
      <c r="EE24" s="245"/>
      <c r="EF24" s="245"/>
      <c r="EG24" s="245"/>
      <c r="EH24" s="245"/>
      <c r="EI24" s="245"/>
      <c r="EJ24" s="245"/>
      <c r="EK24" s="245"/>
      <c r="EL24" s="245"/>
      <c r="EM24" s="245"/>
      <c r="EN24" s="245"/>
      <c r="EO24" s="245"/>
      <c r="EP24" s="245"/>
      <c r="EQ24" s="245"/>
      <c r="ER24" s="245"/>
      <c r="ES24" s="245"/>
      <c r="ET24" s="245"/>
      <c r="EU24" s="245"/>
      <c r="EV24" s="245"/>
      <c r="EW24" s="245"/>
      <c r="EX24" s="245"/>
      <c r="EY24" s="245"/>
      <c r="EZ24" s="245"/>
      <c r="FA24" s="245"/>
      <c r="FB24" s="245"/>
      <c r="FC24" s="245"/>
      <c r="FD24" s="245"/>
      <c r="FE24" s="245"/>
      <c r="FF24" s="245"/>
      <c r="FG24" s="245"/>
      <c r="FH24" s="245"/>
      <c r="FI24" s="245"/>
      <c r="FJ24" s="245"/>
      <c r="FK24" s="245"/>
      <c r="FL24" s="245"/>
      <c r="FM24" s="245"/>
      <c r="FN24" s="245"/>
      <c r="FO24" s="245"/>
      <c r="FP24" s="245"/>
      <c r="FQ24" s="245"/>
      <c r="FR24" s="245"/>
      <c r="FS24" s="245"/>
      <c r="FT24" s="245"/>
      <c r="FU24" s="245"/>
      <c r="FV24" s="245"/>
      <c r="FW24" s="245"/>
    </row>
    <row r="25" spans="2:179">
      <c r="B25" s="245">
        <f t="shared" si="0"/>
        <v>16</v>
      </c>
      <c r="C25" s="285"/>
      <c r="D25" s="285"/>
      <c r="E25" s="285"/>
      <c r="F25" s="286"/>
      <c r="G25" s="245"/>
      <c r="H25" s="245"/>
      <c r="I25" s="245"/>
      <c r="J25" s="245"/>
      <c r="K25" s="245"/>
      <c r="L25" s="245"/>
      <c r="M25" s="245"/>
      <c r="N25" s="245"/>
      <c r="O25" s="245"/>
      <c r="P25" s="245"/>
      <c r="Q25" s="245"/>
      <c r="R25" s="245"/>
      <c r="S25" s="245"/>
      <c r="T25" s="245"/>
      <c r="U25" s="245"/>
      <c r="V25" s="245"/>
      <c r="W25" s="245"/>
      <c r="X25" s="245"/>
      <c r="Y25" s="245"/>
      <c r="Z25" s="245"/>
      <c r="AA25" s="245"/>
      <c r="AB25" s="245"/>
      <c r="AC25" s="245"/>
      <c r="AD25" s="245"/>
      <c r="AE25" s="245"/>
      <c r="AF25" s="245"/>
      <c r="AG25" s="245"/>
      <c r="AH25" s="245"/>
      <c r="AI25" s="245"/>
      <c r="AJ25" s="245"/>
      <c r="AK25" s="245"/>
      <c r="AL25" s="245"/>
      <c r="AM25" s="245"/>
      <c r="AN25" s="245"/>
      <c r="AO25" s="245"/>
      <c r="AP25" s="245"/>
      <c r="AQ25" s="245"/>
      <c r="AR25" s="245"/>
      <c r="AS25" s="245"/>
      <c r="AT25" s="245"/>
      <c r="AU25" s="245"/>
      <c r="AV25" s="245"/>
      <c r="AW25" s="245"/>
      <c r="AX25" s="245"/>
      <c r="AY25" s="245"/>
      <c r="AZ25" s="245"/>
      <c r="BA25" s="245"/>
      <c r="BB25" s="245"/>
      <c r="BC25" s="245"/>
      <c r="BD25" s="245"/>
      <c r="BE25" s="245"/>
      <c r="BF25" s="245"/>
      <c r="BG25" s="245"/>
      <c r="BH25" s="245"/>
      <c r="BI25" s="245"/>
      <c r="BJ25" s="245"/>
      <c r="BK25" s="245"/>
      <c r="BL25" s="245"/>
      <c r="BM25" s="245"/>
      <c r="BN25" s="245"/>
      <c r="BO25" s="245"/>
      <c r="BP25" s="245"/>
      <c r="BQ25" s="245"/>
      <c r="BR25" s="245"/>
      <c r="BS25" s="245"/>
      <c r="BT25" s="245"/>
      <c r="BU25" s="245"/>
      <c r="BV25" s="245"/>
      <c r="BW25" s="245"/>
      <c r="BX25" s="245"/>
      <c r="BY25" s="245"/>
      <c r="BZ25" s="245"/>
      <c r="CA25" s="245"/>
      <c r="CB25" s="245"/>
      <c r="CC25" s="245"/>
      <c r="CD25" s="245"/>
      <c r="CE25" s="245"/>
      <c r="CF25" s="245"/>
      <c r="CG25" s="245"/>
      <c r="CH25" s="245"/>
      <c r="CI25" s="245"/>
      <c r="CJ25" s="245"/>
      <c r="CK25" s="245"/>
      <c r="CL25" s="245"/>
      <c r="CM25" s="245"/>
      <c r="CN25" s="245"/>
      <c r="CO25" s="245"/>
      <c r="CP25" s="245"/>
      <c r="CQ25" s="245"/>
      <c r="CR25" s="245"/>
      <c r="CS25" s="245"/>
      <c r="CT25" s="245"/>
      <c r="CU25" s="245"/>
      <c r="CV25" s="245"/>
      <c r="CW25" s="245"/>
      <c r="CX25" s="245"/>
      <c r="CY25" s="245"/>
      <c r="CZ25" s="245"/>
      <c r="DA25" s="245"/>
      <c r="DB25" s="245"/>
      <c r="DC25" s="245"/>
      <c r="DD25" s="245"/>
      <c r="DE25" s="245"/>
      <c r="DF25" s="245"/>
      <c r="DG25" s="245"/>
      <c r="DH25" s="245"/>
      <c r="DI25" s="245"/>
      <c r="DJ25" s="245"/>
      <c r="DK25" s="245"/>
      <c r="DL25" s="245"/>
      <c r="DM25" s="245"/>
      <c r="DN25" s="245"/>
      <c r="DO25" s="245"/>
      <c r="DP25" s="245"/>
      <c r="DQ25" s="245"/>
      <c r="DR25" s="245"/>
      <c r="DS25" s="245"/>
      <c r="DT25" s="245"/>
      <c r="DU25" s="245"/>
      <c r="DV25" s="245"/>
      <c r="DW25" s="245"/>
      <c r="DX25" s="245"/>
      <c r="DY25" s="245"/>
      <c r="DZ25" s="245"/>
      <c r="EA25" s="245"/>
      <c r="EB25" s="245"/>
      <c r="EC25" s="245"/>
      <c r="ED25" s="245"/>
      <c r="EE25" s="245"/>
      <c r="EF25" s="245"/>
      <c r="EG25" s="245"/>
      <c r="EH25" s="245"/>
      <c r="EI25" s="245"/>
      <c r="EJ25" s="245"/>
      <c r="EK25" s="245"/>
      <c r="EL25" s="245"/>
      <c r="EM25" s="245"/>
      <c r="EN25" s="245"/>
      <c r="EO25" s="245"/>
      <c r="EP25" s="245"/>
      <c r="EQ25" s="245"/>
      <c r="ER25" s="245"/>
      <c r="ES25" s="245"/>
      <c r="ET25" s="245"/>
      <c r="EU25" s="245"/>
      <c r="EV25" s="245"/>
      <c r="EW25" s="245"/>
      <c r="EX25" s="245"/>
      <c r="EY25" s="245"/>
      <c r="EZ25" s="245"/>
      <c r="FA25" s="245"/>
      <c r="FB25" s="245"/>
      <c r="FC25" s="245"/>
      <c r="FD25" s="245"/>
      <c r="FE25" s="245"/>
      <c r="FF25" s="245"/>
      <c r="FG25" s="245"/>
      <c r="FH25" s="245"/>
      <c r="FI25" s="245"/>
      <c r="FJ25" s="245"/>
      <c r="FK25" s="245"/>
      <c r="FL25" s="245"/>
      <c r="FM25" s="245"/>
      <c r="FN25" s="245"/>
      <c r="FO25" s="245"/>
      <c r="FP25" s="245"/>
      <c r="FQ25" s="245"/>
      <c r="FR25" s="245"/>
      <c r="FS25" s="245"/>
      <c r="FT25" s="245"/>
      <c r="FU25" s="245"/>
      <c r="FV25" s="245"/>
      <c r="FW25" s="245"/>
    </row>
    <row r="26" spans="2:179">
      <c r="B26" s="245">
        <f t="shared" si="0"/>
        <v>17</v>
      </c>
      <c r="C26" s="285"/>
      <c r="D26" s="285"/>
      <c r="E26" s="285"/>
      <c r="F26" s="286"/>
      <c r="G26" s="245"/>
      <c r="H26" s="245"/>
      <c r="I26" s="245"/>
      <c r="J26" s="245"/>
      <c r="K26" s="245"/>
      <c r="L26" s="245"/>
      <c r="M26" s="245"/>
      <c r="N26" s="245"/>
      <c r="O26" s="245"/>
      <c r="P26" s="245"/>
      <c r="Q26" s="245"/>
      <c r="R26" s="245"/>
      <c r="S26" s="245"/>
      <c r="T26" s="245"/>
      <c r="U26" s="245"/>
      <c r="V26" s="245"/>
      <c r="W26" s="245"/>
      <c r="X26" s="245"/>
      <c r="Y26" s="245"/>
      <c r="Z26" s="245"/>
      <c r="AA26" s="245"/>
      <c r="AB26" s="245"/>
      <c r="AC26" s="245"/>
      <c r="AD26" s="245"/>
      <c r="AE26" s="245"/>
      <c r="AF26" s="245"/>
      <c r="AG26" s="245"/>
      <c r="AH26" s="245"/>
      <c r="AI26" s="245"/>
      <c r="AJ26" s="245"/>
      <c r="AK26" s="245"/>
      <c r="AL26" s="245"/>
      <c r="AM26" s="245"/>
      <c r="AN26" s="245"/>
      <c r="AO26" s="245"/>
      <c r="AP26" s="245"/>
      <c r="AQ26" s="245"/>
      <c r="AR26" s="245"/>
      <c r="AS26" s="245"/>
      <c r="AT26" s="245"/>
      <c r="AU26" s="245"/>
      <c r="AV26" s="245"/>
      <c r="AW26" s="245"/>
      <c r="AX26" s="245"/>
      <c r="AY26" s="245"/>
      <c r="AZ26" s="245"/>
      <c r="BA26" s="245"/>
      <c r="BB26" s="245"/>
      <c r="BC26" s="245"/>
      <c r="BD26" s="245"/>
      <c r="BE26" s="245"/>
      <c r="BF26" s="245"/>
      <c r="BG26" s="245"/>
      <c r="BH26" s="245"/>
      <c r="BI26" s="245"/>
      <c r="BJ26" s="245"/>
      <c r="BK26" s="245"/>
      <c r="BL26" s="245"/>
      <c r="BM26" s="245"/>
      <c r="BN26" s="245"/>
      <c r="BO26" s="245"/>
      <c r="BP26" s="245"/>
      <c r="BQ26" s="245"/>
      <c r="BR26" s="245"/>
      <c r="BS26" s="245"/>
      <c r="BT26" s="245"/>
      <c r="BU26" s="245"/>
      <c r="BV26" s="245"/>
      <c r="BW26" s="245"/>
      <c r="BX26" s="245"/>
      <c r="BY26" s="245"/>
      <c r="BZ26" s="245"/>
      <c r="CA26" s="245"/>
      <c r="CB26" s="245"/>
      <c r="CC26" s="245"/>
      <c r="CD26" s="245"/>
      <c r="CE26" s="245"/>
      <c r="CF26" s="245"/>
      <c r="CG26" s="245"/>
      <c r="CH26" s="245"/>
      <c r="CI26" s="245"/>
      <c r="CJ26" s="245"/>
      <c r="CK26" s="245"/>
      <c r="CL26" s="245"/>
      <c r="CM26" s="245"/>
      <c r="CN26" s="245"/>
      <c r="CO26" s="245"/>
      <c r="CP26" s="245"/>
      <c r="CQ26" s="245"/>
      <c r="CR26" s="245"/>
      <c r="CS26" s="245"/>
      <c r="CT26" s="245"/>
      <c r="CU26" s="245"/>
      <c r="CV26" s="245"/>
      <c r="CW26" s="245"/>
      <c r="CX26" s="245"/>
      <c r="CY26" s="245"/>
      <c r="CZ26" s="245"/>
      <c r="DA26" s="245"/>
      <c r="DB26" s="245"/>
      <c r="DC26" s="245"/>
      <c r="DD26" s="245"/>
      <c r="DE26" s="245"/>
      <c r="DF26" s="245"/>
      <c r="DG26" s="245"/>
      <c r="DH26" s="245"/>
      <c r="DI26" s="245"/>
      <c r="DJ26" s="245"/>
      <c r="DK26" s="245"/>
      <c r="DL26" s="245"/>
      <c r="DM26" s="245"/>
      <c r="DN26" s="245"/>
      <c r="DO26" s="245"/>
      <c r="DP26" s="245"/>
      <c r="DQ26" s="245"/>
      <c r="DR26" s="245"/>
      <c r="DS26" s="245"/>
      <c r="DT26" s="245"/>
      <c r="DU26" s="245"/>
      <c r="DV26" s="245"/>
      <c r="DW26" s="245"/>
      <c r="DX26" s="245"/>
      <c r="DY26" s="245"/>
      <c r="DZ26" s="245"/>
      <c r="EA26" s="245"/>
      <c r="EB26" s="245"/>
      <c r="EC26" s="245"/>
      <c r="ED26" s="245"/>
      <c r="EE26" s="245"/>
      <c r="EF26" s="245"/>
      <c r="EG26" s="245"/>
      <c r="EH26" s="245"/>
      <c r="EI26" s="245"/>
      <c r="EJ26" s="245"/>
      <c r="EK26" s="245"/>
      <c r="EL26" s="245"/>
      <c r="EM26" s="245"/>
      <c r="EN26" s="245"/>
      <c r="EO26" s="245"/>
      <c r="EP26" s="245"/>
      <c r="EQ26" s="245"/>
      <c r="ER26" s="245"/>
      <c r="ES26" s="245"/>
      <c r="ET26" s="245"/>
      <c r="EU26" s="245"/>
      <c r="EV26" s="245"/>
      <c r="EW26" s="245"/>
      <c r="EX26" s="245"/>
      <c r="EY26" s="245"/>
      <c r="EZ26" s="245"/>
      <c r="FA26" s="245"/>
      <c r="FB26" s="245"/>
      <c r="FC26" s="245"/>
      <c r="FD26" s="245"/>
      <c r="FE26" s="245"/>
      <c r="FF26" s="245"/>
      <c r="FG26" s="245"/>
      <c r="FH26" s="245"/>
      <c r="FI26" s="245"/>
      <c r="FJ26" s="245"/>
      <c r="FK26" s="245"/>
      <c r="FL26" s="245"/>
      <c r="FM26" s="245"/>
      <c r="FN26" s="245"/>
      <c r="FO26" s="245"/>
      <c r="FP26" s="245"/>
      <c r="FQ26" s="245"/>
      <c r="FR26" s="245"/>
      <c r="FS26" s="245"/>
      <c r="FT26" s="245"/>
      <c r="FU26" s="245"/>
      <c r="FV26" s="245"/>
      <c r="FW26" s="245"/>
    </row>
    <row r="27" spans="2:179">
      <c r="B27" s="245">
        <f t="shared" si="0"/>
        <v>18</v>
      </c>
      <c r="C27" s="285"/>
      <c r="D27" s="285"/>
      <c r="E27" s="285"/>
      <c r="F27" s="286"/>
      <c r="G27" s="245"/>
      <c r="H27" s="245"/>
      <c r="I27" s="245"/>
      <c r="J27" s="245"/>
      <c r="K27" s="245"/>
      <c r="L27" s="245"/>
      <c r="M27" s="245"/>
      <c r="N27" s="245"/>
      <c r="O27" s="245"/>
      <c r="P27" s="245"/>
      <c r="Q27" s="245"/>
      <c r="R27" s="245"/>
      <c r="S27" s="245"/>
      <c r="T27" s="245"/>
      <c r="U27" s="245"/>
      <c r="V27" s="245"/>
      <c r="W27" s="245"/>
      <c r="X27" s="245"/>
      <c r="Y27" s="245"/>
      <c r="Z27" s="245"/>
      <c r="AA27" s="245"/>
      <c r="AB27" s="245"/>
      <c r="AC27" s="245"/>
      <c r="AD27" s="245"/>
      <c r="AE27" s="245"/>
      <c r="AF27" s="245"/>
      <c r="AG27" s="245"/>
      <c r="AH27" s="245"/>
      <c r="AI27" s="245"/>
      <c r="AJ27" s="245"/>
      <c r="AK27" s="245"/>
      <c r="AL27" s="245"/>
      <c r="AM27" s="245"/>
      <c r="AN27" s="245"/>
      <c r="AO27" s="245"/>
      <c r="AP27" s="245"/>
      <c r="AQ27" s="245"/>
      <c r="AR27" s="245"/>
      <c r="AS27" s="245"/>
      <c r="AT27" s="245"/>
      <c r="AU27" s="245"/>
      <c r="AV27" s="245"/>
      <c r="AW27" s="245"/>
      <c r="AX27" s="245"/>
      <c r="AY27" s="245"/>
      <c r="AZ27" s="245"/>
      <c r="BA27" s="245"/>
      <c r="BB27" s="245"/>
      <c r="BC27" s="245"/>
      <c r="BD27" s="245"/>
      <c r="BE27" s="245"/>
      <c r="BF27" s="245"/>
      <c r="BG27" s="245"/>
      <c r="BH27" s="245"/>
      <c r="BI27" s="245"/>
      <c r="BJ27" s="245"/>
      <c r="BK27" s="245"/>
      <c r="BL27" s="245"/>
      <c r="BM27" s="245"/>
      <c r="BN27" s="245"/>
      <c r="BO27" s="245"/>
      <c r="BP27" s="245"/>
      <c r="BQ27" s="245"/>
      <c r="BR27" s="245"/>
      <c r="BS27" s="245"/>
      <c r="BT27" s="245"/>
      <c r="BU27" s="245"/>
      <c r="BV27" s="245"/>
      <c r="BW27" s="245"/>
      <c r="BX27" s="245"/>
      <c r="BY27" s="245"/>
      <c r="BZ27" s="245"/>
      <c r="CA27" s="245"/>
      <c r="CB27" s="245"/>
      <c r="CC27" s="245"/>
      <c r="CD27" s="245"/>
      <c r="CE27" s="245"/>
      <c r="CF27" s="245"/>
      <c r="CG27" s="245"/>
      <c r="CH27" s="245"/>
      <c r="CI27" s="245"/>
      <c r="CJ27" s="245"/>
      <c r="CK27" s="245"/>
      <c r="CL27" s="245"/>
      <c r="CM27" s="245"/>
      <c r="CN27" s="245"/>
      <c r="CO27" s="245"/>
      <c r="CP27" s="245"/>
      <c r="CQ27" s="245"/>
      <c r="CR27" s="245"/>
      <c r="CS27" s="245"/>
      <c r="CT27" s="245"/>
      <c r="CU27" s="245"/>
      <c r="CV27" s="245"/>
      <c r="CW27" s="245"/>
      <c r="CX27" s="245"/>
      <c r="CY27" s="245"/>
      <c r="CZ27" s="245"/>
      <c r="DA27" s="245"/>
      <c r="DB27" s="245"/>
      <c r="DC27" s="245"/>
      <c r="DD27" s="245"/>
      <c r="DE27" s="245"/>
      <c r="DF27" s="245"/>
      <c r="DG27" s="245"/>
      <c r="DH27" s="245"/>
      <c r="DI27" s="245"/>
      <c r="DJ27" s="245"/>
      <c r="DK27" s="245"/>
      <c r="DL27" s="245"/>
      <c r="DM27" s="245"/>
      <c r="DN27" s="245"/>
      <c r="DO27" s="245"/>
      <c r="DP27" s="245"/>
      <c r="DQ27" s="245"/>
      <c r="DR27" s="245"/>
      <c r="DS27" s="245"/>
      <c r="DT27" s="245"/>
      <c r="DU27" s="245"/>
      <c r="DV27" s="245"/>
      <c r="DW27" s="245"/>
      <c r="DX27" s="245"/>
      <c r="DY27" s="245"/>
      <c r="DZ27" s="245"/>
      <c r="EA27" s="245"/>
      <c r="EB27" s="245"/>
      <c r="EC27" s="245"/>
      <c r="ED27" s="245"/>
      <c r="EE27" s="245"/>
      <c r="EF27" s="245"/>
      <c r="EG27" s="245"/>
      <c r="EH27" s="245"/>
      <c r="EI27" s="245"/>
      <c r="EJ27" s="245"/>
      <c r="EK27" s="245"/>
      <c r="EL27" s="245"/>
      <c r="EM27" s="245"/>
      <c r="EN27" s="245"/>
      <c r="EO27" s="245"/>
      <c r="EP27" s="245"/>
      <c r="EQ27" s="245"/>
      <c r="ER27" s="245"/>
      <c r="ES27" s="245"/>
      <c r="ET27" s="245"/>
      <c r="EU27" s="245"/>
      <c r="EV27" s="245"/>
      <c r="EW27" s="245"/>
      <c r="EX27" s="245"/>
      <c r="EY27" s="245"/>
      <c r="EZ27" s="245"/>
      <c r="FA27" s="245"/>
      <c r="FB27" s="245"/>
      <c r="FC27" s="245"/>
      <c r="FD27" s="245"/>
      <c r="FE27" s="245"/>
      <c r="FF27" s="245"/>
      <c r="FG27" s="245"/>
      <c r="FH27" s="245"/>
      <c r="FI27" s="245"/>
      <c r="FJ27" s="245"/>
      <c r="FK27" s="245"/>
      <c r="FL27" s="245"/>
      <c r="FM27" s="245"/>
      <c r="FN27" s="245"/>
      <c r="FO27" s="245"/>
      <c r="FP27" s="245"/>
      <c r="FQ27" s="245"/>
      <c r="FR27" s="245"/>
      <c r="FS27" s="245"/>
      <c r="FT27" s="245"/>
      <c r="FU27" s="245"/>
      <c r="FV27" s="245"/>
      <c r="FW27" s="245"/>
    </row>
    <row r="28" spans="2:179">
      <c r="B28" s="245">
        <f t="shared" si="0"/>
        <v>19</v>
      </c>
      <c r="C28" s="285"/>
      <c r="D28" s="285"/>
      <c r="E28" s="285"/>
      <c r="F28" s="286"/>
      <c r="G28" s="245"/>
      <c r="H28" s="245"/>
      <c r="I28" s="245"/>
      <c r="J28" s="245"/>
      <c r="K28" s="245"/>
      <c r="L28" s="245"/>
      <c r="M28" s="245"/>
      <c r="N28" s="245"/>
      <c r="O28" s="245"/>
      <c r="P28" s="245"/>
      <c r="Q28" s="245"/>
      <c r="R28" s="245"/>
      <c r="S28" s="245"/>
      <c r="T28" s="245"/>
      <c r="U28" s="245"/>
      <c r="V28" s="245"/>
      <c r="W28" s="245"/>
      <c r="X28" s="245"/>
      <c r="Y28" s="245"/>
      <c r="Z28" s="245"/>
      <c r="AA28" s="245"/>
      <c r="AB28" s="245"/>
      <c r="AC28" s="245"/>
      <c r="AD28" s="245"/>
      <c r="AE28" s="245"/>
      <c r="AF28" s="245"/>
      <c r="AG28" s="245"/>
      <c r="AH28" s="245"/>
      <c r="AI28" s="245"/>
      <c r="AJ28" s="245"/>
      <c r="AK28" s="245"/>
      <c r="AL28" s="245"/>
      <c r="AM28" s="245"/>
      <c r="AN28" s="245"/>
      <c r="AO28" s="245"/>
      <c r="AP28" s="245"/>
      <c r="AQ28" s="245"/>
      <c r="AR28" s="245"/>
      <c r="AS28" s="245"/>
      <c r="AT28" s="245"/>
      <c r="AU28" s="245"/>
      <c r="AV28" s="245"/>
      <c r="AW28" s="245"/>
      <c r="AX28" s="245"/>
      <c r="AY28" s="245"/>
      <c r="AZ28" s="245"/>
      <c r="BA28" s="245"/>
      <c r="BB28" s="245"/>
      <c r="BC28" s="245"/>
      <c r="BD28" s="245"/>
      <c r="BE28" s="245"/>
      <c r="BF28" s="245"/>
      <c r="BG28" s="245"/>
      <c r="BH28" s="245"/>
      <c r="BI28" s="245"/>
      <c r="BJ28" s="245"/>
      <c r="BK28" s="245"/>
      <c r="BL28" s="245"/>
      <c r="BM28" s="245"/>
      <c r="BN28" s="245"/>
      <c r="BO28" s="245"/>
      <c r="BP28" s="245"/>
      <c r="BQ28" s="245"/>
      <c r="BR28" s="245"/>
      <c r="BS28" s="245"/>
      <c r="BT28" s="245"/>
      <c r="BU28" s="245"/>
      <c r="BV28" s="245"/>
      <c r="BW28" s="245"/>
      <c r="BX28" s="245"/>
      <c r="BY28" s="245"/>
      <c r="BZ28" s="245"/>
      <c r="CA28" s="245"/>
      <c r="CB28" s="245"/>
      <c r="CC28" s="245"/>
      <c r="CD28" s="245"/>
      <c r="CE28" s="245"/>
      <c r="CF28" s="245"/>
      <c r="CG28" s="245"/>
      <c r="CH28" s="245"/>
      <c r="CI28" s="245"/>
      <c r="CJ28" s="245"/>
      <c r="CK28" s="245"/>
      <c r="CL28" s="245"/>
      <c r="CM28" s="245"/>
      <c r="CN28" s="245"/>
      <c r="CO28" s="245"/>
      <c r="CP28" s="245"/>
      <c r="CQ28" s="245"/>
      <c r="CR28" s="245"/>
      <c r="CS28" s="245"/>
      <c r="CT28" s="245"/>
      <c r="CU28" s="245"/>
      <c r="CV28" s="245"/>
      <c r="CW28" s="245"/>
      <c r="CX28" s="245"/>
      <c r="CY28" s="245"/>
      <c r="CZ28" s="245"/>
      <c r="DA28" s="245"/>
      <c r="DB28" s="245"/>
      <c r="DC28" s="245"/>
      <c r="DD28" s="245"/>
      <c r="DE28" s="245"/>
      <c r="DF28" s="245"/>
      <c r="DG28" s="245"/>
      <c r="DH28" s="245"/>
      <c r="DI28" s="245"/>
      <c r="DJ28" s="245"/>
      <c r="DK28" s="245"/>
      <c r="DL28" s="245"/>
      <c r="DM28" s="245"/>
      <c r="DN28" s="245"/>
      <c r="DO28" s="245"/>
      <c r="DP28" s="245"/>
      <c r="DQ28" s="245"/>
      <c r="DR28" s="245"/>
      <c r="DS28" s="245"/>
      <c r="DT28" s="245"/>
      <c r="DU28" s="245"/>
      <c r="DV28" s="245"/>
      <c r="DW28" s="245"/>
      <c r="DX28" s="245"/>
      <c r="DY28" s="245"/>
      <c r="DZ28" s="245"/>
      <c r="EA28" s="245"/>
      <c r="EB28" s="245"/>
      <c r="EC28" s="245"/>
      <c r="ED28" s="245"/>
      <c r="EE28" s="245"/>
      <c r="EF28" s="245"/>
      <c r="EG28" s="245"/>
      <c r="EH28" s="245"/>
      <c r="EI28" s="245"/>
      <c r="EJ28" s="245"/>
      <c r="EK28" s="245"/>
      <c r="EL28" s="245"/>
      <c r="EM28" s="245"/>
      <c r="EN28" s="245"/>
      <c r="EO28" s="245"/>
      <c r="EP28" s="245"/>
      <c r="EQ28" s="245"/>
      <c r="ER28" s="245"/>
      <c r="ES28" s="245"/>
      <c r="ET28" s="245"/>
      <c r="EU28" s="245"/>
      <c r="EV28" s="245"/>
      <c r="EW28" s="245"/>
      <c r="EX28" s="245"/>
      <c r="EY28" s="245"/>
      <c r="EZ28" s="245"/>
      <c r="FA28" s="245"/>
      <c r="FB28" s="245"/>
      <c r="FC28" s="245"/>
      <c r="FD28" s="245"/>
      <c r="FE28" s="245"/>
      <c r="FF28" s="245"/>
      <c r="FG28" s="245"/>
      <c r="FH28" s="245"/>
      <c r="FI28" s="245"/>
      <c r="FJ28" s="245"/>
      <c r="FK28" s="245"/>
      <c r="FL28" s="245"/>
      <c r="FM28" s="245"/>
      <c r="FN28" s="245"/>
      <c r="FO28" s="245"/>
      <c r="FP28" s="245"/>
      <c r="FQ28" s="245"/>
      <c r="FR28" s="245"/>
      <c r="FS28" s="245"/>
      <c r="FT28" s="245"/>
      <c r="FU28" s="245"/>
      <c r="FV28" s="245"/>
      <c r="FW28" s="245"/>
    </row>
    <row r="29" spans="2:179">
      <c r="B29" s="245">
        <f t="shared" si="0"/>
        <v>20</v>
      </c>
      <c r="C29" s="285"/>
      <c r="D29" s="285"/>
      <c r="E29" s="285"/>
      <c r="F29" s="286"/>
      <c r="G29" s="245"/>
      <c r="H29" s="245"/>
      <c r="I29" s="245"/>
      <c r="J29" s="245"/>
      <c r="K29" s="245"/>
      <c r="L29" s="245"/>
      <c r="M29" s="245"/>
      <c r="N29" s="245"/>
      <c r="O29" s="245"/>
      <c r="P29" s="245"/>
      <c r="Q29" s="245"/>
      <c r="R29" s="245"/>
      <c r="S29" s="245"/>
      <c r="T29" s="245"/>
      <c r="U29" s="245"/>
      <c r="V29" s="245"/>
      <c r="W29" s="245"/>
      <c r="X29" s="245"/>
      <c r="Y29" s="245"/>
      <c r="Z29" s="245"/>
      <c r="AA29" s="245"/>
      <c r="AB29" s="245"/>
      <c r="AC29" s="245"/>
      <c r="AD29" s="245"/>
      <c r="AE29" s="245"/>
      <c r="AF29" s="245"/>
      <c r="AG29" s="245"/>
      <c r="AH29" s="245"/>
      <c r="AI29" s="245"/>
      <c r="AJ29" s="245"/>
      <c r="AK29" s="245"/>
      <c r="AL29" s="245"/>
      <c r="AM29" s="245"/>
      <c r="AN29" s="245"/>
      <c r="AO29" s="245"/>
      <c r="AP29" s="245"/>
      <c r="AQ29" s="245"/>
      <c r="AR29" s="245"/>
      <c r="AS29" s="245"/>
      <c r="AT29" s="245"/>
      <c r="AU29" s="245"/>
      <c r="AV29" s="245"/>
      <c r="AW29" s="245"/>
      <c r="AX29" s="245"/>
      <c r="AY29" s="245"/>
      <c r="AZ29" s="245"/>
      <c r="BA29" s="245"/>
      <c r="BB29" s="245"/>
      <c r="BC29" s="245"/>
      <c r="BD29" s="245"/>
      <c r="BE29" s="245"/>
      <c r="BF29" s="245"/>
      <c r="BG29" s="245"/>
      <c r="BH29" s="245"/>
      <c r="BI29" s="245"/>
      <c r="BJ29" s="245"/>
      <c r="BK29" s="245"/>
      <c r="BL29" s="245"/>
      <c r="BM29" s="245"/>
      <c r="BN29" s="245"/>
      <c r="BO29" s="245"/>
      <c r="BP29" s="245"/>
      <c r="BQ29" s="245"/>
      <c r="BR29" s="245"/>
      <c r="BS29" s="245"/>
      <c r="BT29" s="245"/>
      <c r="BU29" s="245"/>
      <c r="BV29" s="245"/>
      <c r="BW29" s="245"/>
      <c r="BX29" s="245"/>
      <c r="BY29" s="245"/>
      <c r="BZ29" s="245"/>
      <c r="CA29" s="245"/>
      <c r="CB29" s="245"/>
      <c r="CC29" s="245"/>
      <c r="CD29" s="245"/>
      <c r="CE29" s="245"/>
      <c r="CF29" s="245"/>
      <c r="CG29" s="245"/>
      <c r="CH29" s="245"/>
      <c r="CI29" s="245"/>
      <c r="CJ29" s="245"/>
      <c r="CK29" s="245"/>
      <c r="CL29" s="245"/>
      <c r="CM29" s="245"/>
      <c r="CN29" s="245"/>
      <c r="CO29" s="245"/>
      <c r="CP29" s="245"/>
      <c r="CQ29" s="245"/>
      <c r="CR29" s="245"/>
      <c r="CS29" s="245"/>
      <c r="CT29" s="245"/>
      <c r="CU29" s="245"/>
      <c r="CV29" s="245"/>
      <c r="CW29" s="245"/>
      <c r="CX29" s="245"/>
      <c r="CY29" s="245"/>
      <c r="CZ29" s="245"/>
      <c r="DA29" s="245"/>
      <c r="DB29" s="245"/>
      <c r="DC29" s="245"/>
      <c r="DD29" s="245"/>
      <c r="DE29" s="245"/>
      <c r="DF29" s="245"/>
      <c r="DG29" s="245"/>
      <c r="DH29" s="245"/>
      <c r="DI29" s="245"/>
      <c r="DJ29" s="245"/>
      <c r="DK29" s="245"/>
      <c r="DL29" s="245"/>
      <c r="DM29" s="245"/>
      <c r="DN29" s="245"/>
      <c r="DO29" s="245"/>
      <c r="DP29" s="245"/>
      <c r="DQ29" s="245"/>
      <c r="DR29" s="245"/>
      <c r="DS29" s="245"/>
      <c r="DT29" s="245"/>
      <c r="DU29" s="245"/>
      <c r="DV29" s="245"/>
      <c r="DW29" s="245"/>
      <c r="DX29" s="245"/>
      <c r="DY29" s="245"/>
      <c r="DZ29" s="245"/>
      <c r="EA29" s="245"/>
      <c r="EB29" s="245"/>
      <c r="EC29" s="245"/>
      <c r="ED29" s="245"/>
      <c r="EE29" s="245"/>
      <c r="EF29" s="245"/>
      <c r="EG29" s="245"/>
      <c r="EH29" s="245"/>
      <c r="EI29" s="245"/>
      <c r="EJ29" s="245"/>
      <c r="EK29" s="245"/>
      <c r="EL29" s="245"/>
      <c r="EM29" s="245"/>
      <c r="EN29" s="245"/>
      <c r="EO29" s="245"/>
      <c r="EP29" s="245"/>
      <c r="EQ29" s="245"/>
      <c r="ER29" s="245"/>
      <c r="ES29" s="245"/>
      <c r="ET29" s="245"/>
      <c r="EU29" s="245"/>
      <c r="EV29" s="245"/>
      <c r="EW29" s="245"/>
      <c r="EX29" s="245"/>
      <c r="EY29" s="245"/>
      <c r="EZ29" s="245"/>
      <c r="FA29" s="245"/>
      <c r="FB29" s="245"/>
      <c r="FC29" s="245"/>
      <c r="FD29" s="245"/>
      <c r="FE29" s="245"/>
      <c r="FF29" s="245"/>
      <c r="FG29" s="245"/>
      <c r="FH29" s="245"/>
      <c r="FI29" s="245"/>
      <c r="FJ29" s="245"/>
      <c r="FK29" s="245"/>
      <c r="FL29" s="245"/>
      <c r="FM29" s="245"/>
      <c r="FN29" s="245"/>
      <c r="FO29" s="245"/>
      <c r="FP29" s="245"/>
      <c r="FQ29" s="245"/>
      <c r="FR29" s="245"/>
      <c r="FS29" s="245"/>
      <c r="FT29" s="245"/>
      <c r="FU29" s="245"/>
      <c r="FV29" s="245"/>
      <c r="FW29" s="245"/>
    </row>
    <row r="30" spans="2:179">
      <c r="B30" s="245">
        <f t="shared" si="0"/>
        <v>21</v>
      </c>
      <c r="C30" s="285"/>
      <c r="D30" s="285"/>
      <c r="E30" s="285"/>
      <c r="F30" s="286"/>
      <c r="G30" s="245"/>
      <c r="H30" s="245"/>
      <c r="I30" s="245"/>
      <c r="J30" s="245"/>
      <c r="K30" s="245"/>
      <c r="L30" s="245"/>
      <c r="M30" s="245"/>
      <c r="N30" s="245"/>
      <c r="O30" s="245"/>
      <c r="P30" s="245"/>
      <c r="Q30" s="245"/>
      <c r="R30" s="245"/>
      <c r="S30" s="245"/>
      <c r="T30" s="245"/>
      <c r="U30" s="245"/>
      <c r="V30" s="245"/>
      <c r="W30" s="245"/>
      <c r="X30" s="245"/>
      <c r="Y30" s="245"/>
      <c r="Z30" s="245"/>
      <c r="AA30" s="245"/>
      <c r="AB30" s="245"/>
      <c r="AC30" s="245"/>
      <c r="AD30" s="245"/>
      <c r="AE30" s="245"/>
      <c r="AF30" s="245"/>
      <c r="AG30" s="245"/>
      <c r="AH30" s="245"/>
      <c r="AI30" s="245"/>
      <c r="AJ30" s="245"/>
      <c r="AK30" s="245"/>
      <c r="AL30" s="245"/>
      <c r="AM30" s="245"/>
      <c r="AN30" s="245"/>
      <c r="AO30" s="245"/>
      <c r="AP30" s="245"/>
      <c r="AQ30" s="245"/>
      <c r="AR30" s="245"/>
      <c r="AS30" s="245"/>
      <c r="AT30" s="245"/>
      <c r="AU30" s="245"/>
      <c r="AV30" s="245"/>
      <c r="AW30" s="245"/>
      <c r="AX30" s="245"/>
      <c r="AY30" s="245"/>
      <c r="AZ30" s="245"/>
      <c r="BA30" s="245"/>
      <c r="BB30" s="245"/>
      <c r="BC30" s="245"/>
      <c r="BD30" s="245"/>
      <c r="BE30" s="245"/>
      <c r="BF30" s="245"/>
      <c r="BG30" s="245"/>
      <c r="BH30" s="245"/>
      <c r="BI30" s="245"/>
      <c r="BJ30" s="245"/>
      <c r="BK30" s="245"/>
      <c r="BL30" s="245"/>
      <c r="BM30" s="245"/>
      <c r="BN30" s="245"/>
      <c r="BO30" s="245"/>
      <c r="BP30" s="245"/>
      <c r="BQ30" s="245"/>
      <c r="BR30" s="245"/>
      <c r="BS30" s="245"/>
      <c r="BT30" s="245"/>
      <c r="BU30" s="245"/>
      <c r="BV30" s="245"/>
      <c r="BW30" s="245"/>
      <c r="BX30" s="245"/>
      <c r="BY30" s="245"/>
      <c r="BZ30" s="245"/>
      <c r="CA30" s="245"/>
      <c r="CB30" s="245"/>
      <c r="CC30" s="245"/>
      <c r="CD30" s="245"/>
      <c r="CE30" s="245"/>
      <c r="CF30" s="245"/>
      <c r="CG30" s="245"/>
      <c r="CH30" s="245"/>
      <c r="CI30" s="245"/>
      <c r="CJ30" s="245"/>
      <c r="CK30" s="245"/>
      <c r="CL30" s="245"/>
      <c r="CM30" s="245"/>
      <c r="CN30" s="245"/>
      <c r="CO30" s="245"/>
      <c r="CP30" s="245"/>
      <c r="CQ30" s="245"/>
      <c r="CR30" s="245"/>
      <c r="CS30" s="245"/>
      <c r="CT30" s="245"/>
      <c r="CU30" s="245"/>
      <c r="CV30" s="245"/>
      <c r="CW30" s="245"/>
      <c r="CX30" s="245"/>
      <c r="CY30" s="245"/>
      <c r="CZ30" s="245"/>
      <c r="DA30" s="245"/>
      <c r="DB30" s="245"/>
      <c r="DC30" s="245"/>
      <c r="DD30" s="245"/>
      <c r="DE30" s="245"/>
      <c r="DF30" s="245"/>
      <c r="DG30" s="245"/>
      <c r="DH30" s="245"/>
      <c r="DI30" s="245"/>
      <c r="DJ30" s="245"/>
      <c r="DK30" s="245"/>
      <c r="DL30" s="245"/>
      <c r="DM30" s="245"/>
      <c r="DN30" s="245"/>
      <c r="DO30" s="245"/>
      <c r="DP30" s="245"/>
      <c r="DQ30" s="245"/>
      <c r="DR30" s="245"/>
      <c r="DS30" s="245"/>
      <c r="DT30" s="245"/>
      <c r="DU30" s="245"/>
      <c r="DV30" s="245"/>
      <c r="DW30" s="245"/>
      <c r="DX30" s="245"/>
      <c r="DY30" s="245"/>
      <c r="DZ30" s="245"/>
      <c r="EA30" s="245"/>
      <c r="EB30" s="245"/>
      <c r="EC30" s="245"/>
      <c r="ED30" s="245"/>
      <c r="EE30" s="245"/>
      <c r="EF30" s="245"/>
      <c r="EG30" s="245"/>
      <c r="EH30" s="245"/>
      <c r="EI30" s="245"/>
      <c r="EJ30" s="245"/>
      <c r="EK30" s="245"/>
      <c r="EL30" s="245"/>
      <c r="EM30" s="245"/>
      <c r="EN30" s="245"/>
      <c r="EO30" s="245"/>
      <c r="EP30" s="245"/>
      <c r="EQ30" s="245"/>
      <c r="ER30" s="245"/>
      <c r="ES30" s="245"/>
      <c r="ET30" s="245"/>
      <c r="EU30" s="245"/>
      <c r="EV30" s="245"/>
      <c r="EW30" s="245"/>
      <c r="EX30" s="245"/>
      <c r="EY30" s="245"/>
      <c r="EZ30" s="245"/>
      <c r="FA30" s="245"/>
      <c r="FB30" s="245"/>
      <c r="FC30" s="245"/>
      <c r="FD30" s="245"/>
      <c r="FE30" s="245"/>
      <c r="FF30" s="245"/>
      <c r="FG30" s="245"/>
      <c r="FH30" s="245"/>
      <c r="FI30" s="245"/>
      <c r="FJ30" s="245"/>
      <c r="FK30" s="245"/>
      <c r="FL30" s="245"/>
      <c r="FM30" s="245"/>
      <c r="FN30" s="245"/>
      <c r="FO30" s="245"/>
      <c r="FP30" s="245"/>
      <c r="FQ30" s="245"/>
      <c r="FR30" s="245"/>
      <c r="FS30" s="245"/>
      <c r="FT30" s="245"/>
      <c r="FU30" s="245"/>
      <c r="FV30" s="245"/>
      <c r="FW30" s="245"/>
    </row>
    <row r="31" spans="2:179">
      <c r="B31" s="245">
        <f t="shared" si="0"/>
        <v>22</v>
      </c>
      <c r="C31" s="285"/>
      <c r="D31" s="285"/>
      <c r="E31" s="285"/>
      <c r="F31" s="286"/>
      <c r="G31" s="245"/>
      <c r="H31" s="245"/>
      <c r="I31" s="245"/>
      <c r="J31" s="245"/>
      <c r="K31" s="245"/>
      <c r="L31" s="245"/>
      <c r="M31" s="245"/>
      <c r="N31" s="245"/>
      <c r="O31" s="245"/>
      <c r="P31" s="245"/>
      <c r="Q31" s="245"/>
      <c r="R31" s="245"/>
      <c r="S31" s="245"/>
      <c r="T31" s="245"/>
      <c r="U31" s="245"/>
      <c r="V31" s="245"/>
      <c r="W31" s="245"/>
      <c r="X31" s="245"/>
      <c r="Y31" s="245"/>
      <c r="Z31" s="245"/>
      <c r="AA31" s="245"/>
      <c r="AB31" s="245"/>
      <c r="AC31" s="245"/>
      <c r="AD31" s="245"/>
      <c r="AE31" s="245"/>
      <c r="AF31" s="245"/>
      <c r="AG31" s="245"/>
      <c r="AH31" s="245"/>
      <c r="AI31" s="245"/>
      <c r="AJ31" s="245"/>
      <c r="AK31" s="245"/>
      <c r="AL31" s="245"/>
      <c r="AM31" s="245"/>
      <c r="AN31" s="245"/>
      <c r="AO31" s="245"/>
      <c r="AP31" s="245"/>
      <c r="AQ31" s="245"/>
      <c r="AR31" s="245"/>
      <c r="AS31" s="245"/>
      <c r="AT31" s="245"/>
      <c r="AU31" s="245"/>
      <c r="AV31" s="245"/>
      <c r="AW31" s="245"/>
      <c r="AX31" s="245"/>
      <c r="AY31" s="245"/>
      <c r="AZ31" s="245"/>
      <c r="BA31" s="245"/>
      <c r="BB31" s="245"/>
      <c r="BC31" s="245"/>
      <c r="BD31" s="245"/>
      <c r="BE31" s="245"/>
      <c r="BF31" s="245"/>
      <c r="BG31" s="245"/>
      <c r="BH31" s="245"/>
      <c r="BI31" s="245"/>
      <c r="BJ31" s="245"/>
      <c r="BK31" s="245"/>
      <c r="BL31" s="245"/>
      <c r="BM31" s="245"/>
      <c r="BN31" s="245"/>
      <c r="BO31" s="245"/>
      <c r="BP31" s="245"/>
      <c r="BQ31" s="245"/>
      <c r="BR31" s="245"/>
      <c r="BS31" s="245"/>
      <c r="BT31" s="245"/>
      <c r="BU31" s="245"/>
      <c r="BV31" s="245"/>
      <c r="BW31" s="245"/>
      <c r="BX31" s="245"/>
      <c r="BY31" s="245"/>
      <c r="BZ31" s="245"/>
      <c r="CA31" s="245"/>
      <c r="CB31" s="245"/>
      <c r="CC31" s="245"/>
      <c r="CD31" s="245"/>
      <c r="CE31" s="245"/>
      <c r="CF31" s="245"/>
      <c r="CG31" s="245"/>
      <c r="CH31" s="245"/>
      <c r="CI31" s="245"/>
      <c r="CJ31" s="245"/>
      <c r="CK31" s="245"/>
      <c r="CL31" s="245"/>
      <c r="CM31" s="245"/>
      <c r="CN31" s="245"/>
      <c r="CO31" s="245"/>
      <c r="CP31" s="245"/>
      <c r="CQ31" s="245"/>
      <c r="CR31" s="245"/>
      <c r="CS31" s="245"/>
      <c r="CT31" s="245"/>
      <c r="CU31" s="245"/>
      <c r="CV31" s="245"/>
      <c r="CW31" s="245"/>
      <c r="CX31" s="245"/>
      <c r="CY31" s="245"/>
      <c r="CZ31" s="245"/>
      <c r="DA31" s="245"/>
      <c r="DB31" s="245"/>
      <c r="DC31" s="245"/>
      <c r="DD31" s="245"/>
      <c r="DE31" s="245"/>
      <c r="DF31" s="245"/>
      <c r="DG31" s="245"/>
      <c r="DH31" s="245"/>
      <c r="DI31" s="245"/>
      <c r="DJ31" s="245"/>
      <c r="DK31" s="245"/>
      <c r="DL31" s="245"/>
      <c r="DM31" s="245"/>
      <c r="DN31" s="245"/>
      <c r="DO31" s="245"/>
      <c r="DP31" s="245"/>
      <c r="DQ31" s="245"/>
      <c r="DR31" s="245"/>
      <c r="DS31" s="245"/>
      <c r="DT31" s="245"/>
      <c r="DU31" s="245"/>
      <c r="DV31" s="245"/>
      <c r="DW31" s="245"/>
      <c r="DX31" s="245"/>
      <c r="DY31" s="245"/>
      <c r="DZ31" s="245"/>
      <c r="EA31" s="245"/>
      <c r="EB31" s="245"/>
      <c r="EC31" s="245"/>
      <c r="ED31" s="245"/>
      <c r="EE31" s="245"/>
      <c r="EF31" s="245"/>
      <c r="EG31" s="245"/>
      <c r="EH31" s="245"/>
      <c r="EI31" s="245"/>
      <c r="EJ31" s="245"/>
      <c r="EK31" s="245"/>
      <c r="EL31" s="245"/>
      <c r="EM31" s="245"/>
      <c r="EN31" s="245"/>
      <c r="EO31" s="245"/>
      <c r="EP31" s="245"/>
      <c r="EQ31" s="245"/>
      <c r="ER31" s="245"/>
      <c r="ES31" s="245"/>
      <c r="ET31" s="245"/>
      <c r="EU31" s="245"/>
      <c r="EV31" s="245"/>
      <c r="EW31" s="245"/>
      <c r="EX31" s="245"/>
      <c r="EY31" s="245"/>
      <c r="EZ31" s="245"/>
      <c r="FA31" s="245"/>
      <c r="FB31" s="245"/>
      <c r="FC31" s="245"/>
      <c r="FD31" s="245"/>
      <c r="FE31" s="245"/>
      <c r="FF31" s="245"/>
      <c r="FG31" s="245"/>
      <c r="FH31" s="245"/>
      <c r="FI31" s="245"/>
      <c r="FJ31" s="245"/>
      <c r="FK31" s="245"/>
      <c r="FL31" s="245"/>
      <c r="FM31" s="245"/>
      <c r="FN31" s="245"/>
      <c r="FO31" s="245"/>
      <c r="FP31" s="245"/>
      <c r="FQ31" s="245"/>
      <c r="FR31" s="245"/>
      <c r="FS31" s="245"/>
      <c r="FT31" s="245"/>
      <c r="FU31" s="245"/>
      <c r="FV31" s="245"/>
      <c r="FW31" s="245"/>
    </row>
    <row r="32" spans="2:179">
      <c r="B32" s="245">
        <f t="shared" si="0"/>
        <v>23</v>
      </c>
      <c r="C32" s="285"/>
      <c r="D32" s="285"/>
      <c r="E32" s="285"/>
      <c r="F32" s="286"/>
      <c r="G32" s="245"/>
      <c r="H32" s="245"/>
      <c r="I32" s="245"/>
      <c r="J32" s="245"/>
      <c r="K32" s="245"/>
      <c r="L32" s="245"/>
      <c r="M32" s="245"/>
      <c r="N32" s="245"/>
      <c r="O32" s="245"/>
      <c r="P32" s="245"/>
      <c r="Q32" s="245"/>
      <c r="R32" s="245"/>
      <c r="S32" s="245"/>
      <c r="T32" s="245"/>
      <c r="U32" s="245"/>
      <c r="V32" s="245"/>
      <c r="W32" s="245"/>
      <c r="X32" s="245"/>
      <c r="Y32" s="245"/>
      <c r="Z32" s="245"/>
      <c r="AA32" s="245"/>
      <c r="AB32" s="245"/>
      <c r="AC32" s="245"/>
      <c r="AD32" s="245"/>
      <c r="AE32" s="245"/>
      <c r="AF32" s="245"/>
      <c r="AG32" s="245"/>
      <c r="AH32" s="245"/>
      <c r="AI32" s="245"/>
      <c r="AJ32" s="245"/>
      <c r="AK32" s="245"/>
      <c r="AL32" s="245"/>
      <c r="AM32" s="245"/>
      <c r="AN32" s="245"/>
      <c r="AO32" s="245"/>
      <c r="AP32" s="245"/>
      <c r="AQ32" s="245"/>
      <c r="AR32" s="245"/>
      <c r="AS32" s="245"/>
      <c r="AT32" s="245"/>
      <c r="AU32" s="245"/>
      <c r="AV32" s="245"/>
      <c r="AW32" s="245"/>
      <c r="AX32" s="245"/>
      <c r="AY32" s="245"/>
      <c r="AZ32" s="245"/>
      <c r="BA32" s="245"/>
      <c r="BB32" s="245"/>
      <c r="BC32" s="245"/>
      <c r="BD32" s="245"/>
      <c r="BE32" s="245"/>
      <c r="BF32" s="245"/>
      <c r="BG32" s="245"/>
      <c r="BH32" s="245"/>
      <c r="BI32" s="245"/>
      <c r="BJ32" s="245"/>
      <c r="BK32" s="245"/>
      <c r="BL32" s="245"/>
      <c r="BM32" s="245"/>
      <c r="BN32" s="245"/>
      <c r="BO32" s="245"/>
      <c r="BP32" s="245"/>
      <c r="BQ32" s="245"/>
      <c r="BR32" s="245"/>
      <c r="BS32" s="245"/>
      <c r="BT32" s="245"/>
      <c r="BU32" s="245"/>
      <c r="BV32" s="245"/>
      <c r="BW32" s="245"/>
      <c r="BX32" s="245"/>
      <c r="BY32" s="245"/>
      <c r="BZ32" s="245"/>
      <c r="CA32" s="245"/>
      <c r="CB32" s="245"/>
      <c r="CC32" s="245"/>
      <c r="CD32" s="245"/>
      <c r="CE32" s="245"/>
      <c r="CF32" s="245"/>
      <c r="CG32" s="245"/>
      <c r="CH32" s="245"/>
      <c r="CI32" s="245"/>
      <c r="CJ32" s="245"/>
      <c r="CK32" s="245"/>
      <c r="CL32" s="245"/>
      <c r="CM32" s="245"/>
      <c r="CN32" s="245"/>
      <c r="CO32" s="245"/>
      <c r="CP32" s="245"/>
      <c r="CQ32" s="245"/>
      <c r="CR32" s="245"/>
      <c r="CS32" s="245"/>
      <c r="CT32" s="245"/>
      <c r="CU32" s="245"/>
      <c r="CV32" s="245"/>
      <c r="CW32" s="245"/>
      <c r="CX32" s="245"/>
      <c r="CY32" s="245"/>
      <c r="CZ32" s="245"/>
      <c r="DA32" s="245"/>
      <c r="DB32" s="245"/>
      <c r="DC32" s="245"/>
      <c r="DD32" s="245"/>
      <c r="DE32" s="245"/>
      <c r="DF32" s="245"/>
      <c r="DG32" s="245"/>
      <c r="DH32" s="245"/>
      <c r="DI32" s="245"/>
      <c r="DJ32" s="245"/>
      <c r="DK32" s="245"/>
      <c r="DL32" s="245"/>
      <c r="DM32" s="245"/>
      <c r="DN32" s="245"/>
      <c r="DO32" s="245"/>
      <c r="DP32" s="245"/>
      <c r="DQ32" s="245"/>
      <c r="DR32" s="245"/>
      <c r="DS32" s="245"/>
      <c r="DT32" s="245"/>
      <c r="DU32" s="245"/>
      <c r="DV32" s="245"/>
      <c r="DW32" s="245"/>
      <c r="DX32" s="245"/>
      <c r="DY32" s="245"/>
      <c r="DZ32" s="245"/>
      <c r="EA32" s="245"/>
      <c r="EB32" s="245"/>
      <c r="EC32" s="245"/>
      <c r="ED32" s="245"/>
      <c r="EE32" s="245"/>
      <c r="EF32" s="245"/>
      <c r="EG32" s="245"/>
      <c r="EH32" s="245"/>
      <c r="EI32" s="245"/>
      <c r="EJ32" s="245"/>
      <c r="EK32" s="245"/>
      <c r="EL32" s="245"/>
      <c r="EM32" s="245"/>
      <c r="EN32" s="245"/>
      <c r="EO32" s="245"/>
      <c r="EP32" s="245"/>
      <c r="EQ32" s="245"/>
      <c r="ER32" s="245"/>
      <c r="ES32" s="245"/>
      <c r="ET32" s="245"/>
      <c r="EU32" s="245"/>
      <c r="EV32" s="245"/>
      <c r="EW32" s="245"/>
      <c r="EX32" s="245"/>
      <c r="EY32" s="245"/>
      <c r="EZ32" s="245"/>
      <c r="FA32" s="245"/>
      <c r="FB32" s="245"/>
      <c r="FC32" s="245"/>
      <c r="FD32" s="245"/>
      <c r="FE32" s="245"/>
      <c r="FF32" s="245"/>
      <c r="FG32" s="245"/>
      <c r="FH32" s="245"/>
      <c r="FI32" s="245"/>
      <c r="FJ32" s="245"/>
      <c r="FK32" s="245"/>
      <c r="FL32" s="245"/>
      <c r="FM32" s="245"/>
      <c r="FN32" s="245"/>
      <c r="FO32" s="245"/>
      <c r="FP32" s="245"/>
      <c r="FQ32" s="245"/>
      <c r="FR32" s="245"/>
      <c r="FS32" s="245"/>
      <c r="FT32" s="245"/>
      <c r="FU32" s="245"/>
      <c r="FV32" s="245"/>
      <c r="FW32" s="245"/>
    </row>
    <row r="33" spans="2:179">
      <c r="B33" s="245">
        <f t="shared" si="0"/>
        <v>24</v>
      </c>
      <c r="C33" s="285"/>
      <c r="D33" s="285"/>
      <c r="E33" s="285"/>
      <c r="F33" s="286"/>
      <c r="G33" s="245"/>
      <c r="H33" s="245"/>
      <c r="I33" s="245"/>
      <c r="J33" s="245"/>
      <c r="K33" s="245"/>
      <c r="L33" s="245"/>
      <c r="M33" s="245"/>
      <c r="N33" s="245"/>
      <c r="O33" s="245"/>
      <c r="P33" s="245"/>
      <c r="Q33" s="245"/>
      <c r="R33" s="245"/>
      <c r="S33" s="245"/>
      <c r="T33" s="245"/>
      <c r="U33" s="245"/>
      <c r="V33" s="245"/>
      <c r="W33" s="245"/>
      <c r="X33" s="245"/>
      <c r="Y33" s="245"/>
      <c r="Z33" s="245"/>
      <c r="AA33" s="245"/>
      <c r="AB33" s="245"/>
      <c r="AC33" s="245"/>
      <c r="AD33" s="245"/>
      <c r="AE33" s="245"/>
      <c r="AF33" s="245"/>
      <c r="AG33" s="245"/>
      <c r="AH33" s="245"/>
      <c r="AI33" s="245"/>
      <c r="AJ33" s="245"/>
      <c r="AK33" s="245"/>
      <c r="AL33" s="245"/>
      <c r="AM33" s="245"/>
      <c r="AN33" s="245"/>
      <c r="AO33" s="245"/>
      <c r="AP33" s="245"/>
      <c r="AQ33" s="245"/>
      <c r="AR33" s="245"/>
      <c r="AS33" s="245"/>
      <c r="AT33" s="245"/>
      <c r="AU33" s="245"/>
      <c r="AV33" s="245"/>
      <c r="AW33" s="245"/>
      <c r="AX33" s="245"/>
      <c r="AY33" s="245"/>
      <c r="AZ33" s="245"/>
      <c r="BA33" s="245"/>
      <c r="BB33" s="245"/>
      <c r="BC33" s="245"/>
      <c r="BD33" s="245"/>
      <c r="BE33" s="245"/>
      <c r="BF33" s="245"/>
      <c r="BG33" s="245"/>
      <c r="BH33" s="245"/>
      <c r="BI33" s="245"/>
      <c r="BJ33" s="245"/>
      <c r="BK33" s="245"/>
      <c r="BL33" s="245"/>
      <c r="BM33" s="245"/>
      <c r="BN33" s="245"/>
      <c r="BO33" s="245"/>
      <c r="BP33" s="245"/>
      <c r="BQ33" s="245"/>
      <c r="BR33" s="245"/>
      <c r="BS33" s="245"/>
      <c r="BT33" s="245"/>
      <c r="BU33" s="245"/>
      <c r="BV33" s="245"/>
      <c r="BW33" s="245"/>
      <c r="BX33" s="245"/>
      <c r="BY33" s="245"/>
      <c r="BZ33" s="245"/>
      <c r="CA33" s="245"/>
      <c r="CB33" s="245"/>
      <c r="CC33" s="245"/>
      <c r="CD33" s="245"/>
      <c r="CE33" s="245"/>
      <c r="CF33" s="245"/>
      <c r="CG33" s="245"/>
      <c r="CH33" s="245"/>
      <c r="CI33" s="245"/>
      <c r="CJ33" s="245"/>
      <c r="CK33" s="245"/>
      <c r="CL33" s="245"/>
      <c r="CM33" s="245"/>
      <c r="CN33" s="245"/>
      <c r="CO33" s="245"/>
      <c r="CP33" s="245"/>
      <c r="CQ33" s="245"/>
      <c r="CR33" s="245"/>
      <c r="CS33" s="245"/>
      <c r="CT33" s="245"/>
      <c r="CU33" s="245"/>
      <c r="CV33" s="245"/>
      <c r="CW33" s="245"/>
      <c r="CX33" s="245"/>
      <c r="CY33" s="245"/>
      <c r="CZ33" s="245"/>
      <c r="DA33" s="245"/>
      <c r="DB33" s="245"/>
      <c r="DC33" s="245"/>
      <c r="DD33" s="245"/>
      <c r="DE33" s="245"/>
      <c r="DF33" s="245"/>
      <c r="DG33" s="245"/>
      <c r="DH33" s="245"/>
      <c r="DI33" s="245"/>
      <c r="DJ33" s="245"/>
      <c r="DK33" s="245"/>
      <c r="DL33" s="245"/>
      <c r="DM33" s="245"/>
      <c r="DN33" s="245"/>
      <c r="DO33" s="245"/>
      <c r="DP33" s="245"/>
      <c r="DQ33" s="245"/>
      <c r="DR33" s="245"/>
      <c r="DS33" s="245"/>
      <c r="DT33" s="245"/>
      <c r="DU33" s="245"/>
      <c r="DV33" s="245"/>
      <c r="DW33" s="245"/>
      <c r="DX33" s="245"/>
      <c r="DY33" s="245"/>
      <c r="DZ33" s="245"/>
      <c r="EA33" s="245"/>
      <c r="EB33" s="245"/>
      <c r="EC33" s="245"/>
      <c r="ED33" s="245"/>
      <c r="EE33" s="245"/>
      <c r="EF33" s="245"/>
      <c r="EG33" s="245"/>
      <c r="EH33" s="245"/>
      <c r="EI33" s="245"/>
      <c r="EJ33" s="245"/>
      <c r="EK33" s="245"/>
      <c r="EL33" s="245"/>
      <c r="EM33" s="245"/>
      <c r="EN33" s="245"/>
      <c r="EO33" s="245"/>
      <c r="EP33" s="245"/>
      <c r="EQ33" s="245"/>
      <c r="ER33" s="245"/>
      <c r="ES33" s="245"/>
      <c r="ET33" s="245"/>
      <c r="EU33" s="245"/>
      <c r="EV33" s="245"/>
      <c r="EW33" s="245"/>
      <c r="EX33" s="245"/>
      <c r="EY33" s="245"/>
      <c r="EZ33" s="245"/>
      <c r="FA33" s="245"/>
      <c r="FB33" s="245"/>
      <c r="FC33" s="245"/>
      <c r="FD33" s="245"/>
      <c r="FE33" s="245"/>
      <c r="FF33" s="245"/>
      <c r="FG33" s="245"/>
      <c r="FH33" s="245"/>
      <c r="FI33" s="245"/>
      <c r="FJ33" s="245"/>
      <c r="FK33" s="245"/>
      <c r="FL33" s="245"/>
      <c r="FM33" s="245"/>
      <c r="FN33" s="245"/>
      <c r="FO33" s="245"/>
      <c r="FP33" s="245"/>
      <c r="FQ33" s="245"/>
      <c r="FR33" s="245"/>
      <c r="FS33" s="245"/>
      <c r="FT33" s="245"/>
      <c r="FU33" s="245"/>
      <c r="FV33" s="245"/>
      <c r="FW33" s="245"/>
    </row>
    <row r="34" spans="2:179">
      <c r="B34" s="245">
        <f t="shared" si="0"/>
        <v>25</v>
      </c>
      <c r="C34" s="285"/>
      <c r="D34" s="285"/>
      <c r="E34" s="285"/>
      <c r="F34" s="286"/>
      <c r="G34" s="245"/>
      <c r="H34" s="245"/>
      <c r="I34" s="245"/>
      <c r="J34" s="245"/>
      <c r="K34" s="245"/>
      <c r="L34" s="245"/>
      <c r="M34" s="245"/>
      <c r="N34" s="245"/>
      <c r="O34" s="245"/>
      <c r="P34" s="245"/>
      <c r="Q34" s="245"/>
      <c r="R34" s="245"/>
      <c r="S34" s="245"/>
      <c r="T34" s="245"/>
      <c r="U34" s="245"/>
      <c r="V34" s="245"/>
      <c r="W34" s="245"/>
      <c r="X34" s="245"/>
      <c r="Y34" s="245"/>
      <c r="Z34" s="245"/>
      <c r="AA34" s="245"/>
      <c r="AB34" s="245"/>
      <c r="AC34" s="245"/>
      <c r="AD34" s="245"/>
      <c r="AE34" s="245"/>
      <c r="AF34" s="245"/>
      <c r="AG34" s="245"/>
      <c r="AH34" s="245"/>
      <c r="AI34" s="245"/>
      <c r="AJ34" s="245"/>
      <c r="AK34" s="245"/>
      <c r="AL34" s="245"/>
      <c r="AM34" s="245"/>
      <c r="AN34" s="245"/>
      <c r="AO34" s="245"/>
      <c r="AP34" s="245"/>
      <c r="AQ34" s="245"/>
      <c r="AR34" s="245"/>
      <c r="AS34" s="245"/>
      <c r="AT34" s="245"/>
      <c r="AU34" s="245"/>
      <c r="AV34" s="245"/>
      <c r="AW34" s="245"/>
      <c r="AX34" s="245"/>
      <c r="AY34" s="245"/>
      <c r="AZ34" s="245"/>
      <c r="BA34" s="245"/>
      <c r="BB34" s="245"/>
      <c r="BC34" s="245"/>
      <c r="BD34" s="245"/>
      <c r="BE34" s="245"/>
      <c r="BF34" s="245"/>
      <c r="BG34" s="245"/>
      <c r="BH34" s="245"/>
      <c r="BI34" s="245"/>
      <c r="BJ34" s="245"/>
      <c r="BK34" s="245"/>
      <c r="BL34" s="245"/>
      <c r="BM34" s="245"/>
      <c r="BN34" s="245"/>
      <c r="BO34" s="245"/>
      <c r="BP34" s="245"/>
      <c r="BQ34" s="245"/>
      <c r="BR34" s="245"/>
      <c r="BS34" s="245"/>
      <c r="BT34" s="245"/>
      <c r="BU34" s="245"/>
      <c r="BV34" s="245"/>
      <c r="BW34" s="245"/>
      <c r="BX34" s="245"/>
      <c r="BY34" s="245"/>
      <c r="BZ34" s="245"/>
      <c r="CA34" s="245"/>
      <c r="CB34" s="245"/>
      <c r="CC34" s="245"/>
      <c r="CD34" s="245"/>
      <c r="CE34" s="245"/>
      <c r="CF34" s="245"/>
      <c r="CG34" s="245"/>
      <c r="CH34" s="245"/>
      <c r="CI34" s="245"/>
      <c r="CJ34" s="245"/>
      <c r="CK34" s="245"/>
      <c r="CL34" s="245"/>
      <c r="CM34" s="245"/>
      <c r="CN34" s="245"/>
      <c r="CO34" s="245"/>
      <c r="CP34" s="245"/>
      <c r="CQ34" s="245"/>
      <c r="CR34" s="245"/>
      <c r="CS34" s="245"/>
      <c r="CT34" s="245"/>
      <c r="CU34" s="245"/>
      <c r="CV34" s="245"/>
      <c r="CW34" s="245"/>
      <c r="CX34" s="245"/>
      <c r="CY34" s="245"/>
      <c r="CZ34" s="245"/>
      <c r="DA34" s="245"/>
      <c r="DB34" s="245"/>
      <c r="DC34" s="245"/>
      <c r="DD34" s="245"/>
      <c r="DE34" s="245"/>
      <c r="DF34" s="245"/>
      <c r="DG34" s="245"/>
      <c r="DH34" s="245"/>
      <c r="DI34" s="245"/>
      <c r="DJ34" s="245"/>
      <c r="DK34" s="245"/>
      <c r="DL34" s="245"/>
      <c r="DM34" s="245"/>
      <c r="DN34" s="245"/>
      <c r="DO34" s="245"/>
      <c r="DP34" s="245"/>
      <c r="DQ34" s="245"/>
      <c r="DR34" s="245"/>
      <c r="DS34" s="245"/>
      <c r="DT34" s="245"/>
      <c r="DU34" s="245"/>
      <c r="DV34" s="245"/>
      <c r="DW34" s="245"/>
      <c r="DX34" s="245"/>
      <c r="DY34" s="245"/>
      <c r="DZ34" s="245"/>
      <c r="EA34" s="245"/>
      <c r="EB34" s="245"/>
      <c r="EC34" s="245"/>
      <c r="ED34" s="245"/>
      <c r="EE34" s="245"/>
      <c r="EF34" s="245"/>
      <c r="EG34" s="245"/>
      <c r="EH34" s="245"/>
      <c r="EI34" s="245"/>
      <c r="EJ34" s="245"/>
      <c r="EK34" s="245"/>
      <c r="EL34" s="245"/>
      <c r="EM34" s="245"/>
      <c r="EN34" s="245"/>
      <c r="EO34" s="245"/>
      <c r="EP34" s="245"/>
      <c r="EQ34" s="245"/>
      <c r="ER34" s="245"/>
      <c r="ES34" s="245"/>
      <c r="ET34" s="245"/>
      <c r="EU34" s="245"/>
      <c r="EV34" s="245"/>
      <c r="EW34" s="245"/>
      <c r="EX34" s="245"/>
      <c r="EY34" s="245"/>
      <c r="EZ34" s="245"/>
      <c r="FA34" s="245"/>
      <c r="FB34" s="245"/>
      <c r="FC34" s="245"/>
      <c r="FD34" s="245"/>
      <c r="FE34" s="245"/>
      <c r="FF34" s="245"/>
      <c r="FG34" s="245"/>
      <c r="FH34" s="245"/>
      <c r="FI34" s="245"/>
      <c r="FJ34" s="245"/>
      <c r="FK34" s="245"/>
      <c r="FL34" s="245"/>
      <c r="FM34" s="245"/>
      <c r="FN34" s="245"/>
      <c r="FO34" s="245"/>
      <c r="FP34" s="245"/>
      <c r="FQ34" s="245"/>
      <c r="FR34" s="245"/>
      <c r="FS34" s="245"/>
      <c r="FT34" s="245"/>
      <c r="FU34" s="245"/>
      <c r="FV34" s="245"/>
      <c r="FW34" s="245"/>
    </row>
    <row r="35" spans="2:179">
      <c r="B35" s="245">
        <f t="shared" si="0"/>
        <v>26</v>
      </c>
      <c r="C35" s="285"/>
      <c r="D35" s="285"/>
      <c r="E35" s="285"/>
      <c r="F35" s="286"/>
      <c r="G35" s="245"/>
      <c r="H35" s="245"/>
      <c r="I35" s="245"/>
      <c r="J35" s="245"/>
      <c r="K35" s="245"/>
      <c r="L35" s="245"/>
      <c r="M35" s="245"/>
      <c r="N35" s="245"/>
      <c r="O35" s="245"/>
      <c r="P35" s="245"/>
      <c r="Q35" s="245"/>
      <c r="R35" s="245"/>
      <c r="S35" s="245"/>
      <c r="T35" s="245"/>
      <c r="U35" s="245"/>
      <c r="V35" s="245"/>
      <c r="W35" s="245"/>
      <c r="X35" s="245"/>
      <c r="Y35" s="245"/>
      <c r="Z35" s="245"/>
      <c r="AA35" s="245"/>
      <c r="AB35" s="245"/>
      <c r="AC35" s="245"/>
      <c r="AD35" s="245"/>
      <c r="AE35" s="245"/>
      <c r="AF35" s="245"/>
      <c r="AG35" s="245"/>
      <c r="AH35" s="245"/>
      <c r="AI35" s="245"/>
      <c r="AJ35" s="245"/>
      <c r="AK35" s="245"/>
      <c r="AL35" s="245"/>
      <c r="AM35" s="245"/>
      <c r="AN35" s="245"/>
      <c r="AO35" s="245"/>
      <c r="AP35" s="245"/>
      <c r="AQ35" s="245"/>
      <c r="AR35" s="245"/>
      <c r="AS35" s="245"/>
      <c r="AT35" s="245"/>
      <c r="AU35" s="245"/>
      <c r="AV35" s="245"/>
      <c r="AW35" s="245"/>
      <c r="AX35" s="245"/>
      <c r="AY35" s="245"/>
      <c r="AZ35" s="245"/>
      <c r="BA35" s="245"/>
      <c r="BB35" s="245"/>
      <c r="BC35" s="245"/>
      <c r="BD35" s="245"/>
      <c r="BE35" s="245"/>
      <c r="BF35" s="245"/>
      <c r="BG35" s="245"/>
      <c r="BH35" s="245"/>
      <c r="BI35" s="245"/>
      <c r="BJ35" s="245"/>
      <c r="BK35" s="245"/>
      <c r="BL35" s="245"/>
      <c r="BM35" s="245"/>
      <c r="BN35" s="245"/>
      <c r="BO35" s="245"/>
      <c r="BP35" s="245"/>
      <c r="BQ35" s="245"/>
      <c r="BR35" s="245"/>
      <c r="BS35" s="245"/>
      <c r="BT35" s="245"/>
      <c r="BU35" s="245"/>
      <c r="BV35" s="245"/>
      <c r="BW35" s="245"/>
      <c r="BX35" s="245"/>
      <c r="BY35" s="245"/>
      <c r="BZ35" s="245"/>
      <c r="CA35" s="245"/>
      <c r="CB35" s="245"/>
      <c r="CC35" s="245"/>
      <c r="CD35" s="245"/>
      <c r="CE35" s="245"/>
      <c r="CF35" s="245"/>
      <c r="CG35" s="245"/>
      <c r="CH35" s="245"/>
      <c r="CI35" s="245"/>
      <c r="CJ35" s="245"/>
      <c r="CK35" s="245"/>
      <c r="CL35" s="245"/>
      <c r="CM35" s="245"/>
      <c r="CN35" s="245"/>
      <c r="CO35" s="245"/>
      <c r="CP35" s="245"/>
      <c r="CQ35" s="245"/>
      <c r="CR35" s="245"/>
      <c r="CS35" s="245"/>
      <c r="CT35" s="245"/>
      <c r="CU35" s="245"/>
      <c r="CV35" s="245"/>
      <c r="CW35" s="245"/>
      <c r="CX35" s="245"/>
      <c r="CY35" s="245"/>
      <c r="CZ35" s="245"/>
      <c r="DA35" s="245"/>
      <c r="DB35" s="245"/>
      <c r="DC35" s="245"/>
      <c r="DD35" s="245"/>
      <c r="DE35" s="245"/>
      <c r="DF35" s="245"/>
      <c r="DG35" s="245"/>
      <c r="DH35" s="245"/>
      <c r="DI35" s="245"/>
      <c r="DJ35" s="245"/>
      <c r="DK35" s="245"/>
      <c r="DL35" s="245"/>
      <c r="DM35" s="245"/>
      <c r="DN35" s="245"/>
      <c r="DO35" s="245"/>
      <c r="DP35" s="245"/>
      <c r="DQ35" s="245"/>
      <c r="DR35" s="245"/>
      <c r="DS35" s="245"/>
      <c r="DT35" s="245"/>
      <c r="DU35" s="245"/>
      <c r="DV35" s="245"/>
      <c r="DW35" s="245"/>
      <c r="DX35" s="245"/>
      <c r="DY35" s="245"/>
      <c r="DZ35" s="245"/>
      <c r="EA35" s="245"/>
      <c r="EB35" s="245"/>
      <c r="EC35" s="245"/>
      <c r="ED35" s="245"/>
      <c r="EE35" s="245"/>
      <c r="EF35" s="245"/>
      <c r="EG35" s="245"/>
      <c r="EH35" s="245"/>
      <c r="EI35" s="245"/>
      <c r="EJ35" s="245"/>
      <c r="EK35" s="245"/>
      <c r="EL35" s="245"/>
      <c r="EM35" s="245"/>
      <c r="EN35" s="245"/>
      <c r="EO35" s="245"/>
      <c r="EP35" s="245"/>
      <c r="EQ35" s="245"/>
      <c r="ER35" s="245"/>
      <c r="ES35" s="245"/>
      <c r="ET35" s="245"/>
      <c r="EU35" s="245"/>
      <c r="EV35" s="245"/>
      <c r="EW35" s="245"/>
      <c r="EX35" s="245"/>
      <c r="EY35" s="245"/>
      <c r="EZ35" s="245"/>
      <c r="FA35" s="245"/>
      <c r="FB35" s="245"/>
      <c r="FC35" s="245"/>
      <c r="FD35" s="245"/>
      <c r="FE35" s="245"/>
      <c r="FF35" s="245"/>
      <c r="FG35" s="245"/>
      <c r="FH35" s="245"/>
      <c r="FI35" s="245"/>
      <c r="FJ35" s="245"/>
      <c r="FK35" s="245"/>
      <c r="FL35" s="245"/>
      <c r="FM35" s="245"/>
      <c r="FN35" s="245"/>
      <c r="FO35" s="245"/>
      <c r="FP35" s="245"/>
      <c r="FQ35" s="245"/>
      <c r="FR35" s="245"/>
      <c r="FS35" s="245"/>
      <c r="FT35" s="245"/>
      <c r="FU35" s="245"/>
      <c r="FV35" s="245"/>
      <c r="FW35" s="245"/>
    </row>
    <row r="36" spans="2:179">
      <c r="B36" s="245">
        <f t="shared" si="0"/>
        <v>27</v>
      </c>
      <c r="C36" s="285"/>
      <c r="D36" s="285"/>
      <c r="E36" s="285"/>
      <c r="F36" s="286"/>
      <c r="G36" s="245"/>
      <c r="H36" s="245"/>
      <c r="I36" s="245"/>
      <c r="J36" s="245"/>
      <c r="K36" s="245"/>
      <c r="L36" s="245"/>
      <c r="M36" s="245"/>
      <c r="N36" s="245"/>
      <c r="O36" s="245"/>
      <c r="P36" s="245"/>
      <c r="Q36" s="245"/>
      <c r="R36" s="245"/>
      <c r="S36" s="245"/>
      <c r="T36" s="245"/>
      <c r="U36" s="245"/>
      <c r="V36" s="245"/>
      <c r="W36" s="245"/>
      <c r="X36" s="245"/>
      <c r="Y36" s="245"/>
      <c r="Z36" s="245"/>
      <c r="AA36" s="245"/>
      <c r="AB36" s="245"/>
      <c r="AC36" s="245"/>
      <c r="AD36" s="245"/>
      <c r="AE36" s="245"/>
      <c r="AF36" s="245"/>
      <c r="AG36" s="245"/>
      <c r="AH36" s="245"/>
      <c r="AI36" s="245"/>
      <c r="AJ36" s="245"/>
      <c r="AK36" s="245"/>
      <c r="AL36" s="245"/>
      <c r="AM36" s="245"/>
      <c r="AN36" s="245"/>
      <c r="AO36" s="245"/>
      <c r="AP36" s="245"/>
      <c r="AQ36" s="245"/>
      <c r="AR36" s="245"/>
      <c r="AS36" s="245"/>
      <c r="AT36" s="245"/>
      <c r="AU36" s="245"/>
      <c r="AV36" s="245"/>
      <c r="AW36" s="245"/>
      <c r="AX36" s="245"/>
      <c r="AY36" s="245"/>
      <c r="AZ36" s="245"/>
      <c r="BA36" s="245"/>
      <c r="BB36" s="245"/>
      <c r="BC36" s="245"/>
      <c r="BD36" s="245"/>
      <c r="BE36" s="245"/>
      <c r="BF36" s="245"/>
      <c r="BG36" s="245"/>
      <c r="BH36" s="245"/>
      <c r="BI36" s="245"/>
      <c r="BJ36" s="245"/>
      <c r="BK36" s="245"/>
      <c r="BL36" s="245"/>
      <c r="BM36" s="245"/>
      <c r="BN36" s="245"/>
      <c r="BO36" s="245"/>
      <c r="BP36" s="245"/>
      <c r="BQ36" s="245"/>
      <c r="BR36" s="245"/>
      <c r="BS36" s="245"/>
      <c r="BT36" s="245"/>
      <c r="BU36" s="245"/>
      <c r="BV36" s="245"/>
      <c r="BW36" s="245"/>
      <c r="BX36" s="245"/>
      <c r="BY36" s="245"/>
      <c r="BZ36" s="245"/>
      <c r="CA36" s="245"/>
      <c r="CB36" s="245"/>
      <c r="CC36" s="245"/>
      <c r="CD36" s="245"/>
      <c r="CE36" s="245"/>
      <c r="CF36" s="245"/>
      <c r="CG36" s="245"/>
      <c r="CH36" s="245"/>
      <c r="CI36" s="245"/>
      <c r="CJ36" s="245"/>
      <c r="CK36" s="245"/>
      <c r="CL36" s="245"/>
      <c r="CM36" s="245"/>
      <c r="CN36" s="245"/>
      <c r="CO36" s="245"/>
      <c r="CP36" s="245"/>
      <c r="CQ36" s="245"/>
      <c r="CR36" s="245"/>
      <c r="CS36" s="245"/>
      <c r="CT36" s="245"/>
      <c r="CU36" s="245"/>
      <c r="CV36" s="245"/>
      <c r="CW36" s="245"/>
      <c r="CX36" s="245"/>
      <c r="CY36" s="245"/>
      <c r="CZ36" s="245"/>
      <c r="DA36" s="245"/>
      <c r="DB36" s="245"/>
      <c r="DC36" s="245"/>
      <c r="DD36" s="245"/>
      <c r="DE36" s="245"/>
      <c r="DF36" s="245"/>
      <c r="DG36" s="245"/>
      <c r="DH36" s="245"/>
      <c r="DI36" s="245"/>
      <c r="DJ36" s="245"/>
      <c r="DK36" s="245"/>
      <c r="DL36" s="245"/>
      <c r="DM36" s="245"/>
      <c r="DN36" s="245"/>
      <c r="DO36" s="245"/>
      <c r="DP36" s="245"/>
      <c r="DQ36" s="245"/>
      <c r="DR36" s="245"/>
      <c r="DS36" s="245"/>
      <c r="DT36" s="245"/>
      <c r="DU36" s="245"/>
      <c r="DV36" s="245"/>
      <c r="DW36" s="245"/>
      <c r="DX36" s="245"/>
      <c r="DY36" s="245"/>
      <c r="DZ36" s="245"/>
      <c r="EA36" s="245"/>
      <c r="EB36" s="245"/>
      <c r="EC36" s="245"/>
      <c r="ED36" s="245"/>
      <c r="EE36" s="245"/>
      <c r="EF36" s="245"/>
      <c r="EG36" s="245"/>
      <c r="EH36" s="245"/>
      <c r="EI36" s="245"/>
      <c r="EJ36" s="245"/>
      <c r="EK36" s="245"/>
      <c r="EL36" s="245"/>
      <c r="EM36" s="245"/>
      <c r="EN36" s="245"/>
      <c r="EO36" s="245"/>
      <c r="EP36" s="245"/>
      <c r="EQ36" s="245"/>
      <c r="ER36" s="245"/>
      <c r="ES36" s="245"/>
      <c r="ET36" s="245"/>
      <c r="EU36" s="245"/>
      <c r="EV36" s="245"/>
      <c r="EW36" s="245"/>
      <c r="EX36" s="245"/>
      <c r="EY36" s="245"/>
      <c r="EZ36" s="245"/>
      <c r="FA36" s="245"/>
      <c r="FB36" s="245"/>
      <c r="FC36" s="245"/>
      <c r="FD36" s="245"/>
      <c r="FE36" s="245"/>
      <c r="FF36" s="245"/>
      <c r="FG36" s="245"/>
      <c r="FH36" s="245"/>
      <c r="FI36" s="245"/>
      <c r="FJ36" s="245"/>
      <c r="FK36" s="245"/>
      <c r="FL36" s="245"/>
      <c r="FM36" s="245"/>
      <c r="FN36" s="245"/>
      <c r="FO36" s="245"/>
      <c r="FP36" s="245"/>
      <c r="FQ36" s="245"/>
      <c r="FR36" s="245"/>
      <c r="FS36" s="245"/>
      <c r="FT36" s="245"/>
      <c r="FU36" s="245"/>
      <c r="FV36" s="245"/>
      <c r="FW36" s="245"/>
    </row>
    <row r="37" spans="2:179">
      <c r="B37" s="245">
        <f t="shared" si="0"/>
        <v>28</v>
      </c>
      <c r="C37" s="285"/>
      <c r="D37" s="285"/>
      <c r="E37" s="285"/>
      <c r="F37" s="286"/>
      <c r="G37" s="245"/>
      <c r="H37" s="245"/>
      <c r="I37" s="245"/>
      <c r="J37" s="245"/>
      <c r="K37" s="245"/>
      <c r="L37" s="245"/>
      <c r="M37" s="245"/>
      <c r="N37" s="245"/>
      <c r="O37" s="245"/>
      <c r="P37" s="245"/>
      <c r="Q37" s="245"/>
      <c r="R37" s="245"/>
      <c r="S37" s="245"/>
      <c r="T37" s="245"/>
      <c r="U37" s="245"/>
      <c r="V37" s="245"/>
      <c r="W37" s="245"/>
      <c r="X37" s="245"/>
      <c r="Y37" s="245"/>
      <c r="Z37" s="245"/>
      <c r="AA37" s="245"/>
      <c r="AB37" s="245"/>
      <c r="AC37" s="245"/>
      <c r="AD37" s="245"/>
      <c r="AE37" s="245"/>
      <c r="AF37" s="245"/>
      <c r="AG37" s="245"/>
      <c r="AH37" s="245"/>
      <c r="AI37" s="245"/>
      <c r="AJ37" s="245"/>
      <c r="AK37" s="245"/>
      <c r="AL37" s="245"/>
      <c r="AM37" s="245"/>
      <c r="AN37" s="245"/>
      <c r="AO37" s="245"/>
      <c r="AP37" s="245"/>
      <c r="AQ37" s="245"/>
      <c r="AR37" s="245"/>
      <c r="AS37" s="245"/>
      <c r="AT37" s="245"/>
      <c r="AU37" s="245"/>
      <c r="AV37" s="245"/>
      <c r="AW37" s="245"/>
      <c r="AX37" s="245"/>
      <c r="AY37" s="245"/>
      <c r="AZ37" s="245"/>
      <c r="BA37" s="245"/>
      <c r="BB37" s="245"/>
      <c r="BC37" s="245"/>
      <c r="BD37" s="245"/>
      <c r="BE37" s="245"/>
      <c r="BF37" s="245"/>
      <c r="BG37" s="245"/>
      <c r="BH37" s="245"/>
      <c r="BI37" s="245"/>
      <c r="BJ37" s="245"/>
      <c r="BK37" s="245"/>
      <c r="BL37" s="245"/>
      <c r="BM37" s="245"/>
      <c r="BN37" s="245"/>
      <c r="BO37" s="245"/>
      <c r="BP37" s="245"/>
      <c r="BQ37" s="245"/>
      <c r="BR37" s="245"/>
      <c r="BS37" s="245"/>
      <c r="BT37" s="245"/>
      <c r="BU37" s="245"/>
      <c r="BV37" s="245"/>
      <c r="BW37" s="245"/>
      <c r="BX37" s="245"/>
      <c r="BY37" s="245"/>
      <c r="BZ37" s="245"/>
      <c r="CA37" s="245"/>
      <c r="CB37" s="245"/>
      <c r="CC37" s="245"/>
      <c r="CD37" s="245"/>
      <c r="CE37" s="245"/>
      <c r="CF37" s="245"/>
      <c r="CG37" s="245"/>
      <c r="CH37" s="245"/>
      <c r="CI37" s="245"/>
      <c r="CJ37" s="245"/>
      <c r="CK37" s="245"/>
      <c r="CL37" s="245"/>
      <c r="CM37" s="245"/>
      <c r="CN37" s="245"/>
      <c r="CO37" s="245"/>
      <c r="CP37" s="245"/>
      <c r="CQ37" s="245"/>
      <c r="CR37" s="245"/>
      <c r="CS37" s="245"/>
      <c r="CT37" s="245"/>
      <c r="CU37" s="245"/>
      <c r="CV37" s="245"/>
      <c r="CW37" s="245"/>
      <c r="CX37" s="245"/>
      <c r="CY37" s="245"/>
      <c r="CZ37" s="245"/>
      <c r="DA37" s="245"/>
      <c r="DB37" s="245"/>
      <c r="DC37" s="245"/>
      <c r="DD37" s="245"/>
      <c r="DE37" s="245"/>
      <c r="DF37" s="245"/>
      <c r="DG37" s="245"/>
      <c r="DH37" s="245"/>
      <c r="DI37" s="245"/>
      <c r="DJ37" s="245"/>
      <c r="DK37" s="245"/>
      <c r="DL37" s="245"/>
      <c r="DM37" s="245"/>
      <c r="DN37" s="245"/>
      <c r="DO37" s="245"/>
      <c r="DP37" s="245"/>
      <c r="DQ37" s="245"/>
      <c r="DR37" s="245"/>
      <c r="DS37" s="245"/>
      <c r="DT37" s="245"/>
      <c r="DU37" s="245"/>
      <c r="DV37" s="245"/>
      <c r="DW37" s="245"/>
      <c r="DX37" s="245"/>
      <c r="DY37" s="245"/>
      <c r="DZ37" s="245"/>
      <c r="EA37" s="245"/>
      <c r="EB37" s="245"/>
      <c r="EC37" s="245"/>
      <c r="ED37" s="245"/>
      <c r="EE37" s="245"/>
      <c r="EF37" s="245"/>
      <c r="EG37" s="245"/>
      <c r="EH37" s="245"/>
      <c r="EI37" s="245"/>
      <c r="EJ37" s="245"/>
      <c r="EK37" s="245"/>
      <c r="EL37" s="245"/>
      <c r="EM37" s="245"/>
      <c r="EN37" s="245"/>
      <c r="EO37" s="245"/>
      <c r="EP37" s="245"/>
      <c r="EQ37" s="245"/>
      <c r="ER37" s="245"/>
      <c r="ES37" s="245"/>
      <c r="ET37" s="245"/>
      <c r="EU37" s="245"/>
      <c r="EV37" s="245"/>
      <c r="EW37" s="245"/>
      <c r="EX37" s="245"/>
      <c r="EY37" s="245"/>
      <c r="EZ37" s="245"/>
      <c r="FA37" s="245"/>
      <c r="FB37" s="245"/>
      <c r="FC37" s="245"/>
      <c r="FD37" s="245"/>
      <c r="FE37" s="245"/>
      <c r="FF37" s="245"/>
      <c r="FG37" s="245"/>
      <c r="FH37" s="245"/>
      <c r="FI37" s="245"/>
      <c r="FJ37" s="245"/>
      <c r="FK37" s="245"/>
      <c r="FL37" s="245"/>
      <c r="FM37" s="245"/>
      <c r="FN37" s="245"/>
      <c r="FO37" s="245"/>
      <c r="FP37" s="245"/>
      <c r="FQ37" s="245"/>
      <c r="FR37" s="245"/>
      <c r="FS37" s="245"/>
      <c r="FT37" s="245"/>
      <c r="FU37" s="245"/>
      <c r="FV37" s="245"/>
      <c r="FW37" s="245"/>
    </row>
    <row r="38" spans="2:179">
      <c r="B38" s="245">
        <f t="shared" si="0"/>
        <v>29</v>
      </c>
      <c r="C38" s="285"/>
      <c r="D38" s="285"/>
      <c r="E38" s="285"/>
      <c r="F38" s="286"/>
      <c r="G38" s="245"/>
      <c r="H38" s="245"/>
      <c r="I38" s="245"/>
      <c r="J38" s="245"/>
      <c r="K38" s="245"/>
      <c r="L38" s="245"/>
      <c r="M38" s="245"/>
      <c r="N38" s="245"/>
      <c r="O38" s="245"/>
      <c r="P38" s="245"/>
      <c r="Q38" s="245"/>
      <c r="R38" s="245"/>
      <c r="S38" s="245"/>
      <c r="T38" s="245"/>
      <c r="U38" s="245"/>
      <c r="V38" s="245"/>
      <c r="W38" s="245"/>
      <c r="X38" s="245"/>
      <c r="Y38" s="245"/>
      <c r="Z38" s="245"/>
      <c r="AA38" s="245"/>
      <c r="AB38" s="245"/>
      <c r="AC38" s="245"/>
      <c r="AD38" s="245"/>
      <c r="AE38" s="245"/>
      <c r="AF38" s="245"/>
      <c r="AG38" s="245"/>
      <c r="AH38" s="245"/>
      <c r="AI38" s="245"/>
      <c r="AJ38" s="245"/>
      <c r="AK38" s="245"/>
      <c r="AL38" s="245"/>
      <c r="AM38" s="245"/>
      <c r="AN38" s="245"/>
      <c r="AO38" s="245"/>
      <c r="AP38" s="245"/>
      <c r="AQ38" s="245"/>
      <c r="AR38" s="245"/>
      <c r="AS38" s="245"/>
      <c r="AT38" s="245"/>
      <c r="AU38" s="245"/>
      <c r="AV38" s="245"/>
      <c r="AW38" s="245"/>
      <c r="AX38" s="245"/>
      <c r="AY38" s="245"/>
      <c r="AZ38" s="245"/>
      <c r="BA38" s="245"/>
      <c r="BB38" s="245"/>
      <c r="BC38" s="245"/>
      <c r="BD38" s="245"/>
      <c r="BE38" s="245"/>
      <c r="BF38" s="245"/>
      <c r="BG38" s="245"/>
      <c r="BH38" s="245"/>
      <c r="BI38" s="245"/>
      <c r="BJ38" s="245"/>
      <c r="BK38" s="245"/>
      <c r="BL38" s="245"/>
      <c r="BM38" s="245"/>
      <c r="BN38" s="245"/>
      <c r="BO38" s="245"/>
      <c r="BP38" s="245"/>
      <c r="BQ38" s="245"/>
      <c r="BR38" s="245"/>
      <c r="BS38" s="245"/>
      <c r="BT38" s="245"/>
      <c r="BU38" s="245"/>
      <c r="BV38" s="245"/>
      <c r="BW38" s="245"/>
      <c r="BX38" s="245"/>
      <c r="BY38" s="245"/>
      <c r="BZ38" s="245"/>
      <c r="CA38" s="245"/>
      <c r="CB38" s="245"/>
      <c r="CC38" s="245"/>
      <c r="CD38" s="245"/>
      <c r="CE38" s="245"/>
      <c r="CF38" s="245"/>
      <c r="CG38" s="245"/>
      <c r="CH38" s="245"/>
      <c r="CI38" s="245"/>
      <c r="CJ38" s="245"/>
      <c r="CK38" s="245"/>
      <c r="CL38" s="245"/>
      <c r="CM38" s="245"/>
      <c r="CN38" s="245"/>
      <c r="CO38" s="245"/>
      <c r="CP38" s="245"/>
      <c r="CQ38" s="245"/>
      <c r="CR38" s="245"/>
      <c r="CS38" s="245"/>
      <c r="CT38" s="245"/>
      <c r="CU38" s="245"/>
      <c r="CV38" s="245"/>
      <c r="CW38" s="245"/>
      <c r="CX38" s="245"/>
      <c r="CY38" s="245"/>
      <c r="CZ38" s="245"/>
      <c r="DA38" s="245"/>
      <c r="DB38" s="245"/>
      <c r="DC38" s="245"/>
      <c r="DD38" s="245"/>
      <c r="DE38" s="245"/>
      <c r="DF38" s="245"/>
      <c r="DG38" s="245"/>
      <c r="DH38" s="245"/>
      <c r="DI38" s="245"/>
      <c r="DJ38" s="245"/>
      <c r="DK38" s="245"/>
      <c r="DL38" s="245"/>
      <c r="DM38" s="245"/>
      <c r="DN38" s="245"/>
      <c r="DO38" s="245"/>
      <c r="DP38" s="245"/>
      <c r="DQ38" s="245"/>
      <c r="DR38" s="245"/>
      <c r="DS38" s="245"/>
      <c r="DT38" s="245"/>
      <c r="DU38" s="245"/>
      <c r="DV38" s="245"/>
      <c r="DW38" s="245"/>
      <c r="DX38" s="245"/>
      <c r="DY38" s="245"/>
      <c r="DZ38" s="245"/>
      <c r="EA38" s="245"/>
      <c r="EB38" s="245"/>
      <c r="EC38" s="245"/>
      <c r="ED38" s="245"/>
      <c r="EE38" s="245"/>
      <c r="EF38" s="245"/>
      <c r="EG38" s="245"/>
      <c r="EH38" s="245"/>
      <c r="EI38" s="245"/>
      <c r="EJ38" s="245"/>
      <c r="EK38" s="245"/>
      <c r="EL38" s="245"/>
      <c r="EM38" s="245"/>
      <c r="EN38" s="245"/>
      <c r="EO38" s="245"/>
      <c r="EP38" s="245"/>
      <c r="EQ38" s="245"/>
      <c r="ER38" s="245"/>
      <c r="ES38" s="245"/>
      <c r="ET38" s="245"/>
      <c r="EU38" s="245"/>
      <c r="EV38" s="245"/>
      <c r="EW38" s="245"/>
      <c r="EX38" s="245"/>
      <c r="EY38" s="245"/>
      <c r="EZ38" s="245"/>
      <c r="FA38" s="245"/>
      <c r="FB38" s="245"/>
      <c r="FC38" s="245"/>
      <c r="FD38" s="245"/>
      <c r="FE38" s="245"/>
      <c r="FF38" s="245"/>
      <c r="FG38" s="245"/>
      <c r="FH38" s="245"/>
      <c r="FI38" s="245"/>
      <c r="FJ38" s="245"/>
      <c r="FK38" s="245"/>
      <c r="FL38" s="245"/>
      <c r="FM38" s="245"/>
      <c r="FN38" s="245"/>
      <c r="FO38" s="245"/>
      <c r="FP38" s="245"/>
      <c r="FQ38" s="245"/>
      <c r="FR38" s="245"/>
      <c r="FS38" s="245"/>
      <c r="FT38" s="245"/>
      <c r="FU38" s="245"/>
      <c r="FV38" s="245"/>
      <c r="FW38" s="245"/>
    </row>
    <row r="39" spans="2:179">
      <c r="B39" s="245">
        <f t="shared" si="0"/>
        <v>30</v>
      </c>
      <c r="C39" s="285"/>
      <c r="D39" s="285"/>
      <c r="E39" s="285"/>
      <c r="F39" s="286"/>
      <c r="G39" s="245"/>
      <c r="H39" s="245"/>
      <c r="I39" s="245"/>
      <c r="J39" s="245"/>
      <c r="K39" s="245"/>
      <c r="L39" s="245"/>
      <c r="M39" s="245"/>
      <c r="N39" s="245"/>
      <c r="O39" s="245"/>
      <c r="P39" s="245"/>
      <c r="Q39" s="245"/>
      <c r="R39" s="245"/>
      <c r="S39" s="245"/>
      <c r="T39" s="245"/>
      <c r="U39" s="245"/>
      <c r="V39" s="245"/>
      <c r="W39" s="245"/>
      <c r="X39" s="245"/>
      <c r="Y39" s="245"/>
      <c r="Z39" s="245"/>
      <c r="AA39" s="245"/>
      <c r="AB39" s="245"/>
      <c r="AC39" s="245"/>
      <c r="AD39" s="245"/>
      <c r="AE39" s="245"/>
      <c r="AF39" s="245"/>
      <c r="AG39" s="245"/>
      <c r="AH39" s="245"/>
      <c r="AI39" s="245"/>
      <c r="AJ39" s="245"/>
      <c r="AK39" s="245"/>
      <c r="AL39" s="245"/>
      <c r="AM39" s="245"/>
      <c r="AN39" s="245"/>
      <c r="AO39" s="245"/>
      <c r="AP39" s="245"/>
      <c r="AQ39" s="245"/>
      <c r="AR39" s="245"/>
      <c r="AS39" s="245"/>
      <c r="AT39" s="245"/>
      <c r="AU39" s="245"/>
      <c r="AV39" s="245"/>
      <c r="AW39" s="245"/>
      <c r="AX39" s="245"/>
      <c r="AY39" s="245"/>
      <c r="AZ39" s="245"/>
      <c r="BA39" s="245"/>
      <c r="BB39" s="245"/>
      <c r="BC39" s="245"/>
      <c r="BD39" s="245"/>
      <c r="BE39" s="245"/>
      <c r="BF39" s="245"/>
      <c r="BG39" s="245"/>
      <c r="BH39" s="245"/>
      <c r="BI39" s="245"/>
      <c r="BJ39" s="245"/>
      <c r="BK39" s="245"/>
      <c r="BL39" s="245"/>
      <c r="BM39" s="245"/>
      <c r="BN39" s="245"/>
      <c r="BO39" s="245"/>
      <c r="BP39" s="245"/>
      <c r="BQ39" s="245"/>
      <c r="BR39" s="245"/>
      <c r="BS39" s="245"/>
      <c r="BT39" s="245"/>
      <c r="BU39" s="245"/>
      <c r="BV39" s="245"/>
      <c r="BW39" s="245"/>
      <c r="BX39" s="245"/>
      <c r="BY39" s="245"/>
      <c r="BZ39" s="245"/>
      <c r="CA39" s="245"/>
      <c r="CB39" s="245"/>
      <c r="CC39" s="245"/>
      <c r="CD39" s="245"/>
      <c r="CE39" s="245"/>
      <c r="CF39" s="245"/>
      <c r="CG39" s="245"/>
      <c r="CH39" s="245"/>
      <c r="CI39" s="245"/>
      <c r="CJ39" s="245"/>
      <c r="CK39" s="245"/>
      <c r="CL39" s="245"/>
      <c r="CM39" s="245"/>
      <c r="CN39" s="245"/>
      <c r="CO39" s="245"/>
      <c r="CP39" s="245"/>
      <c r="CQ39" s="245"/>
      <c r="CR39" s="245"/>
      <c r="CS39" s="245"/>
      <c r="CT39" s="245"/>
      <c r="CU39" s="245"/>
      <c r="CV39" s="245"/>
      <c r="CW39" s="245"/>
      <c r="CX39" s="245"/>
      <c r="CY39" s="245"/>
      <c r="CZ39" s="245"/>
      <c r="DA39" s="245"/>
      <c r="DB39" s="245"/>
      <c r="DC39" s="245"/>
      <c r="DD39" s="245"/>
      <c r="DE39" s="245"/>
      <c r="DF39" s="245"/>
      <c r="DG39" s="245"/>
      <c r="DH39" s="245"/>
      <c r="DI39" s="245"/>
      <c r="DJ39" s="245"/>
      <c r="DK39" s="245"/>
      <c r="DL39" s="245"/>
      <c r="DM39" s="245"/>
      <c r="DN39" s="245"/>
      <c r="DO39" s="245"/>
      <c r="DP39" s="245"/>
      <c r="DQ39" s="245"/>
      <c r="DR39" s="245"/>
      <c r="DS39" s="245"/>
      <c r="DT39" s="245"/>
      <c r="DU39" s="245"/>
      <c r="DV39" s="245"/>
      <c r="DW39" s="245"/>
      <c r="DX39" s="245"/>
      <c r="DY39" s="245"/>
      <c r="DZ39" s="245"/>
      <c r="EA39" s="245"/>
      <c r="EB39" s="245"/>
      <c r="EC39" s="245"/>
      <c r="ED39" s="245"/>
      <c r="EE39" s="245"/>
      <c r="EF39" s="245"/>
      <c r="EG39" s="245"/>
      <c r="EH39" s="245"/>
      <c r="EI39" s="245"/>
      <c r="EJ39" s="245"/>
      <c r="EK39" s="245"/>
      <c r="EL39" s="245"/>
      <c r="EM39" s="245"/>
      <c r="EN39" s="245"/>
      <c r="EO39" s="245"/>
      <c r="EP39" s="245"/>
      <c r="EQ39" s="245"/>
      <c r="ER39" s="245"/>
      <c r="ES39" s="245"/>
      <c r="ET39" s="245"/>
      <c r="EU39" s="245"/>
      <c r="EV39" s="245"/>
      <c r="EW39" s="245"/>
      <c r="EX39" s="245"/>
      <c r="EY39" s="245"/>
      <c r="EZ39" s="245"/>
      <c r="FA39" s="245"/>
      <c r="FB39" s="245"/>
      <c r="FC39" s="245"/>
      <c r="FD39" s="245"/>
      <c r="FE39" s="245"/>
      <c r="FF39" s="245"/>
      <c r="FG39" s="245"/>
      <c r="FH39" s="245"/>
      <c r="FI39" s="245"/>
      <c r="FJ39" s="245"/>
      <c r="FK39" s="245"/>
      <c r="FL39" s="245"/>
      <c r="FM39" s="245"/>
      <c r="FN39" s="245"/>
      <c r="FO39" s="245"/>
      <c r="FP39" s="245"/>
      <c r="FQ39" s="245"/>
      <c r="FR39" s="245"/>
      <c r="FS39" s="245"/>
      <c r="FT39" s="245"/>
      <c r="FU39" s="245"/>
      <c r="FV39" s="245"/>
      <c r="FW39" s="245"/>
    </row>
  </sheetData>
  <sheetProtection insertRows="0" deleteRows="0" sort="0" autoFilter="0"/>
  <mergeCells count="1">
    <mergeCell ref="B4:B8"/>
  </mergeCells>
  <phoneticPr fontId="14"/>
  <hyperlinks>
    <hyperlink ref="A3" location="パラメータ設定一覧!A1" display="パラメータ設定一覧へ" xr:uid="{565DFA39-D0FB-4301-B043-63C767E11AEA}"/>
  </hyperlinks>
  <pageMargins left="0.7" right="0.7" top="0.75" bottom="0.75" header="0.3" footer="0.3"/>
  <pageSetup paperSize="9" orientation="portrait" verticalDpi="0"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A2F3A-5D71-4298-8A4A-151494CE80AB}">
  <sheetPr codeName="Sheet76"/>
  <dimension ref="A1:L30"/>
  <sheetViews>
    <sheetView showGridLines="0" zoomScaleNormal="100" workbookViewId="0">
      <pane xSplit="6" ySplit="5" topLeftCell="G6" activePane="bottomRight" state="frozen"/>
      <selection pane="topRight"/>
      <selection pane="bottomLeft"/>
      <selection pane="bottomRight" activeCell="G6" sqref="G6"/>
    </sheetView>
  </sheetViews>
  <sheetFormatPr defaultColWidth="8.78515625" defaultRowHeight="13.5"/>
  <cols>
    <col min="1" max="1" width="2.78515625" style="46" customWidth="1"/>
    <col min="2" max="2" width="3.42578125" style="46" customWidth="1"/>
    <col min="3" max="3" width="14.5703125" style="46" customWidth="1"/>
    <col min="4" max="4" width="6.42578125" style="46" bestFit="1" customWidth="1"/>
    <col min="5" max="5" width="14.78515625" style="46" customWidth="1"/>
    <col min="6" max="6" width="23.2109375" style="46" customWidth="1"/>
    <col min="7" max="7" width="59.78515625" style="46" customWidth="1"/>
    <col min="8" max="8" width="20.2109375" style="46" customWidth="1"/>
    <col min="9" max="9" width="11.2109375" style="46" customWidth="1"/>
    <col min="10" max="10" width="28.42578125" style="46" bestFit="1" customWidth="1"/>
    <col min="11" max="11" width="18.2109375" style="46" customWidth="1"/>
    <col min="12" max="12" width="13.2109375" style="46" customWidth="1"/>
    <col min="13" max="16384" width="8.78515625" style="46"/>
  </cols>
  <sheetData>
    <row r="1" spans="1:12" s="86" customFormat="1" ht="19.5">
      <c r="A1" s="148" t="s">
        <v>1915</v>
      </c>
    </row>
    <row r="2" spans="1:12" s="86" customFormat="1" ht="19.5">
      <c r="A2" s="148"/>
      <c r="B2" s="86" t="s">
        <v>1916</v>
      </c>
    </row>
    <row r="3" spans="1:12" s="86" customFormat="1" ht="15">
      <c r="B3" s="86" t="s">
        <v>1917</v>
      </c>
    </row>
    <row r="4" spans="1:12" s="86" customFormat="1" ht="15">
      <c r="A4" s="10" t="s">
        <v>363</v>
      </c>
    </row>
    <row r="5" spans="1:12">
      <c r="B5" s="11" t="s">
        <v>1</v>
      </c>
      <c r="C5" s="12" t="s">
        <v>9</v>
      </c>
      <c r="D5" s="12" t="s">
        <v>10</v>
      </c>
      <c r="E5" s="12" t="s">
        <v>11</v>
      </c>
      <c r="F5" s="13" t="s">
        <v>12</v>
      </c>
      <c r="G5" s="13" t="s">
        <v>498</v>
      </c>
      <c r="H5" s="12" t="s">
        <v>14</v>
      </c>
      <c r="I5" s="12" t="s">
        <v>15</v>
      </c>
      <c r="J5" s="11" t="s">
        <v>16</v>
      </c>
      <c r="K5" s="14" t="s">
        <v>17</v>
      </c>
      <c r="L5" s="14" t="s">
        <v>18</v>
      </c>
    </row>
    <row r="6" spans="1:12">
      <c r="B6" s="15">
        <f t="shared" ref="B6:B30" si="0">ROW() - 5</f>
        <v>1</v>
      </c>
      <c r="C6" s="16" t="s">
        <v>8</v>
      </c>
      <c r="D6" s="16"/>
      <c r="E6" s="16"/>
      <c r="F6" s="17" t="s">
        <v>19</v>
      </c>
      <c r="G6" s="17"/>
      <c r="H6" s="17" t="s">
        <v>20</v>
      </c>
      <c r="I6" s="23" t="s">
        <v>331</v>
      </c>
      <c r="J6" s="17"/>
      <c r="K6" s="147" t="s">
        <v>2665</v>
      </c>
      <c r="L6" s="3"/>
    </row>
    <row r="7" spans="1:12" ht="40.5">
      <c r="B7" s="15">
        <f t="shared" si="0"/>
        <v>2</v>
      </c>
      <c r="C7" s="68"/>
      <c r="D7" s="68"/>
      <c r="E7" s="68"/>
      <c r="F7" s="17" t="s">
        <v>190</v>
      </c>
      <c r="G7" s="17" t="s">
        <v>1919</v>
      </c>
      <c r="H7" s="17" t="s">
        <v>2560</v>
      </c>
      <c r="I7" s="17" t="s">
        <v>2598</v>
      </c>
      <c r="J7" s="17" t="s">
        <v>2599</v>
      </c>
      <c r="K7" s="147" t="s">
        <v>2665</v>
      </c>
      <c r="L7" s="3"/>
    </row>
    <row r="8" spans="1:12" ht="81">
      <c r="B8" s="15">
        <f t="shared" si="0"/>
        <v>3</v>
      </c>
      <c r="C8" s="68"/>
      <c r="D8" s="68"/>
      <c r="E8" s="19"/>
      <c r="F8" s="17" t="s">
        <v>318</v>
      </c>
      <c r="G8" s="17"/>
      <c r="H8" s="17" t="s">
        <v>2663</v>
      </c>
      <c r="I8" s="17" t="s">
        <v>1915</v>
      </c>
      <c r="J8" s="17" t="s">
        <v>2561</v>
      </c>
      <c r="K8" s="147" t="s">
        <v>2665</v>
      </c>
      <c r="L8" s="3"/>
    </row>
    <row r="9" spans="1:12" ht="27">
      <c r="B9" s="15">
        <f t="shared" si="0"/>
        <v>4</v>
      </c>
      <c r="C9" s="68"/>
      <c r="D9" s="68"/>
      <c r="E9" s="68" t="s">
        <v>23</v>
      </c>
      <c r="F9" s="17" t="s">
        <v>2550</v>
      </c>
      <c r="G9" s="17"/>
      <c r="H9" s="17" t="s">
        <v>20</v>
      </c>
      <c r="I9" s="17" t="s">
        <v>2559</v>
      </c>
      <c r="J9" s="17"/>
      <c r="K9" s="147" t="s">
        <v>2665</v>
      </c>
      <c r="L9" s="3"/>
    </row>
    <row r="10" spans="1:12">
      <c r="B10" s="15">
        <f t="shared" si="0"/>
        <v>5</v>
      </c>
      <c r="C10" s="68"/>
      <c r="D10" s="68"/>
      <c r="E10" s="68"/>
      <c r="F10" s="17" t="s">
        <v>24</v>
      </c>
      <c r="G10" s="17" t="s">
        <v>2557</v>
      </c>
      <c r="H10" s="17" t="s">
        <v>20</v>
      </c>
      <c r="I10" s="23" t="s">
        <v>331</v>
      </c>
      <c r="J10" s="17"/>
      <c r="K10" s="147" t="s">
        <v>2665</v>
      </c>
      <c r="L10" s="3"/>
    </row>
    <row r="11" spans="1:12">
      <c r="B11" s="15">
        <f t="shared" si="0"/>
        <v>6</v>
      </c>
      <c r="C11" s="68"/>
      <c r="D11" s="68"/>
      <c r="E11" s="68"/>
      <c r="F11" s="17" t="s">
        <v>26</v>
      </c>
      <c r="G11" s="17" t="s">
        <v>2558</v>
      </c>
      <c r="H11" s="17" t="s">
        <v>27</v>
      </c>
      <c r="I11" s="17" t="s">
        <v>28</v>
      </c>
      <c r="J11" s="17"/>
      <c r="K11" s="147" t="s">
        <v>2665</v>
      </c>
      <c r="L11" s="3"/>
    </row>
    <row r="12" spans="1:12">
      <c r="B12" s="15">
        <f t="shared" si="0"/>
        <v>7</v>
      </c>
      <c r="C12" s="68"/>
      <c r="D12" s="68"/>
      <c r="E12" s="68"/>
      <c r="F12" s="17" t="s">
        <v>2551</v>
      </c>
      <c r="G12" s="17"/>
      <c r="H12" s="17" t="s">
        <v>50</v>
      </c>
      <c r="I12" s="23" t="s">
        <v>331</v>
      </c>
      <c r="J12" s="17"/>
      <c r="K12" s="147" t="s">
        <v>2665</v>
      </c>
      <c r="L12" s="3"/>
    </row>
    <row r="13" spans="1:12">
      <c r="B13" s="15">
        <f t="shared" si="0"/>
        <v>8</v>
      </c>
      <c r="C13" s="68"/>
      <c r="D13" s="68"/>
      <c r="E13" s="19"/>
      <c r="F13" s="17" t="s">
        <v>1918</v>
      </c>
      <c r="G13" s="17" t="s">
        <v>1377</v>
      </c>
      <c r="H13" s="17" t="s">
        <v>756</v>
      </c>
      <c r="I13" s="23" t="s">
        <v>331</v>
      </c>
      <c r="J13" s="17"/>
      <c r="K13" s="147" t="s">
        <v>2665</v>
      </c>
      <c r="L13" s="3"/>
    </row>
    <row r="14" spans="1:12">
      <c r="B14" s="15">
        <f t="shared" si="0"/>
        <v>9</v>
      </c>
      <c r="C14" s="68"/>
      <c r="D14" s="68"/>
      <c r="E14" s="16" t="s">
        <v>31</v>
      </c>
      <c r="F14" s="17" t="s">
        <v>790</v>
      </c>
      <c r="G14" s="17"/>
      <c r="H14" s="17" t="s">
        <v>20</v>
      </c>
      <c r="I14" s="23" t="s">
        <v>331</v>
      </c>
      <c r="J14" s="17"/>
      <c r="K14" s="147" t="s">
        <v>2665</v>
      </c>
      <c r="L14" s="3"/>
    </row>
    <row r="15" spans="1:12">
      <c r="B15" s="15">
        <f t="shared" si="0"/>
        <v>10</v>
      </c>
      <c r="C15" s="68"/>
      <c r="D15" s="68"/>
      <c r="E15" s="68"/>
      <c r="F15" s="17" t="s">
        <v>2352</v>
      </c>
      <c r="G15" s="17"/>
      <c r="H15" s="17" t="s">
        <v>20</v>
      </c>
      <c r="I15" s="23" t="s">
        <v>331</v>
      </c>
      <c r="J15" s="17"/>
      <c r="K15" s="147" t="s">
        <v>2665</v>
      </c>
      <c r="L15" s="3"/>
    </row>
    <row r="16" spans="1:12" ht="27">
      <c r="B16" s="15">
        <f t="shared" si="0"/>
        <v>11</v>
      </c>
      <c r="C16" s="68"/>
      <c r="D16" s="68"/>
      <c r="E16" s="68"/>
      <c r="F16" s="17" t="s">
        <v>2353</v>
      </c>
      <c r="G16" s="17"/>
      <c r="H16" s="17" t="s">
        <v>2488</v>
      </c>
      <c r="I16" s="23" t="s">
        <v>331</v>
      </c>
      <c r="J16" s="17"/>
      <c r="K16" s="147" t="s">
        <v>2665</v>
      </c>
      <c r="L16" s="3"/>
    </row>
    <row r="17" spans="2:12">
      <c r="B17" s="15">
        <f t="shared" si="0"/>
        <v>12</v>
      </c>
      <c r="C17" s="68"/>
      <c r="D17" s="68"/>
      <c r="E17" s="68"/>
      <c r="F17" s="17" t="s">
        <v>32</v>
      </c>
      <c r="G17" s="17"/>
      <c r="H17" s="17" t="s">
        <v>2490</v>
      </c>
      <c r="I17" s="23" t="s">
        <v>2552</v>
      </c>
      <c r="J17" s="17"/>
      <c r="K17" s="147" t="s">
        <v>2665</v>
      </c>
      <c r="L17" s="3"/>
    </row>
    <row r="18" spans="2:12" ht="40.5">
      <c r="B18" s="15">
        <f t="shared" si="0"/>
        <v>13</v>
      </c>
      <c r="C18" s="68"/>
      <c r="D18" s="68"/>
      <c r="E18" s="68"/>
      <c r="F18" s="17" t="s">
        <v>35</v>
      </c>
      <c r="G18" s="17"/>
      <c r="H18" s="17" t="s">
        <v>2491</v>
      </c>
      <c r="I18" s="17" t="s">
        <v>2492</v>
      </c>
      <c r="J18" s="17"/>
      <c r="K18" s="147" t="s">
        <v>2665</v>
      </c>
      <c r="L18" s="3"/>
    </row>
    <row r="19" spans="2:12" ht="27">
      <c r="B19" s="15">
        <f t="shared" si="0"/>
        <v>14</v>
      </c>
      <c r="C19" s="68"/>
      <c r="D19" s="68"/>
      <c r="E19" s="68"/>
      <c r="F19" s="17" t="s">
        <v>38</v>
      </c>
      <c r="G19" s="17"/>
      <c r="H19" s="17" t="s">
        <v>1735</v>
      </c>
      <c r="I19" s="23" t="s">
        <v>331</v>
      </c>
      <c r="J19" s="17" t="s">
        <v>2493</v>
      </c>
      <c r="K19" s="147" t="s">
        <v>2665</v>
      </c>
      <c r="L19" s="3"/>
    </row>
    <row r="20" spans="2:12" ht="27">
      <c r="B20" s="15">
        <f t="shared" si="0"/>
        <v>15</v>
      </c>
      <c r="C20" s="68"/>
      <c r="D20" s="68"/>
      <c r="E20" s="68"/>
      <c r="F20" s="17" t="s">
        <v>31</v>
      </c>
      <c r="G20" s="17"/>
      <c r="H20" s="17" t="s">
        <v>20</v>
      </c>
      <c r="I20" s="23" t="s">
        <v>331</v>
      </c>
      <c r="J20" s="17" t="s">
        <v>2494</v>
      </c>
      <c r="K20" s="147" t="s">
        <v>2665</v>
      </c>
      <c r="L20" s="3"/>
    </row>
    <row r="21" spans="2:12" ht="27">
      <c r="B21" s="15">
        <f t="shared" si="0"/>
        <v>16</v>
      </c>
      <c r="C21" s="68"/>
      <c r="D21" s="68"/>
      <c r="E21" s="68"/>
      <c r="F21" s="17" t="s">
        <v>70</v>
      </c>
      <c r="G21" s="17"/>
      <c r="H21" s="17" t="s">
        <v>20</v>
      </c>
      <c r="I21" s="23" t="s">
        <v>331</v>
      </c>
      <c r="J21" s="17" t="s">
        <v>2495</v>
      </c>
      <c r="K21" s="147" t="s">
        <v>2665</v>
      </c>
      <c r="L21" s="3"/>
    </row>
    <row r="22" spans="2:12" ht="27">
      <c r="B22" s="15">
        <f t="shared" si="0"/>
        <v>17</v>
      </c>
      <c r="C22" s="68"/>
      <c r="D22" s="68"/>
      <c r="E22" s="68"/>
      <c r="F22" s="17" t="s">
        <v>42</v>
      </c>
      <c r="G22" s="17"/>
      <c r="H22" s="17" t="s">
        <v>20</v>
      </c>
      <c r="I22" s="23" t="s">
        <v>331</v>
      </c>
      <c r="J22" s="17" t="s">
        <v>2496</v>
      </c>
      <c r="K22" s="147" t="s">
        <v>2665</v>
      </c>
      <c r="L22" s="3"/>
    </row>
    <row r="23" spans="2:12" ht="27">
      <c r="B23" s="15">
        <f t="shared" si="0"/>
        <v>18</v>
      </c>
      <c r="C23" s="68"/>
      <c r="D23" s="68"/>
      <c r="E23" s="68"/>
      <c r="F23" s="17" t="s">
        <v>33</v>
      </c>
      <c r="G23" s="17"/>
      <c r="H23" s="17" t="s">
        <v>27</v>
      </c>
      <c r="I23" s="17" t="s">
        <v>57</v>
      </c>
      <c r="J23" s="17" t="s">
        <v>2553</v>
      </c>
      <c r="K23" s="147" t="s">
        <v>2665</v>
      </c>
      <c r="L23" s="3"/>
    </row>
    <row r="24" spans="2:12">
      <c r="B24" s="15">
        <f t="shared" si="0"/>
        <v>19</v>
      </c>
      <c r="C24" s="68"/>
      <c r="D24" s="68"/>
      <c r="E24" s="68"/>
      <c r="F24" s="17" t="s">
        <v>2354</v>
      </c>
      <c r="G24" s="17"/>
      <c r="H24" s="17" t="s">
        <v>27</v>
      </c>
      <c r="I24" s="17" t="s">
        <v>57</v>
      </c>
      <c r="J24" s="17"/>
      <c r="K24" s="147" t="s">
        <v>2665</v>
      </c>
      <c r="L24" s="3"/>
    </row>
    <row r="25" spans="2:12">
      <c r="B25" s="15">
        <f t="shared" si="0"/>
        <v>20</v>
      </c>
      <c r="C25" s="68"/>
      <c r="D25" s="68"/>
      <c r="E25" s="19"/>
      <c r="F25" s="17" t="s">
        <v>43</v>
      </c>
      <c r="G25" s="17"/>
      <c r="H25" s="17" t="s">
        <v>27</v>
      </c>
      <c r="I25" s="17" t="s">
        <v>57</v>
      </c>
      <c r="J25" s="17"/>
      <c r="K25" s="147" t="s">
        <v>2665</v>
      </c>
      <c r="L25" s="3"/>
    </row>
    <row r="26" spans="2:12">
      <c r="B26" s="15">
        <f t="shared" si="0"/>
        <v>21</v>
      </c>
      <c r="C26" s="68"/>
      <c r="D26" s="68"/>
      <c r="E26" s="16" t="s">
        <v>1106</v>
      </c>
      <c r="F26" s="17" t="s">
        <v>45</v>
      </c>
      <c r="G26" s="17"/>
      <c r="H26" s="17" t="s">
        <v>20</v>
      </c>
      <c r="I26" s="23" t="s">
        <v>331</v>
      </c>
      <c r="J26" s="17"/>
      <c r="K26" s="147" t="s">
        <v>2665</v>
      </c>
      <c r="L26" s="3"/>
    </row>
    <row r="27" spans="2:12" ht="108">
      <c r="B27" s="15">
        <f t="shared" si="0"/>
        <v>22</v>
      </c>
      <c r="C27" s="68"/>
      <c r="D27" s="68"/>
      <c r="E27" s="68"/>
      <c r="F27" s="17" t="s">
        <v>46</v>
      </c>
      <c r="G27" s="17"/>
      <c r="H27" s="17" t="s">
        <v>2497</v>
      </c>
      <c r="I27" s="23" t="s">
        <v>220</v>
      </c>
      <c r="J27" s="17"/>
      <c r="K27" s="147" t="s">
        <v>2665</v>
      </c>
      <c r="L27" s="3"/>
    </row>
    <row r="28" spans="2:12">
      <c r="B28" s="15">
        <f t="shared" si="0"/>
        <v>23</v>
      </c>
      <c r="C28" s="68"/>
      <c r="D28" s="68"/>
      <c r="E28" s="68"/>
      <c r="F28" s="17" t="s">
        <v>2556</v>
      </c>
      <c r="G28" s="17"/>
      <c r="H28" s="17" t="s">
        <v>20</v>
      </c>
      <c r="I28" s="23" t="s">
        <v>331</v>
      </c>
      <c r="J28" s="17"/>
      <c r="K28" s="147" t="s">
        <v>2665</v>
      </c>
      <c r="L28" s="3"/>
    </row>
    <row r="29" spans="2:12">
      <c r="B29" s="15">
        <f t="shared" si="0"/>
        <v>24</v>
      </c>
      <c r="C29" s="68"/>
      <c r="D29" s="68"/>
      <c r="E29" s="68"/>
      <c r="F29" s="17" t="s">
        <v>48</v>
      </c>
      <c r="G29" s="17"/>
      <c r="H29" s="17" t="s">
        <v>20</v>
      </c>
      <c r="I29" s="23" t="s">
        <v>331</v>
      </c>
      <c r="J29" s="17"/>
      <c r="K29" s="147" t="s">
        <v>2665</v>
      </c>
      <c r="L29" s="3"/>
    </row>
    <row r="30" spans="2:12">
      <c r="B30" s="15">
        <f t="shared" si="0"/>
        <v>25</v>
      </c>
      <c r="C30" s="19"/>
      <c r="D30" s="19"/>
      <c r="E30" s="19"/>
      <c r="F30" s="17" t="s">
        <v>33</v>
      </c>
      <c r="G30" s="17"/>
      <c r="H30" s="17" t="s">
        <v>1732</v>
      </c>
      <c r="I30" s="17" t="s">
        <v>783</v>
      </c>
      <c r="J30" s="17"/>
      <c r="K30" s="147" t="s">
        <v>2665</v>
      </c>
      <c r="L30" s="3"/>
    </row>
  </sheetData>
  <phoneticPr fontId="14"/>
  <hyperlinks>
    <hyperlink ref="A4" location="パラメータ設定一覧!A1" display="パラメータ設定一覧へ" xr:uid="{12E33ED4-6449-470A-885E-1EED2353213B}"/>
  </hyperlinks>
  <pageMargins left="0.7" right="0.7" top="0.75" bottom="0.75" header="0.3" footer="0.3"/>
  <pageSetup paperSize="9" orientation="portrait" verticalDpi="0"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43511-FA86-4698-A846-7CA621E74E8B}">
  <sheetPr codeName="Sheet58"/>
  <dimension ref="A1:L292"/>
  <sheetViews>
    <sheetView showGridLines="0" zoomScaleNormal="100" workbookViewId="0">
      <pane xSplit="6" ySplit="5" topLeftCell="G6" activePane="bottomRight" state="frozen"/>
      <selection pane="topRight"/>
      <selection pane="bottomLeft"/>
      <selection pane="bottomRight" activeCell="G6" sqref="G6"/>
    </sheetView>
  </sheetViews>
  <sheetFormatPr defaultColWidth="8.85546875" defaultRowHeight="13.5"/>
  <cols>
    <col min="1" max="1" width="2.78515625" style="46" customWidth="1"/>
    <col min="2" max="2" width="3.78515625" style="46" customWidth="1"/>
    <col min="3" max="3" width="16.85546875" style="46" customWidth="1"/>
    <col min="4" max="4" width="19.2109375" style="46" customWidth="1"/>
    <col min="5" max="5" width="16.5703125" style="46" customWidth="1"/>
    <col min="6" max="6" width="22.5703125" style="46" customWidth="1"/>
    <col min="7" max="7" width="22.640625" style="46" bestFit="1" customWidth="1"/>
    <col min="8" max="8" width="27.5703125" style="46" customWidth="1"/>
    <col min="9" max="9" width="17.42578125" style="53" customWidth="1"/>
    <col min="10" max="10" width="22.42578125" style="46" customWidth="1"/>
    <col min="11" max="11" width="18.2109375" style="46" customWidth="1"/>
    <col min="12" max="12" width="13.140625" style="46" customWidth="1"/>
    <col min="13" max="16384" width="8.85546875" style="46"/>
  </cols>
  <sheetData>
    <row r="1" spans="1:12" customFormat="1" ht="19.5">
      <c r="A1" s="151" t="s">
        <v>1401</v>
      </c>
      <c r="C1" s="46"/>
      <c r="D1" s="46"/>
      <c r="E1" s="46"/>
      <c r="F1" s="46"/>
      <c r="G1" s="46"/>
      <c r="H1" s="46"/>
      <c r="I1" s="53"/>
    </row>
    <row r="2" spans="1:12" customFormat="1" ht="15">
      <c r="B2" t="s">
        <v>1400</v>
      </c>
      <c r="C2" s="46"/>
      <c r="D2" s="46"/>
      <c r="E2" s="46"/>
      <c r="F2" s="46"/>
      <c r="G2" s="46"/>
      <c r="H2" s="46"/>
      <c r="I2" s="53"/>
    </row>
    <row r="3" spans="1:12" customFormat="1" ht="15">
      <c r="B3" t="s">
        <v>1399</v>
      </c>
      <c r="C3" s="46"/>
      <c r="D3" s="46"/>
      <c r="E3" s="46"/>
      <c r="F3" s="46"/>
      <c r="G3" s="46"/>
      <c r="H3" s="46"/>
      <c r="I3" s="53"/>
    </row>
    <row r="4" spans="1:12" customFormat="1" ht="15">
      <c r="A4" s="10" t="s">
        <v>363</v>
      </c>
      <c r="C4" s="46"/>
      <c r="D4" s="46"/>
      <c r="E4" s="46"/>
      <c r="F4" s="46"/>
      <c r="G4" s="46"/>
      <c r="H4" s="46"/>
      <c r="I4" s="53"/>
    </row>
    <row r="5" spans="1:12">
      <c r="B5" s="11" t="s">
        <v>1</v>
      </c>
      <c r="C5" s="11" t="s">
        <v>9</v>
      </c>
      <c r="D5" s="11" t="s">
        <v>10</v>
      </c>
      <c r="E5" s="11" t="s">
        <v>11</v>
      </c>
      <c r="F5" s="20" t="s">
        <v>12</v>
      </c>
      <c r="G5" s="11" t="s">
        <v>498</v>
      </c>
      <c r="H5" s="11" t="s">
        <v>14</v>
      </c>
      <c r="I5" s="54" t="s">
        <v>15</v>
      </c>
      <c r="J5" s="11" t="s">
        <v>16</v>
      </c>
      <c r="K5" s="14" t="s">
        <v>17</v>
      </c>
      <c r="L5" s="14" t="s">
        <v>18</v>
      </c>
    </row>
    <row r="6" spans="1:12" ht="31.5" customHeight="1">
      <c r="B6" s="15">
        <f t="shared" ref="B6:B42" si="0">ROW() - 5</f>
        <v>1</v>
      </c>
      <c r="C6" s="433" t="s">
        <v>1398</v>
      </c>
      <c r="D6" s="16"/>
      <c r="E6" s="16"/>
      <c r="F6" s="22" t="s">
        <v>1347</v>
      </c>
      <c r="G6" s="22"/>
      <c r="H6" s="22" t="s">
        <v>20</v>
      </c>
      <c r="I6" s="44" t="s">
        <v>331</v>
      </c>
      <c r="J6" s="23"/>
      <c r="K6" s="2" t="s">
        <v>1340</v>
      </c>
      <c r="L6" s="3"/>
    </row>
    <row r="7" spans="1:12">
      <c r="B7" s="15">
        <f t="shared" si="0"/>
        <v>2</v>
      </c>
      <c r="C7" s="434"/>
      <c r="D7" s="68"/>
      <c r="E7" s="68"/>
      <c r="F7" s="49" t="s">
        <v>45</v>
      </c>
      <c r="G7" s="49"/>
      <c r="H7" s="22" t="s">
        <v>20</v>
      </c>
      <c r="I7" s="44" t="s">
        <v>331</v>
      </c>
      <c r="J7" s="23"/>
      <c r="K7" s="2" t="s">
        <v>1340</v>
      </c>
      <c r="L7" s="3"/>
    </row>
    <row r="8" spans="1:12">
      <c r="B8" s="15">
        <f t="shared" si="0"/>
        <v>3</v>
      </c>
      <c r="C8" s="434"/>
      <c r="D8" s="68"/>
      <c r="E8" s="68"/>
      <c r="F8" s="49" t="s">
        <v>1397</v>
      </c>
      <c r="G8" s="49" t="s">
        <v>51</v>
      </c>
      <c r="H8" s="48" t="s">
        <v>1396</v>
      </c>
      <c r="I8" s="44" t="s">
        <v>331</v>
      </c>
      <c r="J8" s="23"/>
      <c r="K8" s="2" t="s">
        <v>1340</v>
      </c>
      <c r="L8" s="3"/>
    </row>
    <row r="9" spans="1:12" ht="67.5">
      <c r="B9" s="15">
        <f t="shared" si="0"/>
        <v>4</v>
      </c>
      <c r="C9" s="434"/>
      <c r="D9" s="68"/>
      <c r="E9" s="68"/>
      <c r="F9" s="49" t="s">
        <v>1395</v>
      </c>
      <c r="G9" s="23" t="s">
        <v>1394</v>
      </c>
      <c r="H9" s="48" t="s">
        <v>50</v>
      </c>
      <c r="I9" s="150" t="s">
        <v>1393</v>
      </c>
      <c r="J9" s="23"/>
      <c r="K9" s="2" t="s">
        <v>1340</v>
      </c>
      <c r="L9" s="3"/>
    </row>
    <row r="10" spans="1:12">
      <c r="B10" s="15">
        <f t="shared" si="0"/>
        <v>5</v>
      </c>
      <c r="C10" s="435"/>
      <c r="D10" s="19"/>
      <c r="E10" s="19"/>
      <c r="F10" s="49" t="s">
        <v>1392</v>
      </c>
      <c r="G10" s="49"/>
      <c r="H10" s="48" t="s">
        <v>1391</v>
      </c>
      <c r="I10" s="44" t="s">
        <v>234</v>
      </c>
      <c r="J10" s="23"/>
      <c r="K10" s="2" t="s">
        <v>1340</v>
      </c>
      <c r="L10" s="3"/>
    </row>
    <row r="11" spans="1:12">
      <c r="B11" s="15">
        <f t="shared" si="0"/>
        <v>6</v>
      </c>
      <c r="C11" s="104" t="s">
        <v>45</v>
      </c>
      <c r="D11" s="104"/>
      <c r="E11" s="104"/>
      <c r="F11" s="49" t="s">
        <v>45</v>
      </c>
      <c r="G11" s="49"/>
      <c r="H11" s="49" t="s">
        <v>20</v>
      </c>
      <c r="I11" s="44" t="s">
        <v>331</v>
      </c>
      <c r="J11" s="23"/>
      <c r="K11" s="2" t="s">
        <v>1340</v>
      </c>
      <c r="L11" s="3"/>
    </row>
    <row r="12" spans="1:12" ht="40.5">
      <c r="B12" s="15">
        <f t="shared" si="0"/>
        <v>7</v>
      </c>
      <c r="C12" s="104" t="s">
        <v>1390</v>
      </c>
      <c r="D12" s="104"/>
      <c r="E12" s="104"/>
      <c r="F12" s="49" t="s">
        <v>1347</v>
      </c>
      <c r="G12" s="23" t="s">
        <v>1389</v>
      </c>
      <c r="H12" s="48" t="s">
        <v>1388</v>
      </c>
      <c r="I12" s="44" t="s">
        <v>331</v>
      </c>
      <c r="J12" s="23"/>
      <c r="K12" s="2" t="s">
        <v>1340</v>
      </c>
      <c r="L12" s="3"/>
    </row>
    <row r="13" spans="1:12" ht="40.5">
      <c r="B13" s="15">
        <f t="shared" si="0"/>
        <v>8</v>
      </c>
      <c r="C13" s="225"/>
      <c r="D13" s="225"/>
      <c r="E13" s="225"/>
      <c r="F13" s="49" t="s">
        <v>1387</v>
      </c>
      <c r="G13" s="23" t="s">
        <v>1386</v>
      </c>
      <c r="H13" s="48" t="s">
        <v>1385</v>
      </c>
      <c r="I13" s="44" t="s">
        <v>331</v>
      </c>
      <c r="J13" s="23"/>
      <c r="K13" s="2" t="s">
        <v>1340</v>
      </c>
      <c r="L13" s="3"/>
    </row>
    <row r="14" spans="1:12">
      <c r="B14" s="15">
        <f t="shared" si="0"/>
        <v>9</v>
      </c>
      <c r="C14" s="225"/>
      <c r="D14" s="225"/>
      <c r="E14" s="225"/>
      <c r="F14" s="49" t="s">
        <v>1384</v>
      </c>
      <c r="G14" s="23" t="s">
        <v>1377</v>
      </c>
      <c r="H14" s="48" t="s">
        <v>1383</v>
      </c>
      <c r="I14" s="44" t="s">
        <v>331</v>
      </c>
      <c r="J14" s="23"/>
      <c r="K14" s="2" t="s">
        <v>1340</v>
      </c>
      <c r="L14" s="3"/>
    </row>
    <row r="15" spans="1:12">
      <c r="B15" s="15">
        <f t="shared" si="0"/>
        <v>10</v>
      </c>
      <c r="C15" s="225"/>
      <c r="D15" s="225"/>
      <c r="E15" s="225"/>
      <c r="F15" s="49" t="s">
        <v>1382</v>
      </c>
      <c r="G15" s="23" t="s">
        <v>1377</v>
      </c>
      <c r="H15" s="48" t="s">
        <v>1381</v>
      </c>
      <c r="I15" s="44" t="s">
        <v>331</v>
      </c>
      <c r="J15" s="23"/>
      <c r="K15" s="2" t="s">
        <v>1340</v>
      </c>
      <c r="L15" s="3"/>
    </row>
    <row r="16" spans="1:12">
      <c r="B16" s="15">
        <f t="shared" si="0"/>
        <v>11</v>
      </c>
      <c r="C16" s="104" t="s">
        <v>1380</v>
      </c>
      <c r="D16" s="104"/>
      <c r="E16" s="104"/>
      <c r="F16" s="49" t="s">
        <v>1230</v>
      </c>
      <c r="G16" s="23" t="s">
        <v>1377</v>
      </c>
      <c r="H16" s="48" t="s">
        <v>1379</v>
      </c>
      <c r="I16" s="44" t="s">
        <v>331</v>
      </c>
      <c r="J16" s="23"/>
      <c r="K16" s="2" t="s">
        <v>1340</v>
      </c>
      <c r="L16" s="3"/>
    </row>
    <row r="17" spans="2:12">
      <c r="B17" s="15">
        <f t="shared" si="0"/>
        <v>12</v>
      </c>
      <c r="C17" s="225"/>
      <c r="D17" s="225"/>
      <c r="E17" s="225"/>
      <c r="F17" s="49" t="s">
        <v>1378</v>
      </c>
      <c r="G17" s="23" t="s">
        <v>1377</v>
      </c>
      <c r="H17" s="48" t="s">
        <v>1376</v>
      </c>
      <c r="I17" s="44" t="s">
        <v>331</v>
      </c>
      <c r="J17" s="23"/>
      <c r="K17" s="2" t="s">
        <v>1340</v>
      </c>
      <c r="L17" s="3"/>
    </row>
    <row r="18" spans="2:12">
      <c r="B18" s="15">
        <f t="shared" si="0"/>
        <v>13</v>
      </c>
      <c r="C18" s="225"/>
      <c r="D18" s="225"/>
      <c r="E18" s="225"/>
      <c r="F18" s="49" t="s">
        <v>1375</v>
      </c>
      <c r="G18" s="49"/>
      <c r="H18" s="49" t="s">
        <v>20</v>
      </c>
      <c r="I18" s="44" t="s">
        <v>331</v>
      </c>
      <c r="J18" s="23"/>
      <c r="K18" s="2" t="s">
        <v>1340</v>
      </c>
      <c r="L18" s="3"/>
    </row>
    <row r="19" spans="2:12">
      <c r="B19" s="15">
        <f t="shared" si="0"/>
        <v>14</v>
      </c>
      <c r="C19" s="225"/>
      <c r="D19" s="225"/>
      <c r="E19" s="225"/>
      <c r="F19" s="49" t="s">
        <v>1374</v>
      </c>
      <c r="G19" s="49"/>
      <c r="H19" s="49" t="s">
        <v>20</v>
      </c>
      <c r="I19" s="44" t="s">
        <v>331</v>
      </c>
      <c r="J19" s="23"/>
      <c r="K19" s="2" t="s">
        <v>1340</v>
      </c>
      <c r="L19" s="3"/>
    </row>
    <row r="20" spans="2:12">
      <c r="B20" s="15">
        <f t="shared" si="0"/>
        <v>15</v>
      </c>
      <c r="C20" s="225"/>
      <c r="D20" s="225"/>
      <c r="E20" s="225"/>
      <c r="F20" s="49" t="s">
        <v>1373</v>
      </c>
      <c r="G20" s="49"/>
      <c r="H20" s="49" t="s">
        <v>50</v>
      </c>
      <c r="I20" s="150" t="s">
        <v>1370</v>
      </c>
      <c r="J20" s="23"/>
      <c r="K20" s="2" t="s">
        <v>1340</v>
      </c>
      <c r="L20" s="3"/>
    </row>
    <row r="21" spans="2:12">
      <c r="B21" s="15">
        <f t="shared" si="0"/>
        <v>16</v>
      </c>
      <c r="C21" s="225"/>
      <c r="D21" s="225"/>
      <c r="E21" s="225"/>
      <c r="F21" s="49" t="s">
        <v>1372</v>
      </c>
      <c r="G21" s="49"/>
      <c r="H21" s="49" t="s">
        <v>50</v>
      </c>
      <c r="I21" s="150" t="s">
        <v>1370</v>
      </c>
      <c r="J21" s="23"/>
      <c r="K21" s="2" t="s">
        <v>1340</v>
      </c>
      <c r="L21" s="3"/>
    </row>
    <row r="22" spans="2:12">
      <c r="B22" s="15">
        <f t="shared" si="0"/>
        <v>17</v>
      </c>
      <c r="C22" s="50"/>
      <c r="D22" s="50"/>
      <c r="E22" s="50"/>
      <c r="F22" s="49" t="s">
        <v>1371</v>
      </c>
      <c r="G22" s="49"/>
      <c r="H22" s="49" t="s">
        <v>50</v>
      </c>
      <c r="I22" s="150" t="s">
        <v>1370</v>
      </c>
      <c r="J22" s="23"/>
      <c r="K22" s="2" t="s">
        <v>1340</v>
      </c>
      <c r="L22" s="3"/>
    </row>
    <row r="23" spans="2:12">
      <c r="B23" s="15">
        <f t="shared" si="0"/>
        <v>18</v>
      </c>
      <c r="C23" s="104" t="s">
        <v>1369</v>
      </c>
      <c r="D23" s="104"/>
      <c r="E23" s="104"/>
      <c r="F23" s="49" t="s">
        <v>1369</v>
      </c>
      <c r="G23" s="49" t="s">
        <v>51</v>
      </c>
      <c r="H23" s="49" t="s">
        <v>1368</v>
      </c>
      <c r="I23" s="44" t="s">
        <v>331</v>
      </c>
      <c r="J23" s="23"/>
      <c r="K23" s="2" t="s">
        <v>1340</v>
      </c>
      <c r="L23" s="3"/>
    </row>
    <row r="24" spans="2:12">
      <c r="B24" s="15">
        <f t="shared" si="0"/>
        <v>19</v>
      </c>
      <c r="C24" s="225"/>
      <c r="D24" s="225"/>
      <c r="E24" s="225"/>
      <c r="F24" s="49" t="s">
        <v>45</v>
      </c>
      <c r="G24" s="49"/>
      <c r="H24" s="49" t="s">
        <v>20</v>
      </c>
      <c r="I24" s="44" t="s">
        <v>331</v>
      </c>
      <c r="J24" s="23"/>
      <c r="K24" s="2" t="s">
        <v>1340</v>
      </c>
      <c r="L24" s="3"/>
    </row>
    <row r="25" spans="2:12">
      <c r="B25" s="15">
        <f t="shared" si="0"/>
        <v>20</v>
      </c>
      <c r="C25" s="225"/>
      <c r="D25" s="225"/>
      <c r="E25" s="225"/>
      <c r="F25" s="49" t="s">
        <v>1230</v>
      </c>
      <c r="G25" s="49" t="s">
        <v>51</v>
      </c>
      <c r="H25" s="49" t="s">
        <v>1367</v>
      </c>
      <c r="I25" s="44" t="s">
        <v>331</v>
      </c>
      <c r="J25" s="23"/>
      <c r="K25" s="2" t="s">
        <v>1340</v>
      </c>
      <c r="L25" s="3"/>
    </row>
    <row r="26" spans="2:12">
      <c r="B26" s="15">
        <f t="shared" si="0"/>
        <v>21</v>
      </c>
      <c r="C26" s="50"/>
      <c r="D26" s="50"/>
      <c r="E26" s="50"/>
      <c r="F26" s="49" t="s">
        <v>1355</v>
      </c>
      <c r="G26" s="49"/>
      <c r="H26" s="49" t="s">
        <v>1354</v>
      </c>
      <c r="I26" s="44" t="s">
        <v>170</v>
      </c>
      <c r="J26" s="23"/>
      <c r="K26" s="2" t="s">
        <v>1340</v>
      </c>
      <c r="L26" s="3"/>
    </row>
    <row r="27" spans="2:12" ht="54">
      <c r="B27" s="15">
        <f t="shared" si="0"/>
        <v>22</v>
      </c>
      <c r="C27" s="104" t="s">
        <v>1366</v>
      </c>
      <c r="D27" s="104"/>
      <c r="E27" s="104"/>
      <c r="F27" s="49" t="s">
        <v>1365</v>
      </c>
      <c r="G27" s="23" t="s">
        <v>1364</v>
      </c>
      <c r="H27" s="49" t="s">
        <v>1363</v>
      </c>
      <c r="I27" s="44" t="s">
        <v>331</v>
      </c>
      <c r="J27" s="23"/>
      <c r="K27" s="2" t="s">
        <v>1340</v>
      </c>
      <c r="L27" s="3"/>
    </row>
    <row r="28" spans="2:12">
      <c r="B28" s="15">
        <f t="shared" si="0"/>
        <v>23</v>
      </c>
      <c r="C28" s="225"/>
      <c r="D28" s="225"/>
      <c r="E28" s="225"/>
      <c r="F28" s="49" t="s">
        <v>45</v>
      </c>
      <c r="G28" s="49"/>
      <c r="H28" s="49" t="s">
        <v>20</v>
      </c>
      <c r="I28" s="44" t="s">
        <v>331</v>
      </c>
      <c r="J28" s="23"/>
      <c r="K28" s="2" t="s">
        <v>1340</v>
      </c>
      <c r="L28" s="3"/>
    </row>
    <row r="29" spans="2:12">
      <c r="B29" s="15">
        <f t="shared" si="0"/>
        <v>24</v>
      </c>
      <c r="C29" s="50"/>
      <c r="D29" s="50"/>
      <c r="E29" s="50"/>
      <c r="F29" s="49" t="s">
        <v>1355</v>
      </c>
      <c r="G29" s="49"/>
      <c r="H29" s="49" t="s">
        <v>1354</v>
      </c>
      <c r="I29" s="44" t="s">
        <v>170</v>
      </c>
      <c r="J29" s="23"/>
      <c r="K29" s="2" t="s">
        <v>1340</v>
      </c>
      <c r="L29" s="3"/>
    </row>
    <row r="30" spans="2:12" ht="54">
      <c r="B30" s="15">
        <f t="shared" si="0"/>
        <v>25</v>
      </c>
      <c r="C30" s="104" t="s">
        <v>1362</v>
      </c>
      <c r="D30" s="104"/>
      <c r="E30" s="104"/>
      <c r="F30" s="49" t="s">
        <v>1361</v>
      </c>
      <c r="G30" s="23" t="s">
        <v>1360</v>
      </c>
      <c r="H30" s="49" t="s">
        <v>1359</v>
      </c>
      <c r="I30" s="44" t="s">
        <v>331</v>
      </c>
      <c r="J30" s="23"/>
      <c r="K30" s="2" t="s">
        <v>1340</v>
      </c>
      <c r="L30" s="3"/>
    </row>
    <row r="31" spans="2:12">
      <c r="B31" s="15">
        <f t="shared" si="0"/>
        <v>26</v>
      </c>
      <c r="C31" s="225"/>
      <c r="D31" s="225"/>
      <c r="E31" s="225"/>
      <c r="F31" s="49" t="s">
        <v>45</v>
      </c>
      <c r="G31" s="49"/>
      <c r="H31" s="49" t="s">
        <v>20</v>
      </c>
      <c r="I31" s="44" t="s">
        <v>331</v>
      </c>
      <c r="J31" s="23"/>
      <c r="K31" s="2" t="s">
        <v>1340</v>
      </c>
      <c r="L31" s="3"/>
    </row>
    <row r="32" spans="2:12" ht="40.5">
      <c r="B32" s="15">
        <f t="shared" si="0"/>
        <v>27</v>
      </c>
      <c r="C32" s="104" t="s">
        <v>1358</v>
      </c>
      <c r="D32" s="104"/>
      <c r="E32" s="104"/>
      <c r="F32" s="49" t="s">
        <v>1358</v>
      </c>
      <c r="G32" s="23" t="s">
        <v>1357</v>
      </c>
      <c r="H32" s="49" t="s">
        <v>1356</v>
      </c>
      <c r="I32" s="44" t="s">
        <v>331</v>
      </c>
      <c r="J32" s="23"/>
      <c r="K32" s="2" t="s">
        <v>1340</v>
      </c>
      <c r="L32" s="3"/>
    </row>
    <row r="33" spans="2:12">
      <c r="B33" s="15">
        <f t="shared" si="0"/>
        <v>28</v>
      </c>
      <c r="C33" s="225"/>
      <c r="D33" s="225"/>
      <c r="E33" s="225"/>
      <c r="F33" s="49" t="s">
        <v>45</v>
      </c>
      <c r="G33" s="23"/>
      <c r="H33" s="49" t="s">
        <v>20</v>
      </c>
      <c r="I33" s="44" t="s">
        <v>331</v>
      </c>
      <c r="J33" s="23"/>
      <c r="K33" s="2" t="s">
        <v>1340</v>
      </c>
      <c r="L33" s="3"/>
    </row>
    <row r="34" spans="2:12">
      <c r="B34" s="15">
        <f t="shared" si="0"/>
        <v>29</v>
      </c>
      <c r="C34" s="50"/>
      <c r="D34" s="50"/>
      <c r="E34" s="50"/>
      <c r="F34" s="49" t="s">
        <v>1355</v>
      </c>
      <c r="G34" s="23"/>
      <c r="H34" s="49" t="s">
        <v>1354</v>
      </c>
      <c r="I34" s="44" t="s">
        <v>170</v>
      </c>
      <c r="J34" s="23"/>
      <c r="K34" s="2" t="s">
        <v>1340</v>
      </c>
      <c r="L34" s="3"/>
    </row>
    <row r="35" spans="2:12" ht="40.5">
      <c r="B35" s="15">
        <f t="shared" si="0"/>
        <v>30</v>
      </c>
      <c r="C35" s="104" t="s">
        <v>1353</v>
      </c>
      <c r="D35" s="104"/>
      <c r="E35" s="104"/>
      <c r="F35" s="49" t="s">
        <v>1352</v>
      </c>
      <c r="G35" s="23" t="s">
        <v>1351</v>
      </c>
      <c r="H35" s="49" t="s">
        <v>1350</v>
      </c>
      <c r="I35" s="44" t="s">
        <v>331</v>
      </c>
      <c r="J35" s="23"/>
      <c r="K35" s="2" t="s">
        <v>1340</v>
      </c>
      <c r="L35" s="3"/>
    </row>
    <row r="36" spans="2:12">
      <c r="B36" s="15">
        <f t="shared" si="0"/>
        <v>31</v>
      </c>
      <c r="C36" s="225"/>
      <c r="D36" s="225"/>
      <c r="E36" s="225"/>
      <c r="F36" s="49" t="s">
        <v>1349</v>
      </c>
      <c r="G36" s="23"/>
      <c r="H36" s="49" t="s">
        <v>20</v>
      </c>
      <c r="I36" s="44" t="s">
        <v>331</v>
      </c>
      <c r="J36" s="23"/>
      <c r="K36" s="2" t="s">
        <v>1340</v>
      </c>
      <c r="L36" s="3"/>
    </row>
    <row r="37" spans="2:12" ht="40.5">
      <c r="B37" s="15">
        <f t="shared" si="0"/>
        <v>32</v>
      </c>
      <c r="C37" s="104" t="s">
        <v>1348</v>
      </c>
      <c r="D37" s="104"/>
      <c r="E37" s="104"/>
      <c r="F37" s="49" t="s">
        <v>1347</v>
      </c>
      <c r="G37" s="23" t="s">
        <v>1346</v>
      </c>
      <c r="H37" s="49" t="s">
        <v>1345</v>
      </c>
      <c r="I37" s="44" t="s">
        <v>331</v>
      </c>
      <c r="J37" s="23"/>
      <c r="K37" s="2" t="s">
        <v>1340</v>
      </c>
      <c r="L37" s="3"/>
    </row>
    <row r="38" spans="2:12">
      <c r="B38" s="15">
        <f t="shared" si="0"/>
        <v>33</v>
      </c>
      <c r="C38" s="225"/>
      <c r="D38" s="225"/>
      <c r="E38" s="225"/>
      <c r="F38" s="49" t="s">
        <v>45</v>
      </c>
      <c r="G38" s="23"/>
      <c r="H38" s="49" t="s">
        <v>465</v>
      </c>
      <c r="I38" s="44" t="s">
        <v>331</v>
      </c>
      <c r="J38" s="23"/>
      <c r="K38" s="2" t="s">
        <v>1340</v>
      </c>
      <c r="L38" s="3"/>
    </row>
    <row r="39" spans="2:12">
      <c r="B39" s="15">
        <f t="shared" si="0"/>
        <v>34</v>
      </c>
      <c r="C39" s="50"/>
      <c r="D39" s="50"/>
      <c r="E39" s="50"/>
      <c r="F39" s="49" t="s">
        <v>709</v>
      </c>
      <c r="G39" s="23"/>
      <c r="H39" s="49" t="s">
        <v>20</v>
      </c>
      <c r="I39" s="44" t="s">
        <v>331</v>
      </c>
      <c r="J39" s="23"/>
      <c r="K39" s="2" t="s">
        <v>1340</v>
      </c>
      <c r="L39" s="3"/>
    </row>
    <row r="40" spans="2:12" ht="40.5">
      <c r="B40" s="15">
        <f t="shared" si="0"/>
        <v>35</v>
      </c>
      <c r="C40" s="104" t="s">
        <v>1344</v>
      </c>
      <c r="D40" s="104"/>
      <c r="E40" s="104"/>
      <c r="F40" s="49" t="s">
        <v>1343</v>
      </c>
      <c r="G40" s="23" t="s">
        <v>1342</v>
      </c>
      <c r="H40" s="49" t="s">
        <v>1341</v>
      </c>
      <c r="I40" s="44" t="s">
        <v>331</v>
      </c>
      <c r="J40" s="23"/>
      <c r="K40" s="2" t="s">
        <v>1340</v>
      </c>
      <c r="L40" s="3"/>
    </row>
    <row r="41" spans="2:12">
      <c r="B41" s="15">
        <f t="shared" si="0"/>
        <v>36</v>
      </c>
      <c r="C41" s="225"/>
      <c r="D41" s="225"/>
      <c r="E41" s="225"/>
      <c r="F41" s="49" t="s">
        <v>45</v>
      </c>
      <c r="G41" s="23"/>
      <c r="H41" s="49" t="s">
        <v>465</v>
      </c>
      <c r="I41" s="44" t="s">
        <v>331</v>
      </c>
      <c r="J41" s="23"/>
      <c r="K41" s="2" t="s">
        <v>1340</v>
      </c>
      <c r="L41" s="3"/>
    </row>
    <row r="42" spans="2:12">
      <c r="B42" s="15">
        <f t="shared" si="0"/>
        <v>37</v>
      </c>
      <c r="C42" s="50"/>
      <c r="D42" s="50"/>
      <c r="E42" s="50"/>
      <c r="F42" s="49" t="s">
        <v>709</v>
      </c>
      <c r="G42" s="23"/>
      <c r="H42" s="49" t="s">
        <v>20</v>
      </c>
      <c r="I42" s="44" t="s">
        <v>331</v>
      </c>
      <c r="J42" s="23"/>
      <c r="K42" s="2" t="s">
        <v>1340</v>
      </c>
      <c r="L42" s="3"/>
    </row>
    <row r="43" spans="2:12">
      <c r="I43" s="46"/>
    </row>
    <row r="44" spans="2:12">
      <c r="I44" s="46"/>
    </row>
    <row r="45" spans="2:12">
      <c r="I45" s="46"/>
    </row>
    <row r="46" spans="2:12">
      <c r="I46" s="46"/>
    </row>
    <row r="47" spans="2:12">
      <c r="I47" s="46"/>
    </row>
    <row r="48" spans="2:12">
      <c r="I48" s="46"/>
    </row>
    <row r="49" s="46" customFormat="1" ht="18.75" customHeight="1"/>
    <row r="50" s="46" customFormat="1"/>
    <row r="51" s="46" customFormat="1"/>
    <row r="52" s="46" customFormat="1"/>
    <row r="53" s="46" customFormat="1"/>
    <row r="54" s="46" customFormat="1" ht="15.75" customHeight="1"/>
    <row r="55" s="46" customFormat="1"/>
    <row r="56" s="46" customFormat="1"/>
    <row r="57" s="46" customFormat="1"/>
    <row r="58" s="46" customFormat="1"/>
    <row r="59" s="46" customForma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ht="33" customHeight="1"/>
    <row r="141" s="46" customFormat="1"/>
    <row r="142" s="46" customFormat="1"/>
    <row r="143" s="46" customFormat="1"/>
    <row r="144" s="46" customFormat="1"/>
    <row r="145" s="46" customFormat="1" ht="31.5" customHeight="1"/>
    <row r="146" s="46" customFormat="1"/>
    <row r="147" s="46" customFormat="1"/>
    <row r="148" s="46" customFormat="1"/>
    <row r="149" s="46" customFormat="1"/>
    <row r="150" s="46" customFormat="1"/>
    <row r="151" s="46" customFormat="1"/>
    <row r="152" s="46" customFormat="1"/>
    <row r="153" s="46" customFormat="1"/>
    <row r="154" s="46" customFormat="1"/>
    <row r="155" s="46" customFormat="1" ht="30.75" customHeight="1"/>
    <row r="156" s="46" customFormat="1" ht="33" customHeight="1"/>
    <row r="157" s="46" customFormat="1"/>
    <row r="158" s="46" customFormat="1"/>
    <row r="159" s="46" customFormat="1"/>
    <row r="160" s="46" customFormat="1"/>
    <row r="161" s="46" customFormat="1" ht="31.5" customHeight="1"/>
    <row r="162" s="46" customFormat="1"/>
    <row r="163" s="46" customFormat="1" ht="30.75" customHeight="1"/>
    <row r="164" s="46" customFormat="1"/>
    <row r="165" s="46" customFormat="1" ht="31.5" customHeight="1"/>
    <row r="166" s="46" customFormat="1"/>
    <row r="167" s="46" customFormat="1"/>
    <row r="168" s="46" customFormat="1"/>
    <row r="169" s="46" customFormat="1" ht="33" customHeight="1"/>
    <row r="170" s="46" customFormat="1"/>
    <row r="171" s="46" customFormat="1" ht="30.75" customHeight="1"/>
    <row r="172" s="46" customFormat="1" ht="27" customHeigh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ht="409" customHeigh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ht="2.25" customHeight="1"/>
    <row r="281" s="46" customFormat="1" ht="409.5" customHeight="1"/>
    <row r="282" s="46" customFormat="1"/>
    <row r="283" s="46" customFormat="1"/>
    <row r="284" s="46" customFormat="1"/>
    <row r="285" s="46" customFormat="1"/>
    <row r="286" s="46" customFormat="1"/>
    <row r="287" s="46" customFormat="1"/>
    <row r="288" s="46" customFormat="1"/>
    <row r="289" spans="9:9">
      <c r="I289" s="46"/>
    </row>
    <row r="290" spans="9:9">
      <c r="I290" s="46"/>
    </row>
    <row r="291" spans="9:9">
      <c r="I291" s="46"/>
    </row>
    <row r="292" spans="9:9">
      <c r="I292" s="46"/>
    </row>
  </sheetData>
  <mergeCells count="1">
    <mergeCell ref="C6:C10"/>
  </mergeCells>
  <phoneticPr fontId="14"/>
  <hyperlinks>
    <hyperlink ref="A4" location="パラメータ設定一覧!A1" display="パラメータ設定一覧へ" xr:uid="{BFB94C83-F1D9-48C6-9EC1-08688F489A18}"/>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EC7AC-682A-4C01-A609-E677F27B5B6B}">
  <sheetPr codeName="Sheet59"/>
  <dimension ref="A1:AM14"/>
  <sheetViews>
    <sheetView showGridLines="0" zoomScaleNormal="100" workbookViewId="0">
      <pane ySplit="8" topLeftCell="A9" activePane="bottomLeft" state="frozen"/>
      <selection pane="bottomLeft" activeCell="A9" sqref="A9"/>
    </sheetView>
  </sheetViews>
  <sheetFormatPr defaultColWidth="8.85546875" defaultRowHeight="13.5"/>
  <cols>
    <col min="1" max="1" width="2.78515625" style="177" customWidth="1"/>
    <col min="2" max="2" width="3.5703125" style="177" bestFit="1" customWidth="1"/>
    <col min="3" max="12" width="17.2109375" style="177" customWidth="1"/>
    <col min="13" max="16" width="8.85546875" style="177"/>
    <col min="17" max="17" width="9.5" style="177" bestFit="1" customWidth="1"/>
    <col min="18" max="16384" width="8.85546875" style="177"/>
  </cols>
  <sheetData>
    <row r="1" spans="1:39" s="116" customFormat="1" ht="19.5">
      <c r="A1" s="184" t="s">
        <v>2711</v>
      </c>
    </row>
    <row r="2" spans="1:39" s="116" customFormat="1" ht="15">
      <c r="A2" s="308" t="s">
        <v>2668</v>
      </c>
    </row>
    <row r="3" spans="1:39" s="116" customFormat="1" ht="15">
      <c r="A3" s="179" t="s">
        <v>363</v>
      </c>
    </row>
    <row r="4" spans="1:39" ht="15.75" customHeight="1">
      <c r="B4" s="454" t="s">
        <v>1</v>
      </c>
      <c r="C4" s="135" t="s">
        <v>1347</v>
      </c>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3"/>
    </row>
    <row r="5" spans="1:39">
      <c r="B5" s="454"/>
      <c r="C5" s="135" t="s">
        <v>23</v>
      </c>
      <c r="D5" s="134"/>
      <c r="E5" s="134"/>
      <c r="F5" s="134"/>
      <c r="G5" s="133"/>
      <c r="H5" s="69" t="s">
        <v>45</v>
      </c>
      <c r="I5" s="135" t="s">
        <v>1390</v>
      </c>
      <c r="J5" s="134"/>
      <c r="K5" s="134"/>
      <c r="L5" s="133"/>
      <c r="M5" s="135" t="s">
        <v>1380</v>
      </c>
      <c r="N5" s="134"/>
      <c r="O5" s="134"/>
      <c r="P5" s="134"/>
      <c r="Q5" s="134"/>
      <c r="R5" s="134"/>
      <c r="S5" s="133"/>
      <c r="T5" s="135" t="s">
        <v>1369</v>
      </c>
      <c r="U5" s="134"/>
      <c r="V5" s="134"/>
      <c r="W5" s="133"/>
      <c r="X5" s="135" t="s">
        <v>1366</v>
      </c>
      <c r="Y5" s="134"/>
      <c r="Z5" s="133"/>
      <c r="AA5" s="135" t="s">
        <v>1362</v>
      </c>
      <c r="AB5" s="133"/>
      <c r="AC5" s="135" t="s">
        <v>1358</v>
      </c>
      <c r="AD5" s="134"/>
      <c r="AE5" s="133"/>
      <c r="AF5" s="135" t="s">
        <v>1353</v>
      </c>
      <c r="AG5" s="133"/>
      <c r="AH5" s="135" t="s">
        <v>1408</v>
      </c>
      <c r="AI5" s="134"/>
      <c r="AJ5" s="133"/>
      <c r="AK5" s="135" t="s">
        <v>1344</v>
      </c>
      <c r="AL5" s="134"/>
      <c r="AM5" s="133"/>
    </row>
    <row r="6" spans="1:39">
      <c r="B6" s="454"/>
      <c r="C6" s="183" t="s">
        <v>1347</v>
      </c>
      <c r="D6" s="183" t="s">
        <v>45</v>
      </c>
      <c r="E6" s="183" t="s">
        <v>1407</v>
      </c>
      <c r="F6" s="183" t="s">
        <v>1395</v>
      </c>
      <c r="G6" s="183" t="s">
        <v>1392</v>
      </c>
      <c r="H6" s="183" t="s">
        <v>45</v>
      </c>
      <c r="I6" s="183" t="s">
        <v>1347</v>
      </c>
      <c r="J6" s="183" t="s">
        <v>1406</v>
      </c>
      <c r="K6" s="183" t="s">
        <v>1384</v>
      </c>
      <c r="L6" s="183" t="s">
        <v>1382</v>
      </c>
      <c r="M6" s="183" t="s">
        <v>1403</v>
      </c>
      <c r="N6" s="183" t="s">
        <v>1378</v>
      </c>
      <c r="O6" s="183" t="s">
        <v>1375</v>
      </c>
      <c r="P6" s="183" t="s">
        <v>1405</v>
      </c>
      <c r="Q6" s="183" t="s">
        <v>1373</v>
      </c>
      <c r="R6" s="183" t="s">
        <v>1372</v>
      </c>
      <c r="S6" s="183" t="s">
        <v>1371</v>
      </c>
      <c r="T6" s="183" t="s">
        <v>1404</v>
      </c>
      <c r="U6" s="183" t="s">
        <v>45</v>
      </c>
      <c r="V6" s="183" t="s">
        <v>1403</v>
      </c>
      <c r="W6" s="183" t="s">
        <v>1355</v>
      </c>
      <c r="X6" s="183" t="s">
        <v>1365</v>
      </c>
      <c r="Y6" s="183" t="s">
        <v>45</v>
      </c>
      <c r="Z6" s="183" t="s">
        <v>1355</v>
      </c>
      <c r="AA6" s="183" t="s">
        <v>1402</v>
      </c>
      <c r="AB6" s="183" t="s">
        <v>45</v>
      </c>
      <c r="AC6" s="183" t="s">
        <v>1358</v>
      </c>
      <c r="AD6" s="183" t="s">
        <v>45</v>
      </c>
      <c r="AE6" s="183" t="s">
        <v>1355</v>
      </c>
      <c r="AF6" s="183" t="s">
        <v>1352</v>
      </c>
      <c r="AG6" s="183" t="s">
        <v>1349</v>
      </c>
      <c r="AH6" s="183" t="s">
        <v>1347</v>
      </c>
      <c r="AI6" s="183" t="s">
        <v>45</v>
      </c>
      <c r="AJ6" s="183" t="s">
        <v>709</v>
      </c>
      <c r="AK6" s="183" t="s">
        <v>1343</v>
      </c>
      <c r="AL6" s="183" t="s">
        <v>45</v>
      </c>
      <c r="AM6" s="183" t="s">
        <v>709</v>
      </c>
    </row>
    <row r="7" spans="1:39" ht="40.5">
      <c r="B7" s="454"/>
      <c r="C7" s="8" t="s">
        <v>20</v>
      </c>
      <c r="D7" s="8" t="s">
        <v>20</v>
      </c>
      <c r="E7" s="8" t="s">
        <v>1396</v>
      </c>
      <c r="F7" s="8" t="s">
        <v>50</v>
      </c>
      <c r="G7" s="8" t="s">
        <v>1391</v>
      </c>
      <c r="H7" s="8" t="s">
        <v>20</v>
      </c>
      <c r="I7" s="8" t="s">
        <v>1388</v>
      </c>
      <c r="J7" s="8" t="s">
        <v>1385</v>
      </c>
      <c r="K7" s="8" t="s">
        <v>1383</v>
      </c>
      <c r="L7" s="8" t="s">
        <v>1381</v>
      </c>
      <c r="M7" s="8" t="s">
        <v>1379</v>
      </c>
      <c r="N7" s="8" t="s">
        <v>1376</v>
      </c>
      <c r="O7" s="8" t="s">
        <v>20</v>
      </c>
      <c r="P7" s="8" t="s">
        <v>20</v>
      </c>
      <c r="Q7" s="8" t="s">
        <v>50</v>
      </c>
      <c r="R7" s="8" t="s">
        <v>50</v>
      </c>
      <c r="S7" s="8" t="s">
        <v>50</v>
      </c>
      <c r="T7" s="8" t="s">
        <v>1368</v>
      </c>
      <c r="U7" s="8" t="s">
        <v>20</v>
      </c>
      <c r="V7" s="8" t="s">
        <v>1367</v>
      </c>
      <c r="W7" s="8" t="s">
        <v>1354</v>
      </c>
      <c r="X7" s="8" t="s">
        <v>1363</v>
      </c>
      <c r="Y7" s="8" t="s">
        <v>20</v>
      </c>
      <c r="Z7" s="8" t="s">
        <v>1354</v>
      </c>
      <c r="AA7" s="8" t="s">
        <v>1359</v>
      </c>
      <c r="AB7" s="8" t="s">
        <v>20</v>
      </c>
      <c r="AC7" s="8" t="s">
        <v>1356</v>
      </c>
      <c r="AD7" s="8" t="s">
        <v>20</v>
      </c>
      <c r="AE7" s="8" t="s">
        <v>1354</v>
      </c>
      <c r="AF7" s="8" t="s">
        <v>1350</v>
      </c>
      <c r="AG7" s="8" t="s">
        <v>20</v>
      </c>
      <c r="AH7" s="8" t="s">
        <v>1345</v>
      </c>
      <c r="AI7" s="8" t="s">
        <v>465</v>
      </c>
      <c r="AJ7" s="8" t="s">
        <v>20</v>
      </c>
      <c r="AK7" s="8" t="s">
        <v>1341</v>
      </c>
      <c r="AL7" s="8" t="s">
        <v>465</v>
      </c>
      <c r="AM7" s="8" t="s">
        <v>20</v>
      </c>
    </row>
    <row r="8" spans="1:39">
      <c r="B8" s="454"/>
      <c r="C8" s="8" t="s">
        <v>2667</v>
      </c>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row>
    <row r="9" spans="1:39">
      <c r="B9" s="364" t="s">
        <v>1226</v>
      </c>
      <c r="C9" s="364" t="s">
        <v>2897</v>
      </c>
      <c r="D9" s="364"/>
      <c r="E9" s="364"/>
      <c r="F9" s="364"/>
      <c r="G9" s="364"/>
      <c r="H9" s="364"/>
      <c r="I9" s="364"/>
      <c r="J9" s="364"/>
      <c r="K9" s="364"/>
      <c r="L9" s="364"/>
      <c r="M9" s="364"/>
      <c r="N9" s="364"/>
      <c r="O9" s="364"/>
      <c r="P9" s="364"/>
      <c r="Q9" s="364"/>
      <c r="R9" s="364"/>
      <c r="S9" s="364"/>
      <c r="T9" s="364"/>
      <c r="U9" s="364"/>
      <c r="V9" s="364"/>
      <c r="W9" s="364"/>
      <c r="X9" s="364"/>
      <c r="Y9" s="364"/>
      <c r="Z9" s="364"/>
      <c r="AA9" s="364"/>
      <c r="AB9" s="364"/>
      <c r="AC9" s="364"/>
      <c r="AD9" s="364"/>
      <c r="AE9" s="364"/>
      <c r="AF9" s="364"/>
      <c r="AG9" s="364"/>
      <c r="AH9" s="364"/>
      <c r="AI9" s="364"/>
      <c r="AJ9" s="364"/>
      <c r="AK9" s="364"/>
      <c r="AL9" s="364"/>
      <c r="AM9" s="364"/>
    </row>
    <row r="10" spans="1:39">
      <c r="B10" s="309">
        <f>ROW() - 9</f>
        <v>1</v>
      </c>
      <c r="C10" s="309"/>
      <c r="D10" s="309"/>
      <c r="E10" s="309"/>
      <c r="F10" s="309"/>
      <c r="G10" s="309"/>
      <c r="H10" s="309"/>
      <c r="I10" s="309"/>
      <c r="J10" s="309"/>
      <c r="K10" s="309"/>
      <c r="L10" s="309"/>
      <c r="M10" s="309"/>
      <c r="N10" s="309"/>
      <c r="O10" s="309"/>
      <c r="P10" s="309"/>
      <c r="Q10" s="309"/>
      <c r="R10" s="309"/>
      <c r="S10" s="309"/>
      <c r="T10" s="309"/>
      <c r="U10" s="309"/>
      <c r="V10" s="309"/>
      <c r="W10" s="309"/>
      <c r="X10" s="309"/>
      <c r="Y10" s="309"/>
      <c r="Z10" s="309"/>
      <c r="AA10" s="309"/>
      <c r="AB10" s="309"/>
      <c r="AC10" s="309"/>
      <c r="AD10" s="309"/>
      <c r="AE10" s="309"/>
      <c r="AF10" s="309"/>
      <c r="AG10" s="309"/>
      <c r="AH10" s="309"/>
      <c r="AI10" s="309"/>
      <c r="AJ10" s="309"/>
      <c r="AK10" s="309"/>
      <c r="AL10" s="309"/>
      <c r="AM10" s="309"/>
    </row>
    <row r="11" spans="1:39">
      <c r="B11" s="309">
        <f t="shared" ref="B11:B14" si="0">ROW() - 9</f>
        <v>2</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row>
    <row r="12" spans="1:39">
      <c r="B12" s="309">
        <f t="shared" si="0"/>
        <v>3</v>
      </c>
      <c r="C12" s="309"/>
      <c r="D12" s="309"/>
      <c r="E12" s="309"/>
      <c r="F12" s="309"/>
      <c r="G12" s="309"/>
      <c r="H12" s="309"/>
      <c r="I12" s="309"/>
      <c r="J12" s="309"/>
      <c r="K12" s="309"/>
      <c r="L12" s="309"/>
      <c r="M12" s="309"/>
      <c r="N12" s="309"/>
      <c r="O12" s="309"/>
      <c r="P12" s="309"/>
      <c r="Q12" s="309"/>
      <c r="R12" s="309"/>
      <c r="S12" s="309"/>
      <c r="T12" s="309"/>
      <c r="U12" s="309"/>
      <c r="V12" s="309"/>
      <c r="W12" s="309"/>
      <c r="X12" s="309"/>
      <c r="Y12" s="309"/>
      <c r="Z12" s="309"/>
      <c r="AA12" s="309"/>
      <c r="AB12" s="309"/>
      <c r="AC12" s="309"/>
      <c r="AD12" s="309"/>
      <c r="AE12" s="309"/>
      <c r="AF12" s="309"/>
      <c r="AG12" s="309"/>
      <c r="AH12" s="309"/>
      <c r="AI12" s="309"/>
      <c r="AJ12" s="309"/>
      <c r="AK12" s="309"/>
      <c r="AL12" s="309"/>
      <c r="AM12" s="309"/>
    </row>
    <row r="13" spans="1:39">
      <c r="B13" s="309">
        <f t="shared" si="0"/>
        <v>4</v>
      </c>
      <c r="C13" s="309"/>
      <c r="D13" s="309"/>
      <c r="E13" s="309"/>
      <c r="F13" s="309"/>
      <c r="G13" s="309"/>
      <c r="H13" s="309"/>
      <c r="I13" s="309"/>
      <c r="J13" s="309"/>
      <c r="K13" s="309"/>
      <c r="L13" s="309"/>
      <c r="M13" s="309"/>
      <c r="N13" s="309"/>
      <c r="O13" s="309"/>
      <c r="P13" s="309"/>
      <c r="Q13" s="309"/>
      <c r="R13" s="309"/>
      <c r="S13" s="309"/>
      <c r="T13" s="309"/>
      <c r="U13" s="309"/>
      <c r="V13" s="309"/>
      <c r="W13" s="309"/>
      <c r="X13" s="309"/>
      <c r="Y13" s="309"/>
      <c r="Z13" s="309"/>
      <c r="AA13" s="309"/>
      <c r="AB13" s="309"/>
      <c r="AC13" s="309"/>
      <c r="AD13" s="309"/>
      <c r="AE13" s="309"/>
      <c r="AF13" s="309"/>
      <c r="AG13" s="309"/>
      <c r="AH13" s="309"/>
      <c r="AI13" s="309"/>
      <c r="AJ13" s="309"/>
      <c r="AK13" s="309"/>
      <c r="AL13" s="309"/>
      <c r="AM13" s="309"/>
    </row>
    <row r="14" spans="1:39">
      <c r="B14" s="309">
        <f t="shared" si="0"/>
        <v>5</v>
      </c>
      <c r="C14" s="310"/>
      <c r="D14" s="310"/>
      <c r="E14" s="310"/>
      <c r="F14" s="310"/>
      <c r="G14" s="310"/>
      <c r="H14" s="310"/>
      <c r="I14" s="310"/>
      <c r="J14" s="310"/>
      <c r="K14" s="310"/>
      <c r="L14" s="310"/>
      <c r="M14" s="310"/>
      <c r="N14" s="310"/>
      <c r="O14" s="310"/>
      <c r="P14" s="310"/>
      <c r="Q14" s="310"/>
      <c r="R14" s="310"/>
      <c r="S14" s="310"/>
      <c r="T14" s="310"/>
      <c r="U14" s="310"/>
      <c r="V14" s="310"/>
      <c r="W14" s="310"/>
      <c r="X14" s="310"/>
      <c r="Y14" s="310"/>
      <c r="Z14" s="310"/>
      <c r="AA14" s="310"/>
      <c r="AB14" s="310"/>
      <c r="AC14" s="310"/>
      <c r="AD14" s="310"/>
      <c r="AE14" s="310"/>
      <c r="AF14" s="310"/>
      <c r="AG14" s="310"/>
      <c r="AH14" s="310"/>
      <c r="AI14" s="310"/>
      <c r="AJ14" s="310"/>
      <c r="AK14" s="310"/>
      <c r="AL14" s="310"/>
      <c r="AM14" s="310"/>
    </row>
  </sheetData>
  <sheetProtection insertRows="0" deleteRows="0" sort="0" autoFilter="0"/>
  <mergeCells count="1">
    <mergeCell ref="B4:B8"/>
  </mergeCells>
  <phoneticPr fontId="14"/>
  <hyperlinks>
    <hyperlink ref="A3" location="パラメータ設定一覧!A1" display="パラメータ設定一覧へ" xr:uid="{C926D057-7788-45D0-B2E7-C2B84D3A92D5}"/>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7B2D3-EC75-4CB2-BDFE-B5F8B216B200}">
  <sheetPr codeName="Sheet78"/>
  <dimension ref="A1:L304"/>
  <sheetViews>
    <sheetView showGridLines="0" zoomScaleNormal="100" workbookViewId="0">
      <pane xSplit="6" ySplit="5" topLeftCell="G6" activePane="bottomRight" state="frozen"/>
      <selection pane="topRight"/>
      <selection pane="bottomLeft"/>
      <selection pane="bottomRight" activeCell="H6" sqref="H6"/>
    </sheetView>
  </sheetViews>
  <sheetFormatPr defaultColWidth="8.85546875" defaultRowHeight="13.5"/>
  <cols>
    <col min="1" max="1" width="2.78515625" style="177" customWidth="1"/>
    <col min="2" max="2" width="2.640625" style="177" customWidth="1"/>
    <col min="3" max="3" width="16.85546875" style="177" customWidth="1"/>
    <col min="4" max="4" width="6.42578125" style="177" bestFit="1" customWidth="1"/>
    <col min="5" max="5" width="16.5703125" style="177" customWidth="1"/>
    <col min="6" max="6" width="22.5703125" style="177" customWidth="1"/>
    <col min="7" max="7" width="44.5" style="177" customWidth="1"/>
    <col min="8" max="8" width="20.2109375" style="177" customWidth="1"/>
    <col min="9" max="9" width="15.640625" style="178" customWidth="1"/>
    <col min="10" max="10" width="28.0703125" style="177" customWidth="1"/>
    <col min="11" max="11" width="18.2109375" style="177" customWidth="1"/>
    <col min="12" max="12" width="13.140625" style="177" customWidth="1"/>
    <col min="13" max="16384" width="8.85546875" style="177"/>
  </cols>
  <sheetData>
    <row r="1" spans="1:12" s="116" customFormat="1" ht="19.5">
      <c r="A1" s="184" t="s">
        <v>1911</v>
      </c>
      <c r="C1" s="177"/>
      <c r="D1" s="177"/>
      <c r="E1" s="177"/>
      <c r="F1" s="177"/>
      <c r="G1" s="177"/>
      <c r="H1" s="177"/>
      <c r="I1" s="178"/>
    </row>
    <row r="2" spans="1:12" s="116" customFormat="1" ht="15">
      <c r="B2" s="116" t="s">
        <v>1921</v>
      </c>
      <c r="C2" s="177"/>
      <c r="D2" s="177"/>
      <c r="E2" s="177"/>
      <c r="F2" s="177"/>
      <c r="G2" s="177"/>
      <c r="H2" s="177"/>
      <c r="I2" s="178"/>
    </row>
    <row r="3" spans="1:12" s="116" customFormat="1" ht="15">
      <c r="B3" s="116" t="s">
        <v>1923</v>
      </c>
      <c r="C3" s="177"/>
      <c r="D3" s="177"/>
      <c r="E3" s="177"/>
      <c r="F3" s="177"/>
      <c r="G3" s="177"/>
      <c r="H3" s="177"/>
      <c r="I3" s="178"/>
    </row>
    <row r="4" spans="1:12" s="116" customFormat="1" ht="15">
      <c r="A4" s="179" t="s">
        <v>363</v>
      </c>
      <c r="C4" s="177"/>
      <c r="D4" s="177"/>
      <c r="E4" s="177"/>
      <c r="F4" s="177"/>
      <c r="G4" s="177"/>
      <c r="H4" s="177"/>
      <c r="I4" s="178"/>
    </row>
    <row r="5" spans="1:12">
      <c r="B5" s="11" t="s">
        <v>1</v>
      </c>
      <c r="C5" s="12" t="s">
        <v>9</v>
      </c>
      <c r="D5" s="11" t="s">
        <v>10</v>
      </c>
      <c r="E5" s="11" t="s">
        <v>11</v>
      </c>
      <c r="F5" s="20" t="s">
        <v>12</v>
      </c>
      <c r="G5" s="11" t="s">
        <v>498</v>
      </c>
      <c r="H5" s="11" t="s">
        <v>14</v>
      </c>
      <c r="I5" s="11" t="s">
        <v>15</v>
      </c>
      <c r="J5" s="11" t="s">
        <v>16</v>
      </c>
      <c r="K5" s="14" t="s">
        <v>17</v>
      </c>
      <c r="L5" s="14" t="s">
        <v>18</v>
      </c>
    </row>
    <row r="6" spans="1:12">
      <c r="B6" s="15">
        <f t="shared" ref="B6:B54" si="0">ROW() - 5</f>
        <v>1</v>
      </c>
      <c r="C6" s="16" t="s">
        <v>23</v>
      </c>
      <c r="D6" s="16"/>
      <c r="E6" s="16"/>
      <c r="F6" s="22" t="s">
        <v>1911</v>
      </c>
      <c r="G6" s="22"/>
      <c r="H6" s="22" t="s">
        <v>2600</v>
      </c>
      <c r="I6" s="22" t="s">
        <v>2600</v>
      </c>
      <c r="J6" s="23"/>
      <c r="K6" s="2" t="s">
        <v>1920</v>
      </c>
      <c r="L6" s="3"/>
    </row>
    <row r="7" spans="1:12">
      <c r="B7" s="15">
        <f t="shared" si="0"/>
        <v>2</v>
      </c>
      <c r="C7" s="68"/>
      <c r="D7" s="68"/>
      <c r="E7" s="68"/>
      <c r="F7" s="21" t="s">
        <v>45</v>
      </c>
      <c r="G7" s="21"/>
      <c r="H7" s="22" t="s">
        <v>20</v>
      </c>
      <c r="I7" s="23" t="s">
        <v>331</v>
      </c>
      <c r="J7" s="23"/>
      <c r="K7" s="2" t="s">
        <v>1920</v>
      </c>
      <c r="L7" s="3"/>
    </row>
    <row r="8" spans="1:12">
      <c r="B8" s="15">
        <f t="shared" si="0"/>
        <v>3</v>
      </c>
      <c r="C8" s="68"/>
      <c r="D8" s="68"/>
      <c r="E8" s="68"/>
      <c r="F8" s="21" t="s">
        <v>1347</v>
      </c>
      <c r="G8" s="21" t="s">
        <v>1377</v>
      </c>
      <c r="H8" s="17" t="s">
        <v>2602</v>
      </c>
      <c r="I8" s="23" t="s">
        <v>331</v>
      </c>
      <c r="J8" s="23"/>
      <c r="K8" s="2" t="s">
        <v>1920</v>
      </c>
      <c r="L8" s="3"/>
    </row>
    <row r="9" spans="1:12">
      <c r="B9" s="15">
        <f t="shared" si="0"/>
        <v>4</v>
      </c>
      <c r="C9" s="68"/>
      <c r="D9" s="68"/>
      <c r="E9" s="68"/>
      <c r="F9" s="21" t="s">
        <v>1915</v>
      </c>
      <c r="G9" s="21" t="s">
        <v>1377</v>
      </c>
      <c r="H9" s="17" t="s">
        <v>2605</v>
      </c>
      <c r="I9" s="23" t="s">
        <v>331</v>
      </c>
      <c r="J9" s="23"/>
      <c r="K9" s="2" t="s">
        <v>1920</v>
      </c>
      <c r="L9" s="3"/>
    </row>
    <row r="10" spans="1:12" ht="67.5">
      <c r="B10" s="15">
        <f t="shared" si="0"/>
        <v>5</v>
      </c>
      <c r="C10" s="68"/>
      <c r="D10" s="68"/>
      <c r="E10" s="68"/>
      <c r="F10" s="21" t="s">
        <v>1397</v>
      </c>
      <c r="G10" s="21" t="s">
        <v>1377</v>
      </c>
      <c r="H10" s="17" t="s">
        <v>2483</v>
      </c>
      <c r="I10" s="23" t="s">
        <v>331</v>
      </c>
      <c r="J10" s="23" t="s">
        <v>2623</v>
      </c>
      <c r="K10" s="2" t="s">
        <v>1920</v>
      </c>
      <c r="L10" s="3"/>
    </row>
    <row r="11" spans="1:12">
      <c r="B11" s="15">
        <f t="shared" si="0"/>
        <v>6</v>
      </c>
      <c r="C11" s="68"/>
      <c r="D11" s="68"/>
      <c r="E11" s="68"/>
      <c r="F11" s="21" t="s">
        <v>1924</v>
      </c>
      <c r="G11" s="21" t="s">
        <v>1377</v>
      </c>
      <c r="H11" s="17" t="s">
        <v>2606</v>
      </c>
      <c r="I11" s="23" t="s">
        <v>331</v>
      </c>
      <c r="J11" s="23"/>
      <c r="K11" s="2" t="s">
        <v>1920</v>
      </c>
      <c r="L11" s="3"/>
    </row>
    <row r="12" spans="1:12">
      <c r="B12" s="15">
        <f t="shared" si="0"/>
        <v>7</v>
      </c>
      <c r="C12" s="68"/>
      <c r="D12" s="68"/>
      <c r="E12" s="68"/>
      <c r="F12" s="21" t="s">
        <v>1395</v>
      </c>
      <c r="G12" s="21"/>
      <c r="H12" s="17" t="s">
        <v>50</v>
      </c>
      <c r="I12" s="180" t="s">
        <v>1450</v>
      </c>
      <c r="J12" s="23"/>
      <c r="K12" s="2" t="s">
        <v>1920</v>
      </c>
      <c r="L12" s="3"/>
    </row>
    <row r="13" spans="1:12">
      <c r="B13" s="15">
        <f t="shared" si="0"/>
        <v>8</v>
      </c>
      <c r="C13" s="68"/>
      <c r="D13" s="68"/>
      <c r="E13" s="68"/>
      <c r="F13" s="21" t="s">
        <v>1925</v>
      </c>
      <c r="G13" s="21" t="s">
        <v>1377</v>
      </c>
      <c r="H13" s="17" t="s">
        <v>2608</v>
      </c>
      <c r="I13" s="23" t="s">
        <v>331</v>
      </c>
      <c r="J13" s="23"/>
      <c r="K13" s="2" t="s">
        <v>1920</v>
      </c>
      <c r="L13" s="3"/>
    </row>
    <row r="14" spans="1:12">
      <c r="B14" s="15">
        <f t="shared" si="0"/>
        <v>9</v>
      </c>
      <c r="C14" s="68"/>
      <c r="D14" s="68"/>
      <c r="E14" s="68"/>
      <c r="F14" s="21" t="s">
        <v>1926</v>
      </c>
      <c r="G14" s="21" t="s">
        <v>2510</v>
      </c>
      <c r="H14" s="17" t="s">
        <v>2511</v>
      </c>
      <c r="I14" s="23" t="s">
        <v>331</v>
      </c>
      <c r="J14" s="23"/>
      <c r="K14" s="2" t="s">
        <v>1920</v>
      </c>
      <c r="L14" s="3"/>
    </row>
    <row r="15" spans="1:12">
      <c r="B15" s="15">
        <f t="shared" si="0"/>
        <v>10</v>
      </c>
      <c r="C15" s="51"/>
      <c r="D15" s="51"/>
      <c r="E15" s="51"/>
      <c r="F15" s="21" t="s">
        <v>1927</v>
      </c>
      <c r="G15" s="21" t="s">
        <v>1377</v>
      </c>
      <c r="H15" s="17" t="s">
        <v>2609</v>
      </c>
      <c r="I15" s="23" t="s">
        <v>331</v>
      </c>
      <c r="J15" s="23"/>
      <c r="K15" s="2" t="s">
        <v>1920</v>
      </c>
      <c r="L15" s="3"/>
    </row>
    <row r="16" spans="1:12">
      <c r="B16" s="15">
        <f t="shared" si="0"/>
        <v>11</v>
      </c>
      <c r="C16" s="52" t="s">
        <v>1928</v>
      </c>
      <c r="D16" s="52"/>
      <c r="E16" s="52"/>
      <c r="F16" s="21" t="s">
        <v>2349</v>
      </c>
      <c r="G16" s="23"/>
      <c r="H16" s="17" t="s">
        <v>2511</v>
      </c>
      <c r="I16" s="23" t="s">
        <v>2610</v>
      </c>
      <c r="J16" s="23"/>
      <c r="K16" s="2" t="s">
        <v>1920</v>
      </c>
      <c r="L16" s="3"/>
    </row>
    <row r="17" spans="2:12">
      <c r="B17" s="15">
        <f t="shared" si="0"/>
        <v>12</v>
      </c>
      <c r="C17" s="67"/>
      <c r="D17" s="67"/>
      <c r="E17" s="67"/>
      <c r="F17" s="21" t="s">
        <v>2562</v>
      </c>
      <c r="G17" s="23"/>
      <c r="H17" s="17" t="s">
        <v>2511</v>
      </c>
      <c r="I17" s="23" t="s">
        <v>170</v>
      </c>
      <c r="J17" s="23"/>
      <c r="K17" s="2" t="s">
        <v>1920</v>
      </c>
      <c r="L17" s="3"/>
    </row>
    <row r="18" spans="2:12">
      <c r="B18" s="15">
        <f t="shared" si="0"/>
        <v>13</v>
      </c>
      <c r="C18" s="52" t="s">
        <v>1929</v>
      </c>
      <c r="D18" s="52"/>
      <c r="E18" s="52"/>
      <c r="F18" s="21" t="s">
        <v>1929</v>
      </c>
      <c r="G18" s="21" t="s">
        <v>1377</v>
      </c>
      <c r="H18" s="17" t="s">
        <v>2520</v>
      </c>
      <c r="I18" s="23" t="s">
        <v>331</v>
      </c>
      <c r="J18" s="23"/>
      <c r="K18" s="2" t="s">
        <v>1920</v>
      </c>
      <c r="L18" s="3"/>
    </row>
    <row r="19" spans="2:12" ht="27">
      <c r="B19" s="15">
        <f t="shared" si="0"/>
        <v>14</v>
      </c>
      <c r="C19" s="67"/>
      <c r="D19" s="67"/>
      <c r="E19" s="67"/>
      <c r="F19" s="21" t="s">
        <v>1547</v>
      </c>
      <c r="G19" s="21" t="s">
        <v>1377</v>
      </c>
      <c r="H19" s="23" t="s">
        <v>331</v>
      </c>
      <c r="I19" s="23" t="s">
        <v>331</v>
      </c>
      <c r="J19" s="23" t="s">
        <v>2611</v>
      </c>
      <c r="K19" s="2" t="s">
        <v>1920</v>
      </c>
      <c r="L19" s="3"/>
    </row>
    <row r="20" spans="2:12">
      <c r="B20" s="15">
        <f t="shared" si="0"/>
        <v>15</v>
      </c>
      <c r="C20" s="67"/>
      <c r="D20" s="67"/>
      <c r="E20" s="67"/>
      <c r="F20" s="21" t="s">
        <v>2563</v>
      </c>
      <c r="G20" s="21" t="s">
        <v>2510</v>
      </c>
      <c r="H20" s="17" t="s">
        <v>2511</v>
      </c>
      <c r="I20" s="23" t="s">
        <v>2610</v>
      </c>
      <c r="J20" s="23"/>
      <c r="K20" s="2" t="s">
        <v>1920</v>
      </c>
      <c r="L20" s="3"/>
    </row>
    <row r="21" spans="2:12">
      <c r="B21" s="15">
        <f t="shared" si="0"/>
        <v>16</v>
      </c>
      <c r="C21" s="67"/>
      <c r="D21" s="51"/>
      <c r="E21" s="51"/>
      <c r="F21" s="21" t="s">
        <v>1447</v>
      </c>
      <c r="G21" s="21" t="s">
        <v>2509</v>
      </c>
      <c r="H21" s="17" t="s">
        <v>2511</v>
      </c>
      <c r="I21" s="180" t="s">
        <v>2612</v>
      </c>
      <c r="J21" s="23"/>
      <c r="K21" s="2" t="s">
        <v>1920</v>
      </c>
      <c r="L21" s="3"/>
    </row>
    <row r="22" spans="2:12" ht="40.5">
      <c r="B22" s="15">
        <f t="shared" si="0"/>
        <v>17</v>
      </c>
      <c r="C22" s="52" t="s">
        <v>1930</v>
      </c>
      <c r="D22" s="52"/>
      <c r="E22" s="52"/>
      <c r="F22" s="21" t="s">
        <v>1547</v>
      </c>
      <c r="G22" s="21" t="s">
        <v>1377</v>
      </c>
      <c r="H22" s="17" t="s">
        <v>756</v>
      </c>
      <c r="I22" s="23" t="s">
        <v>331</v>
      </c>
      <c r="J22" s="23"/>
      <c r="K22" s="2" t="s">
        <v>2565</v>
      </c>
      <c r="L22" s="3"/>
    </row>
    <row r="23" spans="2:12" ht="40.5">
      <c r="B23" s="15">
        <f t="shared" si="0"/>
        <v>18</v>
      </c>
      <c r="C23" s="67"/>
      <c r="D23" s="67"/>
      <c r="E23" s="67"/>
      <c r="F23" s="21" t="s">
        <v>2400</v>
      </c>
      <c r="G23" s="21"/>
      <c r="H23" s="17" t="s">
        <v>2511</v>
      </c>
      <c r="I23" s="23" t="s">
        <v>2610</v>
      </c>
      <c r="J23" s="23"/>
      <c r="K23" s="2" t="s">
        <v>2565</v>
      </c>
      <c r="L23" s="3"/>
    </row>
    <row r="24" spans="2:12" ht="40.5">
      <c r="B24" s="15">
        <f t="shared" si="0"/>
        <v>19</v>
      </c>
      <c r="C24" s="67"/>
      <c r="D24" s="67"/>
      <c r="E24" s="67"/>
      <c r="F24" s="21" t="s">
        <v>2401</v>
      </c>
      <c r="G24" s="23"/>
      <c r="H24" s="17" t="s">
        <v>2511</v>
      </c>
      <c r="I24" s="23" t="s">
        <v>170</v>
      </c>
      <c r="J24" s="23"/>
      <c r="K24" s="2" t="s">
        <v>2565</v>
      </c>
      <c r="L24" s="3"/>
    </row>
    <row r="25" spans="2:12" ht="40.5">
      <c r="B25" s="15">
        <f t="shared" si="0"/>
        <v>20</v>
      </c>
      <c r="C25" s="67"/>
      <c r="D25" s="67"/>
      <c r="E25" s="67"/>
      <c r="F25" s="21" t="s">
        <v>991</v>
      </c>
      <c r="G25" s="21" t="s">
        <v>1377</v>
      </c>
      <c r="H25" s="17" t="s">
        <v>2508</v>
      </c>
      <c r="I25" s="23" t="s">
        <v>331</v>
      </c>
      <c r="J25" s="23"/>
      <c r="K25" s="2" t="s">
        <v>2565</v>
      </c>
      <c r="L25" s="3"/>
    </row>
    <row r="26" spans="2:12" ht="40.5">
      <c r="B26" s="15">
        <f t="shared" si="0"/>
        <v>21</v>
      </c>
      <c r="C26" s="51"/>
      <c r="D26" s="51"/>
      <c r="E26" s="51"/>
      <c r="F26" s="21" t="s">
        <v>2613</v>
      </c>
      <c r="G26" s="21"/>
      <c r="H26" s="21" t="s">
        <v>27</v>
      </c>
      <c r="I26" s="23" t="s">
        <v>28</v>
      </c>
      <c r="J26" s="23"/>
      <c r="K26" s="2" t="s">
        <v>2565</v>
      </c>
      <c r="L26" s="3"/>
    </row>
    <row r="27" spans="2:12" ht="27">
      <c r="B27" s="15">
        <f t="shared" si="0"/>
        <v>22</v>
      </c>
      <c r="C27" s="67" t="s">
        <v>1931</v>
      </c>
      <c r="D27" s="52"/>
      <c r="E27" s="52"/>
      <c r="F27" s="21" t="s">
        <v>2566</v>
      </c>
      <c r="G27" s="21" t="s">
        <v>1377</v>
      </c>
      <c r="H27" s="17" t="s">
        <v>2615</v>
      </c>
      <c r="I27" s="23" t="s">
        <v>331</v>
      </c>
      <c r="J27" s="23"/>
      <c r="K27" s="2" t="s">
        <v>1920</v>
      </c>
      <c r="L27" s="3"/>
    </row>
    <row r="28" spans="2:12" ht="27">
      <c r="B28" s="15">
        <f t="shared" si="0"/>
        <v>23</v>
      </c>
      <c r="C28" s="67"/>
      <c r="D28" s="67"/>
      <c r="E28" s="67"/>
      <c r="F28" s="21" t="s">
        <v>2567</v>
      </c>
      <c r="G28" s="21" t="s">
        <v>1377</v>
      </c>
      <c r="H28" s="17" t="s">
        <v>2617</v>
      </c>
      <c r="I28" s="23" t="s">
        <v>331</v>
      </c>
      <c r="J28" s="23"/>
      <c r="K28" s="2" t="s">
        <v>1920</v>
      </c>
      <c r="L28" s="3"/>
    </row>
    <row r="29" spans="2:12">
      <c r="B29" s="15">
        <f t="shared" si="0"/>
        <v>24</v>
      </c>
      <c r="C29" s="67"/>
      <c r="D29" s="67"/>
      <c r="E29" s="67"/>
      <c r="F29" s="21" t="s">
        <v>2568</v>
      </c>
      <c r="G29" s="21" t="s">
        <v>1377</v>
      </c>
      <c r="H29" s="17" t="s">
        <v>2618</v>
      </c>
      <c r="I29" s="23" t="s">
        <v>331</v>
      </c>
      <c r="J29" s="23"/>
      <c r="K29" s="2" t="s">
        <v>1920</v>
      </c>
      <c r="L29" s="3"/>
    </row>
    <row r="30" spans="2:12">
      <c r="B30" s="15">
        <f t="shared" si="0"/>
        <v>25</v>
      </c>
      <c r="C30" s="67"/>
      <c r="D30" s="67"/>
      <c r="E30" s="67"/>
      <c r="F30" s="21" t="s">
        <v>2569</v>
      </c>
      <c r="G30" s="23"/>
      <c r="H30" s="21" t="s">
        <v>27</v>
      </c>
      <c r="I30" s="23" t="s">
        <v>28</v>
      </c>
      <c r="J30" s="23"/>
      <c r="K30" s="2" t="s">
        <v>1920</v>
      </c>
      <c r="L30" s="3"/>
    </row>
    <row r="31" spans="2:12">
      <c r="B31" s="15">
        <f t="shared" si="0"/>
        <v>26</v>
      </c>
      <c r="C31" s="67"/>
      <c r="D31" s="67"/>
      <c r="E31" s="67"/>
      <c r="F31" s="21" t="s">
        <v>2570</v>
      </c>
      <c r="G31" s="23"/>
      <c r="H31" s="21" t="s">
        <v>50</v>
      </c>
      <c r="I31" s="180" t="s">
        <v>1450</v>
      </c>
      <c r="J31" s="23"/>
      <c r="K31" s="2" t="s">
        <v>1920</v>
      </c>
      <c r="L31" s="3"/>
    </row>
    <row r="32" spans="2:12">
      <c r="B32" s="15">
        <f t="shared" si="0"/>
        <v>27</v>
      </c>
      <c r="C32" s="67"/>
      <c r="D32" s="67"/>
      <c r="E32" s="67"/>
      <c r="F32" s="21" t="s">
        <v>2572</v>
      </c>
      <c r="G32" s="23"/>
      <c r="H32" s="21" t="s">
        <v>50</v>
      </c>
      <c r="I32" s="180" t="s">
        <v>1450</v>
      </c>
      <c r="J32" s="23"/>
      <c r="K32" s="2" t="s">
        <v>1920</v>
      </c>
      <c r="L32" s="3"/>
    </row>
    <row r="33" spans="2:12">
      <c r="B33" s="15">
        <f t="shared" si="0"/>
        <v>28</v>
      </c>
      <c r="C33" s="67"/>
      <c r="D33" s="67"/>
      <c r="E33" s="67"/>
      <c r="F33" s="21" t="s">
        <v>2573</v>
      </c>
      <c r="G33" s="23"/>
      <c r="H33" s="21" t="s">
        <v>27</v>
      </c>
      <c r="I33" s="23" t="s">
        <v>28</v>
      </c>
      <c r="J33" s="23"/>
      <c r="K33" s="2" t="s">
        <v>1920</v>
      </c>
      <c r="L33" s="3"/>
    </row>
    <row r="34" spans="2:12">
      <c r="B34" s="15">
        <f t="shared" si="0"/>
        <v>29</v>
      </c>
      <c r="C34" s="67"/>
      <c r="D34" s="67"/>
      <c r="E34" s="67"/>
      <c r="F34" s="21" t="s">
        <v>2574</v>
      </c>
      <c r="G34" s="23"/>
      <c r="H34" s="21" t="s">
        <v>27</v>
      </c>
      <c r="I34" s="23" t="s">
        <v>28</v>
      </c>
      <c r="J34" s="23"/>
      <c r="K34" s="2" t="s">
        <v>1920</v>
      </c>
      <c r="L34" s="3"/>
    </row>
    <row r="35" spans="2:12">
      <c r="B35" s="15">
        <f t="shared" si="0"/>
        <v>30</v>
      </c>
      <c r="C35" s="67"/>
      <c r="D35" s="67"/>
      <c r="E35" s="67"/>
      <c r="F35" s="21" t="s">
        <v>2576</v>
      </c>
      <c r="G35" s="23"/>
      <c r="H35" s="23" t="s">
        <v>331</v>
      </c>
      <c r="I35" s="23" t="s">
        <v>331</v>
      </c>
      <c r="J35" s="23"/>
      <c r="K35" s="2" t="s">
        <v>1920</v>
      </c>
      <c r="L35" s="3"/>
    </row>
    <row r="36" spans="2:12">
      <c r="B36" s="15">
        <f t="shared" si="0"/>
        <v>31</v>
      </c>
      <c r="C36" s="67"/>
      <c r="D36" s="67"/>
      <c r="E36" s="67"/>
      <c r="F36" s="21" t="s">
        <v>2578</v>
      </c>
      <c r="G36" s="21" t="s">
        <v>1377</v>
      </c>
      <c r="H36" s="17" t="s">
        <v>2619</v>
      </c>
      <c r="I36" s="23" t="s">
        <v>331</v>
      </c>
      <c r="J36" s="23"/>
      <c r="K36" s="2" t="s">
        <v>1920</v>
      </c>
      <c r="L36" s="3"/>
    </row>
    <row r="37" spans="2:12">
      <c r="B37" s="15">
        <f t="shared" si="0"/>
        <v>32</v>
      </c>
      <c r="C37" s="51"/>
      <c r="D37" s="51"/>
      <c r="E37" s="51"/>
      <c r="F37" s="21" t="s">
        <v>2580</v>
      </c>
      <c r="G37" s="21" t="s">
        <v>1377</v>
      </c>
      <c r="H37" s="17" t="s">
        <v>2620</v>
      </c>
      <c r="I37" s="23" t="s">
        <v>331</v>
      </c>
      <c r="J37" s="23"/>
      <c r="K37" s="2" t="s">
        <v>1920</v>
      </c>
      <c r="L37" s="3"/>
    </row>
    <row r="38" spans="2:12" ht="54">
      <c r="B38" s="15">
        <f t="shared" si="0"/>
        <v>33</v>
      </c>
      <c r="C38" s="52" t="s">
        <v>506</v>
      </c>
      <c r="D38" s="52"/>
      <c r="E38" s="52"/>
      <c r="F38" s="21" t="s">
        <v>1557</v>
      </c>
      <c r="G38" s="21" t="s">
        <v>1377</v>
      </c>
      <c r="H38" s="17" t="s">
        <v>2621</v>
      </c>
      <c r="I38" s="23" t="s">
        <v>331</v>
      </c>
      <c r="J38" s="23" t="s">
        <v>2622</v>
      </c>
      <c r="K38" s="2" t="s">
        <v>1920</v>
      </c>
      <c r="L38" s="3"/>
    </row>
    <row r="39" spans="2:12">
      <c r="B39" s="15">
        <f t="shared" si="0"/>
        <v>34</v>
      </c>
      <c r="C39" s="67"/>
      <c r="D39" s="67"/>
      <c r="E39" s="67"/>
      <c r="F39" s="21" t="s">
        <v>1929</v>
      </c>
      <c r="G39" s="21" t="s">
        <v>1377</v>
      </c>
      <c r="H39" s="17" t="s">
        <v>2520</v>
      </c>
      <c r="I39" s="23" t="s">
        <v>331</v>
      </c>
      <c r="J39" s="23"/>
      <c r="K39" s="2" t="s">
        <v>1920</v>
      </c>
      <c r="L39" s="3"/>
    </row>
    <row r="40" spans="2:12" ht="27">
      <c r="B40" s="15">
        <f t="shared" si="0"/>
        <v>35</v>
      </c>
      <c r="C40" s="51"/>
      <c r="D40" s="51"/>
      <c r="E40" s="51"/>
      <c r="F40" s="21" t="s">
        <v>1547</v>
      </c>
      <c r="G40" s="21" t="s">
        <v>1377</v>
      </c>
      <c r="H40" s="23" t="s">
        <v>331</v>
      </c>
      <c r="I40" s="23" t="s">
        <v>331</v>
      </c>
      <c r="J40" s="23" t="s">
        <v>2611</v>
      </c>
      <c r="K40" s="2" t="s">
        <v>1920</v>
      </c>
      <c r="L40" s="3"/>
    </row>
    <row r="41" spans="2:12" ht="27">
      <c r="B41" s="15">
        <f t="shared" si="0"/>
        <v>36</v>
      </c>
      <c r="C41" s="52" t="s">
        <v>1932</v>
      </c>
      <c r="D41" s="52"/>
      <c r="E41" s="52"/>
      <c r="F41" s="21" t="s">
        <v>2581</v>
      </c>
      <c r="G41" s="23"/>
      <c r="H41" s="17" t="s">
        <v>2624</v>
      </c>
      <c r="I41" s="23" t="s">
        <v>331</v>
      </c>
      <c r="J41" s="23"/>
      <c r="K41" s="2" t="s">
        <v>1920</v>
      </c>
      <c r="L41" s="3"/>
    </row>
    <row r="42" spans="2:12">
      <c r="B42" s="15">
        <f t="shared" si="0"/>
        <v>37</v>
      </c>
      <c r="C42" s="51"/>
      <c r="D42" s="51"/>
      <c r="E42" s="51"/>
      <c r="F42" s="21" t="s">
        <v>2582</v>
      </c>
      <c r="G42" s="21" t="s">
        <v>1377</v>
      </c>
      <c r="H42" s="17" t="s">
        <v>2619</v>
      </c>
      <c r="I42" s="23" t="s">
        <v>331</v>
      </c>
      <c r="J42" s="23"/>
      <c r="K42" s="2" t="s">
        <v>1920</v>
      </c>
      <c r="L42" s="3"/>
    </row>
    <row r="43" spans="2:12">
      <c r="B43" s="15">
        <f t="shared" si="0"/>
        <v>38</v>
      </c>
      <c r="C43" s="52" t="s">
        <v>1933</v>
      </c>
      <c r="D43" s="52"/>
      <c r="E43" s="52"/>
      <c r="F43" s="21" t="s">
        <v>2584</v>
      </c>
      <c r="G43" s="23"/>
      <c r="H43" s="21" t="s">
        <v>27</v>
      </c>
      <c r="I43" s="23" t="s">
        <v>28</v>
      </c>
      <c r="J43" s="23"/>
      <c r="K43" s="2" t="s">
        <v>1920</v>
      </c>
      <c r="L43" s="3"/>
    </row>
    <row r="44" spans="2:12" ht="27">
      <c r="B44" s="15">
        <f t="shared" si="0"/>
        <v>39</v>
      </c>
      <c r="C44" s="67"/>
      <c r="D44" s="67"/>
      <c r="E44" s="67"/>
      <c r="F44" s="21" t="s">
        <v>2586</v>
      </c>
      <c r="G44" s="21" t="s">
        <v>1377</v>
      </c>
      <c r="H44" s="17" t="s">
        <v>2627</v>
      </c>
      <c r="I44" s="23" t="s">
        <v>331</v>
      </c>
      <c r="J44" s="23" t="s">
        <v>2628</v>
      </c>
      <c r="K44" s="2" t="s">
        <v>1920</v>
      </c>
      <c r="L44" s="3"/>
    </row>
    <row r="45" spans="2:12" ht="27">
      <c r="B45" s="15">
        <f t="shared" si="0"/>
        <v>40</v>
      </c>
      <c r="C45" s="67"/>
      <c r="D45" s="67"/>
      <c r="E45" s="67"/>
      <c r="F45" s="21" t="s">
        <v>2588</v>
      </c>
      <c r="G45" s="23"/>
      <c r="H45" s="23" t="s">
        <v>331</v>
      </c>
      <c r="I45" s="23" t="s">
        <v>331</v>
      </c>
      <c r="J45" s="23" t="s">
        <v>2629</v>
      </c>
      <c r="K45" s="2" t="s">
        <v>1920</v>
      </c>
      <c r="L45" s="3"/>
    </row>
    <row r="46" spans="2:12">
      <c r="B46" s="15">
        <f t="shared" si="0"/>
        <v>41</v>
      </c>
      <c r="C46" s="67"/>
      <c r="D46" s="67"/>
      <c r="E46" s="67"/>
      <c r="F46" s="21" t="s">
        <v>2590</v>
      </c>
      <c r="G46" s="23"/>
      <c r="H46" s="21"/>
      <c r="I46" s="23"/>
      <c r="J46" s="23"/>
      <c r="K46" s="2" t="s">
        <v>1920</v>
      </c>
      <c r="L46" s="3"/>
    </row>
    <row r="47" spans="2:12" ht="27">
      <c r="B47" s="15">
        <f t="shared" si="0"/>
        <v>42</v>
      </c>
      <c r="C47" s="51"/>
      <c r="D47" s="51"/>
      <c r="E47" s="51"/>
      <c r="F47" s="21" t="s">
        <v>247</v>
      </c>
      <c r="G47" s="23" t="s">
        <v>2625</v>
      </c>
      <c r="H47" s="21"/>
      <c r="I47" s="23" t="s">
        <v>331</v>
      </c>
      <c r="J47" s="23" t="s">
        <v>2630</v>
      </c>
      <c r="K47" s="2" t="s">
        <v>1920</v>
      </c>
      <c r="L47" s="3"/>
    </row>
    <row r="48" spans="2:12">
      <c r="B48" s="15">
        <f t="shared" si="0"/>
        <v>43</v>
      </c>
      <c r="C48" s="67" t="s">
        <v>892</v>
      </c>
      <c r="D48" s="67"/>
      <c r="E48" s="52" t="s">
        <v>892</v>
      </c>
      <c r="F48" s="21" t="s">
        <v>247</v>
      </c>
      <c r="G48" s="21" t="s">
        <v>1377</v>
      </c>
      <c r="H48" s="17" t="s">
        <v>2618</v>
      </c>
      <c r="I48" s="23" t="s">
        <v>331</v>
      </c>
      <c r="J48" s="23"/>
      <c r="K48" s="2" t="s">
        <v>1920</v>
      </c>
      <c r="L48" s="3"/>
    </row>
    <row r="49" spans="2:12" ht="27">
      <c r="B49" s="15">
        <f t="shared" si="0"/>
        <v>44</v>
      </c>
      <c r="C49" s="67"/>
      <c r="D49" s="67"/>
      <c r="E49" s="67"/>
      <c r="F49" s="21" t="s">
        <v>19</v>
      </c>
      <c r="G49" s="23"/>
      <c r="H49" s="23" t="s">
        <v>331</v>
      </c>
      <c r="I49" s="23" t="s">
        <v>331</v>
      </c>
      <c r="J49" s="23" t="s">
        <v>2626</v>
      </c>
      <c r="K49" s="2" t="s">
        <v>1920</v>
      </c>
      <c r="L49" s="3"/>
    </row>
    <row r="50" spans="2:12" ht="27">
      <c r="B50" s="15">
        <f t="shared" si="0"/>
        <v>45</v>
      </c>
      <c r="C50" s="67"/>
      <c r="D50" s="67"/>
      <c r="E50" s="67"/>
      <c r="F50" s="21" t="s">
        <v>2591</v>
      </c>
      <c r="G50" s="21" t="s">
        <v>1377</v>
      </c>
      <c r="H50" s="17" t="s">
        <v>2632</v>
      </c>
      <c r="I50" s="23" t="s">
        <v>331</v>
      </c>
      <c r="J50" s="23"/>
      <c r="K50" s="2" t="s">
        <v>1920</v>
      </c>
      <c r="L50" s="3"/>
    </row>
    <row r="51" spans="2:12">
      <c r="B51" s="15">
        <f t="shared" si="0"/>
        <v>46</v>
      </c>
      <c r="C51" s="67"/>
      <c r="D51" s="67"/>
      <c r="E51" s="51"/>
      <c r="F51" s="21" t="s">
        <v>2592</v>
      </c>
      <c r="G51" s="17" t="s">
        <v>2272</v>
      </c>
      <c r="H51" s="169" t="s">
        <v>21</v>
      </c>
      <c r="I51" s="169" t="s">
        <v>21</v>
      </c>
      <c r="J51" s="17" t="s">
        <v>2593</v>
      </c>
      <c r="K51" s="2" t="s">
        <v>1920</v>
      </c>
      <c r="L51" s="3"/>
    </row>
    <row r="52" spans="2:12" ht="27">
      <c r="B52" s="15">
        <f t="shared" si="0"/>
        <v>47</v>
      </c>
      <c r="C52" s="67"/>
      <c r="D52" s="67"/>
      <c r="E52" s="67" t="s">
        <v>2595</v>
      </c>
      <c r="F52" s="21" t="s">
        <v>2596</v>
      </c>
      <c r="G52" s="21" t="s">
        <v>1377</v>
      </c>
      <c r="H52" s="17" t="s">
        <v>2633</v>
      </c>
      <c r="I52" s="169" t="s">
        <v>21</v>
      </c>
      <c r="J52" s="23" t="s">
        <v>2634</v>
      </c>
      <c r="K52" s="2" t="s">
        <v>1920</v>
      </c>
      <c r="L52" s="3"/>
    </row>
    <row r="53" spans="2:12" ht="27">
      <c r="B53" s="15">
        <f t="shared" si="0"/>
        <v>48</v>
      </c>
      <c r="C53" s="67"/>
      <c r="D53" s="67"/>
      <c r="E53" s="67"/>
      <c r="F53" s="21" t="s">
        <v>45</v>
      </c>
      <c r="G53" s="23"/>
      <c r="H53" s="169" t="s">
        <v>21</v>
      </c>
      <c r="I53" s="169" t="s">
        <v>21</v>
      </c>
      <c r="J53" s="23" t="s">
        <v>2635</v>
      </c>
      <c r="K53" s="2" t="s">
        <v>1920</v>
      </c>
      <c r="L53" s="3"/>
    </row>
    <row r="54" spans="2:12" ht="27">
      <c r="B54" s="15">
        <f t="shared" si="0"/>
        <v>49</v>
      </c>
      <c r="C54" s="51"/>
      <c r="D54" s="51"/>
      <c r="E54" s="51"/>
      <c r="F54" s="21" t="s">
        <v>2597</v>
      </c>
      <c r="G54" s="23"/>
      <c r="H54" s="169" t="s">
        <v>21</v>
      </c>
      <c r="I54" s="169" t="s">
        <v>21</v>
      </c>
      <c r="J54" s="23" t="s">
        <v>2636</v>
      </c>
      <c r="K54" s="2" t="s">
        <v>1920</v>
      </c>
      <c r="L54" s="3"/>
    </row>
    <row r="55" spans="2:12">
      <c r="I55" s="177"/>
    </row>
    <row r="56" spans="2:12">
      <c r="I56" s="177"/>
    </row>
    <row r="57" spans="2:12">
      <c r="I57" s="177"/>
    </row>
    <row r="58" spans="2:12">
      <c r="I58" s="177"/>
    </row>
    <row r="59" spans="2:12">
      <c r="I59" s="177"/>
    </row>
    <row r="60" spans="2:12">
      <c r="I60" s="177"/>
    </row>
    <row r="61" spans="2:12" ht="18.75" customHeight="1">
      <c r="I61" s="177"/>
    </row>
    <row r="62" spans="2:12">
      <c r="I62" s="177"/>
    </row>
    <row r="63" spans="2:12">
      <c r="I63" s="177"/>
    </row>
    <row r="64" spans="2:12">
      <c r="I64" s="177"/>
    </row>
    <row r="65" s="177" customFormat="1"/>
    <row r="66" s="177" customFormat="1" ht="15.75" customHeight="1"/>
    <row r="67" s="177" customFormat="1"/>
    <row r="68" s="177" customFormat="1"/>
    <row r="69" s="177" customFormat="1"/>
    <row r="70" s="177" customFormat="1"/>
    <row r="71" s="177" customFormat="1"/>
    <row r="72" s="177" customFormat="1"/>
    <row r="73" s="177" customFormat="1"/>
    <row r="74" s="177" customFormat="1"/>
    <row r="75" s="177" customFormat="1"/>
    <row r="76" s="177" customFormat="1"/>
    <row r="77" s="177" customFormat="1"/>
    <row r="78" s="177" customFormat="1"/>
    <row r="79" s="177" customFormat="1"/>
    <row r="80" s="177" customFormat="1"/>
    <row r="81" s="177" customFormat="1"/>
    <row r="82" s="177" customFormat="1"/>
    <row r="83" s="177" customFormat="1"/>
    <row r="84" s="177" customFormat="1"/>
    <row r="85" s="177" customFormat="1"/>
    <row r="86" s="177" customFormat="1"/>
    <row r="87" s="177" customFormat="1"/>
    <row r="88" s="177" customFormat="1"/>
    <row r="89" s="177" customFormat="1"/>
    <row r="90" s="177" customFormat="1"/>
    <row r="91" s="177" customFormat="1"/>
    <row r="92" s="177" customFormat="1"/>
    <row r="93" s="177" customFormat="1"/>
    <row r="94" s="177" customFormat="1"/>
    <row r="95" s="177" customFormat="1"/>
    <row r="96" s="177" customFormat="1"/>
    <row r="97" s="177" customFormat="1"/>
    <row r="98" s="177" customFormat="1"/>
    <row r="99" s="177" customFormat="1"/>
    <row r="100" s="177" customFormat="1"/>
    <row r="101" s="177" customFormat="1"/>
    <row r="102" s="177" customFormat="1"/>
    <row r="103" s="177" customFormat="1"/>
    <row r="104" s="177" customFormat="1"/>
    <row r="105" s="177" customFormat="1"/>
    <row r="106" s="177" customFormat="1"/>
    <row r="107" s="177" customFormat="1"/>
    <row r="108" s="177" customFormat="1"/>
    <row r="109" s="177" customFormat="1"/>
    <row r="110" s="177" customFormat="1"/>
    <row r="111" s="177" customFormat="1"/>
    <row r="112" s="177" customFormat="1"/>
    <row r="113" s="177" customFormat="1"/>
    <row r="114" s="177" customFormat="1"/>
    <row r="115" s="177" customFormat="1"/>
    <row r="116" s="177" customFormat="1"/>
    <row r="117" s="177" customFormat="1"/>
    <row r="118" s="177" customFormat="1"/>
    <row r="119" s="177" customFormat="1"/>
    <row r="120" s="177" customFormat="1"/>
    <row r="121" s="177" customFormat="1"/>
    <row r="122" s="177" customFormat="1"/>
    <row r="123" s="177" customFormat="1"/>
    <row r="124" s="177" customFormat="1"/>
    <row r="125" s="177" customFormat="1"/>
    <row r="126" s="177" customFormat="1"/>
    <row r="127" s="177" customFormat="1"/>
    <row r="128" s="177" customFormat="1"/>
    <row r="129" s="177" customFormat="1"/>
    <row r="130" s="177" customFormat="1"/>
    <row r="131" s="177" customFormat="1"/>
    <row r="132" s="177" customFormat="1"/>
    <row r="133" s="177" customFormat="1"/>
    <row r="134" s="177" customFormat="1"/>
    <row r="135" s="177" customFormat="1"/>
    <row r="136" s="177" customFormat="1"/>
    <row r="137" s="177" customFormat="1"/>
    <row r="138" s="177" customFormat="1"/>
    <row r="139" s="177" customFormat="1"/>
    <row r="140" s="177" customFormat="1"/>
    <row r="141" s="177" customFormat="1"/>
    <row r="142" s="177" customFormat="1"/>
    <row r="143" s="177" customFormat="1"/>
    <row r="144" s="177" customFormat="1"/>
    <row r="145" s="177" customFormat="1"/>
    <row r="146" s="177" customFormat="1"/>
    <row r="147" s="177" customFormat="1"/>
    <row r="148" s="177" customFormat="1"/>
    <row r="149" s="177" customFormat="1"/>
    <row r="150" s="177" customFormat="1"/>
    <row r="151" s="177" customFormat="1"/>
    <row r="152" s="177" customFormat="1" ht="33" customHeight="1"/>
    <row r="153" s="177" customFormat="1"/>
    <row r="154" s="177" customFormat="1"/>
    <row r="155" s="177" customFormat="1"/>
    <row r="156" s="177" customFormat="1"/>
    <row r="157" s="177" customFormat="1" ht="31.5" customHeight="1"/>
    <row r="158" s="177" customFormat="1"/>
    <row r="159" s="177" customFormat="1"/>
    <row r="160" s="177" customFormat="1"/>
    <row r="161" s="177" customFormat="1"/>
    <row r="162" s="177" customFormat="1"/>
    <row r="163" s="177" customFormat="1"/>
    <row r="164" s="177" customFormat="1"/>
    <row r="165" s="177" customFormat="1"/>
    <row r="166" s="177" customFormat="1"/>
    <row r="167" s="177" customFormat="1" ht="30.75" customHeight="1"/>
    <row r="168" s="177" customFormat="1" ht="33" customHeight="1"/>
    <row r="169" s="177" customFormat="1"/>
    <row r="170" s="177" customFormat="1"/>
    <row r="171" s="177" customFormat="1"/>
    <row r="172" s="177" customFormat="1"/>
    <row r="173" s="177" customFormat="1" ht="31.5" customHeight="1"/>
    <row r="174" s="177" customFormat="1"/>
    <row r="175" s="177" customFormat="1" ht="30.75" customHeight="1"/>
    <row r="176" s="177" customFormat="1"/>
    <row r="177" s="177" customFormat="1" ht="31.5" customHeight="1"/>
    <row r="178" s="177" customFormat="1"/>
    <row r="179" s="177" customFormat="1"/>
    <row r="180" s="177" customFormat="1"/>
    <row r="181" s="177" customFormat="1" ht="33" customHeight="1"/>
    <row r="182" s="177" customFormat="1"/>
    <row r="183" s="177" customFormat="1" ht="30.75" customHeight="1"/>
    <row r="184" s="177" customFormat="1" ht="27" customHeight="1"/>
    <row r="185" s="177" customFormat="1"/>
    <row r="186" s="177" customFormat="1"/>
    <row r="187" s="177" customFormat="1"/>
    <row r="188" s="177" customFormat="1"/>
    <row r="189" s="177" customFormat="1"/>
    <row r="190" s="177" customFormat="1"/>
    <row r="191" s="177" customFormat="1"/>
    <row r="192" s="177" customFormat="1"/>
    <row r="193" s="177" customFormat="1"/>
    <row r="194" s="177" customFormat="1"/>
    <row r="195" s="177" customFormat="1"/>
    <row r="196" s="177" customFormat="1"/>
    <row r="197" s="177" customFormat="1"/>
    <row r="198" s="177" customFormat="1"/>
    <row r="199" s="177" customFormat="1"/>
    <row r="200" s="177" customFormat="1"/>
    <row r="201" s="177" customFormat="1"/>
    <row r="202" s="177" customFormat="1"/>
    <row r="203" s="177" customFormat="1"/>
    <row r="204" s="177" customFormat="1"/>
    <row r="205" s="177" customFormat="1"/>
    <row r="206" s="177" customFormat="1"/>
    <row r="207" s="177" customFormat="1"/>
    <row r="208" s="177" customFormat="1"/>
    <row r="209" s="177" customFormat="1"/>
    <row r="210" s="177" customFormat="1"/>
    <row r="211" s="177" customFormat="1"/>
    <row r="212" s="177" customFormat="1"/>
    <row r="213" s="177" customFormat="1"/>
    <row r="214" s="177" customFormat="1"/>
    <row r="215" s="177" customFormat="1" ht="409" customHeight="1"/>
    <row r="216" s="177" customFormat="1"/>
    <row r="217" s="177" customFormat="1"/>
    <row r="218" s="177" customFormat="1"/>
    <row r="219" s="177" customFormat="1"/>
    <row r="220" s="177" customFormat="1"/>
    <row r="221" s="177" customFormat="1"/>
    <row r="222" s="177" customFormat="1"/>
    <row r="223" s="177" customFormat="1"/>
    <row r="224" s="177" customFormat="1"/>
    <row r="225" s="177" customFormat="1"/>
    <row r="226" s="177" customFormat="1"/>
    <row r="227" s="177" customFormat="1"/>
    <row r="228" s="177" customFormat="1"/>
    <row r="229" s="177" customFormat="1"/>
    <row r="230" s="177" customFormat="1"/>
    <row r="231" s="177" customFormat="1"/>
    <row r="232" s="177" customFormat="1"/>
    <row r="233" s="177" customFormat="1"/>
    <row r="234" s="177" customFormat="1"/>
    <row r="235" s="177" customFormat="1"/>
    <row r="236" s="177" customFormat="1"/>
    <row r="237" s="177" customFormat="1"/>
    <row r="238" s="177" customFormat="1"/>
    <row r="239" s="177" customFormat="1"/>
    <row r="240" s="177" customFormat="1"/>
    <row r="241" s="177" customFormat="1"/>
    <row r="242" s="177" customFormat="1"/>
    <row r="243" s="177" customFormat="1"/>
    <row r="244" s="177" customFormat="1"/>
    <row r="245" s="177" customFormat="1"/>
    <row r="246" s="177" customFormat="1"/>
    <row r="247" s="177" customFormat="1"/>
    <row r="248" s="177" customFormat="1"/>
    <row r="249" s="177" customFormat="1"/>
    <row r="250" s="177" customFormat="1"/>
    <row r="251" s="177" customFormat="1"/>
    <row r="252" s="177" customFormat="1"/>
    <row r="253" s="177" customFormat="1"/>
    <row r="254" s="177" customFormat="1"/>
    <row r="255" s="177" customFormat="1"/>
    <row r="256" s="177" customFormat="1"/>
    <row r="257" s="177" customFormat="1"/>
    <row r="258" s="177" customFormat="1"/>
    <row r="259" s="177" customFormat="1"/>
    <row r="260" s="177" customFormat="1"/>
    <row r="261" s="177" customFormat="1"/>
    <row r="262" s="177" customFormat="1"/>
    <row r="263" s="177" customFormat="1"/>
    <row r="264" s="177" customFormat="1"/>
    <row r="265" s="177" customFormat="1"/>
    <row r="266" s="177" customFormat="1"/>
    <row r="267" s="177" customFormat="1"/>
    <row r="268" s="177" customFormat="1"/>
    <row r="269" s="177" customFormat="1"/>
    <row r="270" s="177" customFormat="1"/>
    <row r="271" s="177" customFormat="1"/>
    <row r="272" s="177" customFormat="1"/>
    <row r="273" s="177" customFormat="1"/>
    <row r="274" s="177" customFormat="1"/>
    <row r="275" s="177" customFormat="1"/>
    <row r="276" s="177" customFormat="1"/>
    <row r="277" s="177" customFormat="1"/>
    <row r="278" s="177" customFormat="1"/>
    <row r="279" s="177" customFormat="1"/>
    <row r="280" s="177" customFormat="1"/>
    <row r="281" s="177" customFormat="1"/>
    <row r="282" s="177" customFormat="1"/>
    <row r="283" s="177" customFormat="1"/>
    <row r="284" s="177" customFormat="1"/>
    <row r="285" s="177" customFormat="1"/>
    <row r="286" s="177" customFormat="1"/>
    <row r="287" s="177" customFormat="1"/>
    <row r="288" s="177" customFormat="1"/>
    <row r="289" s="177" customFormat="1"/>
    <row r="290" s="177" customFormat="1"/>
    <row r="291" s="177" customFormat="1"/>
    <row r="292" s="177" customFormat="1" ht="2.25" customHeight="1"/>
    <row r="293" s="177" customFormat="1" ht="409.5" customHeight="1"/>
    <row r="294" s="177" customFormat="1"/>
    <row r="295" s="177" customFormat="1"/>
    <row r="296" s="177" customFormat="1"/>
    <row r="297" s="177" customFormat="1"/>
    <row r="298" s="177" customFormat="1"/>
    <row r="299" s="177" customFormat="1"/>
    <row r="300" s="177" customFormat="1"/>
    <row r="301" s="177" customFormat="1"/>
    <row r="302" s="177" customFormat="1"/>
    <row r="303" s="177" customFormat="1"/>
    <row r="304" s="177" customFormat="1"/>
  </sheetData>
  <phoneticPr fontId="14"/>
  <hyperlinks>
    <hyperlink ref="A4" location="パラメータ設定一覧!A1" display="パラメータ設定一覧へ" xr:uid="{7E21AF20-FAB2-4E7C-BC43-09676D40563B}"/>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76008-47A8-4754-A03A-FD9A01A63BC9}">
  <sheetPr codeName="Sheet79"/>
  <dimension ref="A1:BA29"/>
  <sheetViews>
    <sheetView showGridLines="0" zoomScaleNormal="100" workbookViewId="0">
      <pane xSplit="6" ySplit="6" topLeftCell="G7" activePane="bottomRight" state="frozen"/>
      <selection pane="topRight" activeCell="G1" sqref="G1"/>
      <selection pane="bottomLeft" activeCell="A7" sqref="A7"/>
      <selection pane="bottomRight" activeCell="G7" sqref="G7"/>
    </sheetView>
  </sheetViews>
  <sheetFormatPr defaultColWidth="8.85546875" defaultRowHeight="13.5"/>
  <cols>
    <col min="1" max="1" width="2.78515625" style="46" customWidth="1"/>
    <col min="2" max="2" width="3.5703125" style="46" bestFit="1" customWidth="1"/>
    <col min="3" max="12" width="17.2109375" style="46" customWidth="1"/>
    <col min="13" max="53" width="20.640625" style="46" customWidth="1"/>
    <col min="54" max="16384" width="8.85546875" style="46"/>
  </cols>
  <sheetData>
    <row r="1" spans="1:53" customFormat="1" ht="19.5">
      <c r="A1" s="151" t="s">
        <v>2901</v>
      </c>
    </row>
    <row r="2" spans="1:53" customFormat="1" ht="15">
      <c r="A2" s="196" t="s">
        <v>2668</v>
      </c>
    </row>
    <row r="3" spans="1:53" customFormat="1" ht="15">
      <c r="A3" s="10" t="s">
        <v>363</v>
      </c>
    </row>
    <row r="4" spans="1:53" ht="15.75" customHeight="1">
      <c r="B4" s="439" t="s">
        <v>1</v>
      </c>
      <c r="C4" s="107" t="s">
        <v>23</v>
      </c>
      <c r="D4" s="110"/>
      <c r="E4" s="110"/>
      <c r="F4" s="110"/>
      <c r="G4" s="110"/>
      <c r="H4" s="110"/>
      <c r="I4" s="110"/>
      <c r="J4" s="110"/>
      <c r="K4" s="110"/>
      <c r="L4" s="110"/>
      <c r="M4" s="107" t="s">
        <v>1928</v>
      </c>
      <c r="N4" s="110"/>
      <c r="O4" s="107" t="s">
        <v>1929</v>
      </c>
      <c r="P4" s="110"/>
      <c r="Q4" s="110"/>
      <c r="R4" s="110"/>
      <c r="S4" s="107" t="s">
        <v>1930</v>
      </c>
      <c r="T4" s="110"/>
      <c r="U4" s="110"/>
      <c r="V4" s="110"/>
      <c r="W4" s="110"/>
      <c r="X4" s="107" t="s">
        <v>1931</v>
      </c>
      <c r="Y4" s="110"/>
      <c r="Z4" s="110"/>
      <c r="AA4" s="110"/>
      <c r="AB4" s="110"/>
      <c r="AC4" s="110"/>
      <c r="AD4" s="110"/>
      <c r="AE4" s="110"/>
      <c r="AF4" s="110"/>
      <c r="AG4" s="110"/>
      <c r="AH4" s="110"/>
      <c r="AI4" s="107" t="s">
        <v>506</v>
      </c>
      <c r="AJ4" s="110"/>
      <c r="AK4" s="110"/>
      <c r="AL4" s="107" t="s">
        <v>1932</v>
      </c>
      <c r="AM4" s="110"/>
      <c r="AN4" s="107" t="s">
        <v>1933</v>
      </c>
      <c r="AO4" s="110"/>
      <c r="AP4" s="110"/>
      <c r="AQ4" s="110"/>
      <c r="AR4" s="218"/>
      <c r="AS4" s="154" t="s">
        <v>892</v>
      </c>
      <c r="AT4" s="153"/>
      <c r="AU4" s="153"/>
      <c r="AV4" s="153"/>
      <c r="AW4" s="153"/>
      <c r="AX4" s="153"/>
      <c r="AY4" s="153"/>
      <c r="AZ4" s="153"/>
      <c r="BA4" s="152"/>
    </row>
    <row r="5" spans="1:53">
      <c r="B5" s="439"/>
      <c r="C5" s="106"/>
      <c r="D5" s="109"/>
      <c r="E5" s="109"/>
      <c r="F5" s="109"/>
      <c r="G5" s="109"/>
      <c r="H5" s="109"/>
      <c r="I5" s="109"/>
      <c r="J5" s="109"/>
      <c r="K5" s="109"/>
      <c r="L5" s="109"/>
      <c r="M5" s="106"/>
      <c r="N5" s="109"/>
      <c r="O5" s="106"/>
      <c r="P5" s="109"/>
      <c r="Q5" s="109"/>
      <c r="R5" s="109"/>
      <c r="S5" s="106"/>
      <c r="T5" s="109"/>
      <c r="U5" s="109"/>
      <c r="V5" s="109"/>
      <c r="W5" s="109"/>
      <c r="X5" s="106"/>
      <c r="Y5" s="109"/>
      <c r="Z5" s="109"/>
      <c r="AA5" s="109"/>
      <c r="AB5" s="109"/>
      <c r="AC5" s="109"/>
      <c r="AD5" s="109"/>
      <c r="AE5" s="109"/>
      <c r="AF5" s="109"/>
      <c r="AG5" s="109"/>
      <c r="AH5" s="109"/>
      <c r="AI5" s="106"/>
      <c r="AJ5" s="109"/>
      <c r="AK5" s="109"/>
      <c r="AL5" s="106"/>
      <c r="AM5" s="109"/>
      <c r="AN5" s="106"/>
      <c r="AO5" s="109"/>
      <c r="AP5" s="109"/>
      <c r="AQ5" s="109"/>
      <c r="AR5" s="109"/>
      <c r="AS5" s="154" t="s">
        <v>892</v>
      </c>
      <c r="AT5" s="153"/>
      <c r="AU5" s="153"/>
      <c r="AV5" s="200" t="s">
        <v>2326</v>
      </c>
      <c r="AW5" s="38"/>
      <c r="AX5" s="38"/>
      <c r="AY5" s="153" t="s">
        <v>2662</v>
      </c>
      <c r="AZ5" s="153"/>
      <c r="BA5" s="152"/>
    </row>
    <row r="6" spans="1:53">
      <c r="B6" s="440"/>
      <c r="C6" s="305" t="s">
        <v>1911</v>
      </c>
      <c r="D6" s="305" t="s">
        <v>45</v>
      </c>
      <c r="E6" s="305" t="s">
        <v>1347</v>
      </c>
      <c r="F6" s="305" t="s">
        <v>1915</v>
      </c>
      <c r="G6" s="305" t="s">
        <v>1407</v>
      </c>
      <c r="H6" s="305" t="s">
        <v>1924</v>
      </c>
      <c r="I6" s="305" t="s">
        <v>1395</v>
      </c>
      <c r="J6" s="305" t="s">
        <v>1925</v>
      </c>
      <c r="K6" s="305" t="s">
        <v>1926</v>
      </c>
      <c r="L6" s="305" t="s">
        <v>2661</v>
      </c>
      <c r="M6" s="305" t="s">
        <v>2116</v>
      </c>
      <c r="N6" s="305" t="s">
        <v>2562</v>
      </c>
      <c r="O6" s="305" t="s">
        <v>1929</v>
      </c>
      <c r="P6" s="305" t="s">
        <v>1547</v>
      </c>
      <c r="Q6" s="305" t="s">
        <v>2563</v>
      </c>
      <c r="R6" s="305" t="s">
        <v>1447</v>
      </c>
      <c r="S6" s="305" t="s">
        <v>1547</v>
      </c>
      <c r="T6" s="305" t="s">
        <v>2400</v>
      </c>
      <c r="U6" s="305" t="s">
        <v>2401</v>
      </c>
      <c r="V6" s="305" t="s">
        <v>991</v>
      </c>
      <c r="W6" s="305" t="s">
        <v>2613</v>
      </c>
      <c r="X6" s="305" t="s">
        <v>2566</v>
      </c>
      <c r="Y6" s="305" t="s">
        <v>2567</v>
      </c>
      <c r="Z6" s="305" t="s">
        <v>2568</v>
      </c>
      <c r="AA6" s="305" t="s">
        <v>2569</v>
      </c>
      <c r="AB6" s="305" t="s">
        <v>2570</v>
      </c>
      <c r="AC6" s="305" t="s">
        <v>2571</v>
      </c>
      <c r="AD6" s="305" t="s">
        <v>2573</v>
      </c>
      <c r="AE6" s="305" t="s">
        <v>2574</v>
      </c>
      <c r="AF6" s="305" t="s">
        <v>2575</v>
      </c>
      <c r="AG6" s="305" t="s">
        <v>2577</v>
      </c>
      <c r="AH6" s="305" t="s">
        <v>2579</v>
      </c>
      <c r="AI6" s="305" t="s">
        <v>1557</v>
      </c>
      <c r="AJ6" s="305" t="s">
        <v>1929</v>
      </c>
      <c r="AK6" s="305" t="s">
        <v>1547</v>
      </c>
      <c r="AL6" s="305" t="s">
        <v>2581</v>
      </c>
      <c r="AM6" s="305" t="s">
        <v>2582</v>
      </c>
      <c r="AN6" s="305" t="s">
        <v>2583</v>
      </c>
      <c r="AO6" s="305" t="s">
        <v>2585</v>
      </c>
      <c r="AP6" s="305" t="s">
        <v>2587</v>
      </c>
      <c r="AQ6" s="305" t="s">
        <v>2589</v>
      </c>
      <c r="AR6" s="305" t="s">
        <v>247</v>
      </c>
      <c r="AS6" s="305" t="s">
        <v>247</v>
      </c>
      <c r="AT6" s="305" t="s">
        <v>19</v>
      </c>
      <c r="AU6" s="305" t="s">
        <v>2591</v>
      </c>
      <c r="AV6" s="40" t="s">
        <v>2325</v>
      </c>
      <c r="AW6" s="40" t="s">
        <v>2325</v>
      </c>
      <c r="AX6" s="40" t="s">
        <v>2325</v>
      </c>
      <c r="AY6" s="183" t="s">
        <v>2596</v>
      </c>
      <c r="AZ6" s="183" t="s">
        <v>45</v>
      </c>
      <c r="BA6" s="183" t="s">
        <v>2597</v>
      </c>
    </row>
    <row r="7" spans="1:53" ht="54">
      <c r="B7" s="440"/>
      <c r="C7" s="8" t="s">
        <v>2898</v>
      </c>
      <c r="D7" s="8" t="s">
        <v>20</v>
      </c>
      <c r="E7" s="8" t="s">
        <v>2601</v>
      </c>
      <c r="F7" s="8" t="s">
        <v>2605</v>
      </c>
      <c r="G7" s="8" t="s">
        <v>2603</v>
      </c>
      <c r="H7" s="8" t="s">
        <v>2606</v>
      </c>
      <c r="I7" s="8" t="s">
        <v>50</v>
      </c>
      <c r="J7" s="8" t="s">
        <v>2608</v>
      </c>
      <c r="K7" s="8" t="s">
        <v>2511</v>
      </c>
      <c r="L7" s="8" t="s">
        <v>2604</v>
      </c>
      <c r="M7" s="8" t="s">
        <v>2511</v>
      </c>
      <c r="N7" s="8" t="s">
        <v>2511</v>
      </c>
      <c r="O7" s="8" t="s">
        <v>2520</v>
      </c>
      <c r="P7" s="8" t="s">
        <v>21</v>
      </c>
      <c r="Q7" s="8" t="s">
        <v>2511</v>
      </c>
      <c r="R7" s="8" t="s">
        <v>2511</v>
      </c>
      <c r="S7" s="8" t="s">
        <v>756</v>
      </c>
      <c r="T7" s="8" t="s">
        <v>2511</v>
      </c>
      <c r="U7" s="8" t="s">
        <v>2511</v>
      </c>
      <c r="V7" s="8" t="s">
        <v>2508</v>
      </c>
      <c r="W7" s="8" t="s">
        <v>833</v>
      </c>
      <c r="X7" s="8" t="s">
        <v>2614</v>
      </c>
      <c r="Y7" s="8" t="s">
        <v>2616</v>
      </c>
      <c r="Z7" s="8" t="s">
        <v>2618</v>
      </c>
      <c r="AA7" s="8" t="s">
        <v>833</v>
      </c>
      <c r="AB7" s="8" t="s">
        <v>50</v>
      </c>
      <c r="AC7" s="8" t="s">
        <v>50</v>
      </c>
      <c r="AD7" s="8" t="s">
        <v>833</v>
      </c>
      <c r="AE7" s="8" t="s">
        <v>833</v>
      </c>
      <c r="AF7" s="8" t="s">
        <v>21</v>
      </c>
      <c r="AG7" s="8" t="s">
        <v>2619</v>
      </c>
      <c r="AH7" s="8" t="s">
        <v>2620</v>
      </c>
      <c r="AI7" s="8" t="s">
        <v>2621</v>
      </c>
      <c r="AJ7" s="8" t="s">
        <v>2520</v>
      </c>
      <c r="AK7" s="8" t="s">
        <v>21</v>
      </c>
      <c r="AL7" s="8" t="s">
        <v>2624</v>
      </c>
      <c r="AM7" s="8" t="s">
        <v>2619</v>
      </c>
      <c r="AN7" s="8" t="s">
        <v>833</v>
      </c>
      <c r="AO7" s="8" t="s">
        <v>2627</v>
      </c>
      <c r="AP7" s="8" t="s">
        <v>21</v>
      </c>
      <c r="AQ7" s="8"/>
      <c r="AR7" s="8"/>
      <c r="AS7" s="8" t="s">
        <v>2618</v>
      </c>
      <c r="AT7" s="8" t="s">
        <v>21</v>
      </c>
      <c r="AU7" s="8" t="s">
        <v>2631</v>
      </c>
      <c r="AV7" s="8" t="s">
        <v>21</v>
      </c>
      <c r="AW7" s="8" t="s">
        <v>21</v>
      </c>
      <c r="AX7" s="8" t="s">
        <v>21</v>
      </c>
      <c r="AY7" s="8" t="s">
        <v>2633</v>
      </c>
      <c r="AZ7" s="8" t="s">
        <v>21</v>
      </c>
      <c r="BA7" s="8" t="s">
        <v>21</v>
      </c>
    </row>
    <row r="8" spans="1:53">
      <c r="B8" s="440"/>
      <c r="C8" s="8" t="s">
        <v>2667</v>
      </c>
      <c r="D8" s="8"/>
      <c r="E8" s="8" t="s">
        <v>2667</v>
      </c>
      <c r="F8" s="8" t="s">
        <v>2766</v>
      </c>
      <c r="G8" s="8"/>
      <c r="H8" s="8"/>
      <c r="I8" s="8"/>
      <c r="J8" s="8"/>
      <c r="K8" s="8"/>
      <c r="L8" s="8"/>
      <c r="M8" s="8" t="s">
        <v>2667</v>
      </c>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row>
    <row r="9" spans="1:53">
      <c r="B9" s="229" t="s">
        <v>1226</v>
      </c>
      <c r="C9" s="229" t="s">
        <v>2899</v>
      </c>
      <c r="D9" s="229"/>
      <c r="E9" s="229" t="s">
        <v>2897</v>
      </c>
      <c r="F9" s="229" t="s">
        <v>2900</v>
      </c>
      <c r="G9" s="229"/>
      <c r="H9" s="229"/>
      <c r="I9" s="229"/>
      <c r="J9" s="229"/>
      <c r="K9" s="229"/>
      <c r="L9" s="229"/>
      <c r="M9" s="391">
        <v>45017</v>
      </c>
      <c r="N9" s="229"/>
      <c r="O9" s="229"/>
      <c r="P9" s="229"/>
      <c r="Q9" s="229"/>
      <c r="R9" s="229"/>
      <c r="S9" s="229"/>
      <c r="T9" s="229"/>
      <c r="U9" s="229"/>
      <c r="V9" s="229"/>
      <c r="W9" s="229"/>
      <c r="X9" s="229"/>
      <c r="Y9" s="229"/>
      <c r="Z9" s="229"/>
      <c r="AA9" s="229"/>
      <c r="AB9" s="229"/>
      <c r="AC9" s="229"/>
      <c r="AD9" s="229"/>
      <c r="AE9" s="229"/>
      <c r="AF9" s="229"/>
      <c r="AG9" s="229"/>
      <c r="AH9" s="229"/>
      <c r="AI9" s="229"/>
      <c r="AJ9" s="229"/>
      <c r="AK9" s="229"/>
      <c r="AL9" s="229"/>
      <c r="AM9" s="229"/>
      <c r="AN9" s="229"/>
      <c r="AO9" s="229"/>
      <c r="AP9" s="229"/>
      <c r="AQ9" s="229"/>
      <c r="AR9" s="229"/>
      <c r="AS9" s="229"/>
      <c r="AT9" s="229"/>
      <c r="AU9" s="229"/>
      <c r="AV9" s="229"/>
      <c r="AW9" s="229"/>
      <c r="AX9" s="229"/>
      <c r="AY9" s="229"/>
      <c r="AZ9" s="229"/>
      <c r="BA9" s="229"/>
    </row>
    <row r="10" spans="1:53">
      <c r="B10" s="217">
        <f>ROW() - 9</f>
        <v>1</v>
      </c>
      <c r="C10" s="217"/>
      <c r="D10" s="217"/>
      <c r="E10" s="217"/>
      <c r="F10" s="217"/>
      <c r="G10" s="217"/>
      <c r="H10" s="217"/>
      <c r="I10" s="217"/>
      <c r="J10" s="217"/>
      <c r="K10" s="217"/>
      <c r="L10" s="217"/>
      <c r="M10" s="217"/>
      <c r="N10" s="217"/>
      <c r="O10" s="217"/>
      <c r="P10" s="217"/>
      <c r="Q10" s="217"/>
      <c r="R10" s="217"/>
      <c r="S10" s="217"/>
      <c r="T10" s="217"/>
      <c r="U10" s="217"/>
      <c r="V10" s="217"/>
      <c r="W10" s="217"/>
      <c r="X10" s="217"/>
      <c r="Y10" s="217"/>
      <c r="Z10" s="217"/>
      <c r="AA10" s="217"/>
      <c r="AB10" s="217"/>
      <c r="AC10" s="217"/>
      <c r="AD10" s="217"/>
      <c r="AE10" s="217"/>
      <c r="AF10" s="217"/>
      <c r="AG10" s="217"/>
      <c r="AH10" s="217"/>
      <c r="AI10" s="217"/>
      <c r="AJ10" s="217"/>
      <c r="AK10" s="217"/>
      <c r="AL10" s="217"/>
      <c r="AM10" s="217"/>
      <c r="AN10" s="217"/>
      <c r="AO10" s="217"/>
      <c r="AP10" s="217"/>
      <c r="AQ10" s="217"/>
      <c r="AR10" s="217"/>
      <c r="AS10" s="217"/>
      <c r="AT10" s="217"/>
      <c r="AU10" s="217"/>
      <c r="AV10" s="217"/>
      <c r="AW10" s="217"/>
      <c r="AX10" s="217"/>
      <c r="AY10" s="217"/>
      <c r="AZ10" s="217"/>
      <c r="BA10" s="217"/>
    </row>
    <row r="11" spans="1:53">
      <c r="B11" s="217">
        <f t="shared" ref="B11:B14" si="0">ROW() - 9</f>
        <v>2</v>
      </c>
      <c r="C11" s="217"/>
      <c r="D11" s="217"/>
      <c r="E11" s="217"/>
      <c r="F11" s="217"/>
      <c r="G11" s="217"/>
      <c r="H11" s="217"/>
      <c r="I11" s="217"/>
      <c r="J11" s="217"/>
      <c r="K11" s="217"/>
      <c r="L11" s="217"/>
      <c r="M11" s="217"/>
      <c r="N11" s="217"/>
      <c r="O11" s="217"/>
      <c r="P11" s="217"/>
      <c r="Q11" s="217"/>
      <c r="R11" s="217"/>
      <c r="S11" s="217"/>
      <c r="T11" s="217"/>
      <c r="U11" s="217"/>
      <c r="V11" s="217"/>
      <c r="W11" s="217"/>
      <c r="X11" s="217"/>
      <c r="Y11" s="217"/>
      <c r="Z11" s="217"/>
      <c r="AA11" s="217"/>
      <c r="AB11" s="217"/>
      <c r="AC11" s="217"/>
      <c r="AD11" s="217"/>
      <c r="AE11" s="217"/>
      <c r="AF11" s="217"/>
      <c r="AG11" s="217"/>
      <c r="AH11" s="217"/>
      <c r="AI11" s="217"/>
      <c r="AJ11" s="217"/>
      <c r="AK11" s="217"/>
      <c r="AL11" s="217"/>
      <c r="AM11" s="217"/>
      <c r="AN11" s="217"/>
      <c r="AO11" s="217"/>
      <c r="AP11" s="217"/>
      <c r="AQ11" s="217"/>
      <c r="AR11" s="217"/>
      <c r="AS11" s="217"/>
      <c r="AT11" s="217"/>
      <c r="AU11" s="217"/>
      <c r="AV11" s="217"/>
      <c r="AW11" s="217"/>
      <c r="AX11" s="217"/>
      <c r="AY11" s="217"/>
      <c r="AZ11" s="217"/>
      <c r="BA11" s="217"/>
    </row>
    <row r="12" spans="1:53">
      <c r="B12" s="217">
        <f t="shared" si="0"/>
        <v>3</v>
      </c>
      <c r="C12" s="217"/>
      <c r="D12" s="217"/>
      <c r="E12" s="217"/>
      <c r="F12" s="217"/>
      <c r="G12" s="217"/>
      <c r="H12" s="217"/>
      <c r="I12" s="217"/>
      <c r="J12" s="217"/>
      <c r="K12" s="217"/>
      <c r="L12" s="217"/>
      <c r="M12" s="217"/>
      <c r="N12" s="217"/>
      <c r="O12" s="217"/>
      <c r="P12" s="217"/>
      <c r="Q12" s="217"/>
      <c r="R12" s="217"/>
      <c r="S12" s="217"/>
      <c r="T12" s="217"/>
      <c r="U12" s="217"/>
      <c r="V12" s="217"/>
      <c r="W12" s="217"/>
      <c r="X12" s="217"/>
      <c r="Y12" s="217"/>
      <c r="Z12" s="217"/>
      <c r="AA12" s="217"/>
      <c r="AB12" s="217"/>
      <c r="AC12" s="217"/>
      <c r="AD12" s="217"/>
      <c r="AE12" s="217"/>
      <c r="AF12" s="217"/>
      <c r="AG12" s="217"/>
      <c r="AH12" s="217"/>
      <c r="AI12" s="217"/>
      <c r="AJ12" s="217"/>
      <c r="AK12" s="217"/>
      <c r="AL12" s="217"/>
      <c r="AM12" s="217"/>
      <c r="AN12" s="217"/>
      <c r="AO12" s="217"/>
      <c r="AP12" s="217"/>
      <c r="AQ12" s="217"/>
      <c r="AR12" s="217"/>
      <c r="AS12" s="217"/>
      <c r="AT12" s="217"/>
      <c r="AU12" s="217"/>
      <c r="AV12" s="217"/>
      <c r="AW12" s="217"/>
      <c r="AX12" s="217"/>
      <c r="AY12" s="217"/>
      <c r="AZ12" s="217"/>
      <c r="BA12" s="217"/>
    </row>
    <row r="13" spans="1:53">
      <c r="B13" s="217">
        <f t="shared" si="0"/>
        <v>4</v>
      </c>
      <c r="C13" s="217"/>
      <c r="D13" s="217"/>
      <c r="E13" s="217"/>
      <c r="F13" s="217"/>
      <c r="G13" s="217"/>
      <c r="H13" s="217"/>
      <c r="I13" s="217"/>
      <c r="J13" s="217"/>
      <c r="K13" s="217"/>
      <c r="L13" s="217"/>
      <c r="M13" s="217"/>
      <c r="N13" s="217"/>
      <c r="O13" s="217"/>
      <c r="P13" s="217"/>
      <c r="Q13" s="217"/>
      <c r="R13" s="217"/>
      <c r="S13" s="217"/>
      <c r="T13" s="217"/>
      <c r="U13" s="217"/>
      <c r="V13" s="217"/>
      <c r="W13" s="217"/>
      <c r="X13" s="217"/>
      <c r="Y13" s="217"/>
      <c r="Z13" s="217"/>
      <c r="AA13" s="217"/>
      <c r="AB13" s="217"/>
      <c r="AC13" s="217"/>
      <c r="AD13" s="217"/>
      <c r="AE13" s="217"/>
      <c r="AF13" s="217"/>
      <c r="AG13" s="217"/>
      <c r="AH13" s="217"/>
      <c r="AI13" s="217"/>
      <c r="AJ13" s="217"/>
      <c r="AK13" s="217"/>
      <c r="AL13" s="217"/>
      <c r="AM13" s="217"/>
      <c r="AN13" s="217"/>
      <c r="AO13" s="217"/>
      <c r="AP13" s="217"/>
      <c r="AQ13" s="217"/>
      <c r="AR13" s="217"/>
      <c r="AS13" s="217"/>
      <c r="AT13" s="217"/>
      <c r="AU13" s="217"/>
      <c r="AV13" s="217"/>
      <c r="AW13" s="217"/>
      <c r="AX13" s="217"/>
      <c r="AY13" s="217"/>
      <c r="AZ13" s="217"/>
      <c r="BA13" s="217"/>
    </row>
    <row r="14" spans="1:53">
      <c r="B14" s="217">
        <f t="shared" si="0"/>
        <v>5</v>
      </c>
      <c r="C14" s="304"/>
      <c r="D14" s="304"/>
      <c r="E14" s="304"/>
      <c r="F14" s="304"/>
      <c r="G14" s="304"/>
      <c r="H14" s="304"/>
      <c r="I14" s="304"/>
      <c r="J14" s="304"/>
      <c r="K14" s="304"/>
      <c r="L14" s="304"/>
      <c r="M14" s="304"/>
      <c r="N14" s="304"/>
      <c r="O14" s="304"/>
      <c r="P14" s="304"/>
      <c r="Q14" s="304"/>
      <c r="R14" s="304"/>
      <c r="S14" s="304"/>
      <c r="T14" s="304"/>
      <c r="U14" s="304"/>
      <c r="V14" s="304"/>
      <c r="W14" s="304"/>
      <c r="X14" s="304"/>
      <c r="Y14" s="304"/>
      <c r="Z14" s="304"/>
      <c r="AA14" s="304"/>
      <c r="AB14" s="304"/>
      <c r="AC14" s="304"/>
      <c r="AD14" s="304"/>
      <c r="AE14" s="304"/>
      <c r="AF14" s="304"/>
      <c r="AG14" s="304"/>
      <c r="AH14" s="304"/>
      <c r="AI14" s="304"/>
      <c r="AJ14" s="304"/>
      <c r="AK14" s="304"/>
      <c r="AL14" s="304"/>
      <c r="AM14" s="304"/>
      <c r="AN14" s="304"/>
      <c r="AO14" s="304"/>
      <c r="AP14" s="304"/>
      <c r="AQ14" s="304"/>
      <c r="AR14" s="304"/>
      <c r="AS14" s="304"/>
      <c r="AT14" s="304"/>
      <c r="AU14" s="304"/>
      <c r="AV14" s="304"/>
      <c r="AW14" s="304"/>
      <c r="AX14" s="304"/>
      <c r="AY14" s="304"/>
      <c r="AZ14" s="304"/>
      <c r="BA14" s="304"/>
    </row>
    <row r="15" spans="1:53">
      <c r="B15" s="217">
        <f>ROW() - 9</f>
        <v>6</v>
      </c>
      <c r="C15" s="217"/>
      <c r="D15" s="217"/>
      <c r="E15" s="217"/>
      <c r="F15" s="217"/>
      <c r="G15" s="217"/>
      <c r="H15" s="217"/>
      <c r="I15" s="217"/>
      <c r="J15" s="217"/>
      <c r="K15" s="217"/>
      <c r="L15" s="217"/>
      <c r="M15" s="217"/>
      <c r="N15" s="217"/>
      <c r="O15" s="217"/>
      <c r="P15" s="217"/>
      <c r="Q15" s="217"/>
      <c r="R15" s="217"/>
      <c r="S15" s="217"/>
      <c r="T15" s="217"/>
      <c r="U15" s="217"/>
      <c r="V15" s="217"/>
      <c r="W15" s="217"/>
      <c r="X15" s="217"/>
      <c r="Y15" s="217"/>
      <c r="Z15" s="217"/>
      <c r="AA15" s="217"/>
      <c r="AB15" s="217"/>
      <c r="AC15" s="217"/>
      <c r="AD15" s="217"/>
      <c r="AE15" s="217"/>
      <c r="AF15" s="217"/>
      <c r="AG15" s="217"/>
      <c r="AH15" s="217"/>
      <c r="AI15" s="217"/>
      <c r="AJ15" s="217"/>
      <c r="AK15" s="217"/>
      <c r="AL15" s="217"/>
      <c r="AM15" s="217"/>
      <c r="AN15" s="217"/>
      <c r="AO15" s="217"/>
      <c r="AP15" s="217"/>
      <c r="AQ15" s="217"/>
      <c r="AR15" s="217"/>
      <c r="AS15" s="217"/>
      <c r="AT15" s="217"/>
      <c r="AU15" s="217"/>
      <c r="AV15" s="217"/>
      <c r="AW15" s="217"/>
      <c r="AX15" s="217"/>
      <c r="AY15" s="217"/>
      <c r="AZ15" s="217"/>
      <c r="BA15" s="217"/>
    </row>
    <row r="16" spans="1:53">
      <c r="B16" s="217">
        <f t="shared" ref="B16:B19" si="1">ROW() - 9</f>
        <v>7</v>
      </c>
      <c r="C16" s="217"/>
      <c r="D16" s="217"/>
      <c r="E16" s="217"/>
      <c r="F16" s="217"/>
      <c r="G16" s="217"/>
      <c r="H16" s="217"/>
      <c r="I16" s="217"/>
      <c r="J16" s="217"/>
      <c r="K16" s="217"/>
      <c r="L16" s="217"/>
      <c r="M16" s="217"/>
      <c r="N16" s="217"/>
      <c r="O16" s="217"/>
      <c r="P16" s="217"/>
      <c r="Q16" s="217"/>
      <c r="R16" s="217"/>
      <c r="S16" s="217"/>
      <c r="T16" s="217"/>
      <c r="U16" s="217"/>
      <c r="V16" s="217"/>
      <c r="W16" s="217"/>
      <c r="X16" s="217"/>
      <c r="Y16" s="217"/>
      <c r="Z16" s="217"/>
      <c r="AA16" s="217"/>
      <c r="AB16" s="217"/>
      <c r="AC16" s="217"/>
      <c r="AD16" s="217"/>
      <c r="AE16" s="217"/>
      <c r="AF16" s="217"/>
      <c r="AG16" s="217"/>
      <c r="AH16" s="217"/>
      <c r="AI16" s="217"/>
      <c r="AJ16" s="217"/>
      <c r="AK16" s="217"/>
      <c r="AL16" s="217"/>
      <c r="AM16" s="217"/>
      <c r="AN16" s="217"/>
      <c r="AO16" s="217"/>
      <c r="AP16" s="217"/>
      <c r="AQ16" s="217"/>
      <c r="AR16" s="217"/>
      <c r="AS16" s="217"/>
      <c r="AT16" s="217"/>
      <c r="AU16" s="217"/>
      <c r="AV16" s="217"/>
      <c r="AW16" s="217"/>
      <c r="AX16" s="217"/>
      <c r="AY16" s="217"/>
      <c r="AZ16" s="217"/>
      <c r="BA16" s="217"/>
    </row>
    <row r="17" spans="2:53">
      <c r="B17" s="217">
        <f t="shared" si="1"/>
        <v>8</v>
      </c>
      <c r="C17" s="217"/>
      <c r="D17" s="217"/>
      <c r="E17" s="217"/>
      <c r="F17" s="217"/>
      <c r="G17" s="217"/>
      <c r="H17" s="217"/>
      <c r="I17" s="217"/>
      <c r="J17" s="217"/>
      <c r="K17" s="217"/>
      <c r="L17" s="217"/>
      <c r="M17" s="217"/>
      <c r="N17" s="217"/>
      <c r="O17" s="217"/>
      <c r="P17" s="217"/>
      <c r="Q17" s="217"/>
      <c r="R17" s="217"/>
      <c r="S17" s="217"/>
      <c r="T17" s="217"/>
      <c r="U17" s="217"/>
      <c r="V17" s="217"/>
      <c r="W17" s="217"/>
      <c r="X17" s="217"/>
      <c r="Y17" s="217"/>
      <c r="Z17" s="217"/>
      <c r="AA17" s="217"/>
      <c r="AB17" s="217"/>
      <c r="AC17" s="217"/>
      <c r="AD17" s="217"/>
      <c r="AE17" s="217"/>
      <c r="AF17" s="217"/>
      <c r="AG17" s="217"/>
      <c r="AH17" s="217"/>
      <c r="AI17" s="217"/>
      <c r="AJ17" s="217"/>
      <c r="AK17" s="217"/>
      <c r="AL17" s="217"/>
      <c r="AM17" s="217"/>
      <c r="AN17" s="217"/>
      <c r="AO17" s="217"/>
      <c r="AP17" s="217"/>
      <c r="AQ17" s="217"/>
      <c r="AR17" s="217"/>
      <c r="AS17" s="217"/>
      <c r="AT17" s="217"/>
      <c r="AU17" s="217"/>
      <c r="AV17" s="217"/>
      <c r="AW17" s="217"/>
      <c r="AX17" s="217"/>
      <c r="AY17" s="217"/>
      <c r="AZ17" s="217"/>
      <c r="BA17" s="217"/>
    </row>
    <row r="18" spans="2:53">
      <c r="B18" s="217">
        <f t="shared" si="1"/>
        <v>9</v>
      </c>
      <c r="C18" s="217"/>
      <c r="D18" s="217"/>
      <c r="E18" s="217"/>
      <c r="F18" s="217"/>
      <c r="G18" s="217"/>
      <c r="H18" s="217"/>
      <c r="I18" s="217"/>
      <c r="J18" s="217"/>
      <c r="K18" s="217"/>
      <c r="L18" s="217"/>
      <c r="M18" s="217"/>
      <c r="N18" s="217"/>
      <c r="O18" s="217"/>
      <c r="P18" s="217"/>
      <c r="Q18" s="217"/>
      <c r="R18" s="217"/>
      <c r="S18" s="217"/>
      <c r="T18" s="217"/>
      <c r="U18" s="217"/>
      <c r="V18" s="217"/>
      <c r="W18" s="217"/>
      <c r="X18" s="217"/>
      <c r="Y18" s="217"/>
      <c r="Z18" s="217"/>
      <c r="AA18" s="217"/>
      <c r="AB18" s="217"/>
      <c r="AC18" s="217"/>
      <c r="AD18" s="217"/>
      <c r="AE18" s="217"/>
      <c r="AF18" s="217"/>
      <c r="AG18" s="217"/>
      <c r="AH18" s="217"/>
      <c r="AI18" s="217"/>
      <c r="AJ18" s="217"/>
      <c r="AK18" s="217"/>
      <c r="AL18" s="217"/>
      <c r="AM18" s="217"/>
      <c r="AN18" s="217"/>
      <c r="AO18" s="217"/>
      <c r="AP18" s="217"/>
      <c r="AQ18" s="217"/>
      <c r="AR18" s="217"/>
      <c r="AS18" s="217"/>
      <c r="AT18" s="217"/>
      <c r="AU18" s="217"/>
      <c r="AV18" s="217"/>
      <c r="AW18" s="217"/>
      <c r="AX18" s="217"/>
      <c r="AY18" s="217"/>
      <c r="AZ18" s="217"/>
      <c r="BA18" s="217"/>
    </row>
    <row r="19" spans="2:53">
      <c r="B19" s="217">
        <f t="shared" si="1"/>
        <v>10</v>
      </c>
      <c r="C19" s="304"/>
      <c r="D19" s="304"/>
      <c r="E19" s="304"/>
      <c r="F19" s="304"/>
      <c r="G19" s="304"/>
      <c r="H19" s="304"/>
      <c r="I19" s="304"/>
      <c r="J19" s="304"/>
      <c r="K19" s="304"/>
      <c r="L19" s="304"/>
      <c r="M19" s="304"/>
      <c r="N19" s="304"/>
      <c r="O19" s="304"/>
      <c r="P19" s="304"/>
      <c r="Q19" s="304"/>
      <c r="R19" s="304"/>
      <c r="S19" s="304"/>
      <c r="T19" s="304"/>
      <c r="U19" s="304"/>
      <c r="V19" s="304"/>
      <c r="W19" s="304"/>
      <c r="X19" s="304"/>
      <c r="Y19" s="304"/>
      <c r="Z19" s="304"/>
      <c r="AA19" s="304"/>
      <c r="AB19" s="304"/>
      <c r="AC19" s="304"/>
      <c r="AD19" s="304"/>
      <c r="AE19" s="304"/>
      <c r="AF19" s="304"/>
      <c r="AG19" s="304"/>
      <c r="AH19" s="304"/>
      <c r="AI19" s="304"/>
      <c r="AJ19" s="304"/>
      <c r="AK19" s="304"/>
      <c r="AL19" s="304"/>
      <c r="AM19" s="304"/>
      <c r="AN19" s="304"/>
      <c r="AO19" s="304"/>
      <c r="AP19" s="304"/>
      <c r="AQ19" s="304"/>
      <c r="AR19" s="304"/>
      <c r="AS19" s="304"/>
      <c r="AT19" s="304"/>
      <c r="AU19" s="304"/>
      <c r="AV19" s="304"/>
      <c r="AW19" s="304"/>
      <c r="AX19" s="304"/>
      <c r="AY19" s="304"/>
      <c r="AZ19" s="304"/>
      <c r="BA19" s="304"/>
    </row>
    <row r="20" spans="2:53">
      <c r="B20" s="217">
        <f>ROW() - 9</f>
        <v>11</v>
      </c>
      <c r="C20" s="217"/>
      <c r="D20" s="217"/>
      <c r="E20" s="217"/>
      <c r="F20" s="217"/>
      <c r="G20" s="217"/>
      <c r="H20" s="217"/>
      <c r="I20" s="217"/>
      <c r="J20" s="217"/>
      <c r="K20" s="217"/>
      <c r="L20" s="217"/>
      <c r="M20" s="217"/>
      <c r="N20" s="217"/>
      <c r="O20" s="217"/>
      <c r="P20" s="217"/>
      <c r="Q20" s="217"/>
      <c r="R20" s="217"/>
      <c r="S20" s="217"/>
      <c r="T20" s="217"/>
      <c r="U20" s="217"/>
      <c r="V20" s="217"/>
      <c r="W20" s="217"/>
      <c r="X20" s="217"/>
      <c r="Y20" s="217"/>
      <c r="Z20" s="217"/>
      <c r="AA20" s="217"/>
      <c r="AB20" s="217"/>
      <c r="AC20" s="217"/>
      <c r="AD20" s="217"/>
      <c r="AE20" s="217"/>
      <c r="AF20" s="217"/>
      <c r="AG20" s="217"/>
      <c r="AH20" s="217"/>
      <c r="AI20" s="217"/>
      <c r="AJ20" s="217"/>
      <c r="AK20" s="217"/>
      <c r="AL20" s="217"/>
      <c r="AM20" s="217"/>
      <c r="AN20" s="217"/>
      <c r="AO20" s="217"/>
      <c r="AP20" s="217"/>
      <c r="AQ20" s="217"/>
      <c r="AR20" s="217"/>
      <c r="AS20" s="217"/>
      <c r="AT20" s="217"/>
      <c r="AU20" s="217"/>
      <c r="AV20" s="217"/>
      <c r="AW20" s="217"/>
      <c r="AX20" s="217"/>
      <c r="AY20" s="217"/>
      <c r="AZ20" s="217"/>
      <c r="BA20" s="217"/>
    </row>
    <row r="21" spans="2:53">
      <c r="B21" s="217">
        <f t="shared" ref="B21:B24" si="2">ROW() - 9</f>
        <v>12</v>
      </c>
      <c r="C21" s="217"/>
      <c r="D21" s="217"/>
      <c r="E21" s="217"/>
      <c r="F21" s="217"/>
      <c r="G21" s="217"/>
      <c r="H21" s="217"/>
      <c r="I21" s="217"/>
      <c r="J21" s="217"/>
      <c r="K21" s="217"/>
      <c r="L21" s="217"/>
      <c r="M21" s="217"/>
      <c r="N21" s="217"/>
      <c r="O21" s="217"/>
      <c r="P21" s="217"/>
      <c r="Q21" s="217"/>
      <c r="R21" s="217"/>
      <c r="S21" s="217"/>
      <c r="T21" s="217"/>
      <c r="U21" s="217"/>
      <c r="V21" s="217"/>
      <c r="W21" s="217"/>
      <c r="X21" s="217"/>
      <c r="Y21" s="217"/>
      <c r="Z21" s="217"/>
      <c r="AA21" s="217"/>
      <c r="AB21" s="217"/>
      <c r="AC21" s="217"/>
      <c r="AD21" s="217"/>
      <c r="AE21" s="217"/>
      <c r="AF21" s="217"/>
      <c r="AG21" s="217"/>
      <c r="AH21" s="217"/>
      <c r="AI21" s="217"/>
      <c r="AJ21" s="217"/>
      <c r="AK21" s="217"/>
      <c r="AL21" s="217"/>
      <c r="AM21" s="217"/>
      <c r="AN21" s="217"/>
      <c r="AO21" s="217"/>
      <c r="AP21" s="217"/>
      <c r="AQ21" s="217"/>
      <c r="AR21" s="217"/>
      <c r="AS21" s="217"/>
      <c r="AT21" s="217"/>
      <c r="AU21" s="217"/>
      <c r="AV21" s="217"/>
      <c r="AW21" s="217"/>
      <c r="AX21" s="217"/>
      <c r="AY21" s="217"/>
      <c r="AZ21" s="217"/>
      <c r="BA21" s="217"/>
    </row>
    <row r="22" spans="2:53">
      <c r="B22" s="217">
        <f t="shared" si="2"/>
        <v>13</v>
      </c>
      <c r="C22" s="217"/>
      <c r="D22" s="217"/>
      <c r="E22" s="217"/>
      <c r="F22" s="217"/>
      <c r="G22" s="217"/>
      <c r="H22" s="217"/>
      <c r="I22" s="217"/>
      <c r="J22" s="217"/>
      <c r="K22" s="217"/>
      <c r="L22" s="217"/>
      <c r="M22" s="217"/>
      <c r="N22" s="217"/>
      <c r="O22" s="217"/>
      <c r="P22" s="217"/>
      <c r="Q22" s="217"/>
      <c r="R22" s="217"/>
      <c r="S22" s="217"/>
      <c r="T22" s="217"/>
      <c r="U22" s="217"/>
      <c r="V22" s="217"/>
      <c r="W22" s="217"/>
      <c r="X22" s="217"/>
      <c r="Y22" s="217"/>
      <c r="Z22" s="217"/>
      <c r="AA22" s="217"/>
      <c r="AB22" s="217"/>
      <c r="AC22" s="217"/>
      <c r="AD22" s="217"/>
      <c r="AE22" s="217"/>
      <c r="AF22" s="217"/>
      <c r="AG22" s="217"/>
      <c r="AH22" s="217"/>
      <c r="AI22" s="217"/>
      <c r="AJ22" s="217"/>
      <c r="AK22" s="217"/>
      <c r="AL22" s="217"/>
      <c r="AM22" s="217"/>
      <c r="AN22" s="217"/>
      <c r="AO22" s="217"/>
      <c r="AP22" s="217"/>
      <c r="AQ22" s="217"/>
      <c r="AR22" s="217"/>
      <c r="AS22" s="217"/>
      <c r="AT22" s="217"/>
      <c r="AU22" s="217"/>
      <c r="AV22" s="217"/>
      <c r="AW22" s="217"/>
      <c r="AX22" s="217"/>
      <c r="AY22" s="217"/>
      <c r="AZ22" s="217"/>
      <c r="BA22" s="217"/>
    </row>
    <row r="23" spans="2:53">
      <c r="B23" s="217">
        <f t="shared" si="2"/>
        <v>14</v>
      </c>
      <c r="C23" s="217"/>
      <c r="D23" s="217"/>
      <c r="E23" s="217"/>
      <c r="F23" s="217"/>
      <c r="G23" s="217"/>
      <c r="H23" s="217"/>
      <c r="I23" s="217"/>
      <c r="J23" s="217"/>
      <c r="K23" s="217"/>
      <c r="L23" s="217"/>
      <c r="M23" s="217"/>
      <c r="N23" s="217"/>
      <c r="O23" s="217"/>
      <c r="P23" s="217"/>
      <c r="Q23" s="217"/>
      <c r="R23" s="217"/>
      <c r="S23" s="217"/>
      <c r="T23" s="217"/>
      <c r="U23" s="217"/>
      <c r="V23" s="217"/>
      <c r="W23" s="217"/>
      <c r="X23" s="217"/>
      <c r="Y23" s="217"/>
      <c r="Z23" s="217"/>
      <c r="AA23" s="217"/>
      <c r="AB23" s="217"/>
      <c r="AC23" s="217"/>
      <c r="AD23" s="217"/>
      <c r="AE23" s="217"/>
      <c r="AF23" s="217"/>
      <c r="AG23" s="217"/>
      <c r="AH23" s="217"/>
      <c r="AI23" s="217"/>
      <c r="AJ23" s="217"/>
      <c r="AK23" s="217"/>
      <c r="AL23" s="217"/>
      <c r="AM23" s="217"/>
      <c r="AN23" s="217"/>
      <c r="AO23" s="217"/>
      <c r="AP23" s="217"/>
      <c r="AQ23" s="217"/>
      <c r="AR23" s="217"/>
      <c r="AS23" s="217"/>
      <c r="AT23" s="217"/>
      <c r="AU23" s="217"/>
      <c r="AV23" s="217"/>
      <c r="AW23" s="217"/>
      <c r="AX23" s="217"/>
      <c r="AY23" s="217"/>
      <c r="AZ23" s="217"/>
      <c r="BA23" s="217"/>
    </row>
    <row r="24" spans="2:53">
      <c r="B24" s="217">
        <f t="shared" si="2"/>
        <v>15</v>
      </c>
      <c r="C24" s="304"/>
      <c r="D24" s="304"/>
      <c r="E24" s="304"/>
      <c r="F24" s="304"/>
      <c r="G24" s="304"/>
      <c r="H24" s="304"/>
      <c r="I24" s="304"/>
      <c r="J24" s="304"/>
      <c r="K24" s="304"/>
      <c r="L24" s="304"/>
      <c r="M24" s="304"/>
      <c r="N24" s="304"/>
      <c r="O24" s="304"/>
      <c r="P24" s="304"/>
      <c r="Q24" s="304"/>
      <c r="R24" s="304"/>
      <c r="S24" s="304"/>
      <c r="T24" s="304"/>
      <c r="U24" s="304"/>
      <c r="V24" s="304"/>
      <c r="W24" s="304"/>
      <c r="X24" s="304"/>
      <c r="Y24" s="304"/>
      <c r="Z24" s="304"/>
      <c r="AA24" s="304"/>
      <c r="AB24" s="304"/>
      <c r="AC24" s="304"/>
      <c r="AD24" s="304"/>
      <c r="AE24" s="304"/>
      <c r="AF24" s="304"/>
      <c r="AG24" s="304"/>
      <c r="AH24" s="304"/>
      <c r="AI24" s="304"/>
      <c r="AJ24" s="304"/>
      <c r="AK24" s="304"/>
      <c r="AL24" s="304"/>
      <c r="AM24" s="304"/>
      <c r="AN24" s="304"/>
      <c r="AO24" s="304"/>
      <c r="AP24" s="304"/>
      <c r="AQ24" s="304"/>
      <c r="AR24" s="304"/>
      <c r="AS24" s="304"/>
      <c r="AT24" s="304"/>
      <c r="AU24" s="304"/>
      <c r="AV24" s="304"/>
      <c r="AW24" s="304"/>
      <c r="AX24" s="304"/>
      <c r="AY24" s="304"/>
      <c r="AZ24" s="304"/>
      <c r="BA24" s="304"/>
    </row>
    <row r="25" spans="2:53">
      <c r="B25" s="217">
        <f>ROW() - 9</f>
        <v>16</v>
      </c>
      <c r="C25" s="217"/>
      <c r="D25" s="217"/>
      <c r="E25" s="217"/>
      <c r="F25" s="217"/>
      <c r="G25" s="217"/>
      <c r="H25" s="217"/>
      <c r="I25" s="217"/>
      <c r="J25" s="217"/>
      <c r="K25" s="217"/>
      <c r="L25" s="217"/>
      <c r="M25" s="217"/>
      <c r="N25" s="217"/>
      <c r="O25" s="217"/>
      <c r="P25" s="217"/>
      <c r="Q25" s="217"/>
      <c r="R25" s="217"/>
      <c r="S25" s="217"/>
      <c r="T25" s="217"/>
      <c r="U25" s="217"/>
      <c r="V25" s="217"/>
      <c r="W25" s="217"/>
      <c r="X25" s="217"/>
      <c r="Y25" s="217"/>
      <c r="Z25" s="217"/>
      <c r="AA25" s="217"/>
      <c r="AB25" s="217"/>
      <c r="AC25" s="217"/>
      <c r="AD25" s="217"/>
      <c r="AE25" s="217"/>
      <c r="AF25" s="217"/>
      <c r="AG25" s="217"/>
      <c r="AH25" s="217"/>
      <c r="AI25" s="217"/>
      <c r="AJ25" s="217"/>
      <c r="AK25" s="217"/>
      <c r="AL25" s="217"/>
      <c r="AM25" s="217"/>
      <c r="AN25" s="217"/>
      <c r="AO25" s="217"/>
      <c r="AP25" s="217"/>
      <c r="AQ25" s="217"/>
      <c r="AR25" s="217"/>
      <c r="AS25" s="217"/>
      <c r="AT25" s="217"/>
      <c r="AU25" s="217"/>
      <c r="AV25" s="217"/>
      <c r="AW25" s="217"/>
      <c r="AX25" s="217"/>
      <c r="AY25" s="217"/>
      <c r="AZ25" s="217"/>
      <c r="BA25" s="217"/>
    </row>
    <row r="26" spans="2:53">
      <c r="B26" s="217">
        <f t="shared" ref="B26:B29" si="3">ROW() - 9</f>
        <v>17</v>
      </c>
      <c r="C26" s="217"/>
      <c r="D26" s="217"/>
      <c r="E26" s="217"/>
      <c r="F26" s="217"/>
      <c r="G26" s="217"/>
      <c r="H26" s="217"/>
      <c r="I26" s="217"/>
      <c r="J26" s="217"/>
      <c r="K26" s="217"/>
      <c r="L26" s="217"/>
      <c r="M26" s="217"/>
      <c r="N26" s="217"/>
      <c r="O26" s="217"/>
      <c r="P26" s="217"/>
      <c r="Q26" s="217"/>
      <c r="R26" s="217"/>
      <c r="S26" s="217"/>
      <c r="T26" s="217"/>
      <c r="U26" s="217"/>
      <c r="V26" s="217"/>
      <c r="W26" s="217"/>
      <c r="X26" s="217"/>
      <c r="Y26" s="217"/>
      <c r="Z26" s="217"/>
      <c r="AA26" s="217"/>
      <c r="AB26" s="217"/>
      <c r="AC26" s="217"/>
      <c r="AD26" s="217"/>
      <c r="AE26" s="217"/>
      <c r="AF26" s="217"/>
      <c r="AG26" s="217"/>
      <c r="AH26" s="217"/>
      <c r="AI26" s="217"/>
      <c r="AJ26" s="217"/>
      <c r="AK26" s="217"/>
      <c r="AL26" s="217"/>
      <c r="AM26" s="217"/>
      <c r="AN26" s="217"/>
      <c r="AO26" s="217"/>
      <c r="AP26" s="217"/>
      <c r="AQ26" s="217"/>
      <c r="AR26" s="217"/>
      <c r="AS26" s="217"/>
      <c r="AT26" s="217"/>
      <c r="AU26" s="217"/>
      <c r="AV26" s="217"/>
      <c r="AW26" s="217"/>
      <c r="AX26" s="217"/>
      <c r="AY26" s="217"/>
      <c r="AZ26" s="217"/>
      <c r="BA26" s="217"/>
    </row>
    <row r="27" spans="2:53">
      <c r="B27" s="217">
        <f t="shared" si="3"/>
        <v>18</v>
      </c>
      <c r="C27" s="217"/>
      <c r="D27" s="217"/>
      <c r="E27" s="217"/>
      <c r="F27" s="217"/>
      <c r="G27" s="217"/>
      <c r="H27" s="217"/>
      <c r="I27" s="217"/>
      <c r="J27" s="217"/>
      <c r="K27" s="217"/>
      <c r="L27" s="217"/>
      <c r="M27" s="217"/>
      <c r="N27" s="217"/>
      <c r="O27" s="217"/>
      <c r="P27" s="217"/>
      <c r="Q27" s="217"/>
      <c r="R27" s="217"/>
      <c r="S27" s="217"/>
      <c r="T27" s="217"/>
      <c r="U27" s="217"/>
      <c r="V27" s="217"/>
      <c r="W27" s="217"/>
      <c r="X27" s="217"/>
      <c r="Y27" s="217"/>
      <c r="Z27" s="217"/>
      <c r="AA27" s="217"/>
      <c r="AB27" s="217"/>
      <c r="AC27" s="217"/>
      <c r="AD27" s="217"/>
      <c r="AE27" s="217"/>
      <c r="AF27" s="217"/>
      <c r="AG27" s="217"/>
      <c r="AH27" s="217"/>
      <c r="AI27" s="217"/>
      <c r="AJ27" s="217"/>
      <c r="AK27" s="217"/>
      <c r="AL27" s="217"/>
      <c r="AM27" s="217"/>
      <c r="AN27" s="217"/>
      <c r="AO27" s="217"/>
      <c r="AP27" s="217"/>
      <c r="AQ27" s="217"/>
      <c r="AR27" s="217"/>
      <c r="AS27" s="217"/>
      <c r="AT27" s="217"/>
      <c r="AU27" s="217"/>
      <c r="AV27" s="217"/>
      <c r="AW27" s="217"/>
      <c r="AX27" s="217"/>
      <c r="AY27" s="217"/>
      <c r="AZ27" s="217"/>
      <c r="BA27" s="217"/>
    </row>
    <row r="28" spans="2:53">
      <c r="B28" s="217">
        <f t="shared" si="3"/>
        <v>19</v>
      </c>
      <c r="C28" s="217"/>
      <c r="D28" s="217"/>
      <c r="E28" s="217"/>
      <c r="F28" s="217"/>
      <c r="G28" s="217"/>
      <c r="H28" s="217"/>
      <c r="I28" s="217"/>
      <c r="J28" s="217"/>
      <c r="K28" s="217"/>
      <c r="L28" s="217"/>
      <c r="M28" s="217"/>
      <c r="N28" s="217"/>
      <c r="O28" s="217"/>
      <c r="P28" s="217"/>
      <c r="Q28" s="217"/>
      <c r="R28" s="217"/>
      <c r="S28" s="217"/>
      <c r="T28" s="217"/>
      <c r="U28" s="217"/>
      <c r="V28" s="217"/>
      <c r="W28" s="217"/>
      <c r="X28" s="217"/>
      <c r="Y28" s="217"/>
      <c r="Z28" s="217"/>
      <c r="AA28" s="217"/>
      <c r="AB28" s="217"/>
      <c r="AC28" s="217"/>
      <c r="AD28" s="217"/>
      <c r="AE28" s="217"/>
      <c r="AF28" s="217"/>
      <c r="AG28" s="217"/>
      <c r="AH28" s="217"/>
      <c r="AI28" s="217"/>
      <c r="AJ28" s="217"/>
      <c r="AK28" s="217"/>
      <c r="AL28" s="217"/>
      <c r="AM28" s="217"/>
      <c r="AN28" s="217"/>
      <c r="AO28" s="217"/>
      <c r="AP28" s="217"/>
      <c r="AQ28" s="217"/>
      <c r="AR28" s="217"/>
      <c r="AS28" s="217"/>
      <c r="AT28" s="217"/>
      <c r="AU28" s="217"/>
      <c r="AV28" s="217"/>
      <c r="AW28" s="217"/>
      <c r="AX28" s="217"/>
      <c r="AY28" s="217"/>
      <c r="AZ28" s="217"/>
      <c r="BA28" s="217"/>
    </row>
    <row r="29" spans="2:53">
      <c r="B29" s="217">
        <f t="shared" si="3"/>
        <v>20</v>
      </c>
      <c r="C29" s="304"/>
      <c r="D29" s="304"/>
      <c r="E29" s="304"/>
      <c r="F29" s="304"/>
      <c r="G29" s="304"/>
      <c r="H29" s="304"/>
      <c r="I29" s="304"/>
      <c r="J29" s="304"/>
      <c r="K29" s="304"/>
      <c r="L29" s="304"/>
      <c r="M29" s="304"/>
      <c r="N29" s="304"/>
      <c r="O29" s="304"/>
      <c r="P29" s="304"/>
      <c r="Q29" s="304"/>
      <c r="R29" s="304"/>
      <c r="S29" s="304"/>
      <c r="T29" s="304"/>
      <c r="U29" s="304"/>
      <c r="V29" s="304"/>
      <c r="W29" s="304"/>
      <c r="X29" s="304"/>
      <c r="Y29" s="304"/>
      <c r="Z29" s="304"/>
      <c r="AA29" s="304"/>
      <c r="AB29" s="304"/>
      <c r="AC29" s="304"/>
      <c r="AD29" s="304"/>
      <c r="AE29" s="304"/>
      <c r="AF29" s="304"/>
      <c r="AG29" s="304"/>
      <c r="AH29" s="304"/>
      <c r="AI29" s="304"/>
      <c r="AJ29" s="304"/>
      <c r="AK29" s="304"/>
      <c r="AL29" s="304"/>
      <c r="AM29" s="304"/>
      <c r="AN29" s="304"/>
      <c r="AO29" s="304"/>
      <c r="AP29" s="304"/>
      <c r="AQ29" s="304"/>
      <c r="AR29" s="304"/>
      <c r="AS29" s="304"/>
      <c r="AT29" s="304"/>
      <c r="AU29" s="304"/>
      <c r="AV29" s="304"/>
      <c r="AW29" s="304"/>
      <c r="AX29" s="304"/>
      <c r="AY29" s="304"/>
      <c r="AZ29" s="304"/>
      <c r="BA29" s="304"/>
    </row>
  </sheetData>
  <sheetProtection insertRows="0" deleteRows="0" sort="0" autoFilter="0"/>
  <mergeCells count="1">
    <mergeCell ref="B4:B8"/>
  </mergeCells>
  <phoneticPr fontId="14"/>
  <hyperlinks>
    <hyperlink ref="A3" location="パラメータ設定一覧!A1" display="パラメータ設定一覧へ" xr:uid="{81A76D07-11A4-42EC-985F-11F9A20E7DC2}"/>
  </hyperlinks>
  <pageMargins left="0.7" right="0.7" top="0.75" bottom="0.75" header="0.3" footer="0.3"/>
  <pageSetup paperSize="9" orientation="portrait" verticalDpi="0"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C777C-2A27-47AC-9567-4ACF7A2AA034}">
  <sheetPr codeName="Sheet60"/>
  <dimension ref="A1:L184"/>
  <sheetViews>
    <sheetView showGridLines="0" zoomScaleNormal="100" workbookViewId="0">
      <pane xSplit="6" ySplit="5" topLeftCell="G6" activePane="bottomRight" state="frozen"/>
      <selection activeCell="A3" sqref="A3"/>
      <selection pane="topRight" activeCell="A3" sqref="A3"/>
      <selection pane="bottomLeft" activeCell="A3" sqref="A3"/>
      <selection pane="bottomRight" activeCell="G6" sqref="G6"/>
    </sheetView>
  </sheetViews>
  <sheetFormatPr defaultColWidth="8.78515625" defaultRowHeight="13.5"/>
  <cols>
    <col min="1" max="1" width="2.78515625" style="46" customWidth="1"/>
    <col min="2" max="2" width="3.78515625" style="46" customWidth="1"/>
    <col min="3" max="3" width="16.78515625" style="46" customWidth="1"/>
    <col min="4" max="4" width="19.2109375" style="46" customWidth="1"/>
    <col min="5" max="5" width="16.5703125" style="46" customWidth="1"/>
    <col min="6" max="6" width="22.5703125" style="46" customWidth="1"/>
    <col min="7" max="7" width="34.5703125" style="46" customWidth="1"/>
    <col min="8" max="8" width="27.5703125" style="46" customWidth="1"/>
    <col min="9" max="9" width="17.42578125" style="53" customWidth="1"/>
    <col min="10" max="10" width="22.42578125" style="46" customWidth="1"/>
    <col min="11" max="11" width="18.2109375" style="46" customWidth="1"/>
    <col min="12" max="12" width="13.2109375" style="46" customWidth="1"/>
    <col min="13" max="16384" width="8.78515625" style="46"/>
  </cols>
  <sheetData>
    <row r="1" spans="1:12" customFormat="1" ht="19.5">
      <c r="A1" s="159" t="s">
        <v>1474</v>
      </c>
      <c r="C1" s="46"/>
      <c r="D1" s="46"/>
      <c r="E1" s="46"/>
      <c r="F1" s="46"/>
      <c r="G1" s="46"/>
      <c r="H1" s="46"/>
      <c r="I1" s="53"/>
    </row>
    <row r="2" spans="1:12" customFormat="1" ht="15">
      <c r="B2" t="s">
        <v>1476</v>
      </c>
      <c r="C2" s="46"/>
      <c r="D2" s="46"/>
      <c r="E2" s="46"/>
      <c r="F2" s="46"/>
      <c r="G2" s="46"/>
      <c r="H2" s="46"/>
      <c r="I2" s="53"/>
    </row>
    <row r="3" spans="1:12" customFormat="1" ht="15">
      <c r="B3" t="s">
        <v>1475</v>
      </c>
      <c r="C3" s="46"/>
      <c r="D3" s="46"/>
      <c r="E3" s="46"/>
      <c r="F3" s="46"/>
      <c r="G3" s="46"/>
      <c r="H3" s="46"/>
      <c r="I3" s="53"/>
    </row>
    <row r="4" spans="1:12" customFormat="1" ht="15">
      <c r="A4" s="10" t="s">
        <v>363</v>
      </c>
      <c r="C4" s="46"/>
      <c r="D4" s="46"/>
      <c r="E4" s="46"/>
      <c r="F4" s="46"/>
      <c r="G4" s="46"/>
      <c r="H4" s="46"/>
      <c r="I4" s="53"/>
    </row>
    <row r="5" spans="1:12">
      <c r="B5" s="11" t="s">
        <v>1</v>
      </c>
      <c r="C5" s="11" t="s">
        <v>9</v>
      </c>
      <c r="D5" s="11" t="s">
        <v>10</v>
      </c>
      <c r="E5" s="11" t="s">
        <v>11</v>
      </c>
      <c r="F5" s="20" t="s">
        <v>12</v>
      </c>
      <c r="G5" s="20" t="s">
        <v>498</v>
      </c>
      <c r="H5" s="11" t="s">
        <v>14</v>
      </c>
      <c r="I5" s="54" t="s">
        <v>15</v>
      </c>
      <c r="J5" s="11" t="s">
        <v>16</v>
      </c>
      <c r="K5" s="14" t="s">
        <v>17</v>
      </c>
      <c r="L5" s="14" t="s">
        <v>18</v>
      </c>
    </row>
    <row r="6" spans="1:12" ht="27">
      <c r="B6" s="21">
        <f t="shared" ref="B6:B53" si="0">ROW() - 5</f>
        <v>1</v>
      </c>
      <c r="C6" s="16" t="s">
        <v>1474</v>
      </c>
      <c r="D6" s="16" t="s">
        <v>1474</v>
      </c>
      <c r="E6" s="158" t="s">
        <v>331</v>
      </c>
      <c r="F6" s="158" t="s">
        <v>1474</v>
      </c>
      <c r="G6" s="22" t="s">
        <v>331</v>
      </c>
      <c r="H6" s="22" t="s">
        <v>20</v>
      </c>
      <c r="I6" s="44" t="s">
        <v>331</v>
      </c>
      <c r="J6" s="22" t="s">
        <v>331</v>
      </c>
      <c r="K6" s="2" t="s">
        <v>1409</v>
      </c>
      <c r="L6" s="3"/>
    </row>
    <row r="7" spans="1:12" ht="27">
      <c r="B7" s="21">
        <f t="shared" si="0"/>
        <v>2</v>
      </c>
      <c r="C7" s="68"/>
      <c r="D7" s="68"/>
      <c r="E7" s="128" t="s">
        <v>331</v>
      </c>
      <c r="F7" s="128" t="s">
        <v>45</v>
      </c>
      <c r="G7" s="22" t="s">
        <v>331</v>
      </c>
      <c r="H7" s="22" t="s">
        <v>20</v>
      </c>
      <c r="I7" s="44" t="s">
        <v>331</v>
      </c>
      <c r="J7" s="22" t="s">
        <v>331</v>
      </c>
      <c r="K7" s="2" t="s">
        <v>1409</v>
      </c>
      <c r="L7" s="3"/>
    </row>
    <row r="8" spans="1:12" ht="27">
      <c r="B8" s="21">
        <f t="shared" si="0"/>
        <v>3</v>
      </c>
      <c r="C8" s="19"/>
      <c r="D8" s="19"/>
      <c r="E8" s="17" t="s">
        <v>331</v>
      </c>
      <c r="F8" s="17" t="s">
        <v>695</v>
      </c>
      <c r="G8" s="22" t="s">
        <v>331</v>
      </c>
      <c r="H8" s="22" t="s">
        <v>1473</v>
      </c>
      <c r="I8" s="155" t="s">
        <v>331</v>
      </c>
      <c r="J8" s="22" t="s">
        <v>331</v>
      </c>
      <c r="K8" s="2" t="s">
        <v>1409</v>
      </c>
      <c r="L8" s="3"/>
    </row>
    <row r="9" spans="1:12" ht="27">
      <c r="B9" s="21">
        <f t="shared" si="0"/>
        <v>4</v>
      </c>
      <c r="C9" s="68" t="s">
        <v>23</v>
      </c>
      <c r="D9" s="68" t="s">
        <v>23</v>
      </c>
      <c r="E9" s="16" t="s">
        <v>52</v>
      </c>
      <c r="F9" s="22" t="s">
        <v>1472</v>
      </c>
      <c r="G9" s="22" t="s">
        <v>331</v>
      </c>
      <c r="H9" s="47" t="s">
        <v>1471</v>
      </c>
      <c r="I9" s="156" t="s">
        <v>331</v>
      </c>
      <c r="J9" s="22" t="s">
        <v>331</v>
      </c>
      <c r="K9" s="2" t="s">
        <v>1409</v>
      </c>
      <c r="L9" s="3"/>
    </row>
    <row r="10" spans="1:12" ht="27">
      <c r="B10" s="21">
        <f t="shared" si="0"/>
        <v>5</v>
      </c>
      <c r="C10" s="68"/>
      <c r="D10" s="68"/>
      <c r="E10" s="19"/>
      <c r="F10" s="22" t="s">
        <v>1470</v>
      </c>
      <c r="G10" s="22" t="s">
        <v>331</v>
      </c>
      <c r="H10" s="47" t="s">
        <v>27</v>
      </c>
      <c r="I10" s="44" t="s">
        <v>28</v>
      </c>
      <c r="J10" s="22" t="s">
        <v>331</v>
      </c>
      <c r="K10" s="2" t="s">
        <v>1409</v>
      </c>
      <c r="L10" s="3"/>
    </row>
    <row r="11" spans="1:12" ht="27">
      <c r="B11" s="21">
        <f t="shared" si="0"/>
        <v>6</v>
      </c>
      <c r="C11" s="68"/>
      <c r="D11" s="68"/>
      <c r="E11" s="68" t="s">
        <v>193</v>
      </c>
      <c r="F11" s="22" t="s">
        <v>1446</v>
      </c>
      <c r="G11" s="22" t="s">
        <v>331</v>
      </c>
      <c r="H11" s="47" t="s">
        <v>1443</v>
      </c>
      <c r="I11" s="44" t="s">
        <v>331</v>
      </c>
      <c r="J11" s="22" t="s">
        <v>331</v>
      </c>
      <c r="K11" s="2" t="s">
        <v>1409</v>
      </c>
      <c r="L11" s="3"/>
    </row>
    <row r="12" spans="1:12" ht="27">
      <c r="B12" s="21">
        <f t="shared" si="0"/>
        <v>7</v>
      </c>
      <c r="C12" s="68"/>
      <c r="D12" s="68"/>
      <c r="E12" s="68"/>
      <c r="F12" s="22" t="s">
        <v>1445</v>
      </c>
      <c r="G12" s="22" t="s">
        <v>331</v>
      </c>
      <c r="H12" s="47" t="s">
        <v>1441</v>
      </c>
      <c r="I12" s="44" t="s">
        <v>331</v>
      </c>
      <c r="J12" s="22" t="s">
        <v>331</v>
      </c>
      <c r="K12" s="2" t="s">
        <v>1409</v>
      </c>
      <c r="L12" s="3"/>
    </row>
    <row r="13" spans="1:12" ht="27">
      <c r="B13" s="21">
        <f t="shared" si="0"/>
        <v>8</v>
      </c>
      <c r="C13" s="68"/>
      <c r="D13" s="68"/>
      <c r="E13" s="68"/>
      <c r="F13" s="22" t="s">
        <v>1444</v>
      </c>
      <c r="G13" s="22" t="s">
        <v>331</v>
      </c>
      <c r="H13" s="47" t="s">
        <v>1443</v>
      </c>
      <c r="I13" s="44" t="s">
        <v>331</v>
      </c>
      <c r="J13" s="22"/>
      <c r="K13" s="2" t="s">
        <v>1409</v>
      </c>
      <c r="L13" s="3"/>
    </row>
    <row r="14" spans="1:12" ht="27">
      <c r="B14" s="21">
        <f t="shared" si="0"/>
        <v>9</v>
      </c>
      <c r="C14" s="68"/>
      <c r="D14" s="68"/>
      <c r="E14" s="19"/>
      <c r="F14" s="22" t="s">
        <v>1442</v>
      </c>
      <c r="G14" s="22" t="s">
        <v>331</v>
      </c>
      <c r="H14" s="47" t="s">
        <v>1441</v>
      </c>
      <c r="I14" s="44" t="s">
        <v>331</v>
      </c>
      <c r="J14" s="22" t="s">
        <v>331</v>
      </c>
      <c r="K14" s="2" t="s">
        <v>1409</v>
      </c>
      <c r="L14" s="3"/>
    </row>
    <row r="15" spans="1:12" ht="27">
      <c r="B15" s="21">
        <f t="shared" si="0"/>
        <v>10</v>
      </c>
      <c r="C15" s="16" t="s">
        <v>1469</v>
      </c>
      <c r="D15" s="16" t="s">
        <v>1469</v>
      </c>
      <c r="E15" s="17" t="s">
        <v>1468</v>
      </c>
      <c r="F15" s="22" t="s">
        <v>1467</v>
      </c>
      <c r="G15" s="22" t="s">
        <v>331</v>
      </c>
      <c r="H15" s="22" t="s">
        <v>50</v>
      </c>
      <c r="I15" s="157" t="s">
        <v>1450</v>
      </c>
      <c r="J15" s="22" t="s">
        <v>331</v>
      </c>
      <c r="K15" s="2" t="s">
        <v>1409</v>
      </c>
      <c r="L15" s="3"/>
    </row>
    <row r="16" spans="1:12" ht="27">
      <c r="B16" s="21">
        <f t="shared" si="0"/>
        <v>11</v>
      </c>
      <c r="C16" s="68"/>
      <c r="D16" s="68"/>
      <c r="E16" s="68" t="s">
        <v>1466</v>
      </c>
      <c r="F16" s="22" t="s">
        <v>1465</v>
      </c>
      <c r="G16" s="22" t="s">
        <v>331</v>
      </c>
      <c r="H16" s="47" t="s">
        <v>1462</v>
      </c>
      <c r="I16" s="156" t="s">
        <v>331</v>
      </c>
      <c r="J16" s="22" t="s">
        <v>331</v>
      </c>
      <c r="K16" s="2" t="s">
        <v>1409</v>
      </c>
      <c r="L16" s="3"/>
    </row>
    <row r="17" spans="2:12" ht="27">
      <c r="B17" s="21">
        <f t="shared" si="0"/>
        <v>12</v>
      </c>
      <c r="C17" s="68"/>
      <c r="D17" s="68"/>
      <c r="E17" s="68"/>
      <c r="F17" s="22" t="s">
        <v>1464</v>
      </c>
      <c r="G17" s="22" t="s">
        <v>331</v>
      </c>
      <c r="H17" s="47" t="s">
        <v>1462</v>
      </c>
      <c r="I17" s="156" t="s">
        <v>331</v>
      </c>
      <c r="J17" s="22" t="s">
        <v>331</v>
      </c>
      <c r="K17" s="2" t="s">
        <v>1409</v>
      </c>
      <c r="L17" s="3"/>
    </row>
    <row r="18" spans="2:12" ht="27">
      <c r="B18" s="21">
        <f t="shared" si="0"/>
        <v>13</v>
      </c>
      <c r="C18" s="68"/>
      <c r="D18" s="68"/>
      <c r="E18" s="68"/>
      <c r="F18" s="22" t="s">
        <v>1463</v>
      </c>
      <c r="G18" s="22" t="s">
        <v>331</v>
      </c>
      <c r="H18" s="47" t="s">
        <v>1462</v>
      </c>
      <c r="I18" s="44" t="s">
        <v>331</v>
      </c>
      <c r="J18" s="22" t="s">
        <v>331</v>
      </c>
      <c r="K18" s="2" t="s">
        <v>1409</v>
      </c>
      <c r="L18" s="3"/>
    </row>
    <row r="19" spans="2:12" ht="27">
      <c r="B19" s="21">
        <f t="shared" si="0"/>
        <v>14</v>
      </c>
      <c r="C19" s="68"/>
      <c r="D19" s="68"/>
      <c r="E19" s="16" t="s">
        <v>1461</v>
      </c>
      <c r="F19" s="22" t="s">
        <v>1460</v>
      </c>
      <c r="G19" s="22" t="s">
        <v>331</v>
      </c>
      <c r="H19" s="47" t="s">
        <v>50</v>
      </c>
      <c r="I19" s="157" t="s">
        <v>1459</v>
      </c>
      <c r="J19" s="22" t="s">
        <v>331</v>
      </c>
      <c r="K19" s="2" t="s">
        <v>1409</v>
      </c>
      <c r="L19" s="3"/>
    </row>
    <row r="20" spans="2:12" ht="27">
      <c r="B20" s="21">
        <f t="shared" si="0"/>
        <v>15</v>
      </c>
      <c r="C20" s="68"/>
      <c r="D20" s="68"/>
      <c r="E20" s="68"/>
      <c r="F20" s="22" t="s">
        <v>1458</v>
      </c>
      <c r="G20" s="22" t="s">
        <v>331</v>
      </c>
      <c r="H20" s="47" t="s">
        <v>27</v>
      </c>
      <c r="I20" s="44" t="s">
        <v>28</v>
      </c>
      <c r="J20" s="22"/>
      <c r="K20" s="2" t="s">
        <v>1409</v>
      </c>
      <c r="L20" s="3"/>
    </row>
    <row r="21" spans="2:12" ht="27">
      <c r="B21" s="21">
        <f t="shared" si="0"/>
        <v>16</v>
      </c>
      <c r="C21" s="68"/>
      <c r="D21" s="68"/>
      <c r="E21" s="68"/>
      <c r="F21" s="22" t="s">
        <v>1457</v>
      </c>
      <c r="G21" s="22" t="s">
        <v>331</v>
      </c>
      <c r="H21" s="47" t="s">
        <v>27</v>
      </c>
      <c r="I21" s="44" t="s">
        <v>28</v>
      </c>
      <c r="J21" s="22"/>
      <c r="K21" s="2" t="s">
        <v>1409</v>
      </c>
      <c r="L21" s="3"/>
    </row>
    <row r="22" spans="2:12" ht="27">
      <c r="B22" s="21">
        <f t="shared" si="0"/>
        <v>17</v>
      </c>
      <c r="C22" s="68"/>
      <c r="D22" s="68"/>
      <c r="E22" s="19"/>
      <c r="F22" s="22" t="s">
        <v>1456</v>
      </c>
      <c r="G22" s="22" t="s">
        <v>331</v>
      </c>
      <c r="H22" s="47" t="s">
        <v>1455</v>
      </c>
      <c r="I22" s="44" t="s">
        <v>331</v>
      </c>
      <c r="J22" s="22"/>
      <c r="K22" s="2" t="s">
        <v>1409</v>
      </c>
      <c r="L22" s="3"/>
    </row>
    <row r="23" spans="2:12" ht="54">
      <c r="B23" s="21">
        <f t="shared" si="0"/>
        <v>18</v>
      </c>
      <c r="C23" s="68"/>
      <c r="D23" s="68"/>
      <c r="E23" s="16" t="s">
        <v>1452</v>
      </c>
      <c r="F23" s="22" t="s">
        <v>1454</v>
      </c>
      <c r="G23" s="22" t="s">
        <v>331</v>
      </c>
      <c r="H23" s="47" t="s">
        <v>1453</v>
      </c>
      <c r="I23" s="44" t="s">
        <v>331</v>
      </c>
      <c r="J23" s="22"/>
      <c r="K23" s="2" t="s">
        <v>1409</v>
      </c>
      <c r="L23" s="3"/>
    </row>
    <row r="24" spans="2:12" ht="27">
      <c r="B24" s="21">
        <f t="shared" si="0"/>
        <v>19</v>
      </c>
      <c r="C24" s="68"/>
      <c r="D24" s="68"/>
      <c r="E24" s="68"/>
      <c r="F24" s="22" t="s">
        <v>1452</v>
      </c>
      <c r="G24" s="22" t="s">
        <v>331</v>
      </c>
      <c r="H24" s="47" t="s">
        <v>50</v>
      </c>
      <c r="I24" s="157" t="s">
        <v>1450</v>
      </c>
      <c r="J24" s="22"/>
      <c r="K24" s="2" t="s">
        <v>1409</v>
      </c>
      <c r="L24" s="3"/>
    </row>
    <row r="25" spans="2:12" ht="27">
      <c r="B25" s="21">
        <f t="shared" si="0"/>
        <v>20</v>
      </c>
      <c r="C25" s="68"/>
      <c r="D25" s="68"/>
      <c r="E25" s="19"/>
      <c r="F25" s="22" t="s">
        <v>1451</v>
      </c>
      <c r="G25" s="22" t="s">
        <v>331</v>
      </c>
      <c r="H25" s="47" t="s">
        <v>50</v>
      </c>
      <c r="I25" s="157" t="s">
        <v>1450</v>
      </c>
      <c r="J25" s="22"/>
      <c r="K25" s="2" t="s">
        <v>1409</v>
      </c>
      <c r="L25" s="3"/>
    </row>
    <row r="26" spans="2:12" ht="27">
      <c r="B26" s="21">
        <f t="shared" si="0"/>
        <v>21</v>
      </c>
      <c r="C26" s="16" t="s">
        <v>1435</v>
      </c>
      <c r="D26" s="16" t="s">
        <v>1435</v>
      </c>
      <c r="E26" s="16"/>
      <c r="F26" s="22" t="s">
        <v>1435</v>
      </c>
      <c r="G26" s="22" t="s">
        <v>331</v>
      </c>
      <c r="H26" s="22" t="s">
        <v>1434</v>
      </c>
      <c r="I26" s="155" t="s">
        <v>331</v>
      </c>
      <c r="J26" s="22" t="s">
        <v>331</v>
      </c>
      <c r="K26" s="2" t="s">
        <v>1449</v>
      </c>
      <c r="L26" s="3"/>
    </row>
    <row r="27" spans="2:12" ht="27">
      <c r="B27" s="21">
        <f t="shared" si="0"/>
        <v>22</v>
      </c>
      <c r="C27" s="19"/>
      <c r="D27" s="19"/>
      <c r="E27" s="19"/>
      <c r="F27" s="22" t="s">
        <v>1421</v>
      </c>
      <c r="G27" s="22" t="s">
        <v>331</v>
      </c>
      <c r="H27" s="47" t="s">
        <v>277</v>
      </c>
      <c r="I27" s="156" t="s">
        <v>170</v>
      </c>
      <c r="J27" s="22" t="s">
        <v>331</v>
      </c>
      <c r="K27" s="2" t="s">
        <v>1449</v>
      </c>
      <c r="L27" s="3"/>
    </row>
    <row r="28" spans="2:12" ht="27">
      <c r="B28" s="21">
        <f t="shared" si="0"/>
        <v>23</v>
      </c>
      <c r="C28" s="68" t="s">
        <v>302</v>
      </c>
      <c r="D28" s="68" t="s">
        <v>302</v>
      </c>
      <c r="E28" s="68" t="s">
        <v>302</v>
      </c>
      <c r="F28" s="22" t="s">
        <v>302</v>
      </c>
      <c r="G28" s="22" t="s">
        <v>331</v>
      </c>
      <c r="H28" s="22" t="s">
        <v>1448</v>
      </c>
      <c r="I28" s="44" t="s">
        <v>331</v>
      </c>
      <c r="J28" s="22" t="s">
        <v>331</v>
      </c>
      <c r="K28" s="2" t="s">
        <v>1440</v>
      </c>
      <c r="L28" s="3"/>
    </row>
    <row r="29" spans="2:12" ht="27">
      <c r="B29" s="21">
        <f t="shared" si="0"/>
        <v>24</v>
      </c>
      <c r="C29" s="68"/>
      <c r="D29" s="68"/>
      <c r="E29" s="68"/>
      <c r="F29" s="22" t="s">
        <v>45</v>
      </c>
      <c r="G29" s="22" t="s">
        <v>331</v>
      </c>
      <c r="H29" s="47" t="s">
        <v>20</v>
      </c>
      <c r="I29" s="44" t="s">
        <v>331</v>
      </c>
      <c r="J29" s="22" t="s">
        <v>331</v>
      </c>
      <c r="K29" s="2" t="s">
        <v>1440</v>
      </c>
      <c r="L29" s="3"/>
    </row>
    <row r="30" spans="2:12" ht="27">
      <c r="B30" s="21">
        <f t="shared" si="0"/>
        <v>25</v>
      </c>
      <c r="C30" s="68"/>
      <c r="D30" s="68"/>
      <c r="E30" s="68"/>
      <c r="F30" s="22" t="s">
        <v>1447</v>
      </c>
      <c r="G30" s="22" t="s">
        <v>331</v>
      </c>
      <c r="H30" s="47" t="s">
        <v>277</v>
      </c>
      <c r="I30" s="44" t="s">
        <v>331</v>
      </c>
      <c r="J30" s="22" t="s">
        <v>331</v>
      </c>
      <c r="K30" s="2" t="s">
        <v>1440</v>
      </c>
      <c r="L30" s="3"/>
    </row>
    <row r="31" spans="2:12" ht="27">
      <c r="B31" s="21">
        <f t="shared" si="0"/>
        <v>26</v>
      </c>
      <c r="C31" s="68"/>
      <c r="D31" s="68"/>
      <c r="E31" s="68"/>
      <c r="F31" s="22" t="s">
        <v>1446</v>
      </c>
      <c r="G31" s="22" t="s">
        <v>331</v>
      </c>
      <c r="H31" s="47" t="s">
        <v>1443</v>
      </c>
      <c r="I31" s="44" t="s">
        <v>331</v>
      </c>
      <c r="J31" s="22"/>
      <c r="K31" s="2" t="s">
        <v>1440</v>
      </c>
      <c r="L31" s="3"/>
    </row>
    <row r="32" spans="2:12" ht="27">
      <c r="B32" s="21">
        <f t="shared" si="0"/>
        <v>27</v>
      </c>
      <c r="C32" s="68"/>
      <c r="D32" s="68"/>
      <c r="E32" s="68"/>
      <c r="F32" s="22" t="s">
        <v>1445</v>
      </c>
      <c r="G32" s="22" t="s">
        <v>331</v>
      </c>
      <c r="H32" s="47" t="s">
        <v>1441</v>
      </c>
      <c r="I32" s="44" t="s">
        <v>331</v>
      </c>
      <c r="J32" s="22"/>
      <c r="K32" s="2" t="s">
        <v>1440</v>
      </c>
      <c r="L32" s="3"/>
    </row>
    <row r="33" spans="2:12" ht="27">
      <c r="B33" s="21">
        <f t="shared" si="0"/>
        <v>28</v>
      </c>
      <c r="C33" s="68"/>
      <c r="D33" s="68"/>
      <c r="E33" s="68"/>
      <c r="F33" s="22" t="s">
        <v>1444</v>
      </c>
      <c r="G33" s="22" t="s">
        <v>331</v>
      </c>
      <c r="H33" s="47" t="s">
        <v>1443</v>
      </c>
      <c r="I33" s="44" t="s">
        <v>331</v>
      </c>
      <c r="J33" s="22"/>
      <c r="K33" s="2" t="s">
        <v>1440</v>
      </c>
      <c r="L33" s="3"/>
    </row>
    <row r="34" spans="2:12" ht="27">
      <c r="B34" s="21">
        <f t="shared" si="0"/>
        <v>29</v>
      </c>
      <c r="C34" s="68"/>
      <c r="D34" s="68"/>
      <c r="E34" s="68"/>
      <c r="F34" s="22" t="s">
        <v>1442</v>
      </c>
      <c r="G34" s="22" t="s">
        <v>331</v>
      </c>
      <c r="H34" s="47" t="s">
        <v>1441</v>
      </c>
      <c r="I34" s="44" t="s">
        <v>331</v>
      </c>
      <c r="J34" s="22"/>
      <c r="K34" s="2" t="s">
        <v>1440</v>
      </c>
      <c r="L34" s="3"/>
    </row>
    <row r="35" spans="2:12" ht="27">
      <c r="B35" s="21">
        <f t="shared" si="0"/>
        <v>30</v>
      </c>
      <c r="C35" s="68"/>
      <c r="D35" s="68"/>
      <c r="E35" s="16" t="s">
        <v>1439</v>
      </c>
      <c r="F35" s="22" t="s">
        <v>277</v>
      </c>
      <c r="G35" s="22" t="s">
        <v>331</v>
      </c>
      <c r="H35" s="22" t="s">
        <v>277</v>
      </c>
      <c r="I35" s="155" t="s">
        <v>1436</v>
      </c>
      <c r="J35" s="22"/>
      <c r="K35" s="2" t="s">
        <v>1431</v>
      </c>
      <c r="L35" s="3"/>
    </row>
    <row r="36" spans="2:12" ht="27">
      <c r="B36" s="21">
        <f t="shared" si="0"/>
        <v>31</v>
      </c>
      <c r="C36" s="68"/>
      <c r="D36" s="68"/>
      <c r="E36" s="68"/>
      <c r="F36" s="22" t="s">
        <v>231</v>
      </c>
      <c r="G36" s="22" t="s">
        <v>331</v>
      </c>
      <c r="H36" s="47" t="s">
        <v>1438</v>
      </c>
      <c r="I36" s="155" t="s">
        <v>1436</v>
      </c>
      <c r="J36" s="22"/>
      <c r="K36" s="2" t="s">
        <v>1431</v>
      </c>
      <c r="L36" s="3"/>
    </row>
    <row r="37" spans="2:12" ht="27">
      <c r="B37" s="21">
        <f t="shared" si="0"/>
        <v>32</v>
      </c>
      <c r="C37" s="68"/>
      <c r="D37" s="68"/>
      <c r="E37" s="68"/>
      <c r="F37" s="22" t="s">
        <v>232</v>
      </c>
      <c r="G37" s="22" t="s">
        <v>331</v>
      </c>
      <c r="H37" s="47" t="s">
        <v>50</v>
      </c>
      <c r="I37" s="155" t="s">
        <v>1436</v>
      </c>
      <c r="J37" s="22"/>
      <c r="K37" s="2" t="s">
        <v>1431</v>
      </c>
      <c r="L37" s="3"/>
    </row>
    <row r="38" spans="2:12" ht="27">
      <c r="B38" s="21">
        <f t="shared" si="0"/>
        <v>33</v>
      </c>
      <c r="C38" s="68"/>
      <c r="D38" s="68"/>
      <c r="E38" s="68"/>
      <c r="F38" s="22" t="s">
        <v>206</v>
      </c>
      <c r="G38" s="22" t="s">
        <v>331</v>
      </c>
      <c r="H38" s="47" t="s">
        <v>1437</v>
      </c>
      <c r="I38" s="155" t="s">
        <v>1436</v>
      </c>
      <c r="J38" s="22"/>
      <c r="K38" s="2" t="s">
        <v>1431</v>
      </c>
      <c r="L38" s="3"/>
    </row>
    <row r="39" spans="2:12" ht="27">
      <c r="B39" s="21">
        <f t="shared" si="0"/>
        <v>34</v>
      </c>
      <c r="C39" s="68"/>
      <c r="D39" s="68"/>
      <c r="E39" s="68"/>
      <c r="F39" s="22" t="s">
        <v>1435</v>
      </c>
      <c r="G39" s="22" t="s">
        <v>331</v>
      </c>
      <c r="H39" s="22" t="s">
        <v>1434</v>
      </c>
      <c r="I39" s="44" t="s">
        <v>1433</v>
      </c>
      <c r="J39" s="22"/>
      <c r="K39" s="2" t="s">
        <v>1431</v>
      </c>
      <c r="L39" s="3"/>
    </row>
    <row r="40" spans="2:12" ht="27">
      <c r="B40" s="21">
        <f t="shared" si="0"/>
        <v>35</v>
      </c>
      <c r="C40" s="68"/>
      <c r="D40" s="68"/>
      <c r="E40" s="19"/>
      <c r="F40" s="22" t="s">
        <v>19</v>
      </c>
      <c r="G40" s="22" t="s">
        <v>331</v>
      </c>
      <c r="H40" s="47" t="s">
        <v>20</v>
      </c>
      <c r="I40" s="44" t="s">
        <v>1432</v>
      </c>
      <c r="J40" s="22"/>
      <c r="K40" s="2" t="s">
        <v>1431</v>
      </c>
      <c r="L40" s="3"/>
    </row>
    <row r="41" spans="2:12" ht="27">
      <c r="B41" s="21">
        <f t="shared" si="0"/>
        <v>36</v>
      </c>
      <c r="C41" s="16" t="s">
        <v>1430</v>
      </c>
      <c r="D41" s="16" t="s">
        <v>1430</v>
      </c>
      <c r="E41" s="16"/>
      <c r="F41" s="22" t="s">
        <v>1429</v>
      </c>
      <c r="G41" s="22" t="s">
        <v>331</v>
      </c>
      <c r="H41" s="22" t="s">
        <v>1428</v>
      </c>
      <c r="I41" s="155" t="s">
        <v>331</v>
      </c>
      <c r="J41" s="22" t="s">
        <v>331</v>
      </c>
      <c r="K41" s="2" t="s">
        <v>1420</v>
      </c>
      <c r="L41" s="3"/>
    </row>
    <row r="42" spans="2:12" ht="27">
      <c r="B42" s="21">
        <f t="shared" si="0"/>
        <v>37</v>
      </c>
      <c r="C42" s="68"/>
      <c r="D42" s="68"/>
      <c r="E42" s="68"/>
      <c r="F42" s="22" t="s">
        <v>1427</v>
      </c>
      <c r="G42" s="22" t="s">
        <v>331</v>
      </c>
      <c r="H42" s="47" t="s">
        <v>1426</v>
      </c>
      <c r="I42" s="156" t="s">
        <v>331</v>
      </c>
      <c r="J42" s="22" t="s">
        <v>331</v>
      </c>
      <c r="K42" s="2" t="s">
        <v>1420</v>
      </c>
      <c r="L42" s="3"/>
    </row>
    <row r="43" spans="2:12" ht="40.5">
      <c r="B43" s="21">
        <f t="shared" si="0"/>
        <v>38</v>
      </c>
      <c r="C43" s="68"/>
      <c r="D43" s="68"/>
      <c r="E43" s="68"/>
      <c r="F43" s="22" t="s">
        <v>1425</v>
      </c>
      <c r="G43" s="22" t="s">
        <v>331</v>
      </c>
      <c r="H43" s="47" t="s">
        <v>1424</v>
      </c>
      <c r="I43" s="44" t="s">
        <v>331</v>
      </c>
      <c r="J43" s="22" t="s">
        <v>331</v>
      </c>
      <c r="K43" s="2" t="s">
        <v>1420</v>
      </c>
      <c r="L43" s="3"/>
    </row>
    <row r="44" spans="2:12" ht="27">
      <c r="B44" s="21">
        <f t="shared" si="0"/>
        <v>39</v>
      </c>
      <c r="C44" s="68"/>
      <c r="D44" s="68"/>
      <c r="E44" s="68"/>
      <c r="F44" s="22" t="s">
        <v>1423</v>
      </c>
      <c r="G44" s="22" t="s">
        <v>331</v>
      </c>
      <c r="H44" s="47" t="s">
        <v>50</v>
      </c>
      <c r="I44" s="44" t="s">
        <v>331</v>
      </c>
      <c r="J44" s="22" t="s">
        <v>331</v>
      </c>
      <c r="K44" s="2" t="s">
        <v>1420</v>
      </c>
      <c r="L44" s="3"/>
    </row>
    <row r="45" spans="2:12" ht="27">
      <c r="B45" s="21">
        <f t="shared" si="0"/>
        <v>40</v>
      </c>
      <c r="C45" s="68"/>
      <c r="D45" s="68"/>
      <c r="E45" s="68"/>
      <c r="F45" s="22" t="s">
        <v>167</v>
      </c>
      <c r="G45" s="22" t="s">
        <v>331</v>
      </c>
      <c r="H45" s="47" t="s">
        <v>445</v>
      </c>
      <c r="I45" s="44" t="s">
        <v>331</v>
      </c>
      <c r="J45" s="22" t="s">
        <v>331</v>
      </c>
      <c r="K45" s="2" t="s">
        <v>1420</v>
      </c>
      <c r="L45" s="3"/>
    </row>
    <row r="46" spans="2:12" ht="27">
      <c r="B46" s="21">
        <f t="shared" si="0"/>
        <v>41</v>
      </c>
      <c r="C46" s="68"/>
      <c r="D46" s="68"/>
      <c r="E46" s="68"/>
      <c r="F46" s="22" t="s">
        <v>1422</v>
      </c>
      <c r="G46" s="22" t="s">
        <v>331</v>
      </c>
      <c r="H46" s="47" t="s">
        <v>277</v>
      </c>
      <c r="I46" s="44" t="s">
        <v>331</v>
      </c>
      <c r="J46" s="22"/>
      <c r="K46" s="2" t="s">
        <v>1420</v>
      </c>
      <c r="L46" s="3"/>
    </row>
    <row r="47" spans="2:12" ht="27">
      <c r="B47" s="21">
        <f t="shared" si="0"/>
        <v>42</v>
      </c>
      <c r="C47" s="68"/>
      <c r="D47" s="68"/>
      <c r="E47" s="19"/>
      <c r="F47" s="22" t="s">
        <v>1421</v>
      </c>
      <c r="G47" s="22" t="s">
        <v>331</v>
      </c>
      <c r="H47" s="47" t="s">
        <v>277</v>
      </c>
      <c r="I47" s="44" t="s">
        <v>331</v>
      </c>
      <c r="J47" s="22" t="s">
        <v>331</v>
      </c>
      <c r="K47" s="2" t="s">
        <v>1420</v>
      </c>
      <c r="L47" s="3"/>
    </row>
    <row r="48" spans="2:12" ht="27">
      <c r="B48" s="21">
        <f t="shared" si="0"/>
        <v>43</v>
      </c>
      <c r="C48" s="16" t="s">
        <v>1419</v>
      </c>
      <c r="D48" s="16" t="s">
        <v>1418</v>
      </c>
      <c r="E48" s="16" t="s">
        <v>1417</v>
      </c>
      <c r="F48" s="22" t="s">
        <v>1416</v>
      </c>
      <c r="G48" s="22"/>
      <c r="H48" s="22" t="s">
        <v>1411</v>
      </c>
      <c r="I48" s="155" t="s">
        <v>331</v>
      </c>
      <c r="J48" s="22" t="s">
        <v>331</v>
      </c>
      <c r="K48" s="2" t="s">
        <v>1409</v>
      </c>
      <c r="L48" s="3"/>
    </row>
    <row r="49" spans="2:12" ht="27">
      <c r="B49" s="21">
        <f t="shared" si="0"/>
        <v>44</v>
      </c>
      <c r="C49" s="68"/>
      <c r="D49" s="68"/>
      <c r="E49" s="68"/>
      <c r="F49" s="22" t="s">
        <v>1415</v>
      </c>
      <c r="G49" s="22"/>
      <c r="H49" s="22" t="s">
        <v>1411</v>
      </c>
      <c r="I49" s="155" t="s">
        <v>331</v>
      </c>
      <c r="J49" s="22" t="s">
        <v>331</v>
      </c>
      <c r="K49" s="2" t="s">
        <v>1409</v>
      </c>
      <c r="L49" s="3"/>
    </row>
    <row r="50" spans="2:12" ht="27">
      <c r="B50" s="21">
        <f t="shared" si="0"/>
        <v>45</v>
      </c>
      <c r="C50" s="68"/>
      <c r="D50" s="68"/>
      <c r="E50" s="16" t="s">
        <v>1414</v>
      </c>
      <c r="F50" s="22" t="s">
        <v>1413</v>
      </c>
      <c r="G50" s="22"/>
      <c r="H50" s="22" t="s">
        <v>1411</v>
      </c>
      <c r="I50" s="155" t="s">
        <v>331</v>
      </c>
      <c r="J50" s="22" t="s">
        <v>331</v>
      </c>
      <c r="K50" s="2" t="s">
        <v>1409</v>
      </c>
      <c r="L50" s="3"/>
    </row>
    <row r="51" spans="2:12" ht="27">
      <c r="B51" s="21">
        <f t="shared" si="0"/>
        <v>46</v>
      </c>
      <c r="C51" s="19"/>
      <c r="D51" s="19"/>
      <c r="E51" s="19"/>
      <c r="F51" s="22" t="s">
        <v>1412</v>
      </c>
      <c r="G51" s="22"/>
      <c r="H51" s="22" t="s">
        <v>1411</v>
      </c>
      <c r="I51" s="155" t="s">
        <v>331</v>
      </c>
      <c r="J51" s="22" t="s">
        <v>331</v>
      </c>
      <c r="K51" s="2" t="s">
        <v>1409</v>
      </c>
      <c r="L51" s="3"/>
    </row>
    <row r="52" spans="2:12" ht="27">
      <c r="B52" s="21">
        <f t="shared" si="0"/>
        <v>47</v>
      </c>
      <c r="C52" s="68" t="s">
        <v>622</v>
      </c>
      <c r="D52" s="68" t="s">
        <v>622</v>
      </c>
      <c r="E52" s="68" t="s">
        <v>1410</v>
      </c>
      <c r="F52" s="22"/>
      <c r="G52" s="22"/>
      <c r="H52" s="47"/>
      <c r="I52" s="44"/>
      <c r="J52" s="22" t="s">
        <v>331</v>
      </c>
      <c r="K52" s="2" t="s">
        <v>1409</v>
      </c>
      <c r="L52" s="3"/>
    </row>
    <row r="53" spans="2:12" ht="27">
      <c r="B53" s="21">
        <f t="shared" si="0"/>
        <v>48</v>
      </c>
      <c r="C53" s="19"/>
      <c r="D53" s="19"/>
      <c r="E53" s="19"/>
      <c r="F53" s="22"/>
      <c r="G53" s="22"/>
      <c r="H53" s="47"/>
      <c r="I53" s="44"/>
      <c r="J53" s="22" t="s">
        <v>331</v>
      </c>
      <c r="K53" s="2" t="s">
        <v>1409</v>
      </c>
      <c r="L53" s="3"/>
    </row>
    <row r="54" spans="2:12">
      <c r="I54" s="46"/>
    </row>
    <row r="55" spans="2:12" ht="30.75" customHeight="1">
      <c r="I55" s="46"/>
    </row>
    <row r="56" spans="2:12">
      <c r="I56" s="46"/>
    </row>
    <row r="57" spans="2:12" ht="31.5" customHeight="1">
      <c r="I57" s="46"/>
    </row>
    <row r="58" spans="2:12">
      <c r="I58" s="46"/>
    </row>
    <row r="59" spans="2:12">
      <c r="I59" s="46"/>
    </row>
    <row r="60" spans="2:12">
      <c r="I60" s="46"/>
    </row>
    <row r="61" spans="2:12" ht="33" customHeight="1">
      <c r="I61" s="46"/>
    </row>
    <row r="62" spans="2:12">
      <c r="I62" s="46"/>
    </row>
    <row r="63" spans="2:12" ht="30.75" customHeight="1">
      <c r="I63" s="46"/>
    </row>
    <row r="64" spans="2:12" ht="27" customHeight="1">
      <c r="I64" s="46"/>
    </row>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ht="409" customHeigh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ht="2.25" customHeight="1"/>
    <row r="173" s="46" customFormat="1" ht="409.5" customHeight="1"/>
    <row r="174" s="46" customFormat="1"/>
    <row r="175" s="46" customFormat="1"/>
    <row r="176" s="46" customFormat="1"/>
    <row r="177" spans="9:9">
      <c r="I177" s="46"/>
    </row>
    <row r="178" spans="9:9">
      <c r="I178" s="46"/>
    </row>
    <row r="179" spans="9:9">
      <c r="I179" s="46"/>
    </row>
    <row r="180" spans="9:9">
      <c r="I180" s="46"/>
    </row>
    <row r="181" spans="9:9">
      <c r="I181" s="46"/>
    </row>
    <row r="182" spans="9:9">
      <c r="I182" s="46"/>
    </row>
    <row r="183" spans="9:9">
      <c r="I183" s="46"/>
    </row>
    <row r="184" spans="9:9">
      <c r="I184" s="46"/>
    </row>
  </sheetData>
  <sheetProtection formatCells="0"/>
  <phoneticPr fontId="14"/>
  <hyperlinks>
    <hyperlink ref="A4" location="パラメータ設定一覧!A1" display="パラメータ設定一覧へ" xr:uid="{0DA6A21D-F8ED-42E4-B699-191598441654}"/>
  </hyperlinks>
  <pageMargins left="0.7" right="0.7" top="0.75" bottom="0.75" header="0.3" footer="0.3"/>
  <pageSetup paperSize="9" orientation="portrait" verticalDpi="1200" r:id="rId1"/>
  <drawing r:id="rId2"/>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56270-9CA9-411E-BD09-530A36503C7D}">
  <sheetPr codeName="Sheet61"/>
  <dimension ref="A1:AD12"/>
  <sheetViews>
    <sheetView showGridLines="0" zoomScaleNormal="100" workbookViewId="0">
      <pane xSplit="3" ySplit="7" topLeftCell="D8" activePane="bottomRight" state="frozen"/>
      <selection activeCell="A3" sqref="A3"/>
      <selection pane="topRight" activeCell="A3" sqref="A3"/>
      <selection pane="bottomLeft" activeCell="A3" sqref="A3"/>
      <selection pane="bottomRight" activeCell="D8" sqref="D8"/>
    </sheetView>
  </sheetViews>
  <sheetFormatPr defaultColWidth="8.78515625" defaultRowHeight="13.5"/>
  <cols>
    <col min="1" max="1" width="2.78515625" style="46" customWidth="1"/>
    <col min="2" max="2" width="3.5703125" style="46" bestFit="1" customWidth="1"/>
    <col min="3" max="3" width="15.78515625" style="46" bestFit="1" customWidth="1"/>
    <col min="4" max="4" width="22.92578125" style="46" customWidth="1"/>
    <col min="5" max="5" width="14.78515625" style="46" bestFit="1" customWidth="1"/>
    <col min="6" max="6" width="17.5703125" style="46" bestFit="1" customWidth="1"/>
    <col min="7" max="11" width="14.42578125" style="46" bestFit="1" customWidth="1"/>
    <col min="12" max="12" width="5.78515625" style="46" bestFit="1" customWidth="1"/>
    <col min="13" max="15" width="18.78515625" style="46" bestFit="1" customWidth="1"/>
    <col min="16" max="16" width="16.92578125" style="46" bestFit="1" customWidth="1"/>
    <col min="17" max="17" width="7.42578125" style="46" bestFit="1" customWidth="1"/>
    <col min="18" max="18" width="13.42578125" style="46" bestFit="1" customWidth="1"/>
    <col min="19" max="19" width="11.2109375" style="46" bestFit="1" customWidth="1"/>
    <col min="20" max="20" width="13.28515625" style="46" customWidth="1"/>
    <col min="21" max="21" width="7.42578125" style="46" bestFit="1" customWidth="1"/>
    <col min="22" max="22" width="11" style="46" bestFit="1" customWidth="1"/>
    <col min="23" max="23" width="17.92578125" style="46" bestFit="1" customWidth="1"/>
    <col min="24" max="24" width="24.0703125" style="46" bestFit="1" customWidth="1"/>
    <col min="25" max="25" width="16" style="46" bestFit="1" customWidth="1"/>
    <col min="26" max="30" width="20.7109375" style="46" bestFit="1" customWidth="1"/>
    <col min="31" max="16384" width="8.78515625" style="46"/>
  </cols>
  <sheetData>
    <row r="1" spans="1:30" customFormat="1" ht="19.5">
      <c r="A1" s="159" t="s">
        <v>2714</v>
      </c>
    </row>
    <row r="2" spans="1:30" customFormat="1" ht="15">
      <c r="A2" s="196" t="s">
        <v>2668</v>
      </c>
    </row>
    <row r="3" spans="1:30" customFormat="1" ht="15">
      <c r="A3" s="10" t="s">
        <v>363</v>
      </c>
    </row>
    <row r="4" spans="1:30">
      <c r="B4" s="466" t="s">
        <v>1</v>
      </c>
      <c r="C4" s="457"/>
      <c r="D4" s="458"/>
      <c r="E4" s="459"/>
      <c r="F4" s="439" t="s">
        <v>23</v>
      </c>
      <c r="G4" s="469"/>
      <c r="H4" s="469"/>
      <c r="I4" s="469"/>
      <c r="J4" s="469"/>
      <c r="K4" s="470"/>
      <c r="L4" s="463" t="s">
        <v>1469</v>
      </c>
      <c r="M4" s="464"/>
      <c r="N4" s="464"/>
      <c r="O4" s="464"/>
      <c r="P4" s="464"/>
      <c r="Q4" s="464"/>
      <c r="R4" s="464"/>
      <c r="S4" s="464"/>
      <c r="T4" s="464"/>
      <c r="U4" s="464"/>
      <c r="V4" s="465"/>
      <c r="W4" s="463" t="s">
        <v>1418</v>
      </c>
      <c r="X4" s="464"/>
      <c r="Y4" s="464"/>
      <c r="Z4" s="465"/>
      <c r="AA4" s="463" t="s">
        <v>622</v>
      </c>
      <c r="AB4" s="464"/>
      <c r="AC4" s="464"/>
      <c r="AD4" s="465"/>
    </row>
    <row r="5" spans="1:30">
      <c r="B5" s="467"/>
      <c r="C5" s="189" t="s">
        <v>1474</v>
      </c>
      <c r="D5" s="189" t="s">
        <v>45</v>
      </c>
      <c r="E5" s="189" t="s">
        <v>695</v>
      </c>
      <c r="F5" s="189" t="s">
        <v>1472</v>
      </c>
      <c r="G5" s="189" t="s">
        <v>1470</v>
      </c>
      <c r="H5" s="189" t="s">
        <v>1446</v>
      </c>
      <c r="I5" s="189" t="s">
        <v>1488</v>
      </c>
      <c r="J5" s="189" t="s">
        <v>1487</v>
      </c>
      <c r="K5" s="189" t="s">
        <v>1486</v>
      </c>
      <c r="L5" s="189" t="s">
        <v>1467</v>
      </c>
      <c r="M5" s="189" t="s">
        <v>1465</v>
      </c>
      <c r="N5" s="189" t="s">
        <v>1464</v>
      </c>
      <c r="O5" s="189" t="s">
        <v>1463</v>
      </c>
      <c r="P5" s="189" t="s">
        <v>1460</v>
      </c>
      <c r="Q5" s="189" t="s">
        <v>1458</v>
      </c>
      <c r="R5" s="189" t="s">
        <v>1485</v>
      </c>
      <c r="S5" s="189" t="s">
        <v>1484</v>
      </c>
      <c r="T5" s="189" t="s">
        <v>1454</v>
      </c>
      <c r="U5" s="189" t="s">
        <v>1452</v>
      </c>
      <c r="V5" s="189" t="s">
        <v>1483</v>
      </c>
      <c r="W5" s="189" t="s">
        <v>1482</v>
      </c>
      <c r="X5" s="189" t="s">
        <v>1415</v>
      </c>
      <c r="Y5" s="189" t="s">
        <v>1481</v>
      </c>
      <c r="Z5" s="189" t="s">
        <v>1480</v>
      </c>
      <c r="AA5" s="189" t="s">
        <v>622</v>
      </c>
      <c r="AB5" s="189" t="s">
        <v>622</v>
      </c>
      <c r="AC5" s="189" t="s">
        <v>622</v>
      </c>
      <c r="AD5" s="189" t="s">
        <v>622</v>
      </c>
    </row>
    <row r="6" spans="1:30" ht="54">
      <c r="B6" s="467"/>
      <c r="C6" s="7" t="s">
        <v>20</v>
      </c>
      <c r="D6" s="160" t="s">
        <v>20</v>
      </c>
      <c r="E6" s="160" t="s">
        <v>1473</v>
      </c>
      <c r="F6" s="160" t="s">
        <v>1471</v>
      </c>
      <c r="G6" s="160" t="s">
        <v>27</v>
      </c>
      <c r="H6" s="160" t="s">
        <v>1479</v>
      </c>
      <c r="I6" s="160" t="s">
        <v>1478</v>
      </c>
      <c r="J6" s="160" t="s">
        <v>693</v>
      </c>
      <c r="K6" s="160" t="s">
        <v>1478</v>
      </c>
      <c r="L6" s="27" t="s">
        <v>50</v>
      </c>
      <c r="M6" s="27" t="s">
        <v>1462</v>
      </c>
      <c r="N6" s="27" t="s">
        <v>1462</v>
      </c>
      <c r="O6" s="27" t="s">
        <v>1462</v>
      </c>
      <c r="P6" s="27" t="s">
        <v>50</v>
      </c>
      <c r="Q6" s="27" t="s">
        <v>27</v>
      </c>
      <c r="R6" s="27" t="s">
        <v>27</v>
      </c>
      <c r="S6" s="27" t="s">
        <v>1455</v>
      </c>
      <c r="T6" s="27" t="s">
        <v>1453</v>
      </c>
      <c r="U6" s="27" t="s">
        <v>50</v>
      </c>
      <c r="V6" s="27" t="s">
        <v>50</v>
      </c>
      <c r="W6" s="160" t="s">
        <v>1411</v>
      </c>
      <c r="X6" s="160" t="s">
        <v>1411</v>
      </c>
      <c r="Y6" s="160" t="s">
        <v>1411</v>
      </c>
      <c r="Z6" s="160" t="s">
        <v>1411</v>
      </c>
      <c r="AA6" s="160" t="s">
        <v>1477</v>
      </c>
      <c r="AB6" s="160" t="s">
        <v>1477</v>
      </c>
      <c r="AC6" s="160" t="s">
        <v>1477</v>
      </c>
      <c r="AD6" s="160" t="s">
        <v>1477</v>
      </c>
    </row>
    <row r="7" spans="1:30">
      <c r="B7" s="468"/>
      <c r="C7" s="7" t="s">
        <v>2667</v>
      </c>
      <c r="D7" s="160"/>
      <c r="E7" s="160" t="s">
        <v>2667</v>
      </c>
      <c r="F7" s="160"/>
      <c r="G7" s="160"/>
      <c r="H7" s="160"/>
      <c r="I7" s="160"/>
      <c r="J7" s="160"/>
      <c r="K7" s="160"/>
      <c r="L7" s="27"/>
      <c r="M7" s="27"/>
      <c r="N7" s="27"/>
      <c r="O7" s="27"/>
      <c r="P7" s="27"/>
      <c r="Q7" s="27"/>
      <c r="R7" s="27"/>
      <c r="S7" s="27"/>
      <c r="T7" s="27"/>
      <c r="U7" s="27"/>
      <c r="V7" s="27"/>
      <c r="W7" s="160"/>
      <c r="X7" s="160"/>
      <c r="Y7" s="160"/>
      <c r="Z7" s="160"/>
      <c r="AA7" s="160"/>
      <c r="AB7" s="160"/>
      <c r="AC7" s="160"/>
      <c r="AD7" s="160"/>
    </row>
    <row r="8" spans="1:30">
      <c r="B8" s="217">
        <f>ROW() -7</f>
        <v>1</v>
      </c>
      <c r="C8" s="232"/>
      <c r="D8" s="232"/>
      <c r="E8" s="232"/>
      <c r="F8" s="232"/>
      <c r="G8" s="232"/>
      <c r="H8" s="232"/>
      <c r="I8" s="232"/>
      <c r="J8" s="232"/>
      <c r="K8" s="232"/>
      <c r="L8" s="232"/>
      <c r="M8" s="232"/>
      <c r="N8" s="232"/>
      <c r="O8" s="232"/>
      <c r="P8" s="232"/>
      <c r="Q8" s="232"/>
      <c r="R8" s="232"/>
      <c r="S8" s="232"/>
      <c r="T8" s="232"/>
      <c r="U8" s="232"/>
      <c r="V8" s="232"/>
      <c r="W8" s="232"/>
      <c r="X8" s="232"/>
      <c r="Y8" s="232"/>
      <c r="Z8" s="232"/>
      <c r="AA8" s="232"/>
      <c r="AB8" s="232"/>
      <c r="AC8" s="232"/>
      <c r="AD8" s="232"/>
    </row>
    <row r="9" spans="1:30">
      <c r="B9" s="217">
        <f t="shared" ref="B9:B12" si="0">ROW() -7</f>
        <v>2</v>
      </c>
      <c r="C9" s="232"/>
      <c r="D9" s="232"/>
      <c r="E9" s="232"/>
      <c r="F9" s="232"/>
      <c r="G9" s="232"/>
      <c r="H9" s="232"/>
      <c r="I9" s="232"/>
      <c r="J9" s="232"/>
      <c r="K9" s="232"/>
      <c r="L9" s="232"/>
      <c r="M9" s="232"/>
      <c r="N9" s="232"/>
      <c r="O9" s="232"/>
      <c r="P9" s="232"/>
      <c r="Q9" s="232"/>
      <c r="R9" s="232"/>
      <c r="S9" s="232"/>
      <c r="T9" s="232"/>
      <c r="U9" s="232"/>
      <c r="V9" s="232"/>
      <c r="W9" s="232"/>
      <c r="X9" s="232"/>
      <c r="Y9" s="232"/>
      <c r="Z9" s="232"/>
      <c r="AA9" s="232"/>
      <c r="AB9" s="232"/>
      <c r="AC9" s="232"/>
      <c r="AD9" s="232"/>
    </row>
    <row r="10" spans="1:30">
      <c r="B10" s="217">
        <f t="shared" si="0"/>
        <v>3</v>
      </c>
      <c r="C10" s="232"/>
      <c r="D10" s="232"/>
      <c r="E10" s="232"/>
      <c r="F10" s="232"/>
      <c r="G10" s="232"/>
      <c r="H10" s="232"/>
      <c r="I10" s="232"/>
      <c r="J10" s="232"/>
      <c r="K10" s="232"/>
      <c r="L10" s="232"/>
      <c r="M10" s="232"/>
      <c r="N10" s="232"/>
      <c r="O10" s="232"/>
      <c r="P10" s="232"/>
      <c r="Q10" s="232"/>
      <c r="R10" s="232"/>
      <c r="S10" s="232"/>
      <c r="T10" s="232"/>
      <c r="U10" s="232"/>
      <c r="V10" s="232"/>
      <c r="W10" s="232"/>
      <c r="X10" s="232"/>
      <c r="Y10" s="232"/>
      <c r="Z10" s="232"/>
      <c r="AA10" s="232"/>
      <c r="AB10" s="232"/>
      <c r="AC10" s="232"/>
      <c r="AD10" s="232"/>
    </row>
    <row r="11" spans="1:30">
      <c r="B11" s="217">
        <f t="shared" si="0"/>
        <v>4</v>
      </c>
      <c r="C11" s="306"/>
      <c r="D11" s="306"/>
      <c r="E11" s="306"/>
      <c r="F11" s="306"/>
      <c r="G11" s="306"/>
      <c r="H11" s="306"/>
      <c r="I11" s="306"/>
      <c r="J11" s="306"/>
      <c r="K11" s="306"/>
      <c r="L11" s="306"/>
      <c r="M11" s="306"/>
      <c r="N11" s="306"/>
      <c r="O11" s="306"/>
      <c r="P11" s="306"/>
      <c r="Q11" s="306"/>
      <c r="R11" s="306"/>
      <c r="S11" s="306"/>
      <c r="T11" s="306"/>
      <c r="U11" s="306"/>
      <c r="V11" s="306"/>
      <c r="W11" s="306"/>
      <c r="X11" s="306"/>
      <c r="Y11" s="306"/>
      <c r="Z11" s="306"/>
      <c r="AA11" s="306"/>
      <c r="AB11" s="306"/>
      <c r="AC11" s="306"/>
      <c r="AD11" s="306"/>
    </row>
    <row r="12" spans="1:30">
      <c r="B12" s="217">
        <f t="shared" si="0"/>
        <v>5</v>
      </c>
      <c r="C12" s="306"/>
      <c r="D12" s="306"/>
      <c r="E12" s="306"/>
      <c r="F12" s="306"/>
      <c r="G12" s="306"/>
      <c r="H12" s="306"/>
      <c r="I12" s="306"/>
      <c r="J12" s="306"/>
      <c r="K12" s="306"/>
      <c r="L12" s="306"/>
      <c r="M12" s="306"/>
      <c r="N12" s="306"/>
      <c r="O12" s="306"/>
      <c r="P12" s="306"/>
      <c r="Q12" s="306"/>
      <c r="R12" s="306"/>
      <c r="S12" s="306"/>
      <c r="T12" s="306"/>
      <c r="U12" s="306"/>
      <c r="V12" s="306"/>
      <c r="W12" s="306"/>
      <c r="X12" s="306"/>
      <c r="Y12" s="306"/>
      <c r="Z12" s="306"/>
      <c r="AA12" s="306"/>
      <c r="AB12" s="306"/>
      <c r="AC12" s="306"/>
      <c r="AD12" s="306"/>
    </row>
  </sheetData>
  <sheetProtection insertRows="0" deleteRows="0" sort="0" autoFilter="0"/>
  <mergeCells count="6">
    <mergeCell ref="W4:Z4"/>
    <mergeCell ref="AA4:AD4"/>
    <mergeCell ref="B4:B7"/>
    <mergeCell ref="C4:E4"/>
    <mergeCell ref="F4:K4"/>
    <mergeCell ref="L4:V4"/>
  </mergeCells>
  <phoneticPr fontId="14"/>
  <hyperlinks>
    <hyperlink ref="A3" location="パラメータ設定一覧!A1" display="パラメータ設定一覧へ" xr:uid="{6817C534-E8BF-4DA3-8D33-8A52A26BA2DD}"/>
  </hyperlinks>
  <pageMargins left="0.7" right="0.7" top="0.75" bottom="0.75" header="0.3" footer="0.3"/>
  <pageSetup paperSize="9" orientation="portrait" verticalDpi="0"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BA098-9227-4FE3-94F4-997F8FBEEEA0}">
  <sheetPr codeName="Sheet62"/>
  <dimension ref="A1:D10"/>
  <sheetViews>
    <sheetView showGridLines="0" zoomScaleNormal="100" workbookViewId="0">
      <pane xSplit="3" ySplit="6" topLeftCell="D7" activePane="bottomRight" state="frozen"/>
      <selection activeCell="A3" sqref="A3"/>
      <selection pane="topRight" activeCell="A3" sqref="A3"/>
      <selection pane="bottomLeft" activeCell="A3" sqref="A3"/>
      <selection pane="bottomRight" activeCell="D7" sqref="D7"/>
    </sheetView>
  </sheetViews>
  <sheetFormatPr defaultColWidth="8.78515625" defaultRowHeight="13.5"/>
  <cols>
    <col min="1" max="1" width="2.78515625" style="46" customWidth="1"/>
    <col min="2" max="2" width="3.5703125" style="46" bestFit="1" customWidth="1"/>
    <col min="3" max="3" width="26.2109375" style="46" bestFit="1" customWidth="1"/>
    <col min="4" max="4" width="17.78515625" style="46" customWidth="1"/>
    <col min="5" max="16384" width="8.78515625" style="46"/>
  </cols>
  <sheetData>
    <row r="1" spans="1:4" customFormat="1" ht="19.5">
      <c r="A1" s="159" t="s">
        <v>1489</v>
      </c>
    </row>
    <row r="2" spans="1:4" customFormat="1" ht="15">
      <c r="A2" s="196" t="s">
        <v>2668</v>
      </c>
    </row>
    <row r="3" spans="1:4" customFormat="1" ht="15">
      <c r="A3" s="10" t="s">
        <v>363</v>
      </c>
    </row>
    <row r="4" spans="1:4">
      <c r="B4" s="440" t="s">
        <v>1</v>
      </c>
      <c r="C4" s="189" t="s">
        <v>1435</v>
      </c>
      <c r="D4" s="189" t="s">
        <v>1447</v>
      </c>
    </row>
    <row r="5" spans="1:4">
      <c r="B5" s="440"/>
      <c r="C5" s="7" t="s">
        <v>1434</v>
      </c>
      <c r="D5" s="8" t="s">
        <v>277</v>
      </c>
    </row>
    <row r="6" spans="1:4">
      <c r="B6" s="440"/>
      <c r="C6" s="7" t="s">
        <v>2667</v>
      </c>
      <c r="D6" s="8"/>
    </row>
    <row r="7" spans="1:4">
      <c r="B7" s="217">
        <f>ROW() -6</f>
        <v>1</v>
      </c>
      <c r="C7" s="232"/>
      <c r="D7" s="232"/>
    </row>
    <row r="8" spans="1:4">
      <c r="B8" s="217">
        <f>ROW() -6</f>
        <v>2</v>
      </c>
      <c r="C8" s="232"/>
      <c r="D8" s="232"/>
    </row>
    <row r="9" spans="1:4">
      <c r="B9" s="217">
        <f>ROW() -6</f>
        <v>3</v>
      </c>
      <c r="C9" s="232"/>
      <c r="D9" s="232"/>
    </row>
    <row r="10" spans="1:4">
      <c r="B10" s="217">
        <f>ROW() -6</f>
        <v>4</v>
      </c>
      <c r="C10" s="306"/>
      <c r="D10" s="306"/>
    </row>
  </sheetData>
  <sheetProtection insertRows="0" deleteRows="0" sort="0" autoFilter="0"/>
  <mergeCells count="1">
    <mergeCell ref="B4:B6"/>
  </mergeCells>
  <phoneticPr fontId="14"/>
  <hyperlinks>
    <hyperlink ref="A3" location="パラメータ設定一覧!A1" display="パラメータ設定一覧へ" xr:uid="{84411FE3-3157-4909-928F-BD49A1E705BF}"/>
  </hyperlinks>
  <pageMargins left="0.7" right="0.7" top="0.75" bottom="0.75" header="0.3" footer="0.3"/>
  <pageSetup paperSize="9" orientation="portrait" verticalDpi="0"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51347-90F2-4ACD-B7ED-248D9C7EB2AC}">
  <sheetPr codeName="Sheet63"/>
  <dimension ref="A1:I11"/>
  <sheetViews>
    <sheetView showGridLines="0" zoomScaleNormal="100" workbookViewId="0">
      <pane xSplit="3" ySplit="6" topLeftCell="D7" activePane="bottomRight" state="frozen"/>
      <selection activeCell="A3" sqref="A3"/>
      <selection pane="topRight" activeCell="A3" sqref="A3"/>
      <selection pane="bottomLeft" activeCell="A3" sqref="A3"/>
      <selection pane="bottomRight" activeCell="D7" sqref="D7"/>
    </sheetView>
  </sheetViews>
  <sheetFormatPr defaultColWidth="8.78515625" defaultRowHeight="13.5"/>
  <cols>
    <col min="1" max="1" width="2.78515625" style="46" customWidth="1"/>
    <col min="2" max="2" width="3.5703125" style="46" bestFit="1" customWidth="1"/>
    <col min="3" max="3" width="26.2109375" style="46" bestFit="1" customWidth="1"/>
    <col min="4" max="9" width="26.2109375" style="46" customWidth="1"/>
    <col min="10" max="16384" width="8.78515625" style="46"/>
  </cols>
  <sheetData>
    <row r="1" spans="1:9" customFormat="1" ht="19.5">
      <c r="A1" s="159" t="s">
        <v>1490</v>
      </c>
    </row>
    <row r="2" spans="1:9" customFormat="1" ht="15">
      <c r="A2" s="196" t="s">
        <v>2668</v>
      </c>
    </row>
    <row r="3" spans="1:9" customFormat="1" ht="15">
      <c r="A3" s="10" t="s">
        <v>363</v>
      </c>
    </row>
    <row r="4" spans="1:9">
      <c r="B4" s="440" t="s">
        <v>1</v>
      </c>
      <c r="C4" s="189" t="s">
        <v>302</v>
      </c>
      <c r="D4" s="189" t="s">
        <v>45</v>
      </c>
      <c r="E4" s="189" t="s">
        <v>1421</v>
      </c>
      <c r="F4" s="189" t="s">
        <v>1446</v>
      </c>
      <c r="G4" s="189" t="s">
        <v>1445</v>
      </c>
      <c r="H4" s="189" t="s">
        <v>1487</v>
      </c>
      <c r="I4" s="189" t="s">
        <v>1486</v>
      </c>
    </row>
    <row r="5" spans="1:9">
      <c r="B5" s="440"/>
      <c r="C5" s="7" t="s">
        <v>1448</v>
      </c>
      <c r="D5" s="160" t="s">
        <v>20</v>
      </c>
      <c r="E5" s="160" t="s">
        <v>277</v>
      </c>
      <c r="F5" s="160" t="s">
        <v>1479</v>
      </c>
      <c r="G5" s="160" t="s">
        <v>1478</v>
      </c>
      <c r="H5" s="160" t="s">
        <v>693</v>
      </c>
      <c r="I5" s="160" t="s">
        <v>1478</v>
      </c>
    </row>
    <row r="6" spans="1:9">
      <c r="B6" s="440"/>
      <c r="C6" s="7" t="s">
        <v>2667</v>
      </c>
      <c r="D6" s="160"/>
      <c r="E6" s="160"/>
      <c r="F6" s="160"/>
      <c r="G6" s="160"/>
      <c r="H6" s="160"/>
      <c r="I6" s="160"/>
    </row>
    <row r="7" spans="1:9">
      <c r="B7" s="217">
        <f>ROW() -6</f>
        <v>1</v>
      </c>
      <c r="C7" s="232"/>
      <c r="D7" s="232"/>
      <c r="E7" s="232"/>
      <c r="F7" s="232"/>
      <c r="G7" s="232"/>
      <c r="H7" s="232"/>
      <c r="I7" s="232"/>
    </row>
    <row r="8" spans="1:9">
      <c r="B8" s="217">
        <f>ROW() -6</f>
        <v>2</v>
      </c>
      <c r="C8" s="232"/>
      <c r="D8" s="232"/>
      <c r="E8" s="232"/>
      <c r="F8" s="232"/>
      <c r="G8" s="232"/>
      <c r="H8" s="232"/>
      <c r="I8" s="232"/>
    </row>
    <row r="9" spans="1:9">
      <c r="B9" s="217">
        <f>ROW() -6</f>
        <v>3</v>
      </c>
      <c r="C9" s="232"/>
      <c r="D9" s="232"/>
      <c r="E9" s="232"/>
      <c r="F9" s="232"/>
      <c r="G9" s="232"/>
      <c r="H9" s="232"/>
      <c r="I9" s="232"/>
    </row>
    <row r="10" spans="1:9">
      <c r="B10" s="217">
        <f>ROW() -6</f>
        <v>4</v>
      </c>
      <c r="C10" s="232"/>
      <c r="D10" s="232"/>
      <c r="E10" s="232"/>
      <c r="F10" s="232"/>
      <c r="G10" s="232"/>
      <c r="H10" s="232"/>
      <c r="I10" s="232"/>
    </row>
    <row r="11" spans="1:9">
      <c r="B11" s="217">
        <f>ROW() -6</f>
        <v>5</v>
      </c>
      <c r="C11" s="306"/>
      <c r="D11" s="306"/>
      <c r="E11" s="306"/>
      <c r="F11" s="306"/>
      <c r="G11" s="306"/>
      <c r="H11" s="306"/>
      <c r="I11" s="306"/>
    </row>
  </sheetData>
  <sheetProtection insertRows="0" deleteRows="0" sort="0" autoFilter="0"/>
  <mergeCells count="1">
    <mergeCell ref="B4:B6"/>
  </mergeCells>
  <phoneticPr fontId="14"/>
  <hyperlinks>
    <hyperlink ref="A3" location="パラメータ設定一覧!A1" display="パラメータ設定一覧へ" xr:uid="{3FAA141B-A40A-461E-8407-7106F3D8BF1D}"/>
  </hyperlinks>
  <pageMargins left="0.7" right="0.7" top="0.75" bottom="0.75" header="0.3" footer="0.3"/>
  <pageSetup paperSize="9" orientation="portrait" verticalDpi="0"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BE5FB-772F-4795-8804-2764542FAD7B}">
  <sheetPr codeName="Sheet64"/>
  <dimension ref="A1:H10"/>
  <sheetViews>
    <sheetView showGridLines="0" zoomScaleNormal="100" workbookViewId="0">
      <pane xSplit="3" ySplit="6" topLeftCell="D7" activePane="bottomRight" state="frozen"/>
      <selection activeCell="A3" sqref="A3"/>
      <selection pane="topRight" activeCell="A3" sqref="A3"/>
      <selection pane="bottomLeft" activeCell="A3" sqref="A3"/>
      <selection pane="bottomRight" activeCell="D7" sqref="D7"/>
    </sheetView>
  </sheetViews>
  <sheetFormatPr defaultColWidth="8.78515625" defaultRowHeight="13.5"/>
  <cols>
    <col min="1" max="1" width="2.78515625" style="46" customWidth="1"/>
    <col min="2" max="2" width="3.5703125" style="46" bestFit="1" customWidth="1"/>
    <col min="3" max="3" width="26.2109375" style="46" bestFit="1" customWidth="1"/>
    <col min="4" max="8" width="26.2109375" style="46" customWidth="1"/>
    <col min="9" max="16384" width="8.78515625" style="46"/>
  </cols>
  <sheetData>
    <row r="1" spans="1:8" customFormat="1" ht="19.5">
      <c r="A1" s="159" t="s">
        <v>1492</v>
      </c>
    </row>
    <row r="2" spans="1:8" customFormat="1" ht="15">
      <c r="A2" s="196" t="s">
        <v>2668</v>
      </c>
    </row>
    <row r="3" spans="1:8" customFormat="1" ht="15">
      <c r="A3" s="10" t="s">
        <v>363</v>
      </c>
    </row>
    <row r="4" spans="1:8">
      <c r="B4" s="440" t="s">
        <v>1</v>
      </c>
      <c r="C4" s="189" t="s">
        <v>277</v>
      </c>
      <c r="D4" s="189" t="s">
        <v>231</v>
      </c>
      <c r="E4" s="189" t="s">
        <v>232</v>
      </c>
      <c r="F4" s="189" t="s">
        <v>206</v>
      </c>
      <c r="G4" s="189" t="s">
        <v>1435</v>
      </c>
      <c r="H4" s="189" t="s">
        <v>19</v>
      </c>
    </row>
    <row r="5" spans="1:8">
      <c r="B5" s="440"/>
      <c r="C5" s="7" t="s">
        <v>277</v>
      </c>
      <c r="D5" s="160" t="s">
        <v>1438</v>
      </c>
      <c r="E5" s="160" t="s">
        <v>50</v>
      </c>
      <c r="F5" s="160" t="s">
        <v>1437</v>
      </c>
      <c r="G5" s="160" t="s">
        <v>1491</v>
      </c>
      <c r="H5" s="160" t="s">
        <v>20</v>
      </c>
    </row>
    <row r="6" spans="1:8">
      <c r="B6" s="440"/>
      <c r="C6" s="7"/>
      <c r="D6" s="160"/>
      <c r="E6" s="160"/>
      <c r="F6" s="160"/>
      <c r="G6" s="160"/>
      <c r="H6" s="160"/>
    </row>
    <row r="7" spans="1:8">
      <c r="B7" s="217">
        <f>ROW() -6</f>
        <v>1</v>
      </c>
      <c r="C7" s="232"/>
      <c r="D7" s="232"/>
      <c r="E7" s="232"/>
      <c r="F7" s="232"/>
      <c r="G7" s="232"/>
      <c r="H7" s="232"/>
    </row>
    <row r="8" spans="1:8">
      <c r="B8" s="217">
        <f>ROW() -6</f>
        <v>2</v>
      </c>
      <c r="C8" s="232"/>
      <c r="D8" s="232"/>
      <c r="E8" s="232"/>
      <c r="F8" s="232"/>
      <c r="G8" s="232"/>
      <c r="H8" s="232"/>
    </row>
    <row r="9" spans="1:8">
      <c r="B9" s="217">
        <f>ROW() -6</f>
        <v>3</v>
      </c>
      <c r="C9" s="232"/>
      <c r="D9" s="232"/>
      <c r="E9" s="232"/>
      <c r="F9" s="232"/>
      <c r="G9" s="232"/>
      <c r="H9" s="232"/>
    </row>
    <row r="10" spans="1:8">
      <c r="B10" s="217">
        <f>ROW() -6</f>
        <v>4</v>
      </c>
      <c r="C10" s="306"/>
      <c r="D10" s="306"/>
      <c r="E10" s="306"/>
      <c r="F10" s="306"/>
      <c r="G10" s="306"/>
      <c r="H10" s="306"/>
    </row>
  </sheetData>
  <sheetProtection insertRows="0" deleteRows="0" sort="0" autoFilter="0"/>
  <mergeCells count="1">
    <mergeCell ref="B4:B6"/>
  </mergeCells>
  <phoneticPr fontId="14"/>
  <hyperlinks>
    <hyperlink ref="A3" location="パラメータ設定一覧!A1" display="パラメータ設定一覧へ" xr:uid="{2B293A7A-C0A7-45A0-906C-E6D26C61535C}"/>
  </hyperlinks>
  <pageMargins left="0.7" right="0.7" top="0.75" bottom="0.75" header="0.3" footer="0.3"/>
  <pageSetup paperSize="9" orientation="portrait" verticalDpi="0"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F1E84-F9D1-4E17-BE0F-104421D3130B}">
  <sheetPr codeName="Sheet65"/>
  <dimension ref="A1:I11"/>
  <sheetViews>
    <sheetView showGridLines="0" zoomScaleNormal="100" workbookViewId="0">
      <pane xSplit="3" ySplit="6" topLeftCell="D7" activePane="bottomRight" state="frozen"/>
      <selection activeCell="A3" sqref="A3"/>
      <selection pane="topRight" activeCell="A3" sqref="A3"/>
      <selection pane="bottomLeft" activeCell="A3" sqref="A3"/>
      <selection pane="bottomRight" activeCell="D7" sqref="D7"/>
    </sheetView>
  </sheetViews>
  <sheetFormatPr defaultColWidth="8.78515625" defaultRowHeight="13.5"/>
  <cols>
    <col min="1" max="1" width="2.78515625" style="46" customWidth="1"/>
    <col min="2" max="2" width="3.5703125" style="46" bestFit="1" customWidth="1"/>
    <col min="3" max="3" width="26.2109375" style="46" bestFit="1" customWidth="1"/>
    <col min="4" max="8" width="26.2109375" style="46" customWidth="1"/>
    <col min="9" max="16384" width="8.78515625" style="46"/>
  </cols>
  <sheetData>
    <row r="1" spans="1:9" customFormat="1" ht="19.5">
      <c r="A1" s="159" t="s">
        <v>1495</v>
      </c>
    </row>
    <row r="2" spans="1:9" customFormat="1" ht="15">
      <c r="A2" s="196" t="s">
        <v>2668</v>
      </c>
    </row>
    <row r="3" spans="1:9" customFormat="1" ht="15">
      <c r="A3" s="10" t="s">
        <v>363</v>
      </c>
    </row>
    <row r="4" spans="1:9">
      <c r="B4" s="440" t="s">
        <v>1</v>
      </c>
      <c r="C4" s="189" t="s">
        <v>1429</v>
      </c>
      <c r="D4" s="189" t="s">
        <v>1427</v>
      </c>
      <c r="E4" s="189" t="s">
        <v>1494</v>
      </c>
      <c r="F4" s="189" t="s">
        <v>1423</v>
      </c>
      <c r="G4" s="189" t="s">
        <v>167</v>
      </c>
      <c r="H4" s="189" t="s">
        <v>1422</v>
      </c>
      <c r="I4" s="189" t="s">
        <v>1421</v>
      </c>
    </row>
    <row r="5" spans="1:9" ht="27">
      <c r="B5" s="440"/>
      <c r="C5" s="7" t="s">
        <v>1428</v>
      </c>
      <c r="D5" s="7" t="s">
        <v>1426</v>
      </c>
      <c r="E5" s="160" t="s">
        <v>1493</v>
      </c>
      <c r="F5" s="160" t="s">
        <v>50</v>
      </c>
      <c r="G5" s="160" t="s">
        <v>445</v>
      </c>
      <c r="H5" s="160" t="s">
        <v>277</v>
      </c>
      <c r="I5" s="160" t="s">
        <v>277</v>
      </c>
    </row>
    <row r="6" spans="1:9">
      <c r="B6" s="440"/>
      <c r="C6" s="7"/>
      <c r="D6" s="7"/>
      <c r="E6" s="160"/>
      <c r="F6" s="160"/>
      <c r="G6" s="160"/>
      <c r="H6" s="160"/>
      <c r="I6" s="160"/>
    </row>
    <row r="7" spans="1:9">
      <c r="B7" s="217">
        <f>ROW() -6</f>
        <v>1</v>
      </c>
      <c r="C7" s="232"/>
      <c r="D7" s="232"/>
      <c r="E7" s="232"/>
      <c r="F7" s="232"/>
      <c r="G7" s="232"/>
      <c r="H7" s="232"/>
      <c r="I7" s="232"/>
    </row>
    <row r="8" spans="1:9">
      <c r="B8" s="217">
        <f t="shared" ref="B8:B11" si="0">ROW() -6</f>
        <v>2</v>
      </c>
      <c r="C8" s="232"/>
      <c r="D8" s="232"/>
      <c r="E8" s="232"/>
      <c r="F8" s="232"/>
      <c r="G8" s="232"/>
      <c r="H8" s="232"/>
      <c r="I8" s="232"/>
    </row>
    <row r="9" spans="1:9">
      <c r="B9" s="217">
        <f t="shared" si="0"/>
        <v>3</v>
      </c>
      <c r="C9" s="232"/>
      <c r="D9" s="232"/>
      <c r="E9" s="232"/>
      <c r="F9" s="232"/>
      <c r="G9" s="232"/>
      <c r="H9" s="232"/>
      <c r="I9" s="232"/>
    </row>
    <row r="10" spans="1:9">
      <c r="B10" s="217">
        <f t="shared" si="0"/>
        <v>4</v>
      </c>
      <c r="C10" s="232"/>
      <c r="D10" s="232"/>
      <c r="E10" s="232"/>
      <c r="F10" s="232"/>
      <c r="G10" s="232"/>
      <c r="H10" s="232"/>
      <c r="I10" s="232"/>
    </row>
    <row r="11" spans="1:9">
      <c r="B11" s="217">
        <f t="shared" si="0"/>
        <v>5</v>
      </c>
      <c r="C11" s="306"/>
      <c r="D11" s="306"/>
      <c r="E11" s="306"/>
      <c r="F11" s="306"/>
      <c r="G11" s="306"/>
      <c r="H11" s="306"/>
      <c r="I11" s="306"/>
    </row>
  </sheetData>
  <sheetProtection insertRows="0" deleteRows="0" sort="0" autoFilter="0"/>
  <mergeCells count="1">
    <mergeCell ref="B4:B6"/>
  </mergeCells>
  <phoneticPr fontId="14"/>
  <hyperlinks>
    <hyperlink ref="A3" location="パラメータ設定一覧!A1" display="パラメータ設定一覧へ" xr:uid="{69774BC6-9779-4506-A2C1-B741A3D9A7C6}"/>
  </hyperlinks>
  <pageMargins left="0.7" right="0.7" top="0.75" bottom="0.75" header="0.3" footer="0.3"/>
  <pageSetup paperSize="9" orientation="portrait" verticalDpi="0"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DA01E-8A26-4498-A90B-815D3694EF99}">
  <sheetPr codeName="Sheet66"/>
  <dimension ref="A1:L184"/>
  <sheetViews>
    <sheetView showGridLines="0" zoomScaleNormal="100" workbookViewId="0">
      <pane xSplit="6" ySplit="5" topLeftCell="G6" activePane="bottomRight" state="frozen"/>
      <selection activeCell="A4" sqref="A4"/>
      <selection pane="topRight" activeCell="A4" sqref="A4"/>
      <selection pane="bottomLeft" activeCell="A4" sqref="A4"/>
      <selection pane="bottomRight" activeCell="G6" sqref="G6"/>
    </sheetView>
  </sheetViews>
  <sheetFormatPr defaultColWidth="8.78515625" defaultRowHeight="13.5"/>
  <cols>
    <col min="1" max="1" width="2.78515625" style="46" customWidth="1"/>
    <col min="2" max="2" width="3.78515625" style="46" customWidth="1"/>
    <col min="3" max="3" width="16.78515625" style="46" customWidth="1"/>
    <col min="4" max="4" width="19.2109375" style="46" customWidth="1"/>
    <col min="5" max="5" width="16.5703125" style="46" customWidth="1"/>
    <col min="6" max="6" width="22.5703125" style="46" customWidth="1"/>
    <col min="7" max="7" width="44.640625" style="46" customWidth="1"/>
    <col min="8" max="8" width="27.5703125" style="46" customWidth="1"/>
    <col min="9" max="9" width="17.42578125" style="53" customWidth="1"/>
    <col min="10" max="10" width="22.42578125" style="46" customWidth="1"/>
    <col min="11" max="11" width="18.2109375" style="46" customWidth="1"/>
    <col min="12" max="12" width="13.2109375" style="46" customWidth="1"/>
    <col min="13" max="16384" width="8.78515625" style="46"/>
  </cols>
  <sheetData>
    <row r="1" spans="1:12" customFormat="1" ht="19.5">
      <c r="A1" s="159" t="s">
        <v>302</v>
      </c>
      <c r="C1" s="46"/>
      <c r="D1" s="46"/>
      <c r="E1" s="46"/>
      <c r="F1" s="46"/>
      <c r="G1" s="46"/>
      <c r="H1" s="46"/>
      <c r="I1" s="53"/>
    </row>
    <row r="2" spans="1:12" customFormat="1" ht="15">
      <c r="B2" t="s">
        <v>1553</v>
      </c>
      <c r="C2" s="46"/>
      <c r="D2" s="46"/>
      <c r="E2" s="46"/>
      <c r="F2" s="46"/>
      <c r="G2" s="46"/>
      <c r="H2" s="46"/>
      <c r="I2" s="53"/>
    </row>
    <row r="3" spans="1:12" customFormat="1" ht="15">
      <c r="B3" t="s">
        <v>1552</v>
      </c>
      <c r="C3" s="46"/>
      <c r="D3" s="46"/>
      <c r="E3" s="46"/>
      <c r="F3" s="46"/>
      <c r="G3" s="46"/>
      <c r="H3" s="46"/>
      <c r="I3" s="53"/>
    </row>
    <row r="4" spans="1:12" customFormat="1" ht="15">
      <c r="A4" s="10" t="s">
        <v>363</v>
      </c>
      <c r="C4" s="46"/>
      <c r="D4" s="46"/>
      <c r="E4" s="46"/>
      <c r="F4" s="46"/>
      <c r="G4" s="46"/>
      <c r="H4" s="46"/>
      <c r="I4" s="53"/>
    </row>
    <row r="5" spans="1:12">
      <c r="B5" s="11" t="s">
        <v>1</v>
      </c>
      <c r="C5" s="11" t="s">
        <v>9</v>
      </c>
      <c r="D5" s="11" t="s">
        <v>10</v>
      </c>
      <c r="E5" s="11" t="s">
        <v>11</v>
      </c>
      <c r="F5" s="20" t="s">
        <v>12</v>
      </c>
      <c r="G5" s="20" t="s">
        <v>498</v>
      </c>
      <c r="H5" s="11" t="s">
        <v>14</v>
      </c>
      <c r="I5" s="54" t="s">
        <v>15</v>
      </c>
      <c r="J5" s="11" t="s">
        <v>16</v>
      </c>
      <c r="K5" s="14" t="s">
        <v>17</v>
      </c>
      <c r="L5" s="14" t="s">
        <v>18</v>
      </c>
    </row>
    <row r="6" spans="1:12">
      <c r="B6" s="21">
        <f t="shared" ref="B6:B53" si="0">ROW() - 5</f>
        <v>1</v>
      </c>
      <c r="C6" s="16" t="s">
        <v>302</v>
      </c>
      <c r="D6" s="16" t="s">
        <v>302</v>
      </c>
      <c r="E6" s="158" t="s">
        <v>331</v>
      </c>
      <c r="F6" s="158" t="s">
        <v>302</v>
      </c>
      <c r="G6" s="22" t="s">
        <v>331</v>
      </c>
      <c r="H6" s="22" t="s">
        <v>20</v>
      </c>
      <c r="I6" s="44" t="s">
        <v>331</v>
      </c>
      <c r="J6" s="22" t="s">
        <v>331</v>
      </c>
      <c r="K6" s="2" t="s">
        <v>1496</v>
      </c>
      <c r="L6" s="3"/>
    </row>
    <row r="7" spans="1:12">
      <c r="B7" s="21">
        <f t="shared" si="0"/>
        <v>2</v>
      </c>
      <c r="C7" s="68"/>
      <c r="D7" s="68"/>
      <c r="E7" s="128" t="s">
        <v>331</v>
      </c>
      <c r="F7" s="128" t="s">
        <v>45</v>
      </c>
      <c r="G7" s="22" t="s">
        <v>331</v>
      </c>
      <c r="H7" s="22" t="s">
        <v>20</v>
      </c>
      <c r="I7" s="44" t="s">
        <v>331</v>
      </c>
      <c r="J7" s="22" t="s">
        <v>331</v>
      </c>
      <c r="K7" s="2" t="s">
        <v>1496</v>
      </c>
      <c r="L7" s="3"/>
    </row>
    <row r="8" spans="1:12" ht="162">
      <c r="B8" s="21">
        <f t="shared" si="0"/>
        <v>3</v>
      </c>
      <c r="C8" s="19"/>
      <c r="D8" s="19"/>
      <c r="E8" s="17" t="s">
        <v>331</v>
      </c>
      <c r="F8" s="17" t="s">
        <v>46</v>
      </c>
      <c r="G8" s="22" t="s">
        <v>1551</v>
      </c>
      <c r="H8" s="22" t="s">
        <v>1550</v>
      </c>
      <c r="I8" s="155" t="s">
        <v>331</v>
      </c>
      <c r="J8" s="22" t="s">
        <v>331</v>
      </c>
      <c r="K8" s="2" t="s">
        <v>1496</v>
      </c>
      <c r="L8" s="3"/>
    </row>
    <row r="9" spans="1:12" ht="40.5">
      <c r="B9" s="21">
        <f t="shared" si="0"/>
        <v>4</v>
      </c>
      <c r="C9" s="68" t="s">
        <v>23</v>
      </c>
      <c r="D9" s="68" t="s">
        <v>23</v>
      </c>
      <c r="E9" s="16" t="s">
        <v>302</v>
      </c>
      <c r="F9" s="22" t="s">
        <v>60</v>
      </c>
      <c r="G9" s="22" t="s">
        <v>1549</v>
      </c>
      <c r="H9" s="47" t="s">
        <v>1548</v>
      </c>
      <c r="I9" s="156" t="s">
        <v>331</v>
      </c>
      <c r="J9" s="22" t="s">
        <v>331</v>
      </c>
      <c r="K9" s="2" t="s">
        <v>1496</v>
      </c>
      <c r="L9" s="3"/>
    </row>
    <row r="10" spans="1:12" ht="27">
      <c r="B10" s="21">
        <f t="shared" si="0"/>
        <v>5</v>
      </c>
      <c r="C10" s="68"/>
      <c r="D10" s="68"/>
      <c r="E10" s="68"/>
      <c r="F10" s="22" t="s">
        <v>1547</v>
      </c>
      <c r="G10" s="22" t="s">
        <v>1546</v>
      </c>
      <c r="H10" s="47" t="s">
        <v>1545</v>
      </c>
      <c r="I10" s="156" t="s">
        <v>331</v>
      </c>
      <c r="J10" s="22"/>
      <c r="K10" s="2" t="s">
        <v>1496</v>
      </c>
      <c r="L10" s="3"/>
    </row>
    <row r="11" spans="1:12">
      <c r="B11" s="21">
        <f t="shared" si="0"/>
        <v>6</v>
      </c>
      <c r="C11" s="68"/>
      <c r="D11" s="68"/>
      <c r="E11" s="19"/>
      <c r="F11" s="22" t="s">
        <v>1544</v>
      </c>
      <c r="G11" s="22" t="s">
        <v>872</v>
      </c>
      <c r="H11" s="47" t="s">
        <v>27</v>
      </c>
      <c r="I11" s="44" t="s">
        <v>28</v>
      </c>
      <c r="J11" s="22" t="s">
        <v>331</v>
      </c>
      <c r="K11" s="2" t="s">
        <v>1496</v>
      </c>
      <c r="L11" s="3"/>
    </row>
    <row r="12" spans="1:12" ht="27">
      <c r="B12" s="21">
        <f t="shared" si="0"/>
        <v>7</v>
      </c>
      <c r="C12" s="16" t="s">
        <v>1469</v>
      </c>
      <c r="D12" s="16" t="s">
        <v>1469</v>
      </c>
      <c r="E12" s="16" t="s">
        <v>1468</v>
      </c>
      <c r="F12" s="22" t="s">
        <v>1543</v>
      </c>
      <c r="G12" s="22" t="s">
        <v>1542</v>
      </c>
      <c r="H12" s="22" t="s">
        <v>1541</v>
      </c>
      <c r="I12" s="157" t="s">
        <v>331</v>
      </c>
      <c r="J12" s="22" t="s">
        <v>331</v>
      </c>
      <c r="K12" s="2" t="s">
        <v>1496</v>
      </c>
      <c r="L12" s="3"/>
    </row>
    <row r="13" spans="1:12" ht="54">
      <c r="B13" s="21">
        <f t="shared" si="0"/>
        <v>8</v>
      </c>
      <c r="C13" s="68"/>
      <c r="D13" s="68"/>
      <c r="E13" s="19"/>
      <c r="F13" s="22" t="s">
        <v>1467</v>
      </c>
      <c r="G13" s="22" t="s">
        <v>1540</v>
      </c>
      <c r="H13" s="22" t="s">
        <v>50</v>
      </c>
      <c r="I13" s="157" t="s">
        <v>1450</v>
      </c>
      <c r="J13" s="22"/>
      <c r="K13" s="2" t="s">
        <v>1496</v>
      </c>
      <c r="L13" s="3"/>
    </row>
    <row r="14" spans="1:12">
      <c r="B14" s="21">
        <f t="shared" si="0"/>
        <v>9</v>
      </c>
      <c r="C14" s="68"/>
      <c r="D14" s="68"/>
      <c r="E14" s="68" t="s">
        <v>1466</v>
      </c>
      <c r="F14" s="22" t="s">
        <v>1465</v>
      </c>
      <c r="G14" s="22" t="s">
        <v>331</v>
      </c>
      <c r="H14" s="47" t="s">
        <v>1462</v>
      </c>
      <c r="I14" s="156" t="s">
        <v>331</v>
      </c>
      <c r="J14" s="22" t="s">
        <v>331</v>
      </c>
      <c r="K14" s="2" t="s">
        <v>1496</v>
      </c>
      <c r="L14" s="3"/>
    </row>
    <row r="15" spans="1:12">
      <c r="B15" s="21">
        <f t="shared" si="0"/>
        <v>10</v>
      </c>
      <c r="C15" s="68"/>
      <c r="D15" s="68"/>
      <c r="E15" s="68"/>
      <c r="F15" s="22" t="s">
        <v>1464</v>
      </c>
      <c r="G15" s="22" t="s">
        <v>331</v>
      </c>
      <c r="H15" s="47" t="s">
        <v>1462</v>
      </c>
      <c r="I15" s="156" t="s">
        <v>331</v>
      </c>
      <c r="J15" s="22" t="s">
        <v>331</v>
      </c>
      <c r="K15" s="2" t="s">
        <v>1496</v>
      </c>
      <c r="L15" s="3"/>
    </row>
    <row r="16" spans="1:12">
      <c r="B16" s="21">
        <f t="shared" si="0"/>
        <v>11</v>
      </c>
      <c r="C16" s="68"/>
      <c r="D16" s="68"/>
      <c r="E16" s="68"/>
      <c r="F16" s="22" t="s">
        <v>1463</v>
      </c>
      <c r="G16" s="22" t="s">
        <v>331</v>
      </c>
      <c r="H16" s="47" t="s">
        <v>1462</v>
      </c>
      <c r="I16" s="44" t="s">
        <v>331</v>
      </c>
      <c r="J16" s="22" t="s">
        <v>331</v>
      </c>
      <c r="K16" s="2" t="s">
        <v>1496</v>
      </c>
      <c r="L16" s="3"/>
    </row>
    <row r="17" spans="2:12" ht="81">
      <c r="B17" s="21">
        <f t="shared" si="0"/>
        <v>12</v>
      </c>
      <c r="C17" s="68"/>
      <c r="D17" s="68"/>
      <c r="E17" s="16" t="s">
        <v>1539</v>
      </c>
      <c r="F17" s="22" t="s">
        <v>1538</v>
      </c>
      <c r="G17" s="22" t="s">
        <v>1537</v>
      </c>
      <c r="H17" s="47" t="s">
        <v>50</v>
      </c>
      <c r="I17" s="44" t="s">
        <v>331</v>
      </c>
      <c r="J17" s="22" t="s">
        <v>331</v>
      </c>
      <c r="K17" s="2" t="s">
        <v>1496</v>
      </c>
      <c r="L17" s="3"/>
    </row>
    <row r="18" spans="2:12" ht="67.5">
      <c r="B18" s="21">
        <f t="shared" si="0"/>
        <v>13</v>
      </c>
      <c r="C18" s="68"/>
      <c r="D18" s="68"/>
      <c r="E18" s="68"/>
      <c r="F18" s="22" t="s">
        <v>1536</v>
      </c>
      <c r="G18" s="22" t="s">
        <v>1535</v>
      </c>
      <c r="H18" s="47" t="s">
        <v>50</v>
      </c>
      <c r="I18" s="44" t="s">
        <v>331</v>
      </c>
      <c r="J18" s="22"/>
      <c r="K18" s="2" t="s">
        <v>1496</v>
      </c>
      <c r="L18" s="3"/>
    </row>
    <row r="19" spans="2:12" ht="94.5">
      <c r="B19" s="21">
        <f t="shared" si="0"/>
        <v>14</v>
      </c>
      <c r="C19" s="68"/>
      <c r="D19" s="68"/>
      <c r="E19" s="68"/>
      <c r="F19" s="22" t="s">
        <v>1534</v>
      </c>
      <c r="G19" s="22" t="s">
        <v>1533</v>
      </c>
      <c r="H19" s="47" t="s">
        <v>50</v>
      </c>
      <c r="I19" s="44" t="s">
        <v>331</v>
      </c>
      <c r="J19" s="22"/>
      <c r="K19" s="2" t="s">
        <v>1496</v>
      </c>
      <c r="L19" s="3"/>
    </row>
    <row r="20" spans="2:12" ht="40.5">
      <c r="B20" s="21">
        <f t="shared" si="0"/>
        <v>15</v>
      </c>
      <c r="C20" s="68"/>
      <c r="D20" s="68"/>
      <c r="E20" s="68"/>
      <c r="F20" s="22" t="s">
        <v>1532</v>
      </c>
      <c r="G20" s="22" t="s">
        <v>1531</v>
      </c>
      <c r="H20" s="47" t="s">
        <v>50</v>
      </c>
      <c r="I20" s="157" t="s">
        <v>1393</v>
      </c>
      <c r="J20" s="22"/>
      <c r="K20" s="2" t="s">
        <v>1496</v>
      </c>
      <c r="L20" s="3"/>
    </row>
    <row r="21" spans="2:12" ht="54">
      <c r="B21" s="21">
        <f t="shared" si="0"/>
        <v>16</v>
      </c>
      <c r="C21" s="68"/>
      <c r="D21" s="68"/>
      <c r="E21" s="68"/>
      <c r="F21" s="22" t="s">
        <v>1530</v>
      </c>
      <c r="G21" s="22" t="s">
        <v>1529</v>
      </c>
      <c r="H21" s="47" t="s">
        <v>50</v>
      </c>
      <c r="I21" s="157"/>
      <c r="J21" s="22"/>
      <c r="K21" s="2" t="s">
        <v>1496</v>
      </c>
      <c r="L21" s="3"/>
    </row>
    <row r="22" spans="2:12" ht="81">
      <c r="B22" s="21">
        <f t="shared" si="0"/>
        <v>17</v>
      </c>
      <c r="C22" s="68"/>
      <c r="D22" s="68"/>
      <c r="E22" s="68"/>
      <c r="F22" s="22" t="s">
        <v>1528</v>
      </c>
      <c r="G22" s="22" t="s">
        <v>1527</v>
      </c>
      <c r="H22" s="47" t="s">
        <v>50</v>
      </c>
      <c r="I22" s="44" t="s">
        <v>331</v>
      </c>
      <c r="J22" s="22"/>
      <c r="K22" s="2" t="s">
        <v>1496</v>
      </c>
      <c r="L22" s="3"/>
    </row>
    <row r="23" spans="2:12" ht="108">
      <c r="B23" s="21">
        <f t="shared" si="0"/>
        <v>18</v>
      </c>
      <c r="C23" s="68"/>
      <c r="D23" s="68"/>
      <c r="E23" s="19"/>
      <c r="F23" s="22" t="s">
        <v>1526</v>
      </c>
      <c r="G23" s="22" t="s">
        <v>1525</v>
      </c>
      <c r="H23" s="47" t="s">
        <v>50</v>
      </c>
      <c r="I23" s="157" t="s">
        <v>1524</v>
      </c>
      <c r="J23" s="22"/>
      <c r="K23" s="2" t="s">
        <v>1496</v>
      </c>
      <c r="L23" s="3"/>
    </row>
    <row r="24" spans="2:12">
      <c r="B24" s="21">
        <f t="shared" si="0"/>
        <v>19</v>
      </c>
      <c r="C24" s="68"/>
      <c r="D24" s="68"/>
      <c r="E24" s="16" t="s">
        <v>1523</v>
      </c>
      <c r="F24" s="22" t="s">
        <v>1522</v>
      </c>
      <c r="G24" s="22" t="s">
        <v>1521</v>
      </c>
      <c r="H24" s="47" t="s">
        <v>50</v>
      </c>
      <c r="I24" s="44" t="s">
        <v>331</v>
      </c>
      <c r="J24" s="22"/>
      <c r="K24" s="2" t="s">
        <v>1496</v>
      </c>
      <c r="L24" s="3"/>
    </row>
    <row r="25" spans="2:12" ht="54">
      <c r="B25" s="21">
        <f t="shared" si="0"/>
        <v>20</v>
      </c>
      <c r="C25" s="68"/>
      <c r="D25" s="68"/>
      <c r="E25" s="16" t="s">
        <v>1452</v>
      </c>
      <c r="F25" s="22" t="s">
        <v>1454</v>
      </c>
      <c r="G25" s="22" t="s">
        <v>331</v>
      </c>
      <c r="H25" s="47" t="s">
        <v>1453</v>
      </c>
      <c r="I25" s="44" t="s">
        <v>331</v>
      </c>
      <c r="J25" s="22"/>
      <c r="K25" s="2" t="s">
        <v>1496</v>
      </c>
      <c r="L25" s="3"/>
    </row>
    <row r="26" spans="2:12" ht="27">
      <c r="B26" s="21">
        <f t="shared" si="0"/>
        <v>21</v>
      </c>
      <c r="C26" s="68"/>
      <c r="D26" s="68"/>
      <c r="E26" s="68"/>
      <c r="F26" s="22" t="s">
        <v>1452</v>
      </c>
      <c r="G26" s="22" t="s">
        <v>1520</v>
      </c>
      <c r="H26" s="47" t="s">
        <v>50</v>
      </c>
      <c r="I26" s="157" t="s">
        <v>1450</v>
      </c>
      <c r="J26" s="22"/>
      <c r="K26" s="2" t="s">
        <v>1496</v>
      </c>
      <c r="L26" s="3"/>
    </row>
    <row r="27" spans="2:12" ht="27">
      <c r="B27" s="21">
        <f t="shared" si="0"/>
        <v>22</v>
      </c>
      <c r="C27" s="68"/>
      <c r="D27" s="68"/>
      <c r="E27" s="19"/>
      <c r="F27" s="22" t="s">
        <v>1451</v>
      </c>
      <c r="G27" s="22" t="s">
        <v>1519</v>
      </c>
      <c r="H27" s="47" t="s">
        <v>50</v>
      </c>
      <c r="I27" s="157" t="s">
        <v>1450</v>
      </c>
      <c r="J27" s="22"/>
      <c r="K27" s="2" t="s">
        <v>1496</v>
      </c>
      <c r="L27" s="3"/>
    </row>
    <row r="28" spans="2:12" ht="67.5">
      <c r="B28" s="21">
        <f t="shared" si="0"/>
        <v>23</v>
      </c>
      <c r="C28" s="68"/>
      <c r="D28" s="68"/>
      <c r="E28" s="16" t="s">
        <v>1461</v>
      </c>
      <c r="F28" s="22" t="s">
        <v>1518</v>
      </c>
      <c r="G28" s="22" t="s">
        <v>1517</v>
      </c>
      <c r="H28" s="47" t="s">
        <v>50</v>
      </c>
      <c r="I28" s="157" t="s">
        <v>1459</v>
      </c>
      <c r="J28" s="22" t="s">
        <v>331</v>
      </c>
      <c r="K28" s="2" t="s">
        <v>1496</v>
      </c>
      <c r="L28" s="3"/>
    </row>
    <row r="29" spans="2:12" ht="27">
      <c r="B29" s="21">
        <f t="shared" si="0"/>
        <v>24</v>
      </c>
      <c r="C29" s="68"/>
      <c r="D29" s="68"/>
      <c r="E29" s="68"/>
      <c r="F29" s="22" t="s">
        <v>1460</v>
      </c>
      <c r="G29" s="22" t="s">
        <v>1516</v>
      </c>
      <c r="H29" s="47" t="s">
        <v>50</v>
      </c>
      <c r="I29" s="157" t="s">
        <v>1459</v>
      </c>
      <c r="J29" s="22"/>
      <c r="K29" s="2" t="s">
        <v>1496</v>
      </c>
      <c r="L29" s="3"/>
    </row>
    <row r="30" spans="2:12" ht="54">
      <c r="B30" s="21">
        <f t="shared" si="0"/>
        <v>25</v>
      </c>
      <c r="C30" s="68"/>
      <c r="D30" s="68"/>
      <c r="E30" s="68"/>
      <c r="F30" s="22" t="s">
        <v>1515</v>
      </c>
      <c r="G30" s="22" t="s">
        <v>1514</v>
      </c>
      <c r="H30" s="47" t="s">
        <v>27</v>
      </c>
      <c r="I30" s="44" t="s">
        <v>28</v>
      </c>
      <c r="J30" s="22"/>
      <c r="K30" s="2" t="s">
        <v>1496</v>
      </c>
      <c r="L30" s="3"/>
    </row>
    <row r="31" spans="2:12" ht="40.5">
      <c r="B31" s="21">
        <f t="shared" si="0"/>
        <v>26</v>
      </c>
      <c r="C31" s="68"/>
      <c r="D31" s="68"/>
      <c r="E31" s="68"/>
      <c r="F31" s="22" t="s">
        <v>1513</v>
      </c>
      <c r="G31" s="22" t="s">
        <v>1512</v>
      </c>
      <c r="H31" s="47" t="s">
        <v>27</v>
      </c>
      <c r="I31" s="44" t="s">
        <v>28</v>
      </c>
      <c r="J31" s="22"/>
      <c r="K31" s="2" t="s">
        <v>1496</v>
      </c>
      <c r="L31" s="3"/>
    </row>
    <row r="32" spans="2:12" ht="148.5">
      <c r="B32" s="21">
        <f t="shared" si="0"/>
        <v>27</v>
      </c>
      <c r="C32" s="68"/>
      <c r="D32" s="68"/>
      <c r="E32" s="68"/>
      <c r="F32" s="22" t="s">
        <v>1511</v>
      </c>
      <c r="G32" s="22" t="s">
        <v>1510</v>
      </c>
      <c r="H32" s="47" t="s">
        <v>27</v>
      </c>
      <c r="I32" s="44" t="s">
        <v>28</v>
      </c>
      <c r="J32" s="22"/>
      <c r="K32" s="2" t="s">
        <v>1496</v>
      </c>
      <c r="L32" s="3"/>
    </row>
    <row r="33" spans="2:12" ht="54">
      <c r="B33" s="21">
        <f t="shared" si="0"/>
        <v>28</v>
      </c>
      <c r="C33" s="68"/>
      <c r="D33" s="68"/>
      <c r="E33" s="68"/>
      <c r="F33" s="22" t="s">
        <v>1457</v>
      </c>
      <c r="G33" s="22" t="s">
        <v>1509</v>
      </c>
      <c r="H33" s="47" t="s">
        <v>27</v>
      </c>
      <c r="I33" s="44" t="s">
        <v>28</v>
      </c>
      <c r="J33" s="22"/>
      <c r="K33" s="2" t="s">
        <v>1496</v>
      </c>
      <c r="L33" s="3"/>
    </row>
    <row r="34" spans="2:12">
      <c r="B34" s="21">
        <f t="shared" si="0"/>
        <v>29</v>
      </c>
      <c r="C34" s="68"/>
      <c r="D34" s="68"/>
      <c r="E34" s="68"/>
      <c r="F34" s="22" t="s">
        <v>1456</v>
      </c>
      <c r="G34" s="22"/>
      <c r="H34" s="47" t="s">
        <v>1455</v>
      </c>
      <c r="I34" s="44" t="s">
        <v>331</v>
      </c>
      <c r="J34" s="22"/>
      <c r="K34" s="2" t="s">
        <v>1496</v>
      </c>
      <c r="L34" s="3"/>
    </row>
    <row r="35" spans="2:12" ht="27">
      <c r="B35" s="21">
        <f t="shared" si="0"/>
        <v>30</v>
      </c>
      <c r="C35" s="16" t="s">
        <v>1435</v>
      </c>
      <c r="D35" s="16" t="s">
        <v>1435</v>
      </c>
      <c r="E35" s="16"/>
      <c r="F35" s="22" t="s">
        <v>1435</v>
      </c>
      <c r="G35" s="22" t="s">
        <v>331</v>
      </c>
      <c r="H35" s="22" t="s">
        <v>1434</v>
      </c>
      <c r="I35" s="155" t="s">
        <v>331</v>
      </c>
      <c r="J35" s="22" t="s">
        <v>331</v>
      </c>
      <c r="K35" s="2" t="s">
        <v>1508</v>
      </c>
      <c r="L35" s="3"/>
    </row>
    <row r="36" spans="2:12" ht="27">
      <c r="B36" s="21">
        <f t="shared" si="0"/>
        <v>31</v>
      </c>
      <c r="C36" s="19"/>
      <c r="D36" s="19"/>
      <c r="E36" s="19"/>
      <c r="F36" s="22" t="s">
        <v>1421</v>
      </c>
      <c r="G36" s="22" t="s">
        <v>331</v>
      </c>
      <c r="H36" s="47" t="s">
        <v>277</v>
      </c>
      <c r="I36" s="156" t="s">
        <v>170</v>
      </c>
      <c r="J36" s="22" t="s">
        <v>331</v>
      </c>
      <c r="K36" s="2" t="s">
        <v>1508</v>
      </c>
      <c r="L36" s="3"/>
    </row>
    <row r="37" spans="2:12" ht="27">
      <c r="B37" s="21">
        <f t="shared" si="0"/>
        <v>32</v>
      </c>
      <c r="C37" s="16" t="s">
        <v>1507</v>
      </c>
      <c r="D37" s="16" t="s">
        <v>1506</v>
      </c>
      <c r="E37" s="16"/>
      <c r="F37" s="22" t="s">
        <v>1505</v>
      </c>
      <c r="G37" s="22" t="s">
        <v>872</v>
      </c>
      <c r="H37" s="22" t="s">
        <v>1504</v>
      </c>
      <c r="I37" s="155" t="s">
        <v>331</v>
      </c>
      <c r="J37" s="22" t="s">
        <v>331</v>
      </c>
      <c r="K37" s="2" t="s">
        <v>1502</v>
      </c>
      <c r="L37" s="3"/>
    </row>
    <row r="38" spans="2:12" ht="27">
      <c r="B38" s="21">
        <f t="shared" si="0"/>
        <v>33</v>
      </c>
      <c r="C38" s="68"/>
      <c r="D38" s="68"/>
      <c r="E38" s="68"/>
      <c r="F38" s="22" t="s">
        <v>45</v>
      </c>
      <c r="G38" s="22" t="s">
        <v>331</v>
      </c>
      <c r="H38" s="47" t="s">
        <v>20</v>
      </c>
      <c r="I38" s="156" t="s">
        <v>331</v>
      </c>
      <c r="J38" s="22" t="s">
        <v>331</v>
      </c>
      <c r="K38" s="2" t="s">
        <v>1502</v>
      </c>
      <c r="L38" s="3"/>
    </row>
    <row r="39" spans="2:12" ht="27">
      <c r="B39" s="21">
        <f t="shared" si="0"/>
        <v>34</v>
      </c>
      <c r="C39" s="68"/>
      <c r="D39" s="68"/>
      <c r="E39" s="68"/>
      <c r="F39" s="22" t="s">
        <v>1421</v>
      </c>
      <c r="G39" s="22" t="s">
        <v>1499</v>
      </c>
      <c r="H39" s="47" t="s">
        <v>277</v>
      </c>
      <c r="I39" s="44" t="s">
        <v>170</v>
      </c>
      <c r="J39" s="22" t="s">
        <v>331</v>
      </c>
      <c r="K39" s="2" t="s">
        <v>1502</v>
      </c>
      <c r="L39" s="3"/>
    </row>
    <row r="40" spans="2:12" ht="27">
      <c r="B40" s="21">
        <f t="shared" si="0"/>
        <v>35</v>
      </c>
      <c r="C40" s="68"/>
      <c r="D40" s="68"/>
      <c r="E40" s="68"/>
      <c r="F40" s="22" t="s">
        <v>1230</v>
      </c>
      <c r="G40" s="22" t="s">
        <v>331</v>
      </c>
      <c r="H40" s="47" t="s">
        <v>50</v>
      </c>
      <c r="I40" s="157" t="s">
        <v>1450</v>
      </c>
      <c r="J40" s="22" t="s">
        <v>331</v>
      </c>
      <c r="K40" s="2" t="s">
        <v>1502</v>
      </c>
      <c r="L40" s="3"/>
    </row>
    <row r="41" spans="2:12" ht="40.5">
      <c r="B41" s="21">
        <f t="shared" si="0"/>
        <v>36</v>
      </c>
      <c r="C41" s="19"/>
      <c r="D41" s="19"/>
      <c r="E41" s="19"/>
      <c r="F41" s="22" t="s">
        <v>661</v>
      </c>
      <c r="G41" s="22" t="s">
        <v>1503</v>
      </c>
      <c r="H41" s="47" t="s">
        <v>50</v>
      </c>
      <c r="I41" s="44">
        <v>0</v>
      </c>
      <c r="J41" s="22" t="s">
        <v>331</v>
      </c>
      <c r="K41" s="2" t="s">
        <v>1502</v>
      </c>
      <c r="L41" s="3"/>
    </row>
    <row r="42" spans="2:12" ht="27">
      <c r="B42" s="21">
        <f t="shared" si="0"/>
        <v>37</v>
      </c>
      <c r="C42" s="68" t="s">
        <v>1501</v>
      </c>
      <c r="D42" s="68" t="s">
        <v>1501</v>
      </c>
      <c r="E42" s="68"/>
      <c r="F42" s="68" t="s">
        <v>1501</v>
      </c>
      <c r="G42" s="22" t="s">
        <v>872</v>
      </c>
      <c r="H42" s="22" t="s">
        <v>1500</v>
      </c>
      <c r="I42" s="44" t="s">
        <v>331</v>
      </c>
      <c r="J42" s="22" t="s">
        <v>331</v>
      </c>
      <c r="K42" s="2" t="s">
        <v>1497</v>
      </c>
      <c r="L42" s="3"/>
    </row>
    <row r="43" spans="2:12" ht="27">
      <c r="B43" s="21">
        <f t="shared" si="0"/>
        <v>38</v>
      </c>
      <c r="C43" s="68"/>
      <c r="D43" s="68"/>
      <c r="E43" s="68"/>
      <c r="F43" s="22" t="s">
        <v>1447</v>
      </c>
      <c r="G43" s="22" t="s">
        <v>1499</v>
      </c>
      <c r="H43" s="47" t="s">
        <v>277</v>
      </c>
      <c r="I43" s="44" t="s">
        <v>331</v>
      </c>
      <c r="J43" s="22" t="s">
        <v>331</v>
      </c>
      <c r="K43" s="2" t="s">
        <v>1497</v>
      </c>
      <c r="L43" s="3"/>
    </row>
    <row r="44" spans="2:12" ht="27">
      <c r="B44" s="21">
        <f t="shared" si="0"/>
        <v>39</v>
      </c>
      <c r="C44" s="68"/>
      <c r="D44" s="68"/>
      <c r="E44" s="68"/>
      <c r="F44" s="22" t="s">
        <v>1446</v>
      </c>
      <c r="G44" s="22" t="s">
        <v>331</v>
      </c>
      <c r="H44" s="47" t="s">
        <v>1443</v>
      </c>
      <c r="I44" s="44" t="s">
        <v>331</v>
      </c>
      <c r="J44" s="22"/>
      <c r="K44" s="2" t="s">
        <v>1497</v>
      </c>
      <c r="L44" s="3"/>
    </row>
    <row r="45" spans="2:12" ht="40.5">
      <c r="B45" s="21">
        <f t="shared" si="0"/>
        <v>40</v>
      </c>
      <c r="C45" s="68"/>
      <c r="D45" s="68"/>
      <c r="E45" s="68"/>
      <c r="F45" s="22" t="s">
        <v>1445</v>
      </c>
      <c r="G45" s="22" t="s">
        <v>1498</v>
      </c>
      <c r="H45" s="47" t="s">
        <v>1441</v>
      </c>
      <c r="I45" s="44" t="s">
        <v>331</v>
      </c>
      <c r="J45" s="22"/>
      <c r="K45" s="2" t="s">
        <v>1497</v>
      </c>
      <c r="L45" s="3"/>
    </row>
    <row r="46" spans="2:12" ht="27">
      <c r="B46" s="21">
        <f t="shared" si="0"/>
        <v>41</v>
      </c>
      <c r="C46" s="68"/>
      <c r="D46" s="68"/>
      <c r="E46" s="68"/>
      <c r="F46" s="22" t="s">
        <v>389</v>
      </c>
      <c r="G46" s="22" t="s">
        <v>331</v>
      </c>
      <c r="H46" s="47" t="s">
        <v>1443</v>
      </c>
      <c r="I46" s="44" t="s">
        <v>331</v>
      </c>
      <c r="J46" s="22"/>
      <c r="K46" s="2" t="s">
        <v>1497</v>
      </c>
      <c r="L46" s="3"/>
    </row>
    <row r="47" spans="2:12" ht="27">
      <c r="B47" s="21">
        <f t="shared" si="0"/>
        <v>42</v>
      </c>
      <c r="C47" s="68"/>
      <c r="D47" s="68"/>
      <c r="E47" s="68"/>
      <c r="F47" s="22" t="s">
        <v>1442</v>
      </c>
      <c r="G47" s="22" t="s">
        <v>331</v>
      </c>
      <c r="H47" s="47" t="s">
        <v>1441</v>
      </c>
      <c r="I47" s="44" t="s">
        <v>331</v>
      </c>
      <c r="J47" s="22"/>
      <c r="K47" s="2" t="s">
        <v>1497</v>
      </c>
      <c r="L47" s="3"/>
    </row>
    <row r="48" spans="2:12">
      <c r="B48" s="21">
        <f t="shared" si="0"/>
        <v>43</v>
      </c>
      <c r="C48" s="16" t="s">
        <v>1419</v>
      </c>
      <c r="D48" s="16" t="s">
        <v>1418</v>
      </c>
      <c r="E48" s="16" t="s">
        <v>1417</v>
      </c>
      <c r="F48" s="22" t="s">
        <v>1416</v>
      </c>
      <c r="G48" s="22" t="s">
        <v>872</v>
      </c>
      <c r="H48" s="22" t="s">
        <v>1411</v>
      </c>
      <c r="I48" s="155" t="s">
        <v>331</v>
      </c>
      <c r="J48" s="22" t="s">
        <v>331</v>
      </c>
      <c r="K48" s="2" t="s">
        <v>1496</v>
      </c>
      <c r="L48" s="3"/>
    </row>
    <row r="49" spans="2:12">
      <c r="B49" s="21">
        <f t="shared" si="0"/>
        <v>44</v>
      </c>
      <c r="C49" s="68"/>
      <c r="D49" s="68"/>
      <c r="E49" s="68"/>
      <c r="F49" s="22" t="s">
        <v>1415</v>
      </c>
      <c r="G49" s="22" t="s">
        <v>872</v>
      </c>
      <c r="H49" s="22" t="s">
        <v>1411</v>
      </c>
      <c r="I49" s="155" t="s">
        <v>331</v>
      </c>
      <c r="J49" s="22" t="s">
        <v>331</v>
      </c>
      <c r="K49" s="2" t="s">
        <v>1496</v>
      </c>
      <c r="L49" s="3"/>
    </row>
    <row r="50" spans="2:12">
      <c r="B50" s="21">
        <f t="shared" si="0"/>
        <v>45</v>
      </c>
      <c r="C50" s="68"/>
      <c r="D50" s="68"/>
      <c r="E50" s="16" t="s">
        <v>1414</v>
      </c>
      <c r="F50" s="22" t="s">
        <v>1413</v>
      </c>
      <c r="G50" s="22" t="s">
        <v>872</v>
      </c>
      <c r="H50" s="22" t="s">
        <v>1411</v>
      </c>
      <c r="I50" s="155" t="s">
        <v>331</v>
      </c>
      <c r="J50" s="22" t="s">
        <v>331</v>
      </c>
      <c r="K50" s="2" t="s">
        <v>1496</v>
      </c>
      <c r="L50" s="3"/>
    </row>
    <row r="51" spans="2:12">
      <c r="B51" s="21">
        <f t="shared" si="0"/>
        <v>46</v>
      </c>
      <c r="C51" s="19"/>
      <c r="D51" s="19"/>
      <c r="E51" s="19"/>
      <c r="F51" s="22" t="s">
        <v>1412</v>
      </c>
      <c r="G51" s="22" t="s">
        <v>872</v>
      </c>
      <c r="H51" s="22" t="s">
        <v>1411</v>
      </c>
      <c r="I51" s="155" t="s">
        <v>331</v>
      </c>
      <c r="J51" s="22" t="s">
        <v>331</v>
      </c>
      <c r="K51" s="2" t="s">
        <v>1496</v>
      </c>
      <c r="L51" s="3"/>
    </row>
    <row r="52" spans="2:12">
      <c r="B52" s="21">
        <f t="shared" si="0"/>
        <v>47</v>
      </c>
      <c r="C52" s="68" t="s">
        <v>622</v>
      </c>
      <c r="D52" s="68" t="s">
        <v>622</v>
      </c>
      <c r="E52" s="68" t="s">
        <v>1410</v>
      </c>
      <c r="F52" s="22"/>
      <c r="G52" s="22"/>
      <c r="H52" s="47"/>
      <c r="I52" s="44"/>
      <c r="J52" s="22" t="s">
        <v>331</v>
      </c>
      <c r="K52" s="2" t="s">
        <v>1496</v>
      </c>
      <c r="L52" s="3"/>
    </row>
    <row r="53" spans="2:12">
      <c r="B53" s="21">
        <f t="shared" si="0"/>
        <v>48</v>
      </c>
      <c r="C53" s="19"/>
      <c r="D53" s="19"/>
      <c r="E53" s="19"/>
      <c r="F53" s="22"/>
      <c r="G53" s="22"/>
      <c r="H53" s="47"/>
      <c r="I53" s="44"/>
      <c r="J53" s="22" t="s">
        <v>331</v>
      </c>
      <c r="K53" s="2" t="s">
        <v>1496</v>
      </c>
      <c r="L53" s="3"/>
    </row>
    <row r="54" spans="2:12">
      <c r="I54" s="46"/>
    </row>
    <row r="55" spans="2:12" ht="30.75" customHeight="1">
      <c r="I55" s="46"/>
    </row>
    <row r="56" spans="2:12">
      <c r="I56" s="46"/>
    </row>
    <row r="57" spans="2:12" ht="31.5" customHeight="1">
      <c r="I57" s="46"/>
    </row>
    <row r="58" spans="2:12">
      <c r="I58" s="46"/>
    </row>
    <row r="59" spans="2:12">
      <c r="I59" s="46"/>
    </row>
    <row r="60" spans="2:12">
      <c r="I60" s="46"/>
    </row>
    <row r="61" spans="2:12" ht="33" customHeight="1">
      <c r="I61" s="46"/>
    </row>
    <row r="62" spans="2:12">
      <c r="I62" s="46"/>
    </row>
    <row r="63" spans="2:12" ht="30.75" customHeight="1">
      <c r="I63" s="46"/>
    </row>
    <row r="64" spans="2:12" ht="27" customHeight="1">
      <c r="I64" s="46"/>
    </row>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ht="409" customHeigh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ht="2.25" customHeight="1"/>
    <row r="173" s="46" customFormat="1" ht="409.5" customHeight="1"/>
    <row r="174" s="46" customFormat="1"/>
    <row r="175" s="46" customFormat="1"/>
    <row r="176" s="46" customFormat="1"/>
    <row r="177" spans="9:9">
      <c r="I177" s="46"/>
    </row>
    <row r="178" spans="9:9">
      <c r="I178" s="46"/>
    </row>
    <row r="179" spans="9:9">
      <c r="I179" s="46"/>
    </row>
    <row r="180" spans="9:9">
      <c r="I180" s="46"/>
    </row>
    <row r="181" spans="9:9">
      <c r="I181" s="46"/>
    </row>
    <row r="182" spans="9:9">
      <c r="I182" s="46"/>
    </row>
    <row r="183" spans="9:9">
      <c r="I183" s="46"/>
    </row>
    <row r="184" spans="9:9">
      <c r="I184" s="46"/>
    </row>
  </sheetData>
  <sheetProtection formatCells="0"/>
  <phoneticPr fontId="14"/>
  <hyperlinks>
    <hyperlink ref="A4" location="パラメータ設定一覧!A1" display="パラメータ設定一覧へ" xr:uid="{3B80A6B4-7AE8-45B3-945F-4F9521CEE35C}"/>
  </hyperlinks>
  <pageMargins left="0.7" right="0.7" top="0.75" bottom="0.75" header="0.3" footer="0.3"/>
  <pageSetup paperSize="9" orientation="portrait" verticalDpi="1200" r:id="rId1"/>
  <drawing r:id="rId2"/>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242C7-710F-4E17-A544-70B2CF1072DA}">
  <sheetPr codeName="Sheet67"/>
  <dimension ref="A1:AM12"/>
  <sheetViews>
    <sheetView showGridLines="0" zoomScaleNormal="100" workbookViewId="0">
      <pane xSplit="3" ySplit="7" topLeftCell="D8" activePane="bottomRight" state="frozen"/>
      <selection activeCell="A4" sqref="A4"/>
      <selection pane="topRight" activeCell="A4" sqref="A4"/>
      <selection pane="bottomLeft" activeCell="A4" sqref="A4"/>
      <selection pane="bottomRight" activeCell="D8" sqref="D8"/>
    </sheetView>
  </sheetViews>
  <sheetFormatPr defaultColWidth="8.78515625" defaultRowHeight="13.5"/>
  <cols>
    <col min="1" max="1" width="2.78515625" style="177" customWidth="1"/>
    <col min="2" max="2" width="3.5703125" style="177" bestFit="1" customWidth="1"/>
    <col min="3" max="3" width="12.85546875" style="177" customWidth="1"/>
    <col min="4" max="4" width="21.0703125" style="177" customWidth="1"/>
    <col min="5" max="5" width="16.2109375" style="177" bestFit="1" customWidth="1"/>
    <col min="6" max="6" width="16.42578125" style="177" bestFit="1" customWidth="1"/>
    <col min="7" max="7" width="13" style="177" bestFit="1" customWidth="1"/>
    <col min="8" max="8" width="7.42578125" style="177" bestFit="1" customWidth="1"/>
    <col min="9" max="9" width="12.5" style="177" customWidth="1"/>
    <col min="10" max="10" width="5.28515625" style="177" bestFit="1" customWidth="1"/>
    <col min="11" max="11" width="14.2109375" style="177" bestFit="1" customWidth="1"/>
    <col min="12" max="12" width="17.2109375" style="177" customWidth="1"/>
    <col min="13" max="13" width="18.78515625" style="177" bestFit="1" customWidth="1"/>
    <col min="14" max="14" width="10.7109375" style="177" bestFit="1" customWidth="1"/>
    <col min="15" max="15" width="7.640625" style="177" bestFit="1" customWidth="1"/>
    <col min="16" max="18" width="6.7109375" style="177" bestFit="1" customWidth="1"/>
    <col min="19" max="19" width="10.7109375" style="177" bestFit="1" customWidth="1"/>
    <col min="20" max="20" width="9.5703125" style="177" bestFit="1" customWidth="1"/>
    <col min="21" max="21" width="7.0703125" style="177" bestFit="1" customWidth="1"/>
    <col min="22" max="22" width="9.78515625" style="177" bestFit="1" customWidth="1"/>
    <col min="23" max="23" width="6.7109375" style="177" bestFit="1" customWidth="1"/>
    <col min="24" max="24" width="9.92578125" style="177" bestFit="1" customWidth="1"/>
    <col min="25" max="25" width="3.78515625" style="177" bestFit="1" customWidth="1"/>
    <col min="26" max="26" width="15.28515625" style="177" bestFit="1" customWidth="1"/>
    <col min="27" max="27" width="7.42578125" style="177" bestFit="1" customWidth="1"/>
    <col min="28" max="28" width="8.35546875" style="177" bestFit="1" customWidth="1"/>
    <col min="29" max="29" width="7.42578125" style="177" bestFit="1" customWidth="1"/>
    <col min="30" max="30" width="8.640625" style="177" bestFit="1" customWidth="1"/>
    <col min="31" max="31" width="11.92578125" style="177" customWidth="1"/>
    <col min="32" max="35" width="18.42578125" style="177" customWidth="1"/>
    <col min="36" max="39" width="11" style="177" bestFit="1" customWidth="1"/>
    <col min="40" max="16384" width="8.78515625" style="177"/>
  </cols>
  <sheetData>
    <row r="1" spans="1:39" s="116" customFormat="1" ht="19.5">
      <c r="A1" s="307" t="s">
        <v>2715</v>
      </c>
    </row>
    <row r="2" spans="1:39" s="116" customFormat="1" ht="15">
      <c r="A2" s="308" t="s">
        <v>2668</v>
      </c>
    </row>
    <row r="3" spans="1:39" s="116" customFormat="1" ht="15">
      <c r="A3" s="179" t="s">
        <v>363</v>
      </c>
    </row>
    <row r="4" spans="1:39">
      <c r="B4" s="454" t="s">
        <v>1</v>
      </c>
      <c r="C4" s="474"/>
      <c r="D4" s="475"/>
      <c r="E4" s="476"/>
      <c r="F4" s="477" t="s">
        <v>23</v>
      </c>
      <c r="G4" s="478"/>
      <c r="H4" s="479"/>
      <c r="I4" s="477" t="s">
        <v>1469</v>
      </c>
      <c r="J4" s="478"/>
      <c r="K4" s="478"/>
      <c r="L4" s="478"/>
      <c r="M4" s="478"/>
      <c r="N4" s="478"/>
      <c r="O4" s="478"/>
      <c r="P4" s="478"/>
      <c r="Q4" s="478"/>
      <c r="R4" s="478"/>
      <c r="S4" s="478"/>
      <c r="T4" s="478"/>
      <c r="U4" s="478"/>
      <c r="V4" s="478"/>
      <c r="W4" s="478"/>
      <c r="X4" s="478"/>
      <c r="Y4" s="478"/>
      <c r="Z4" s="478"/>
      <c r="AA4" s="478"/>
      <c r="AB4" s="478"/>
      <c r="AC4" s="478"/>
      <c r="AD4" s="478"/>
      <c r="AE4" s="479"/>
      <c r="AF4" s="477" t="s">
        <v>1418</v>
      </c>
      <c r="AG4" s="478"/>
      <c r="AH4" s="478"/>
      <c r="AI4" s="479"/>
      <c r="AJ4" s="471" t="s">
        <v>622</v>
      </c>
      <c r="AK4" s="472"/>
      <c r="AL4" s="472"/>
      <c r="AM4" s="473"/>
    </row>
    <row r="5" spans="1:39" ht="27">
      <c r="B5" s="454"/>
      <c r="C5" s="40" t="s">
        <v>302</v>
      </c>
      <c r="D5" s="40" t="s">
        <v>45</v>
      </c>
      <c r="E5" s="40" t="s">
        <v>46</v>
      </c>
      <c r="F5" s="183" t="s">
        <v>60</v>
      </c>
      <c r="G5" s="183" t="s">
        <v>1547</v>
      </c>
      <c r="H5" s="183" t="s">
        <v>1544</v>
      </c>
      <c r="I5" s="183" t="s">
        <v>1543</v>
      </c>
      <c r="J5" s="183" t="s">
        <v>1467</v>
      </c>
      <c r="K5" s="183" t="s">
        <v>1465</v>
      </c>
      <c r="L5" s="183" t="s">
        <v>1464</v>
      </c>
      <c r="M5" s="183" t="s">
        <v>1463</v>
      </c>
      <c r="N5" s="183" t="s">
        <v>1538</v>
      </c>
      <c r="O5" s="183" t="s">
        <v>1536</v>
      </c>
      <c r="P5" s="183" t="s">
        <v>1534</v>
      </c>
      <c r="Q5" s="183" t="s">
        <v>1532</v>
      </c>
      <c r="R5" s="183" t="s">
        <v>1530</v>
      </c>
      <c r="S5" s="183" t="s">
        <v>1528</v>
      </c>
      <c r="T5" s="183" t="s">
        <v>1526</v>
      </c>
      <c r="U5" s="183" t="s">
        <v>1522</v>
      </c>
      <c r="V5" s="183" t="s">
        <v>1454</v>
      </c>
      <c r="W5" s="183" t="s">
        <v>1452</v>
      </c>
      <c r="X5" s="183" t="s">
        <v>1451</v>
      </c>
      <c r="Y5" s="183" t="s">
        <v>1518</v>
      </c>
      <c r="Z5" s="183" t="s">
        <v>1460</v>
      </c>
      <c r="AA5" s="183" t="s">
        <v>1515</v>
      </c>
      <c r="AB5" s="183" t="s">
        <v>1513</v>
      </c>
      <c r="AC5" s="183" t="s">
        <v>1511</v>
      </c>
      <c r="AD5" s="183" t="s">
        <v>1457</v>
      </c>
      <c r="AE5" s="183" t="s">
        <v>1456</v>
      </c>
      <c r="AF5" s="183" t="s">
        <v>1416</v>
      </c>
      <c r="AG5" s="183" t="s">
        <v>1415</v>
      </c>
      <c r="AH5" s="183" t="s">
        <v>1413</v>
      </c>
      <c r="AI5" s="183" t="s">
        <v>1412</v>
      </c>
      <c r="AJ5" s="118" t="s">
        <v>622</v>
      </c>
      <c r="AK5" s="118" t="s">
        <v>622</v>
      </c>
      <c r="AL5" s="118" t="s">
        <v>622</v>
      </c>
      <c r="AM5" s="118" t="s">
        <v>622</v>
      </c>
    </row>
    <row r="6" spans="1:39" ht="54">
      <c r="B6" s="454"/>
      <c r="C6" s="27" t="s">
        <v>20</v>
      </c>
      <c r="D6" s="27" t="s">
        <v>20</v>
      </c>
      <c r="E6" s="27" t="s">
        <v>1550</v>
      </c>
      <c r="F6" s="27" t="s">
        <v>1548</v>
      </c>
      <c r="G6" s="27" t="s">
        <v>1545</v>
      </c>
      <c r="H6" s="27" t="s">
        <v>27</v>
      </c>
      <c r="I6" s="27" t="s">
        <v>1541</v>
      </c>
      <c r="J6" s="27" t="s">
        <v>50</v>
      </c>
      <c r="K6" s="27" t="s">
        <v>1462</v>
      </c>
      <c r="L6" s="27" t="s">
        <v>1462</v>
      </c>
      <c r="M6" s="27" t="s">
        <v>1462</v>
      </c>
      <c r="N6" s="27" t="s">
        <v>50</v>
      </c>
      <c r="O6" s="27" t="s">
        <v>50</v>
      </c>
      <c r="P6" s="27" t="s">
        <v>50</v>
      </c>
      <c r="Q6" s="27" t="s">
        <v>50</v>
      </c>
      <c r="R6" s="27" t="s">
        <v>50</v>
      </c>
      <c r="S6" s="27" t="s">
        <v>50</v>
      </c>
      <c r="T6" s="27" t="s">
        <v>50</v>
      </c>
      <c r="U6" s="27" t="s">
        <v>50</v>
      </c>
      <c r="V6" s="27" t="s">
        <v>1453</v>
      </c>
      <c r="W6" s="27" t="s">
        <v>50</v>
      </c>
      <c r="X6" s="27" t="s">
        <v>50</v>
      </c>
      <c r="Y6" s="27" t="s">
        <v>50</v>
      </c>
      <c r="Z6" s="27" t="s">
        <v>50</v>
      </c>
      <c r="AA6" s="27" t="s">
        <v>27</v>
      </c>
      <c r="AB6" s="27" t="s">
        <v>27</v>
      </c>
      <c r="AC6" s="27" t="s">
        <v>27</v>
      </c>
      <c r="AD6" s="27" t="s">
        <v>27</v>
      </c>
      <c r="AE6" s="27" t="s">
        <v>1455</v>
      </c>
      <c r="AF6" s="27" t="s">
        <v>1411</v>
      </c>
      <c r="AG6" s="27" t="s">
        <v>1411</v>
      </c>
      <c r="AH6" s="27" t="s">
        <v>1411</v>
      </c>
      <c r="AI6" s="27" t="s">
        <v>1411</v>
      </c>
      <c r="AJ6" s="160" t="s">
        <v>1477</v>
      </c>
      <c r="AK6" s="160" t="s">
        <v>1477</v>
      </c>
      <c r="AL6" s="160" t="s">
        <v>1477</v>
      </c>
      <c r="AM6" s="160" t="s">
        <v>1477</v>
      </c>
    </row>
    <row r="7" spans="1:39">
      <c r="B7" s="454"/>
      <c r="C7" s="27" t="s">
        <v>2667</v>
      </c>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160"/>
      <c r="AK7" s="160"/>
      <c r="AL7" s="160"/>
      <c r="AM7" s="160"/>
    </row>
    <row r="8" spans="1:39">
      <c r="B8" s="309">
        <f>ROW() -7</f>
        <v>1</v>
      </c>
      <c r="C8" s="309"/>
      <c r="D8" s="309"/>
      <c r="E8" s="309"/>
      <c r="F8" s="309"/>
      <c r="G8" s="309"/>
      <c r="H8" s="309"/>
      <c r="I8" s="309"/>
      <c r="J8" s="309"/>
      <c r="K8" s="309"/>
      <c r="L8" s="309"/>
      <c r="M8" s="309"/>
      <c r="N8" s="309"/>
      <c r="O8" s="309"/>
      <c r="P8" s="309"/>
      <c r="Q8" s="309"/>
      <c r="R8" s="309"/>
      <c r="S8" s="309"/>
      <c r="T8" s="309"/>
      <c r="U8" s="309"/>
      <c r="V8" s="309"/>
      <c r="W8" s="309"/>
      <c r="X8" s="309"/>
      <c r="Y8" s="309"/>
      <c r="Z8" s="309"/>
      <c r="AA8" s="309"/>
      <c r="AB8" s="21"/>
      <c r="AC8" s="21"/>
      <c r="AD8" s="21"/>
      <c r="AE8" s="21"/>
      <c r="AF8" s="21"/>
      <c r="AG8" s="21"/>
      <c r="AH8" s="21"/>
      <c r="AI8" s="21"/>
      <c r="AJ8" s="21"/>
      <c r="AK8" s="21"/>
      <c r="AL8" s="21"/>
      <c r="AM8" s="21"/>
    </row>
    <row r="9" spans="1:39">
      <c r="B9" s="309">
        <f t="shared" ref="B9:B12" si="0">ROW() -7</f>
        <v>2</v>
      </c>
      <c r="C9" s="309"/>
      <c r="D9" s="309"/>
      <c r="E9" s="309"/>
      <c r="F9" s="309"/>
      <c r="G9" s="309"/>
      <c r="H9" s="309"/>
      <c r="I9" s="309"/>
      <c r="J9" s="309"/>
      <c r="K9" s="309"/>
      <c r="L9" s="309"/>
      <c r="M9" s="309"/>
      <c r="N9" s="309"/>
      <c r="O9" s="309"/>
      <c r="P9" s="309"/>
      <c r="Q9" s="309"/>
      <c r="R9" s="309"/>
      <c r="S9" s="309"/>
      <c r="T9" s="309"/>
      <c r="U9" s="309"/>
      <c r="V9" s="309"/>
      <c r="W9" s="309"/>
      <c r="X9" s="309"/>
      <c r="Y9" s="309"/>
      <c r="Z9" s="309"/>
      <c r="AA9" s="309"/>
      <c r="AB9" s="21"/>
      <c r="AC9" s="21"/>
      <c r="AD9" s="21"/>
      <c r="AE9" s="21"/>
      <c r="AF9" s="21"/>
      <c r="AG9" s="21"/>
      <c r="AH9" s="21"/>
      <c r="AI9" s="21"/>
      <c r="AJ9" s="21"/>
      <c r="AK9" s="21"/>
      <c r="AL9" s="21"/>
      <c r="AM9" s="21"/>
    </row>
    <row r="10" spans="1:39">
      <c r="B10" s="309">
        <f t="shared" si="0"/>
        <v>3</v>
      </c>
      <c r="C10" s="309"/>
      <c r="D10" s="309"/>
      <c r="E10" s="309"/>
      <c r="F10" s="309"/>
      <c r="G10" s="309"/>
      <c r="H10" s="309"/>
      <c r="I10" s="309"/>
      <c r="J10" s="309"/>
      <c r="K10" s="309"/>
      <c r="L10" s="309"/>
      <c r="M10" s="309"/>
      <c r="N10" s="309"/>
      <c r="O10" s="309"/>
      <c r="P10" s="309"/>
      <c r="Q10" s="309"/>
      <c r="R10" s="309"/>
      <c r="S10" s="309"/>
      <c r="T10" s="309"/>
      <c r="U10" s="309"/>
      <c r="V10" s="309"/>
      <c r="W10" s="309"/>
      <c r="X10" s="309"/>
      <c r="Y10" s="309"/>
      <c r="Z10" s="309"/>
      <c r="AA10" s="309"/>
      <c r="AB10" s="21"/>
      <c r="AC10" s="21"/>
      <c r="AD10" s="21"/>
      <c r="AE10" s="21"/>
      <c r="AF10" s="21"/>
      <c r="AG10" s="21"/>
      <c r="AH10" s="21"/>
      <c r="AI10" s="21"/>
      <c r="AJ10" s="21"/>
      <c r="AK10" s="21"/>
      <c r="AL10" s="21"/>
      <c r="AM10" s="21"/>
    </row>
    <row r="11" spans="1:39">
      <c r="B11" s="309">
        <f t="shared" si="0"/>
        <v>4</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21"/>
      <c r="AC11" s="21"/>
      <c r="AD11" s="21"/>
      <c r="AE11" s="21"/>
      <c r="AF11" s="21"/>
      <c r="AG11" s="21"/>
      <c r="AH11" s="21"/>
      <c r="AI11" s="21"/>
      <c r="AJ11" s="21"/>
      <c r="AK11" s="21"/>
      <c r="AL11" s="21"/>
      <c r="AM11" s="21"/>
    </row>
    <row r="12" spans="1:39">
      <c r="B12" s="309">
        <f t="shared" si="0"/>
        <v>5</v>
      </c>
      <c r="C12" s="310"/>
      <c r="D12" s="310"/>
      <c r="E12" s="310"/>
      <c r="F12" s="310"/>
      <c r="G12" s="310"/>
      <c r="H12" s="310"/>
      <c r="I12" s="310"/>
      <c r="J12" s="310"/>
      <c r="K12" s="310"/>
      <c r="L12" s="310"/>
      <c r="M12" s="310"/>
      <c r="N12" s="310"/>
      <c r="O12" s="310"/>
      <c r="P12" s="310"/>
      <c r="Q12" s="310"/>
      <c r="R12" s="310"/>
      <c r="S12" s="310"/>
      <c r="T12" s="310"/>
      <c r="U12" s="310"/>
      <c r="V12" s="310"/>
      <c r="W12" s="310"/>
      <c r="X12" s="310"/>
      <c r="Y12" s="310"/>
      <c r="Z12" s="310"/>
      <c r="AA12" s="310"/>
      <c r="AB12" s="21"/>
      <c r="AC12" s="21"/>
      <c r="AD12" s="21"/>
      <c r="AE12" s="21"/>
      <c r="AF12" s="21"/>
      <c r="AG12" s="21"/>
      <c r="AH12" s="21"/>
      <c r="AI12" s="21"/>
      <c r="AJ12" s="21"/>
      <c r="AK12" s="21"/>
      <c r="AL12" s="21"/>
      <c r="AM12" s="21"/>
    </row>
  </sheetData>
  <sheetProtection insertRows="0" deleteRows="0" sort="0" autoFilter="0"/>
  <mergeCells count="6">
    <mergeCell ref="AJ4:AM4"/>
    <mergeCell ref="B4:B7"/>
    <mergeCell ref="C4:E4"/>
    <mergeCell ref="F4:H4"/>
    <mergeCell ref="I4:AE4"/>
    <mergeCell ref="AF4:AI4"/>
  </mergeCells>
  <phoneticPr fontId="14"/>
  <hyperlinks>
    <hyperlink ref="A3" location="パラメータ設定一覧!A1" display="パラメータ設定一覧へ" xr:uid="{A0B56515-6F56-42A8-85C7-01716D9F9581}"/>
  </hyperlinks>
  <pageMargins left="0.7" right="0.7" top="0.75" bottom="0.75" header="0.3" footer="0.3"/>
  <pageSetup paperSize="9" orientation="portrait" verticalDpi="0"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728A0-FDD9-4C20-B178-889950FE594B}">
  <sheetPr codeName="Sheet68"/>
  <dimension ref="A1:D11"/>
  <sheetViews>
    <sheetView showGridLines="0" zoomScaleNormal="100" workbookViewId="0">
      <pane xSplit="3" ySplit="6" topLeftCell="D7" activePane="bottomRight" state="frozen"/>
      <selection activeCell="A4" sqref="A4"/>
      <selection pane="topRight" activeCell="A4" sqref="A4"/>
      <selection pane="bottomLeft" activeCell="A4" sqref="A4"/>
      <selection pane="bottomRight" activeCell="D7" sqref="D7"/>
    </sheetView>
  </sheetViews>
  <sheetFormatPr defaultColWidth="8.78515625" defaultRowHeight="13.5"/>
  <cols>
    <col min="1" max="1" width="2.78515625" style="46" customWidth="1"/>
    <col min="2" max="2" width="3.5703125" style="46" bestFit="1" customWidth="1"/>
    <col min="3" max="3" width="26.2109375" style="46" bestFit="1" customWidth="1"/>
    <col min="4" max="4" width="17.78515625" style="46" customWidth="1"/>
    <col min="5" max="16384" width="8.78515625" style="46"/>
  </cols>
  <sheetData>
    <row r="1" spans="1:4" customFormat="1" ht="19.5">
      <c r="A1" s="159" t="s">
        <v>2716</v>
      </c>
    </row>
    <row r="2" spans="1:4" customFormat="1" ht="15">
      <c r="A2" s="196" t="s">
        <v>2668</v>
      </c>
    </row>
    <row r="3" spans="1:4" customFormat="1" ht="15">
      <c r="A3" s="10" t="s">
        <v>363</v>
      </c>
    </row>
    <row r="4" spans="1:4">
      <c r="B4" s="440" t="s">
        <v>1</v>
      </c>
      <c r="C4" s="189" t="s">
        <v>1435</v>
      </c>
      <c r="D4" s="189" t="s">
        <v>1447</v>
      </c>
    </row>
    <row r="5" spans="1:4">
      <c r="B5" s="440"/>
      <c r="C5" s="7" t="s">
        <v>1434</v>
      </c>
      <c r="D5" s="8" t="s">
        <v>277</v>
      </c>
    </row>
    <row r="6" spans="1:4">
      <c r="B6" s="440"/>
      <c r="C6" s="7" t="s">
        <v>2667</v>
      </c>
      <c r="D6" s="8"/>
    </row>
    <row r="7" spans="1:4">
      <c r="B7" s="217">
        <f>ROW() -6</f>
        <v>1</v>
      </c>
      <c r="C7" s="232"/>
      <c r="D7" s="232"/>
    </row>
    <row r="8" spans="1:4">
      <c r="B8" s="217">
        <f>ROW() -6</f>
        <v>2</v>
      </c>
      <c r="C8" s="232"/>
      <c r="D8" s="232"/>
    </row>
    <row r="9" spans="1:4">
      <c r="B9" s="217">
        <f>ROW() -6</f>
        <v>3</v>
      </c>
      <c r="C9" s="232"/>
      <c r="D9" s="232"/>
    </row>
    <row r="10" spans="1:4">
      <c r="B10" s="217">
        <f>ROW() -6</f>
        <v>4</v>
      </c>
      <c r="C10" s="232"/>
      <c r="D10" s="232"/>
    </row>
    <row r="11" spans="1:4">
      <c r="B11" s="217">
        <f>ROW() -6</f>
        <v>5</v>
      </c>
      <c r="C11" s="306"/>
      <c r="D11" s="306"/>
    </row>
  </sheetData>
  <sheetProtection insertRows="0" deleteRows="0" sort="0" autoFilter="0"/>
  <mergeCells count="1">
    <mergeCell ref="B4:B6"/>
  </mergeCells>
  <phoneticPr fontId="14"/>
  <hyperlinks>
    <hyperlink ref="A3" location="パラメータ設定一覧!A1" display="パラメータ設定一覧へ" xr:uid="{4B2197C4-FEEC-481D-9F33-56EAA60B473F}"/>
  </hyperlinks>
  <pageMargins left="0.7" right="0.7" top="0.75" bottom="0.75" header="0.3" footer="0.3"/>
  <pageSetup paperSize="9" orientation="portrait" verticalDpi="0"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D2AB1-A27B-4865-882F-942E406EECB7}">
  <sheetPr codeName="Sheet69"/>
  <dimension ref="A1:G11"/>
  <sheetViews>
    <sheetView showGridLines="0" zoomScaleNormal="100" workbookViewId="0">
      <pane xSplit="3" ySplit="6" topLeftCell="D7" activePane="bottomRight" state="frozen"/>
      <selection activeCell="A4" sqref="A4"/>
      <selection pane="topRight" activeCell="A4" sqref="A4"/>
      <selection pane="bottomLeft" activeCell="A4" sqref="A4"/>
      <selection pane="bottomRight" activeCell="D7" sqref="D7"/>
    </sheetView>
  </sheetViews>
  <sheetFormatPr defaultColWidth="8.78515625" defaultRowHeight="13.5"/>
  <cols>
    <col min="1" max="1" width="2.78515625" style="46" customWidth="1"/>
    <col min="2" max="2" width="3.5703125" style="46" bestFit="1" customWidth="1"/>
    <col min="3" max="3" width="26.2109375" style="46" bestFit="1" customWidth="1"/>
    <col min="4" max="7" width="26.2109375" style="46" customWidth="1"/>
    <col min="8" max="16384" width="8.78515625" style="46"/>
  </cols>
  <sheetData>
    <row r="1" spans="1:7" customFormat="1" ht="19.5">
      <c r="A1" s="159" t="s">
        <v>2717</v>
      </c>
    </row>
    <row r="2" spans="1:7" customFormat="1" ht="15">
      <c r="A2" s="196" t="s">
        <v>2668</v>
      </c>
    </row>
    <row r="3" spans="1:7" customFormat="1" ht="15">
      <c r="A3" s="10" t="s">
        <v>363</v>
      </c>
    </row>
    <row r="4" spans="1:7">
      <c r="B4" s="440" t="s">
        <v>1</v>
      </c>
      <c r="C4" s="183" t="s">
        <v>1505</v>
      </c>
      <c r="D4" s="183" t="s">
        <v>45</v>
      </c>
      <c r="E4" s="183" t="s">
        <v>1421</v>
      </c>
      <c r="F4" s="183" t="s">
        <v>1230</v>
      </c>
      <c r="G4" s="183" t="s">
        <v>661</v>
      </c>
    </row>
    <row r="5" spans="1:7">
      <c r="B5" s="440"/>
      <c r="C5" s="27" t="s">
        <v>1504</v>
      </c>
      <c r="D5" s="161" t="s">
        <v>20</v>
      </c>
      <c r="E5" s="161" t="s">
        <v>277</v>
      </c>
      <c r="F5" s="161" t="s">
        <v>50</v>
      </c>
      <c r="G5" s="161" t="s">
        <v>50</v>
      </c>
    </row>
    <row r="6" spans="1:7">
      <c r="B6" s="440"/>
      <c r="C6" s="27" t="s">
        <v>2667</v>
      </c>
      <c r="D6" s="161"/>
      <c r="E6" s="161"/>
      <c r="F6" s="161"/>
      <c r="G6" s="161"/>
    </row>
    <row r="7" spans="1:7">
      <c r="B7" s="217">
        <f>ROW() -6</f>
        <v>1</v>
      </c>
      <c r="C7" s="232"/>
      <c r="D7" s="232"/>
      <c r="E7" s="232"/>
      <c r="F7" s="232"/>
      <c r="G7" s="232"/>
    </row>
    <row r="8" spans="1:7">
      <c r="B8" s="217">
        <f t="shared" ref="B8:B11" si="0">ROW() -6</f>
        <v>2</v>
      </c>
      <c r="C8" s="232"/>
      <c r="D8" s="232"/>
      <c r="E8" s="232"/>
      <c r="F8" s="232"/>
      <c r="G8" s="232"/>
    </row>
    <row r="9" spans="1:7">
      <c r="B9" s="217">
        <f t="shared" si="0"/>
        <v>3</v>
      </c>
      <c r="C9" s="232"/>
      <c r="D9" s="232"/>
      <c r="E9" s="232"/>
      <c r="F9" s="232"/>
      <c r="G9" s="232"/>
    </row>
    <row r="10" spans="1:7">
      <c r="B10" s="217">
        <f t="shared" si="0"/>
        <v>4</v>
      </c>
      <c r="C10" s="232"/>
      <c r="D10" s="232"/>
      <c r="E10" s="232"/>
      <c r="F10" s="232"/>
      <c r="G10" s="232"/>
    </row>
    <row r="11" spans="1:7">
      <c r="B11" s="217">
        <f t="shared" si="0"/>
        <v>5</v>
      </c>
      <c r="C11" s="306"/>
      <c r="D11" s="306"/>
      <c r="E11" s="306"/>
      <c r="F11" s="306"/>
      <c r="G11" s="306"/>
    </row>
  </sheetData>
  <sheetProtection insertRows="0" deleteRows="0" sort="0" autoFilter="0"/>
  <mergeCells count="1">
    <mergeCell ref="B4:B6"/>
  </mergeCells>
  <phoneticPr fontId="14"/>
  <hyperlinks>
    <hyperlink ref="A3" location="パラメータ設定一覧!A1" display="パラメータ設定一覧へ" xr:uid="{0883E065-CC0E-480E-9125-7159DEADD203}"/>
  </hyperlinks>
  <pageMargins left="0.7" right="0.7" top="0.75" bottom="0.75" header="0.3" footer="0.3"/>
  <pageSetup paperSize="9" orientation="portrait" verticalDpi="0"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11204-AEF5-43CC-80B6-3978E4DB5856}">
  <sheetPr codeName="Sheet70"/>
  <dimension ref="A1:I11"/>
  <sheetViews>
    <sheetView showGridLines="0" zoomScaleNormal="100" workbookViewId="0">
      <pane xSplit="3" ySplit="6" topLeftCell="D7" activePane="bottomRight" state="frozen"/>
      <selection activeCell="A4" sqref="A4"/>
      <selection pane="topRight" activeCell="A4" sqref="A4"/>
      <selection pane="bottomLeft" activeCell="A4" sqref="A4"/>
      <selection pane="bottomRight" activeCell="D7" sqref="D7"/>
    </sheetView>
  </sheetViews>
  <sheetFormatPr defaultColWidth="8.78515625" defaultRowHeight="13.5"/>
  <cols>
    <col min="1" max="1" width="2.78515625" style="46" customWidth="1"/>
    <col min="2" max="2" width="3.5703125" style="46" bestFit="1" customWidth="1"/>
    <col min="3" max="3" width="26.2109375" style="46" bestFit="1" customWidth="1"/>
    <col min="4" max="9" width="26.2109375" style="46" customWidth="1"/>
    <col min="10" max="16384" width="8.78515625" style="46"/>
  </cols>
  <sheetData>
    <row r="1" spans="1:9" customFormat="1" ht="19.5">
      <c r="A1" s="159" t="s">
        <v>2718</v>
      </c>
    </row>
    <row r="2" spans="1:9" customFormat="1" ht="15">
      <c r="A2" s="196" t="s">
        <v>2668</v>
      </c>
    </row>
    <row r="3" spans="1:9" customFormat="1" ht="15">
      <c r="A3" s="10" t="s">
        <v>363</v>
      </c>
    </row>
    <row r="4" spans="1:9">
      <c r="B4" s="440" t="s">
        <v>1</v>
      </c>
      <c r="C4" s="189" t="s">
        <v>1474</v>
      </c>
      <c r="D4" s="189" t="s">
        <v>45</v>
      </c>
      <c r="E4" s="189" t="s">
        <v>1421</v>
      </c>
      <c r="F4" s="189" t="s">
        <v>1446</v>
      </c>
      <c r="G4" s="189" t="s">
        <v>1445</v>
      </c>
      <c r="H4" s="189" t="s">
        <v>389</v>
      </c>
      <c r="I4" s="189" t="s">
        <v>1486</v>
      </c>
    </row>
    <row r="5" spans="1:9">
      <c r="B5" s="440"/>
      <c r="C5" s="7" t="s">
        <v>1554</v>
      </c>
      <c r="D5" s="160" t="s">
        <v>20</v>
      </c>
      <c r="E5" s="160" t="s">
        <v>277</v>
      </c>
      <c r="F5" s="160" t="s">
        <v>1479</v>
      </c>
      <c r="G5" s="160" t="s">
        <v>1478</v>
      </c>
      <c r="H5" s="160" t="s">
        <v>693</v>
      </c>
      <c r="I5" s="160" t="s">
        <v>1478</v>
      </c>
    </row>
    <row r="6" spans="1:9">
      <c r="B6" s="440"/>
      <c r="C6" s="7" t="s">
        <v>2667</v>
      </c>
      <c r="D6" s="160"/>
      <c r="E6" s="160"/>
      <c r="F6" s="160"/>
      <c r="G6" s="160"/>
      <c r="H6" s="160"/>
      <c r="I6" s="160"/>
    </row>
    <row r="7" spans="1:9">
      <c r="B7" s="217">
        <f>ROW() -6</f>
        <v>1</v>
      </c>
      <c r="C7" s="232"/>
      <c r="D7" s="232"/>
      <c r="E7" s="232"/>
      <c r="F7" s="232"/>
      <c r="G7" s="232"/>
      <c r="H7" s="232"/>
      <c r="I7" s="232"/>
    </row>
    <row r="8" spans="1:9">
      <c r="B8" s="217">
        <f t="shared" ref="B8:B11" si="0">ROW() -6</f>
        <v>2</v>
      </c>
      <c r="C8" s="232"/>
      <c r="D8" s="232"/>
      <c r="E8" s="232"/>
      <c r="F8" s="232"/>
      <c r="G8" s="232"/>
      <c r="H8" s="232"/>
      <c r="I8" s="232"/>
    </row>
    <row r="9" spans="1:9">
      <c r="B9" s="217">
        <f t="shared" si="0"/>
        <v>3</v>
      </c>
      <c r="C9" s="232"/>
      <c r="D9" s="232"/>
      <c r="E9" s="232"/>
      <c r="F9" s="232"/>
      <c r="G9" s="232"/>
      <c r="H9" s="232"/>
      <c r="I9" s="232"/>
    </row>
    <row r="10" spans="1:9">
      <c r="B10" s="217">
        <f t="shared" si="0"/>
        <v>4</v>
      </c>
      <c r="C10" s="232"/>
      <c r="D10" s="232"/>
      <c r="E10" s="232"/>
      <c r="F10" s="232"/>
      <c r="G10" s="232"/>
      <c r="H10" s="232"/>
      <c r="I10" s="232"/>
    </row>
    <row r="11" spans="1:9">
      <c r="B11" s="217">
        <f t="shared" si="0"/>
        <v>5</v>
      </c>
      <c r="C11" s="306"/>
      <c r="D11" s="306"/>
      <c r="E11" s="306"/>
      <c r="F11" s="306"/>
      <c r="G11" s="306"/>
      <c r="H11" s="306"/>
      <c r="I11" s="306"/>
    </row>
  </sheetData>
  <sheetProtection insertRows="0" deleteRows="0" sort="0" autoFilter="0"/>
  <mergeCells count="1">
    <mergeCell ref="B4:B6"/>
  </mergeCells>
  <phoneticPr fontId="14"/>
  <hyperlinks>
    <hyperlink ref="A3" location="パラメータ設定一覧!A1" display="パラメータ設定一覧へ" xr:uid="{CD8C95A7-E234-4E0A-AEBC-5CE34BD02B68}"/>
  </hyperlink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91605AE-180C-4357-9531-2DC69F7FC83D}">
  <ds:schemaRefs>
    <ds:schemaRef ds:uri="http://purl.org/dc/dcmitype/"/>
    <ds:schemaRef ds:uri="http://schemas.microsoft.com/office/2006/documentManagement/types"/>
    <ds:schemaRef ds:uri="5fbf3304-bdaf-4998-904a-984dee753639"/>
    <ds:schemaRef ds:uri="http://purl.org/dc/terms/"/>
    <ds:schemaRef ds:uri="eb7a9491-52cd-4feb-a89e-4a9cb9004cdf"/>
    <ds:schemaRef ds:uri="http://purl.org/dc/elements/1.1/"/>
    <ds:schemaRef ds:uri="http://schemas.openxmlformats.org/package/2006/metadata/core-properties"/>
    <ds:schemaRef ds:uri="http://schemas.microsoft.com/office/infopath/2007/PartnerControl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54034083-F066-41A2-BE41-B50E07DB22C0}"/>
</file>

<file path=customXml/itemProps3.xml><?xml version="1.0" encoding="utf-8"?>
<ds:datastoreItem xmlns:ds="http://schemas.openxmlformats.org/officeDocument/2006/customXml" ds:itemID="{C2DE05E9-9F9C-482E-8A2F-60E8FCD1154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92</vt:i4>
      </vt:variant>
    </vt:vector>
  </HeadingPairs>
  <TitlesOfParts>
    <vt:vector size="92" baseType="lpstr">
      <vt:lpstr>表紙</vt:lpstr>
      <vt:lpstr>パラメータ設定一覧</vt:lpstr>
      <vt:lpstr>作業単位</vt:lpstr>
      <vt:lpstr>作業単位-設定値</vt:lpstr>
      <vt:lpstr>住所の設定</vt:lpstr>
      <vt:lpstr>住所の形式-設定値</vt:lpstr>
      <vt:lpstr>都道府県-設定値</vt:lpstr>
      <vt:lpstr>市区郡-設定値</vt:lpstr>
      <vt:lpstr>市町村-設定値</vt:lpstr>
      <vt:lpstr>地区-設定値</vt:lpstr>
      <vt:lpstr>住所-設定値</vt:lpstr>
      <vt:lpstr>家のグループ-設定値</vt:lpstr>
      <vt:lpstr>土地区画-設定値</vt:lpstr>
      <vt:lpstr>アパートのグループ-設定値</vt:lpstr>
      <vt:lpstr>郵便番号-設定値</vt:lpstr>
      <vt:lpstr>単位</vt:lpstr>
      <vt:lpstr>単位-設定値</vt:lpstr>
      <vt:lpstr>単位換算</vt:lpstr>
      <vt:lpstr>標準換算-設定値</vt:lpstr>
      <vt:lpstr>クラス内換算-設定値</vt:lpstr>
      <vt:lpstr>クラス間換算-設定値</vt:lpstr>
      <vt:lpstr>ユーザーをロールに割り当てる</vt:lpstr>
      <vt:lpstr>ロールへのユーザーの動的割り当てのルール-設定値</vt:lpstr>
      <vt:lpstr>ユーザーIDへの作業者の割当</vt:lpstr>
      <vt:lpstr>ユーザーIDへの作業者の割当-設定値</vt:lpstr>
      <vt:lpstr>ユーザーグループ</vt:lpstr>
      <vt:lpstr>ユーザーグループ-設定値</vt:lpstr>
      <vt:lpstr>通貨の為替レート</vt:lpstr>
      <vt:lpstr>通貨の為替レート-設定値</vt:lpstr>
      <vt:lpstr>顧客の価格割引グループ</vt:lpstr>
      <vt:lpstr>顧客の価格割引グループ-設定値</vt:lpstr>
      <vt:lpstr>売買契約仕訳帳名（販売）</vt:lpstr>
      <vt:lpstr>売買契約仕訳帳名-設定値（販売）</vt:lpstr>
      <vt:lpstr>売買契約仕訳帳（販売）</vt:lpstr>
      <vt:lpstr>売買契約仕訳帳-設定値（販売）</vt:lpstr>
      <vt:lpstr>荷渡方法</vt:lpstr>
      <vt:lpstr>荷渡方法-設定値</vt:lpstr>
      <vt:lpstr>顧客</vt:lpstr>
      <vt:lpstr>顧客-顧客の作成</vt:lpstr>
      <vt:lpstr>顧客-設定値</vt:lpstr>
      <vt:lpstr>与信管理グループ</vt:lpstr>
      <vt:lpstr>与信管理グループ-設定値</vt:lpstr>
      <vt:lpstr>仕入先の価格割引グループ</vt:lpstr>
      <vt:lpstr>仕入先の価格割引グループ-設定値</vt:lpstr>
      <vt:lpstr>売買契約仕訳帳名 (調達)</vt:lpstr>
      <vt:lpstr>売買契約仕訳帳名-設定値 (調達)</vt:lpstr>
      <vt:lpstr>売買契約仕訳帳（調達）</vt:lpstr>
      <vt:lpstr>売買契約仕訳帳-設定値（調達）</vt:lpstr>
      <vt:lpstr>仕入先</vt:lpstr>
      <vt:lpstr>仕入先-設定値</vt:lpstr>
      <vt:lpstr>サイト</vt:lpstr>
      <vt:lpstr>サイト-設定値</vt:lpstr>
      <vt:lpstr>倉庫</vt:lpstr>
      <vt:lpstr>倉庫-設定値</vt:lpstr>
      <vt:lpstr>通路</vt:lpstr>
      <vt:lpstr>通路-設定値</vt:lpstr>
      <vt:lpstr>在庫場所</vt:lpstr>
      <vt:lpstr>在庫場所-設定値</vt:lpstr>
      <vt:lpstr>配送日数</vt:lpstr>
      <vt:lpstr>配送日数-設定値</vt:lpstr>
      <vt:lpstr>出荷の配送業者</vt:lpstr>
      <vt:lpstr>出荷の配送業者-設定値</vt:lpstr>
      <vt:lpstr>製品</vt:lpstr>
      <vt:lpstr>製品-設定値</vt:lpstr>
      <vt:lpstr>リリースされた製品</vt:lpstr>
      <vt:lpstr>リリースされた製品-設定値</vt:lpstr>
      <vt:lpstr>カテゴリ階層 </vt:lpstr>
      <vt:lpstr>カテゴリ階層 -設定値</vt:lpstr>
      <vt:lpstr>カテゴリノード -設定値</vt:lpstr>
      <vt:lpstr>カテゴリノード詳細 -設定値</vt:lpstr>
      <vt:lpstr>カテゴリ階層ロールのアソシエーション </vt:lpstr>
      <vt:lpstr>カテゴリ階層ロールのアソシエーション  -設定値</vt:lpstr>
      <vt:lpstr>既定で繰延される品目</vt:lpstr>
      <vt:lpstr>既定で繰延される品目 - 設定値</vt:lpstr>
      <vt:lpstr>従業員</vt:lpstr>
      <vt:lpstr>従業員-設定値</vt:lpstr>
      <vt:lpstr>部門</vt:lpstr>
      <vt:lpstr>職務</vt:lpstr>
      <vt:lpstr>職務-設定値</vt:lpstr>
      <vt:lpstr>職位</vt:lpstr>
      <vt:lpstr>職位-設定値</vt:lpstr>
      <vt:lpstr>リソースグループ</vt:lpstr>
      <vt:lpstr>リソースグループ-設定値</vt:lpstr>
      <vt:lpstr>リソースグループ-カレンダー-設定値</vt:lpstr>
      <vt:lpstr>リソースグループ-リソース-設定値</vt:lpstr>
      <vt:lpstr>リソースグループ-カレンダー誤差-設定値</vt:lpstr>
      <vt:lpstr>リソースグループ-作業セルの能力-設定値</vt:lpstr>
      <vt:lpstr>リソース</vt:lpstr>
      <vt:lpstr>リソース-設定値</vt:lpstr>
      <vt:lpstr>リソース-カレンダー-設定値</vt:lpstr>
      <vt:lpstr>リソース-処理能力-設定値</vt:lpstr>
      <vt:lpstr>リソース-リソースグループ-設定値</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Kobayashi, Rio</dc:creator>
  <cp:keywords/>
  <dc:description/>
  <cp:lastModifiedBy>Ishioka, Takumi</cp:lastModifiedBy>
  <cp:revision/>
  <dcterms:created xsi:type="dcterms:W3CDTF">2019-08-21T01:28:53Z</dcterms:created>
  <dcterms:modified xsi:type="dcterms:W3CDTF">2024-09-13T11:00:59Z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afa3468a-951d-4d5b-ba9a-1bd8da34ad84</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