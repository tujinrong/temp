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4"/>
  <workbookPr/>
  <mc:AlternateContent xmlns:mc="http://schemas.openxmlformats.org/markup-compatibility/2006">
    <mc:Choice Requires="x15">
      <x15ac:absPath xmlns:x15ac="http://schemas.microsoft.com/office/spreadsheetml/2010/11/ac" url="https://jbsbpos1.sharepoint.com/sites/msteams_358ee9/Shared Documents/General/01_LIBRA/04_要件定義/09_移行・非機能要件/非機能要件/"/>
    </mc:Choice>
  </mc:AlternateContent>
  <xr:revisionPtr revIDLastSave="436" documentId="13_ncr:1_{BBADB5AC-EE6C-4BD7-BBF2-29E8C92D0232}" xr6:coauthVersionLast="47" xr6:coauthVersionMax="47" xr10:uidLastSave="{ECBCF46D-4435-40AE-9025-9B472284BEDD}"/>
  <bookViews>
    <workbookView xWindow="28680" yWindow="-120" windowWidth="29040" windowHeight="16440" tabRatio="841" xr2:uid="{1B2EF8B0-33B7-483C-BAA5-327DC2C56A29}"/>
  </bookViews>
  <sheets>
    <sheet name="表紙" sheetId="4" r:id="rId1"/>
    <sheet name="変更履歴" sheetId="15" r:id="rId2"/>
    <sheet name="テナント・インスタンス容量の考え方" sheetId="6" r:id="rId3"/>
    <sheet name="現在の容量試算" sheetId="13" r:id="rId4"/>
    <sheet name="容量追加方法" sheetId="14" r:id="rId5"/>
    <sheet name="データバックアップ" sheetId="11" r:id="rId6"/>
    <sheet name="データ長期保存" sheetId="12"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A1">[1]承認票!$J$2</definedName>
    <definedName name="__f05">#REF!</definedName>
    <definedName name="_1印">[2]社員リスト!#REF!</definedName>
    <definedName name="_A1">[1]承認票!$J$2</definedName>
    <definedName name="_DAT1">[3]基本数量単位!#REF!</definedName>
    <definedName name="_DAT2">[3]基本数量単位!#REF!</definedName>
    <definedName name="_DAT4">[3]基本数量単位!#REF!</definedName>
    <definedName name="_DAT5">[3]基本数量単位!#REF!</definedName>
    <definedName name="_f05">#REF!</definedName>
    <definedName name="_Fill" localSheetId="1" hidden="1">#REF!</definedName>
    <definedName name="_Fill" hidden="1">#REF!</definedName>
    <definedName name="_xlnm._FilterDatabase" localSheetId="6" hidden="1">データ長期保存!$BK$2:$BK$44</definedName>
    <definedName name="_Order1" hidden="1">255</definedName>
    <definedName name="_Order2" hidden="1">255</definedName>
    <definedName name="_Regression_X" hidden="1">#REF!</definedName>
    <definedName name="A">#REF!</definedName>
    <definedName name="aaa">#REF!</definedName>
    <definedName name="aaaaaaaaaaaaaaaaaaaaa">'[4]#REF'!$B$33:$CM$33</definedName>
    <definedName name="aaaaaaaaaaaaaaaaaaaaaaa">'[4]#REF'!$B$34:$CM$34</definedName>
    <definedName name="aaaaaaaaaaaaaaaaaaaaaaaaaaaaaaaa">'[4]#REF'!$B$28:$CM$28</definedName>
    <definedName name="Accounts_for_automatic_transac">#REF!</definedName>
    <definedName name="Address_books">#REF!</definedName>
    <definedName name="adf" hidden="1">#REF!</definedName>
    <definedName name="AS2DocOpenMode" hidden="1">"AS2DocumentEdit"</definedName>
    <definedName name="AX" hidden="1">#REF!</definedName>
    <definedName name="AZ" hidden="1">#REF!</definedName>
    <definedName name="B">#REF!</definedName>
    <definedName name="Balance_control_accounts">#REF!</definedName>
    <definedName name="BASE">#REF!</definedName>
    <definedName name="BASE2">#REF!</definedName>
    <definedName name="BaselineName">'[4]#REF'!$A$31</definedName>
    <definedName name="bbb" hidden="1">#REF!</definedName>
    <definedName name="BPR_POINT">#REF!</definedName>
    <definedName name="Calendar">#REF!</definedName>
    <definedName name="CName">'[4]#REF'!$A$63</definedName>
    <definedName name="Consolidation_groups_and_accou">#REF!</definedName>
    <definedName name="Counties">#REF!</definedName>
    <definedName name="Default_descriptions">#REF!</definedName>
    <definedName name="Dimension_parameters">#REF!</definedName>
    <definedName name="Districts_V2">#REF!</definedName>
    <definedName name="DS_KEYS">#REF!</definedName>
    <definedName name="DS_NM">#REF!</definedName>
    <definedName name="E">#REF!</definedName>
    <definedName name="EUPName">'[4]#REF'!$A$124</definedName>
    <definedName name="f">#REF!</definedName>
    <definedName name="f_01">'[4]#REF'!$B$9:$CM$9</definedName>
    <definedName name="f_02">'[4]#REF'!$B$10:$CM$10</definedName>
    <definedName name="f_03">'[4]#REF'!$B$11:$CM$11</definedName>
    <definedName name="f_04">'[4]#REF'!$B$12:$CM$12</definedName>
    <definedName name="f_05">'[4]#REF'!$B$13:$CM$13</definedName>
    <definedName name="f_06">'[4]#REF'!$B$14:$CM$14</definedName>
    <definedName name="f_07">'[4]#REF'!$B$15:$CM$15</definedName>
    <definedName name="f_08">'[4]#REF'!$B$16:$CM$16</definedName>
    <definedName name="f_09">'[4]#REF'!$B$17:$CM$17</definedName>
    <definedName name="f_10">'[4]#REF'!$B$18:$CM$18</definedName>
    <definedName name="f_11">'[4]#REF'!$B$19:$CM$19</definedName>
    <definedName name="f_12">'[4]#REF'!$B$20:$CM$20</definedName>
    <definedName name="f_13">'[4]#REF'!$B$21:$CM$21</definedName>
    <definedName name="f_14">'[4]#REF'!$B$22:$CM$22</definedName>
    <definedName name="f_15">'[4]#REF'!$B$23:$CM$23</definedName>
    <definedName name="f_16">'[4]#REF'!$B$24:$CM$24</definedName>
    <definedName name="f_17">'[4]#REF'!$B$25:$CM$25</definedName>
    <definedName name="f_18">'[4]#REF'!$B$26:$CM$26</definedName>
    <definedName name="f_19">'[4]#REF'!$B$27:$CM$27</definedName>
    <definedName name="f_20">'[4]#REF'!$B$28:$CM$28</definedName>
    <definedName name="f_21">'[4]#REF'!$B$29:$CM$29</definedName>
    <definedName name="f_22">'[4]#REF'!$B$30:$CM$30</definedName>
    <definedName name="f_23">'[4]#REF'!$B$31:$CM$31</definedName>
    <definedName name="f_24">'[4]#REF'!$B$32:$CM$32</definedName>
    <definedName name="f_25">'[4]#REF'!$B$33:$CM$33</definedName>
    <definedName name="f_26">'[4]#REF'!$B$34:$CM$34</definedName>
    <definedName name="f_27">'[4]#REF'!$B$35:$CM$35</definedName>
    <definedName name="f_28">'[4]#REF'!$B$36:$CM$36</definedName>
    <definedName name="f_29">'[4]#REF'!$B$37:$CM$37</definedName>
    <definedName name="f_30">'[4]#REF'!$B$38:$CM$38</definedName>
    <definedName name="f_31">'[4]#REF'!$B$39:$CM$39</definedName>
    <definedName name="f_32">'[4]#REF'!$B$40:$CM$40</definedName>
    <definedName name="f_33">'[4]#REF'!$B$41:$CM$41</definedName>
    <definedName name="f_34">'[4]#REF'!$B$42:$CM$42</definedName>
    <definedName name="f_35">'[4]#REF'!$B$43:$CM$43</definedName>
    <definedName name="f_36">'[4]#REF'!$B$44:$CM$44</definedName>
    <definedName name="f_37">'[4]#REF'!$B$45:$CM$45</definedName>
    <definedName name="f_38">'[4]#REF'!$B$46:$CM$46</definedName>
    <definedName name="f_39">'[4]#REF'!$B$47:$CM$47</definedName>
    <definedName name="f_40">'[4]#REF'!$B$48:$CM$48</definedName>
    <definedName name="f_bucode">'[4]#REF'!$K$5:$R$5</definedName>
    <definedName name="f_buname">'[4]#REF'!$T$5:$BG$5</definedName>
    <definedName name="f_date">'[4]#REF'!#REF!</definedName>
    <definedName name="f_formid">'[4]#REF'!$M$4:$X$4</definedName>
    <definedName name="f_formname">'[4]#REF'!$AX$4:$CM$4</definedName>
    <definedName name="f_page">'[4]#REF'!#REF!</definedName>
    <definedName name="Financial_dimension_sets">#REF!</definedName>
    <definedName name="Financial_dimension_value_lega">#REF!</definedName>
    <definedName name="Financial_dimension_value_tran">#REF!</definedName>
    <definedName name="Financial_dimension_values">[5]財務分析コード!#REF!</definedName>
    <definedName name="Financial_reasons">#REF!</definedName>
    <definedName name="g">#REF!</definedName>
    <definedName name="Global_address_book_V2">#REF!</definedName>
    <definedName name="ＧＷメッセージ一覧" hidden="1">#REF!</definedName>
    <definedName name="h">[6]処理機能記述!#REF!</definedName>
    <definedName name="HTML_CodePage" hidden="1">932</definedName>
    <definedName name="HTML_Control" localSheetId="1"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1"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I">#REF!</definedName>
    <definedName name="IName">'[4]#REF'!$A$94</definedName>
    <definedName name="io">[7]マスタ!$A$3:$A$5</definedName>
    <definedName name="Job1Name">'[4]#REF'!$A$146</definedName>
    <definedName name="Job2Name">'[4]#REF'!$A$161</definedName>
    <definedName name="Journal_descriptions">#REF!</definedName>
    <definedName name="ｋ" hidden="1">#REF!</definedName>
    <definedName name="KEYS">#REF!</definedName>
    <definedName name="L">#REF!</definedName>
    <definedName name="Ledger_account_alias">#REF!</definedName>
    <definedName name="Ledger_allocation_basis">#REF!</definedName>
    <definedName name="Ledger_allocation_basis_source">#REF!</definedName>
    <definedName name="Ledger_allocation_rule">#REF!</definedName>
    <definedName name="Ledger_allocation_rule_destina">#REF!</definedName>
    <definedName name="Ledger_allocation_rule_source">#REF!</definedName>
    <definedName name="Legal_entities">#REF!</definedName>
    <definedName name="Main_account">#REF!</definedName>
    <definedName name="Main_account_legal_entity_over">#REF!</definedName>
    <definedName name="Man_No">"エディット 16"</definedName>
    <definedName name="MasterListName">'[4]#REF'!$A$2</definedName>
    <definedName name="NAMES">#REF!</definedName>
    <definedName name="NEC_KEYS">#REF!</definedName>
    <definedName name="Operating_unit">#REF!</definedName>
    <definedName name="Organization_email_template">#REF!</definedName>
    <definedName name="Organization_email_template_me">#REF!</definedName>
    <definedName name="Organization_hierarchy_purpose">#REF!</definedName>
    <definedName name="Organization_hierarchy_type">#REF!</definedName>
    <definedName name="Organization_hierarchy_V2___pu">#REF!</definedName>
    <definedName name="ｐ" hidden="1">#REF!</definedName>
    <definedName name="Party_contacts">#REF!</definedName>
    <definedName name="Party_postal_address_V2">#REF!</definedName>
    <definedName name="Party_relationships">#REF!</definedName>
    <definedName name="Password">"エディット 19"</definedName>
    <definedName name="RANK1">#REF!</definedName>
    <definedName name="RANK2">#REF!</definedName>
    <definedName name="RANK3">#REF!</definedName>
    <definedName name="RANK4">#REF!</definedName>
    <definedName name="_xlnm.Recorder">'[4]#REF'!$A$1:$A$65536</definedName>
    <definedName name="Relationship_types">#REF!</definedName>
    <definedName name="s" hidden="1">{"'Sheet1'!$B$5:$H$34"}</definedName>
    <definedName name="SAPToolbarName">'[4]#REF'!$A$211</definedName>
    <definedName name="Security_user_role_association">#REF!</definedName>
    <definedName name="sheetprint">[8]!sheetprint</definedName>
    <definedName name="ｓｓｓｓ">[9]承認票!$J$2</definedName>
    <definedName name="STNMTBL">#REF!</definedName>
    <definedName name="ＳＴＳ">[4]ﾘｽﾄ!$A$1:$A$3</definedName>
    <definedName name="SYMBOL">#REF!</definedName>
    <definedName name="t" hidden="1">{"'Sheet1'!$B$5:$H$34"}</definedName>
    <definedName name="tbl">'[4]#REF'!$A$2:$A$38</definedName>
    <definedName name="TBL_KEYS">#REF!</definedName>
    <definedName name="TBL_KEYS2">#REF!</definedName>
    <definedName name="Team_types">#REF!</definedName>
    <definedName name="Teams_V2">#REF!</definedName>
    <definedName name="test">'[4]#REF'!$B$10:$CM$10</definedName>
    <definedName name="test1">'[4]#REF'!$B$7</definedName>
    <definedName name="test2">'[4]#REF'!$B$11:$CM$11</definedName>
    <definedName name="User_groups">#REF!</definedName>
    <definedName name="User_information">#REF!</definedName>
    <definedName name="User_to_person_relationship">#REF!</definedName>
    <definedName name="VV" hidden="1">#REF!</definedName>
    <definedName name="ｗ" hidden="1">{"'Sheet1'!$B$5:$H$34"}</definedName>
    <definedName name="work" hidden="1">#REF!</definedName>
    <definedName name="Workflow_organization_paramete">#REF!</definedName>
    <definedName name="Working_times">#REF!</definedName>
    <definedName name="ＷＷＷ">[10]承認票!$J$2</definedName>
    <definedName name="xxxx">'[4]#REF'!$B$20:$CM$20</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'[4]#REF'!$B$11:$CM$11</definedName>
    <definedName name="あ４２０">[4]処理機能記述!#REF!</definedName>
    <definedName name="あ４５０">[4]処理機能記述!#REF!</definedName>
    <definedName name="あ５００">#REF!</definedName>
    <definedName name="あああ" localSheetId="1" hidden="1">#REF!</definedName>
    <definedName name="あああ" hidden="1">#REF!</definedName>
    <definedName name="ああああああ">[2]社員リスト!#REF!</definedName>
    <definedName name="アカウントコード">[11]マスタ!$AD$5:$AD$7</definedName>
    <definedName name="い">#REF!</definedName>
    <definedName name="いいい">'[4]#REF'!$B$9:$CM$9</definedName>
    <definedName name="う" hidden="1">#REF!</definedName>
    <definedName name="ええ" hidden="1">{"'Sheet1'!$B$5:$H$34"}</definedName>
    <definedName name="えええ" localSheetId="1" hidden="1">{"'9.項目'!$B$5:$AW$60"}</definedName>
    <definedName name="えええ" hidden="1">{"'9.項目'!$B$5:$AW$60"}</definedName>
    <definedName name="お" hidden="1">{"'Sheet1'!$B$5:$H$34"}</definedName>
    <definedName name="オブジェクト一覧">[7]マスタ!$H$3:$H$20</definedName>
    <definedName name="カテゴリ階層タイプ">[12]マスタ!$AT$213:$AT$223</definedName>
    <definedName name="カレンダータイプ">[11]マスタ!$I$27:$I$29</definedName>
    <definedName name="クラス属性">[13]マスタ!$I$3:$I$6</definedName>
    <definedName name="グループ">#REF!</definedName>
    <definedName name="サンプル" hidden="1">#REF!</definedName>
    <definedName name="シリアル番号のキャプチャ">[11]マスタ!$AC$27:$AC$29</definedName>
    <definedName name="スコープ">[11]マスタ!$H$99:$H$105</definedName>
    <definedName name="ステータス">#REF!</definedName>
    <definedName name="タスクドキュメント１" hidden="1">#REF!</definedName>
    <definedName name="ダッシュボードの会社の画像タイプ">[11]マスタ!$G$6:$G$9</definedName>
    <definedName name="チーム名">#REF!</definedName>
    <definedName name="チェックボックス">[14]マスタ!$B$10:$B$11</definedName>
    <definedName name="データクラス">[15]リストBOX定義!$B$21:$B$23</definedName>
    <definedName name="テーブル種別">[7]マスタ!$G$3:$G$4</definedName>
    <definedName name="はいいいえ">[11]マスタ!$B$5:$B$6</definedName>
    <definedName name="パターン">[16]!パターン</definedName>
    <definedName name="フェーズ">#REF!</definedName>
    <definedName name="フォント">[16]!フォント</definedName>
    <definedName name="リピートボタン_Click">[8]!リピートボタン_Click</definedName>
    <definedName name="レポートタイプ">[17]マスタ!$K$6:$K$8</definedName>
    <definedName name="レポートのレイアウト">[11]マスタ!$B$189:$B$201</definedName>
    <definedName name="ロール名">#REF!</definedName>
    <definedName name="丸めのフォーム">[11]マスタ!$B$204:$B$207</definedName>
    <definedName name="丸め方法">[11]マスタ!$Y$5:$Y$7</definedName>
    <definedName name="主勘定タイプ">[11]マスタ!$J$6:$J$15</definedName>
    <definedName name="主勘定タイプ2">[17]マスタ!$AB$5:$AB$11</definedName>
    <definedName name="仕様書" hidden="1">#REF!</definedName>
    <definedName name="仕訳帳タイプ">[11]マスタ!$B$27:$B$72</definedName>
    <definedName name="作成日">DATE(2000,3,21)</definedName>
    <definedName name="倉庫タイプ">[11]マスタ!$AX$27:$AX$29</definedName>
    <definedName name="倉庫目的">[11]マスタ!$AZ$27:$AZ$44</definedName>
    <definedName name="借方貸方">[17]マスタ!$L$6:$L$7</definedName>
    <definedName name="再表示_列">[16]!再表示_列</definedName>
    <definedName name="再表示_行">[16]!再表示_行</definedName>
    <definedName name="出力先">[11]マスタ!$H$6:$H$7</definedName>
    <definedName name="分析コード形式タイプ">[17]マスタ!$BA$5:$BA$8</definedName>
    <definedName name="分析コード形式タイプ2">[22]マスタ!$BA$5:$BA$8</definedName>
    <definedName name="制御情報更新">[8]!制御情報更新</definedName>
    <definedName name="勘定タイプ">[11]マスタ!$E$27:$E$32</definedName>
    <definedName name="勘定科目">#REF!</definedName>
    <definedName name="単位">[11]マスタ!$W$5:$W$7</definedName>
    <definedName name="印刷">[11]マスタ!$G$189:$G$190</definedName>
    <definedName name="印刷1">#REF!</definedName>
    <definedName name="印刷2">[11]マスタ!$P$189:$P$191</definedName>
    <definedName name="印刷タイトル">#REF!</definedName>
    <definedName name="印刷用">[18]レポートレイアウト!#REF!</definedName>
    <definedName name="印刷領域">#REF!</definedName>
    <definedName name="原材料ピッキング後の払出ステータス">[11]マスタ!$AY$27:$AY$28</definedName>
    <definedName name="品目コード">[11]マスタ!$AM$5:$AM$8</definedName>
    <definedName name="品目消費税レポートタイプ">[11]マスタ!$S$189:$S$192</definedName>
    <definedName name="品目販売引当">[11]マスタ!$AM$27:$AM$30</definedName>
    <definedName name="品目関係">[11]マスタ!$K$78:$K$80</definedName>
    <definedName name="品質管理用のレポート">#REF!</definedName>
    <definedName name="品質管理用レポートの制限">#REF!</definedName>
    <definedName name="商品一覧">[20]商品一覧!$A$1:$C$10</definedName>
    <definedName name="国・地域のタイプ">[11]マスタ!$G$196:$G$199</definedName>
    <definedName name="在庫モデル">[11]マスタ!$AL$27:$AL$33</definedName>
    <definedName name="基準金額">[11]マスタ!$J$189:$J$194</definedName>
    <definedName name="場所">[17]マスタ!$S$5</definedName>
    <definedName name="変更">IF([4]勤務体系!#REF!="日勤（Ａ）",52,45)</definedName>
    <definedName name="変更分">IF([4]勤務体系!#REF!="日勤（Ａ）",52,45)</definedName>
    <definedName name="外部サブルーチン作成日">"1999/6/17"</definedName>
    <definedName name="安藤" hidden="1">#REF!</definedName>
    <definedName name="定期的なアイテムのパターン">[19]マスタ!$D$393:$D$399</definedName>
    <definedName name="導入時期う" hidden="1">#REF!</definedName>
    <definedName name="幅">[16]!幅</definedName>
    <definedName name="店舗DF_KEYS">#REF!</definedName>
    <definedName name="廃棄コード・アクション">#REF!</definedName>
    <definedName name="引当とマーキングの削除">[11]マスタ!$BA$27:$BA$29</definedName>
    <definedName name="性別">#REF!</definedName>
    <definedName name="性別1">[11]マスタ!$Z$5:$Z$6</definedName>
    <definedName name="手形のタイプ">[11]マスタ!$AR$223:$AR$227</definedName>
    <definedName name="承認済仕入先チェックメソッド">[11]マスタ!$AN$27:$AN$29</definedName>
    <definedName name="折り返して全体を表示する">[7]マスタ!$E$3:$E$4</definedName>
    <definedName name="支払ステータス">[11]マスタ!$AO$223:$AO$227</definedName>
    <definedName name="支払タイプ">[11]マスタ!$AP$223:$AP$227</definedName>
    <definedName name="支払方法">[11]マスタ!$AF$5:$AF$11</definedName>
    <definedName name="支払方法_勘定タイプ">[11]マスタ!$AQ$223:$AQ$228</definedName>
    <definedName name="新しい伝票">[11]マスタ!$D$27:$D$29</definedName>
    <definedName name="既定の説明">[17]マスタ!$H$237:$H$351</definedName>
    <definedName name="普通休日日数">IF('[4]#REF'!#REF!="日勤（Ａ）",52,45)</definedName>
    <definedName name="曜日">[11]マスタ!$AJ$5:$AJ$11</definedName>
    <definedName name="書式">[7]マスタ!$B$3:$B$5</definedName>
    <definedName name="月②">#REF!</definedName>
    <definedName name="期日の更新">[11]マスタ!$AG$5:$AG$7</definedName>
    <definedName name="期間">[11]マスタ!$AN$223:$AN$226</definedName>
    <definedName name="期間タイプ">[17]マスタ!$B$237:$B$244</definedName>
    <definedName name="束原" hidden="1">#REF!</definedName>
    <definedName name="検証">[11]マスタ!$O$6:$O$9</definedName>
    <definedName name="標準幅">[16]!標準幅</definedName>
    <definedName name="横位置">[7]マスタ!$C$3:$C$6</definedName>
    <definedName name="消費税の検証">[14]マスタ!$K$42:$K$45</definedName>
    <definedName name="消費税丸めルール">[11]マスタ!$N$189:$N$190</definedName>
    <definedName name="消費税提示方法">[14]マスタ!$J$42:$J$44</definedName>
    <definedName name="演算子">[17]マスタ!$R$5:$R$14</definedName>
    <definedName name="為替換算タイプ">[11]マスタ!$U$5:$U$8</definedName>
    <definedName name="物流DF_KEYS">#REF!</definedName>
    <definedName name="画面名表示">[8]!画面名表示</definedName>
    <definedName name="番号">[21]型TB!#REF!</definedName>
    <definedName name="番号順序参照">[11]マスタ!$H$134</definedName>
    <definedName name="発生元">[11]マスタ!$H$189:$H$193</definedName>
    <definedName name="監視カテゴリ">[19]マスタ!$B$393:$B$405</definedName>
    <definedName name="目的">[11]マスタ!$D$6:$D$23</definedName>
    <definedName name="税タイプ">[11]マスタ!$V$210:$V$212</definedName>
    <definedName name="精算表に残高を転送するフィールド">[17]マスタ!$M$6:$M$8</definedName>
    <definedName name="組織タイプ">#REF!</definedName>
    <definedName name="緊急度">#REF!</definedName>
    <definedName name="縦位置">[7]マスタ!$D$3:$D$6</definedName>
    <definedName name="罫線">[16]!罫線</definedName>
    <definedName name="自動">[16]!自動</definedName>
    <definedName name="表示形式">[16]!表示形式</definedName>
    <definedName name="計算方法">[11]マスタ!$L$189:$L$190</definedName>
    <definedName name="課題タイプ">#REF!</definedName>
    <definedName name="調整単位">[17]マスタ!$D$237:$D$240</definedName>
    <definedName name="転記タイプ">[17]マスタ!$F$237:$F$389</definedName>
    <definedName name="週">[19]マスタ!$C$393:$C$398</definedName>
    <definedName name="週月">[11]マスタ!$AI$5:$AI$6</definedName>
    <definedName name="選択">#REF!</definedName>
    <definedName name="選択・販売注文">#REF!</definedName>
    <definedName name="選択可能値">[11]マスタ!$C$37:$C$43</definedName>
    <definedName name="選択範囲">[16]!選択範囲</definedName>
    <definedName name="都道府県">[11]マスタ!$P$210:$P$305</definedName>
    <definedName name="配置">[16]!配置</definedName>
    <definedName name="重要度">#REF!</definedName>
    <definedName name="銀行トランザクションタイプ">[11]マスタ!$Z$99:$Z$101</definedName>
    <definedName name="銀行口座のステータス">[11]マスタ!$AA$99:$AA$101</definedName>
    <definedName name="銀行支店コードタイプ">[11]マスタ!$X$99:$X$106</definedName>
    <definedName name="開始・終了">[17]マスタ!$C$237:$C$238</definedName>
    <definedName name="間隔の単位">[11]マスタ!$E$189:$E$191</definedName>
    <definedName name="関連" hidden="1">#REF!</definedName>
    <definedName name="関連表" hidden="1">#REF!</definedName>
    <definedName name="非表示_列">[16]!非表示_列</definedName>
    <definedName name="非表示_行">[16]!非表示_行</definedName>
    <definedName name="領域">[11]マスタ!$F$99:$F$164:'[11]マスタ'!$F$120</definedName>
    <definedName name="高さ">[16]!高さ</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35" i="13" l="1"/>
  <c r="BT49" i="13"/>
  <c r="AI49" i="13" s="1"/>
  <c r="AO49" i="13" s="1"/>
  <c r="BT48" i="13"/>
  <c r="AI48" i="13" s="1"/>
  <c r="AO48" i="13" s="1"/>
  <c r="BT47" i="13"/>
  <c r="AI47" i="13" s="1"/>
  <c r="AO47" i="13" s="1"/>
  <c r="BT40" i="13"/>
  <c r="BT39" i="13"/>
  <c r="BT38" i="13"/>
  <c r="BT37" i="13"/>
  <c r="BT36" i="13"/>
  <c r="AI45" i="13"/>
  <c r="AO45" i="13" s="1"/>
  <c r="AU45" i="13"/>
  <c r="BA45" i="13" s="1"/>
  <c r="AI46" i="13"/>
  <c r="AO46" i="13" s="1"/>
  <c r="AU46" i="13"/>
  <c r="BA46" i="13" s="1"/>
  <c r="AU47" i="13"/>
  <c r="BA47" i="13" s="1"/>
  <c r="AU48" i="13"/>
  <c r="BA48" i="13" s="1"/>
  <c r="AU49" i="13"/>
  <c r="BA49" i="13" s="1"/>
  <c r="AI44" i="13" l="1"/>
  <c r="AO44" i="13" s="1"/>
  <c r="AU44" i="13"/>
  <c r="BA44" i="13" s="1"/>
  <c r="AI43" i="13"/>
  <c r="AO43" i="13" s="1"/>
  <c r="AU43" i="13"/>
  <c r="BA43" i="13" s="1"/>
  <c r="BB2" i="15"/>
  <c r="AV2" i="15"/>
  <c r="AU40" i="13"/>
  <c r="BA40" i="13" s="1"/>
  <c r="AI40" i="13"/>
  <c r="AO40" i="13" s="1"/>
  <c r="AM11" i="14"/>
  <c r="AN11" i="14" s="1"/>
  <c r="AO11" i="14" s="1"/>
  <c r="AP11" i="14" s="1"/>
  <c r="AQ11" i="14" s="1"/>
  <c r="AR11" i="14" s="1"/>
  <c r="AS11" i="14" s="1"/>
  <c r="AM10" i="14"/>
  <c r="AN10" i="14" s="1"/>
  <c r="AO10" i="14" s="1"/>
  <c r="AP10" i="14" s="1"/>
  <c r="AQ10" i="14" s="1"/>
  <c r="AR10" i="14" s="1"/>
  <c r="AS10" i="14" s="1"/>
  <c r="AU42" i="13"/>
  <c r="BA42" i="13" s="1"/>
  <c r="AI42" i="13"/>
  <c r="AO42" i="13" s="1"/>
  <c r="CE41" i="13"/>
  <c r="CD41" i="13"/>
  <c r="CC41" i="13"/>
  <c r="CB41" i="13"/>
  <c r="CA41" i="13"/>
  <c r="AU39" i="13"/>
  <c r="BA39" i="13" s="1"/>
  <c r="AI39" i="13"/>
  <c r="AO39" i="13" s="1"/>
  <c r="AU38" i="13"/>
  <c r="BA38" i="13" s="1"/>
  <c r="AI38" i="13"/>
  <c r="AO38" i="13" s="1"/>
  <c r="AU37" i="13"/>
  <c r="BA37" i="13" s="1"/>
  <c r="AI37" i="13"/>
  <c r="AO37" i="13" s="1"/>
  <c r="AU36" i="13"/>
  <c r="BA36" i="13" s="1"/>
  <c r="AI36" i="13"/>
  <c r="AO36" i="13" s="1"/>
  <c r="AU35" i="13"/>
  <c r="BA35" i="13" s="1"/>
  <c r="AI35" i="13"/>
  <c r="AO35" i="13" s="1"/>
  <c r="BB3" i="15" a="1"/>
  <c r="AV3" i="15" a="1"/>
  <c r="H54" i="13" l="1"/>
  <c r="S54" i="13"/>
  <c r="S59" i="13" s="1"/>
  <c r="AU41" i="13"/>
  <c r="BA41" i="13" s="1"/>
  <c r="AI41" i="13"/>
  <c r="AO41" i="13" s="1"/>
  <c r="AV3" i="15"/>
  <c r="BB3" i="15"/>
  <c r="G3" i="14"/>
  <c r="G2" i="14"/>
  <c r="G3" i="13"/>
  <c r="G2" i="13"/>
  <c r="G3" i="12"/>
  <c r="G2" i="12"/>
  <c r="G3" i="11"/>
  <c r="G2" i="11"/>
  <c r="G3" i="6"/>
  <c r="G2" i="6"/>
  <c r="H55" i="13" l="1"/>
  <c r="S55" i="13"/>
  <c r="AI59" i="13"/>
  <c r="H59"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<sst xmlns="http://schemas.openxmlformats.org/spreadsheetml/2006/main" count="673" uniqueCount="267">
  <si>
    <t>サンスター株式会社　御中</t>
    <rPh sb="5" eb="9">
      <t>カブシキカイシャ</t>
    </rPh>
    <rPh sb="10" eb="12">
      <t>オンチュウ</t>
    </rPh>
    <phoneticPr fontId="5"/>
  </si>
  <si>
    <t>会計システム刷新プロジェクト</t>
    <phoneticPr fontId="4"/>
  </si>
  <si>
    <t>非機能要件定義書_データ容量・パフォーマンス</t>
    <rPh sb="0" eb="3">
      <t>ヒキノウ</t>
    </rPh>
    <rPh sb="3" eb="5">
      <t>ヨウケン</t>
    </rPh>
    <rPh sb="5" eb="8">
      <t>テイギショ</t>
    </rPh>
    <rPh sb="12" eb="14">
      <t>ヨウリョウ</t>
    </rPh>
    <phoneticPr fontId="5"/>
  </si>
  <si>
    <t>第1.１版</t>
    <rPh sb="0" eb="1">
      <t>ダイ</t>
    </rPh>
    <rPh sb="4" eb="5">
      <t>ハン</t>
    </rPh>
    <phoneticPr fontId="4"/>
  </si>
  <si>
    <t>日本ビジネスシステムズ株式会社</t>
    <rPh sb="0" eb="2">
      <t>ニホン</t>
    </rPh>
    <phoneticPr fontId="4"/>
  </si>
  <si>
    <t>設計書</t>
    <rPh sb="0" eb="3">
      <t>セッケイショ</t>
    </rPh>
    <phoneticPr fontId="4"/>
  </si>
  <si>
    <t>システム名</t>
    <rPh sb="4" eb="5">
      <t>メイ</t>
    </rPh>
    <phoneticPr fontId="35"/>
  </si>
  <si>
    <t>機能分類</t>
    <rPh sb="0" eb="2">
      <t>キノウ</t>
    </rPh>
    <rPh sb="2" eb="4">
      <t>ブンルイ</t>
    </rPh>
    <phoneticPr fontId="4"/>
  </si>
  <si>
    <t>説明</t>
    <rPh sb="0" eb="2">
      <t>セツメイ</t>
    </rPh>
    <phoneticPr fontId="4"/>
  </si>
  <si>
    <t>日付</t>
    <rPh sb="0" eb="2">
      <t>ヒヅケ</t>
    </rPh>
    <phoneticPr fontId="5"/>
  </si>
  <si>
    <t>更新者</t>
    <rPh sb="0" eb="2">
      <t>コウシン</t>
    </rPh>
    <rPh sb="2" eb="3">
      <t>シャ</t>
    </rPh>
    <phoneticPr fontId="4"/>
  </si>
  <si>
    <t>Dynamics365 for Finance and Operations</t>
  </si>
  <si>
    <t>非機能</t>
    <rPh sb="0" eb="3">
      <t>ヒキノウ</t>
    </rPh>
    <phoneticPr fontId="35"/>
  </si>
  <si>
    <t>システム運用</t>
    <rPh sb="3" eb="5">
      <t>ウンヨウ</t>
    </rPh>
    <phoneticPr fontId="1"/>
  </si>
  <si>
    <t>作成</t>
    <rPh sb="0" eb="2">
      <t>サクセイ</t>
    </rPh>
    <phoneticPr fontId="4"/>
  </si>
  <si>
    <t>更新</t>
    <rPh sb="0" eb="2">
      <t>コウシン</t>
    </rPh>
    <phoneticPr fontId="4"/>
  </si>
  <si>
    <t>（表紙同様値）</t>
  </si>
  <si>
    <t>変更年月日</t>
    <rPh sb="0" eb="2">
      <t>ヘンコウ</t>
    </rPh>
    <rPh sb="2" eb="5">
      <t>ネンガッピ</t>
    </rPh>
    <phoneticPr fontId="40"/>
  </si>
  <si>
    <t>変更箇所</t>
    <rPh sb="0" eb="2">
      <t>ヘンコウ</t>
    </rPh>
    <rPh sb="2" eb="4">
      <t>カショ</t>
    </rPh>
    <phoneticPr fontId="40"/>
  </si>
  <si>
    <t>変更内容</t>
    <rPh sb="0" eb="2">
      <t>ヘンコウ</t>
    </rPh>
    <rPh sb="2" eb="4">
      <t>ナイヨウ</t>
    </rPh>
    <phoneticPr fontId="40"/>
  </si>
  <si>
    <t>変更者</t>
    <rPh sb="0" eb="2">
      <t>ヘンコウ</t>
    </rPh>
    <rPh sb="2" eb="3">
      <t>シャ</t>
    </rPh>
    <phoneticPr fontId="40"/>
  </si>
  <si>
    <t>版数</t>
    <rPh sb="0" eb="1">
      <t>ハン</t>
    </rPh>
    <rPh sb="1" eb="2">
      <t>スウ</t>
    </rPh>
    <phoneticPr fontId="40"/>
  </si>
  <si>
    <t>新規作成</t>
    <rPh sb="0" eb="2">
      <t>シンキ</t>
    </rPh>
    <rPh sb="2" eb="4">
      <t>サクセイ</t>
    </rPh>
    <phoneticPr fontId="35"/>
  </si>
  <si>
    <t>新規作成</t>
    <rPh sb="0" eb="4">
      <t>シンキサクセイ</t>
    </rPh>
    <phoneticPr fontId="5"/>
  </si>
  <si>
    <t>JBS加藤</t>
    <rPh sb="3" eb="5">
      <t>カトウ</t>
    </rPh>
    <phoneticPr fontId="35"/>
  </si>
  <si>
    <t>1.0</t>
    <phoneticPr fontId="35"/>
  </si>
  <si>
    <t>現在の容量試算（各試算の進め方）</t>
    <rPh sb="0" eb="2">
      <t>ゲンザイ</t>
    </rPh>
    <rPh sb="3" eb="5">
      <t>ヨウリョウ</t>
    </rPh>
    <rPh sb="5" eb="7">
      <t>シサン</t>
    </rPh>
    <phoneticPr fontId="1"/>
  </si>
  <si>
    <t>Branch2要件追加</t>
    <rPh sb="7" eb="9">
      <t>ヨウケン</t>
    </rPh>
    <rPh sb="9" eb="11">
      <t>ツイカ</t>
    </rPh>
    <phoneticPr fontId="1"/>
  </si>
  <si>
    <t>JBS北井</t>
    <rPh sb="3" eb="5">
      <t>キタイ</t>
    </rPh>
    <phoneticPr fontId="1"/>
  </si>
  <si>
    <t>1.1</t>
    <phoneticPr fontId="1"/>
  </si>
  <si>
    <t>システム名</t>
    <rPh sb="4" eb="5">
      <t>メイ</t>
    </rPh>
    <phoneticPr fontId="4"/>
  </si>
  <si>
    <t>章</t>
  </si>
  <si>
    <t>文書名</t>
    <rPh sb="0" eb="2">
      <t>ブンショ</t>
    </rPh>
    <rPh sb="2" eb="3">
      <t>メイ</t>
    </rPh>
    <phoneticPr fontId="4"/>
  </si>
  <si>
    <t>データ容量</t>
    <rPh sb="3" eb="5">
      <t>ヨウリョウ</t>
    </rPh>
    <phoneticPr fontId="5"/>
  </si>
  <si>
    <t>JBS加藤</t>
    <rPh sb="3" eb="5">
      <t>カトウ</t>
    </rPh>
    <phoneticPr fontId="1"/>
  </si>
  <si>
    <t>■</t>
    <phoneticPr fontId="1"/>
  </si>
  <si>
    <t>テナント・インスタンス容量の考え方</t>
    <phoneticPr fontId="1"/>
  </si>
  <si>
    <t>Dynamicsのストレージ容量はインスタンスごとではなく、テナント全体に付与されたストレージ容量を</t>
    <rPh sb="14" eb="16">
      <t>ヨウリョウ</t>
    </rPh>
    <rPh sb="34" eb="36">
      <t>ゼンタイ</t>
    </rPh>
    <rPh sb="37" eb="39">
      <t>フヨ</t>
    </rPh>
    <rPh sb="47" eb="49">
      <t>ヨウリョウ</t>
    </rPh>
    <phoneticPr fontId="1"/>
  </si>
  <si>
    <t>テナント内の全インスタンスで共用する形となる。</t>
    <rPh sb="4" eb="5">
      <t>ナイ</t>
    </rPh>
    <rPh sb="6" eb="7">
      <t>ゼン</t>
    </rPh>
    <rPh sb="14" eb="16">
      <t>キョウヨウ</t>
    </rPh>
    <rPh sb="18" eb="19">
      <t>カタチ</t>
    </rPh>
    <phoneticPr fontId="1"/>
  </si>
  <si>
    <t>テナント・インスタンス容量の考え方については以下のファイルを参照</t>
    <rPh sb="11" eb="13">
      <t>ヨウリョウ</t>
    </rPh>
    <rPh sb="14" eb="15">
      <t>カンガ</t>
    </rPh>
    <rPh sb="16" eb="17">
      <t>カタ</t>
    </rPh>
    <rPh sb="22" eb="24">
      <t>イカ</t>
    </rPh>
    <rPh sb="30" eb="32">
      <t>サンショウ</t>
    </rPh>
    <phoneticPr fontId="1"/>
  </si>
  <si>
    <t>【サンスター様】テナントで使用可能な容量とインスタンスの関係図.pptx</t>
    <phoneticPr fontId="1"/>
  </si>
  <si>
    <t>データ容量試算の進め方</t>
    <rPh sb="3" eb="5">
      <t>ヨウリョウ</t>
    </rPh>
    <rPh sb="5" eb="7">
      <t>シサン</t>
    </rPh>
    <rPh sb="8" eb="9">
      <t>スス</t>
    </rPh>
    <rPh sb="10" eb="11">
      <t>カタ</t>
    </rPh>
    <phoneticPr fontId="1"/>
  </si>
  <si>
    <t>1）全体的な進め方</t>
    <rPh sb="2" eb="5">
      <t>ゼンタイテキ</t>
    </rPh>
    <rPh sb="6" eb="7">
      <t>スス</t>
    </rPh>
    <rPh sb="8" eb="9">
      <t>カタ</t>
    </rPh>
    <phoneticPr fontId="1"/>
  </si>
  <si>
    <t>・D365は定期的に機能が追加されていくSaaSである(半年に１回機能が追加され、テーブルカラムが増えていく)</t>
    <rPh sb="6" eb="9">
      <t>テイキテキ</t>
    </rPh>
    <rPh sb="10" eb="12">
      <t>キノウ</t>
    </rPh>
    <rPh sb="13" eb="15">
      <t>ツイカ</t>
    </rPh>
    <rPh sb="28" eb="30">
      <t>ハントシ</t>
    </rPh>
    <rPh sb="32" eb="33">
      <t>カイ</t>
    </rPh>
    <rPh sb="33" eb="35">
      <t>キノウ</t>
    </rPh>
    <rPh sb="36" eb="38">
      <t>ツイカ</t>
    </rPh>
    <rPh sb="49" eb="50">
      <t>フ</t>
    </rPh>
    <phoneticPr fontId="20"/>
  </si>
  <si>
    <t>・アドオンとして追加するテーブルの項目長などは要件定義では決定されない</t>
    <rPh sb="8" eb="10">
      <t>ツイカ</t>
    </rPh>
    <rPh sb="17" eb="19">
      <t>コウモク</t>
    </rPh>
    <rPh sb="19" eb="20">
      <t>ナガ</t>
    </rPh>
    <rPh sb="23" eb="27">
      <t>ヨウケンテイギ</t>
    </rPh>
    <rPh sb="29" eb="31">
      <t>ケッテイ</t>
    </rPh>
    <phoneticPr fontId="20"/>
  </si>
  <si>
    <t>・単純な項目ではなく、可変長やblobなど実容量が読めない項目がある</t>
    <rPh sb="1" eb="3">
      <t>タンジュン</t>
    </rPh>
    <rPh sb="4" eb="6">
      <t>コウモク</t>
    </rPh>
    <rPh sb="11" eb="14">
      <t>カヘンチョウ</t>
    </rPh>
    <rPh sb="21" eb="22">
      <t>ジツ</t>
    </rPh>
    <rPh sb="22" eb="24">
      <t>ヨウリョウ</t>
    </rPh>
    <rPh sb="25" eb="26">
      <t>ヨ</t>
    </rPh>
    <rPh sb="29" eb="31">
      <t>コウモク</t>
    </rPh>
    <phoneticPr fontId="20"/>
  </si>
  <si>
    <t>上記の理由により、現時点で「稼働時点のデータ消費量はどれくらいか」「１年間の増加データ量はどれくらいか」を正確に見積もることはできない。</t>
    <rPh sb="0" eb="2">
      <t>ジョウキ</t>
    </rPh>
    <rPh sb="3" eb="5">
      <t>リユウ</t>
    </rPh>
    <rPh sb="53" eb="55">
      <t>セイカク</t>
    </rPh>
    <rPh sb="56" eb="58">
      <t>ミツ</t>
    </rPh>
    <phoneticPr fontId="20"/>
  </si>
  <si>
    <t>そのため、複数回データ容量の試算を実施し、想定容量の精度を上げていく必要がある。</t>
    <rPh sb="21" eb="23">
      <t>ソウテイ</t>
    </rPh>
    <rPh sb="23" eb="25">
      <t>ヨウリョウ</t>
    </rPh>
    <rPh sb="26" eb="28">
      <t>セイド</t>
    </rPh>
    <rPh sb="29" eb="30">
      <t>ア</t>
    </rPh>
    <rPh sb="34" eb="36">
      <t>ヒツヨウ</t>
    </rPh>
    <phoneticPr fontId="20"/>
  </si>
  <si>
    <t>試算タイミング</t>
    <rPh sb="0" eb="2">
      <t>シサン</t>
    </rPh>
    <phoneticPr fontId="1"/>
  </si>
  <si>
    <t>備考</t>
    <rPh sb="0" eb="2">
      <t>ビコウ</t>
    </rPh>
    <phoneticPr fontId="1"/>
  </si>
  <si>
    <t>試算①</t>
    <rPh sb="0" eb="2">
      <t>シサン</t>
    </rPh>
    <phoneticPr fontId="1"/>
  </si>
  <si>
    <t>要件定義 完了時点</t>
  </si>
  <si>
    <t>モックアップ＋標準テーブルでの算出となるため、アドオンで追加される分の容量は算出できない</t>
  </si>
  <si>
    <t>試算③</t>
    <rPh sb="0" eb="2">
      <t>シサン</t>
    </rPh>
    <phoneticPr fontId="1"/>
  </si>
  <si>
    <t>基本設計 完了時点</t>
  </si>
  <si>
    <t>テーブルの物理設計が完了し、ある程度精度が上がってくる</t>
    <phoneticPr fontId="1"/>
  </si>
  <si>
    <t>←テーブルの物理設計が完了し、ある程度精度が上がってくる</t>
  </si>
  <si>
    <t>試算④</t>
    <rPh sb="0" eb="2">
      <t>シサン</t>
    </rPh>
    <phoneticPr fontId="1"/>
  </si>
  <si>
    <t>移行リハーサル①完了時点</t>
  </si>
  <si>
    <t>実際に環境に投入されたデータとの差分を確認し、考慮漏れ等がないか確認していく</t>
    <phoneticPr fontId="1"/>
  </si>
  <si>
    <t>←実際に環境に投入されたデータとの差分を確認し、考慮漏れ等がないか確認していく</t>
  </si>
  <si>
    <t>試算⑤</t>
    <rPh sb="0" eb="2">
      <t>シサン</t>
    </rPh>
    <phoneticPr fontId="1"/>
  </si>
  <si>
    <t>移行リハーサル②完了時点</t>
  </si>
  <si>
    <t>試算⑥</t>
    <rPh sb="0" eb="2">
      <t>シサン</t>
    </rPh>
    <phoneticPr fontId="1"/>
  </si>
  <si>
    <t>移行リハーサル③完了時点</t>
  </si>
  <si>
    <t>各試算タイミングにて、容量超過が明らかである場合は、</t>
    <rPh sb="0" eb="1">
      <t>カク</t>
    </rPh>
    <rPh sb="1" eb="3">
      <t>シサン</t>
    </rPh>
    <rPh sb="11" eb="13">
      <t>ヨウリョウ</t>
    </rPh>
    <rPh sb="13" eb="15">
      <t>チョウカ</t>
    </rPh>
    <rPh sb="16" eb="17">
      <t>アキ</t>
    </rPh>
    <rPh sb="22" eb="24">
      <t>バアイ</t>
    </rPh>
    <phoneticPr fontId="20"/>
  </si>
  <si>
    <t>　・データアーカイブ、削除可能なデータの削除の検討</t>
    <rPh sb="23" eb="25">
      <t>ケントウ</t>
    </rPh>
    <phoneticPr fontId="20"/>
  </si>
  <si>
    <t>　・ライセンス追加</t>
    <rPh sb="7" eb="9">
      <t>ツイカ</t>
    </rPh>
    <phoneticPr fontId="20"/>
  </si>
  <si>
    <t>といった手段を事前に検討し、採用要否を判断していく形となる。（削除可能データ、ライセンス追加については「容量追加方法」シートを参照）</t>
    <rPh sb="7" eb="9">
      <t>ジゼン</t>
    </rPh>
    <rPh sb="10" eb="12">
      <t>ケントウ</t>
    </rPh>
    <rPh sb="14" eb="16">
      <t>サイヨウ</t>
    </rPh>
    <rPh sb="16" eb="18">
      <t>ヨウヒ</t>
    </rPh>
    <rPh sb="19" eb="21">
      <t>ハンダン</t>
    </rPh>
    <rPh sb="25" eb="26">
      <t>カタチ</t>
    </rPh>
    <rPh sb="31" eb="35">
      <t>サクジョカノウ</t>
    </rPh>
    <rPh sb="44" eb="46">
      <t>ツイカ</t>
    </rPh>
    <rPh sb="52" eb="58">
      <t>ヨウリョウツイカホウホウ</t>
    </rPh>
    <rPh sb="63" eb="65">
      <t>サンショウ</t>
    </rPh>
    <phoneticPr fontId="20"/>
  </si>
  <si>
    <t>　・環境のランドスケープについては、本番同等、本番の1/2のデータ量などの基準を設けて算出する</t>
    <rPh sb="2" eb="4">
      <t>カンキョウ</t>
    </rPh>
    <rPh sb="18" eb="20">
      <t>ホンバン</t>
    </rPh>
    <rPh sb="20" eb="22">
      <t>ドウトウ</t>
    </rPh>
    <rPh sb="23" eb="25">
      <t>ホンバン</t>
    </rPh>
    <rPh sb="33" eb="34">
      <t>リョウ</t>
    </rPh>
    <rPh sb="37" eb="39">
      <t>キジュン</t>
    </rPh>
    <rPh sb="40" eb="41">
      <t>モウ</t>
    </rPh>
    <rPh sb="43" eb="45">
      <t>サンシュツ</t>
    </rPh>
    <phoneticPr fontId="20"/>
  </si>
  <si>
    <t>　・グループ会社については、「サンスター株式会社」を "割合1" とした場合、グループ会社5社合計"0.3"として算出する</t>
    <rPh sb="6" eb="8">
      <t>ガイシャ</t>
    </rPh>
    <rPh sb="43" eb="45">
      <t>カイシャ</t>
    </rPh>
    <rPh sb="46" eb="47">
      <t>シャ</t>
    </rPh>
    <rPh sb="47" eb="49">
      <t>ゴウケイ</t>
    </rPh>
    <rPh sb="57" eb="59">
      <t>サンシュツ</t>
    </rPh>
    <phoneticPr fontId="1"/>
  </si>
  <si>
    <t>2）各試算の進め方</t>
    <rPh sb="2" eb="3">
      <t>カク</t>
    </rPh>
    <rPh sb="3" eb="5">
      <t>シサン</t>
    </rPh>
    <rPh sb="6" eb="7">
      <t>スス</t>
    </rPh>
    <rPh sb="8" eb="9">
      <t>カタ</t>
    </rPh>
    <phoneticPr fontId="20"/>
  </si>
  <si>
    <t>2024/12/6 Branch2要件に伴いSCMを追記</t>
    <rPh sb="17" eb="19">
      <t>ヨウケン</t>
    </rPh>
    <rPh sb="20" eb="21">
      <t>トモナ</t>
    </rPh>
    <rPh sb="26" eb="28">
      <t>ツイキ</t>
    </rPh>
    <phoneticPr fontId="1"/>
  </si>
  <si>
    <t>①テーブル一覧の作成(JBS)</t>
    <rPh sb="5" eb="7">
      <t>イチラン</t>
    </rPh>
    <rPh sb="8" eb="10">
      <t>サクセイ</t>
    </rPh>
    <phoneticPr fontId="1"/>
  </si>
  <si>
    <t>①と②の情報を元に算出（増加分は、月あたり）</t>
    <rPh sb="4" eb="6">
      <t>ジョウホウ</t>
    </rPh>
    <rPh sb="7" eb="8">
      <t>モト</t>
    </rPh>
    <rPh sb="9" eb="11">
      <t>サンシュツ</t>
    </rPh>
    <rPh sb="12" eb="14">
      <t>ゾウカ</t>
    </rPh>
    <rPh sb="14" eb="15">
      <t>ブン</t>
    </rPh>
    <rPh sb="17" eb="18">
      <t>ツキ</t>
    </rPh>
    <phoneticPr fontId="1"/>
  </si>
  <si>
    <t>②データ区分別の想定レコード数を設定(サンスター様)</t>
    <rPh sb="24" eb="25">
      <t>サマ</t>
    </rPh>
    <phoneticPr fontId="1"/>
  </si>
  <si>
    <t>System</t>
    <phoneticPr fontId="1"/>
  </si>
  <si>
    <t>table name</t>
    <phoneticPr fontId="1"/>
  </si>
  <si>
    <t>データ区分</t>
    <rPh sb="3" eb="5">
      <t>クブン</t>
    </rPh>
    <phoneticPr fontId="1"/>
  </si>
  <si>
    <t>想定レコード長(byte)※</t>
    <rPh sb="0" eb="2">
      <t>ソウテイ</t>
    </rPh>
    <rPh sb="6" eb="7">
      <t>チョウ</t>
    </rPh>
    <phoneticPr fontId="1"/>
  </si>
  <si>
    <t>移行件数</t>
    <rPh sb="0" eb="4">
      <t>イコウケンスウ</t>
    </rPh>
    <phoneticPr fontId="1"/>
  </si>
  <si>
    <t>移行想定容量</t>
    <rPh sb="0" eb="6">
      <t>イコウソウテイヨウリョウ</t>
    </rPh>
    <phoneticPr fontId="1"/>
  </si>
  <si>
    <t>増加件数</t>
    <rPh sb="0" eb="4">
      <t>ゾウカケンスウ</t>
    </rPh>
    <phoneticPr fontId="1"/>
  </si>
  <si>
    <t>増加想定容量</t>
    <rPh sb="0" eb="6">
      <t>ゾウカソウテイヨウリョウ</t>
    </rPh>
    <phoneticPr fontId="1"/>
  </si>
  <si>
    <t>増加件数</t>
    <rPh sb="0" eb="2">
      <t>ゾウカ</t>
    </rPh>
    <rPh sb="2" eb="4">
      <t>ケンスウ</t>
    </rPh>
    <phoneticPr fontId="1"/>
  </si>
  <si>
    <t>メモ：</t>
    <phoneticPr fontId="1"/>
  </si>
  <si>
    <t>FO</t>
  </si>
  <si>
    <t>salestable</t>
  </si>
  <si>
    <t>受注</t>
  </si>
  <si>
    <t>CustTrans</t>
    <phoneticPr fontId="1"/>
  </si>
  <si>
    <t>債権</t>
    <rPh sb="0" eb="2">
      <t>サイケン</t>
    </rPh>
    <phoneticPr fontId="1"/>
  </si>
  <si>
    <t>営業案件</t>
  </si>
  <si>
    <t>月あたり</t>
    <rPh sb="0" eb="1">
      <t>ツキ</t>
    </rPh>
    <phoneticPr fontId="1"/>
  </si>
  <si>
    <t>ヘッダ：10,000　明細：120,000</t>
    <rPh sb="11" eb="13">
      <t>メイサイ</t>
    </rPh>
    <phoneticPr fontId="1"/>
  </si>
  <si>
    <t>logisticspostaladdress</t>
  </si>
  <si>
    <t>VendTrans</t>
    <phoneticPr fontId="1"/>
  </si>
  <si>
    <t>債務</t>
    <rPh sb="0" eb="2">
      <t>サイム</t>
    </rPh>
    <phoneticPr fontId="1"/>
  </si>
  <si>
    <t>営業案件明細</t>
  </si>
  <si>
    <t>ヘッダ：10,000　明細：10,000</t>
    <rPh sb="11" eb="13">
      <t>メイサイ</t>
    </rPh>
    <phoneticPr fontId="1"/>
  </si>
  <si>
    <t>salesline</t>
  </si>
  <si>
    <t>受注明細</t>
  </si>
  <si>
    <t>LedgerJournalTrans</t>
    <phoneticPr fontId="1"/>
  </si>
  <si>
    <t>salesline2</t>
  </si>
  <si>
    <t>経費等(楽々精算より）</t>
    <rPh sb="0" eb="2">
      <t>ケイヒ</t>
    </rPh>
    <rPh sb="2" eb="3">
      <t>トウ</t>
    </rPh>
    <rPh sb="4" eb="8">
      <t>ラクラクセイサン</t>
    </rPh>
    <phoneticPr fontId="1"/>
  </si>
  <si>
    <t>見積</t>
  </si>
  <si>
    <t>一般仕訳(手入力)</t>
    <rPh sb="0" eb="4">
      <t>イッパンシワケ</t>
    </rPh>
    <rPh sb="5" eb="8">
      <t>テニュウリョク</t>
    </rPh>
    <phoneticPr fontId="1"/>
  </si>
  <si>
    <t>見積明細</t>
  </si>
  <si>
    <t>会計伝票　　　　　ヘッダ：300,000　明細：650,000</t>
    <rPh sb="0" eb="2">
      <t>カイケイ</t>
    </rPh>
    <rPh sb="2" eb="4">
      <t>デンピョウ</t>
    </rPh>
    <rPh sb="21" eb="23">
      <t>メイサイ</t>
    </rPh>
    <phoneticPr fontId="1"/>
  </si>
  <si>
    <t>ヘッダ：300,000　明細：650,000</t>
    <rPh sb="12" eb="14">
      <t>メイサイ</t>
    </rPh>
    <phoneticPr fontId="1"/>
  </si>
  <si>
    <t>project</t>
  </si>
  <si>
    <t>プロジェクト</t>
  </si>
  <si>
    <t>AssetTable</t>
    <phoneticPr fontId="1"/>
  </si>
  <si>
    <t>固定資産</t>
    <rPh sb="0" eb="4">
      <t>コテイシサン</t>
    </rPh>
    <phoneticPr fontId="1"/>
  </si>
  <si>
    <t>AssetLease</t>
    <phoneticPr fontId="1"/>
  </si>
  <si>
    <t>リース</t>
    <phoneticPr fontId="1"/>
  </si>
  <si>
    <t>projectContract</t>
  </si>
  <si>
    <t>CustTable</t>
    <phoneticPr fontId="1"/>
  </si>
  <si>
    <t>顧客</t>
    <phoneticPr fontId="1"/>
  </si>
  <si>
    <t>得意先</t>
    <rPh sb="0" eb="3">
      <t>トクイサキ</t>
    </rPh>
    <phoneticPr fontId="1"/>
  </si>
  <si>
    <t>初期：65,000　月あたり：433</t>
    <rPh sb="0" eb="2">
      <t>ショキ</t>
    </rPh>
    <rPh sb="10" eb="11">
      <t>ツキ</t>
    </rPh>
    <phoneticPr fontId="1"/>
  </si>
  <si>
    <t>projectDetail</t>
  </si>
  <si>
    <t>VendTable</t>
    <phoneticPr fontId="1"/>
  </si>
  <si>
    <t>仕入先</t>
    <rPh sb="0" eb="3">
      <t>シイレサキ</t>
    </rPh>
    <phoneticPr fontId="1"/>
  </si>
  <si>
    <t>初期：35,000　月あたり：146</t>
    <rPh sb="0" eb="2">
      <t>ショキ</t>
    </rPh>
    <rPh sb="10" eb="11">
      <t>ツキ</t>
    </rPh>
    <phoneticPr fontId="1"/>
  </si>
  <si>
    <t>FO</t>
    <phoneticPr fontId="1"/>
  </si>
  <si>
    <t>CostCenter</t>
    <phoneticPr fontId="1"/>
  </si>
  <si>
    <t>原価センタ</t>
    <rPh sb="0" eb="2">
      <t>ゲンカ</t>
    </rPh>
    <phoneticPr fontId="1"/>
  </si>
  <si>
    <t>Department</t>
    <phoneticPr fontId="1"/>
  </si>
  <si>
    <t>利益センタ</t>
    <rPh sb="0" eb="2">
      <t>リエキ</t>
    </rPh>
    <phoneticPr fontId="1"/>
  </si>
  <si>
    <t>EcoResProduct</t>
    <phoneticPr fontId="1"/>
  </si>
  <si>
    <t>製品</t>
    <rPh sb="0" eb="2">
      <t>セイヒン</t>
    </rPh>
    <phoneticPr fontId="1"/>
  </si>
  <si>
    <t>品目</t>
    <rPh sb="0" eb="2">
      <t>ヒンモク</t>
    </rPh>
    <phoneticPr fontId="1"/>
  </si>
  <si>
    <t>初期：47,000　月当たり：100</t>
    <rPh sb="0" eb="2">
      <t>ショキ</t>
    </rPh>
    <rPh sb="10" eb="11">
      <t>ツキ</t>
    </rPh>
    <rPh sb="11" eb="12">
      <t>ア</t>
    </rPh>
    <phoneticPr fontId="1"/>
  </si>
  <si>
    <t>InventTable</t>
    <phoneticPr fontId="1"/>
  </si>
  <si>
    <t>リリースされた製品</t>
    <rPh sb="7" eb="9">
      <t>セイヒン</t>
    </rPh>
    <phoneticPr fontId="1"/>
  </si>
  <si>
    <t>SalesLine</t>
    <phoneticPr fontId="1"/>
  </si>
  <si>
    <t>販売注文</t>
    <rPh sb="0" eb="2">
      <t>ハンバイ</t>
    </rPh>
    <rPh sb="2" eb="4">
      <t>チュウモン</t>
    </rPh>
    <phoneticPr fontId="1"/>
  </si>
  <si>
    <t>売上実績（月件数）</t>
    <rPh sb="0" eb="2">
      <t>ウリアゲ</t>
    </rPh>
    <rPh sb="2" eb="4">
      <t>ジッセキ</t>
    </rPh>
    <rPh sb="5" eb="6">
      <t>ツキ</t>
    </rPh>
    <rPh sb="6" eb="8">
      <t>ケンスウ</t>
    </rPh>
    <phoneticPr fontId="1"/>
  </si>
  <si>
    <t>ヘッダ：SSJ 40,000 SEJ 20,000</t>
    <phoneticPr fontId="1"/>
  </si>
  <si>
    <t>CustInvoiceTrans</t>
    <phoneticPr fontId="1"/>
  </si>
  <si>
    <t>請求仕訳帳</t>
    <rPh sb="0" eb="2">
      <t>セイキュウ</t>
    </rPh>
    <rPh sb="2" eb="5">
      <t>シワケチョウ</t>
    </rPh>
    <phoneticPr fontId="1"/>
  </si>
  <si>
    <t>明細：SSJ 80,000 SEJ 40,000</t>
    <rPh sb="0" eb="2">
      <t>メイサイ</t>
    </rPh>
    <phoneticPr fontId="1"/>
  </si>
  <si>
    <t>LedgerJournalAccountEntry</t>
    <phoneticPr fontId="1"/>
  </si>
  <si>
    <t>元帳トランザクション</t>
    <rPh sb="0" eb="2">
      <t>モトチョウ</t>
    </rPh>
    <phoneticPr fontId="1"/>
  </si>
  <si>
    <t>販売実績</t>
    <rPh sb="0" eb="4">
      <t>ハンバイジッセキ</t>
    </rPh>
    <phoneticPr fontId="1"/>
  </si>
  <si>
    <t>ヘッダ：60,000　明細：120,000</t>
    <rPh sb="11" eb="13">
      <t>メイサイ</t>
    </rPh>
    <phoneticPr fontId="1"/>
  </si>
  <si>
    <t>※各テーブルは、ヘッダと明細に分かれており、かつ、関連テーブルも存在するテーブルもあるが、おおよそのレコード長とおおよそのデータ量にての概算見積としている</t>
    <rPh sb="1" eb="2">
      <t>カク</t>
    </rPh>
    <rPh sb="12" eb="14">
      <t>メイサイ</t>
    </rPh>
    <rPh sb="15" eb="16">
      <t>ワ</t>
    </rPh>
    <rPh sb="25" eb="27">
      <t>カンレン</t>
    </rPh>
    <rPh sb="32" eb="34">
      <t>ソンザイ</t>
    </rPh>
    <rPh sb="54" eb="55">
      <t>チョウ</t>
    </rPh>
    <rPh sb="64" eb="65">
      <t>リョウ</t>
    </rPh>
    <rPh sb="68" eb="70">
      <t>ガイサン</t>
    </rPh>
    <rPh sb="70" eb="72">
      <t>ミツモリ</t>
    </rPh>
    <phoneticPr fontId="1"/>
  </si>
  <si>
    <t>③システム別の想定容量の算出</t>
    <phoneticPr fontId="1"/>
  </si>
  <si>
    <t>行ラベル</t>
    <rPh sb="0" eb="1">
      <t>ギョウ</t>
    </rPh>
    <phoneticPr fontId="1"/>
  </si>
  <si>
    <t>合計 / 移行想定容量</t>
    <rPh sb="0" eb="2">
      <t>ゴウケイ</t>
    </rPh>
    <rPh sb="5" eb="11">
      <t>イコウソウテイヨウリョウ</t>
    </rPh>
    <phoneticPr fontId="1"/>
  </si>
  <si>
    <t>合計 / 増加想定容量</t>
    <rPh sb="0" eb="2">
      <t>ゴウケイ</t>
    </rPh>
    <rPh sb="5" eb="11">
      <t>ゾウカソウテイヨウリョウ</t>
    </rPh>
    <phoneticPr fontId="1"/>
  </si>
  <si>
    <t>総計</t>
    <rPh sb="0" eb="2">
      <t>ソウケイ</t>
    </rPh>
    <phoneticPr fontId="1"/>
  </si>
  <si>
    <t>④稼働時、１年後、５年後の消費容量想定を試算</t>
    <phoneticPr fontId="1"/>
  </si>
  <si>
    <t>稼働時</t>
    <rPh sb="0" eb="3">
      <t>カドウジ</t>
    </rPh>
    <phoneticPr fontId="1"/>
  </si>
  <si>
    <t>1年後</t>
    <rPh sb="1" eb="3">
      <t>ネンゴ</t>
    </rPh>
    <phoneticPr fontId="1"/>
  </si>
  <si>
    <t>5年後</t>
    <rPh sb="1" eb="3">
      <t>ネンゴ</t>
    </rPh>
    <phoneticPr fontId="1"/>
  </si>
  <si>
    <t>追加ライセンスと価格について</t>
    <rPh sb="0" eb="2">
      <t>ツイカ</t>
    </rPh>
    <rPh sb="8" eb="10">
      <t>カカク</t>
    </rPh>
    <phoneticPr fontId="1"/>
  </si>
  <si>
    <t>追加ライセンスのSKUと参考価格は下記の通り</t>
    <rPh sb="0" eb="2">
      <t>ツイカ</t>
    </rPh>
    <rPh sb="12" eb="14">
      <t>サンコウ</t>
    </rPh>
    <rPh sb="14" eb="16">
      <t>カカク</t>
    </rPh>
    <rPh sb="17" eb="19">
      <t>カキ</t>
    </rPh>
    <rPh sb="20" eb="21">
      <t>トオ</t>
    </rPh>
    <phoneticPr fontId="20"/>
  </si>
  <si>
    <t>製品名(各ライセンスにつき、追加単位は1SKU = 1GB)</t>
  </si>
  <si>
    <t>ご参考価格/月</t>
  </si>
  <si>
    <t>100GB追加/月</t>
  </si>
  <si>
    <t>FO-DB</t>
  </si>
  <si>
    <t>D365 Operations Additional Database Capacity Sub Add-on</t>
  </si>
  <si>
    <t>FO-ファイル</t>
  </si>
  <si>
    <t>D365 Operations Additional File Capacity Sub Add-on</t>
  </si>
  <si>
    <t>※近日中に環境の考え方が変わるとMicrosoft社より発表があったが、現状は上記の通り</t>
    <phoneticPr fontId="1"/>
  </si>
  <si>
    <t>データ削除について</t>
    <rPh sb="3" eb="5">
      <t>サクジョ</t>
    </rPh>
    <phoneticPr fontId="1"/>
  </si>
  <si>
    <t>1）データクリーンアップ</t>
    <phoneticPr fontId="20"/>
  </si>
  <si>
    <t>不要なレコード、添付ファイル、ログ情報などを削除することでその分のストレージ容量を確保することが可能。</t>
    <phoneticPr fontId="20"/>
  </si>
  <si>
    <t>システム</t>
    <phoneticPr fontId="20"/>
  </si>
  <si>
    <t>データ種別</t>
    <rPh sb="3" eb="5">
      <t>シュベツ</t>
    </rPh>
    <phoneticPr fontId="20"/>
  </si>
  <si>
    <t>クリーンアップ処理(標準)</t>
    <rPh sb="7" eb="9">
      <t>ショリ</t>
    </rPh>
    <rPh sb="10" eb="12">
      <t>ヒョウジュン</t>
    </rPh>
    <phoneticPr fontId="20"/>
  </si>
  <si>
    <t>クリーンアップ処理(アドオン)</t>
    <rPh sb="7" eb="9">
      <t>ショリ</t>
    </rPh>
    <phoneticPr fontId="20"/>
  </si>
  <si>
    <t>本PJでの方針</t>
    <rPh sb="0" eb="1">
      <t>ホン</t>
    </rPh>
    <rPh sb="5" eb="7">
      <t>ホウシン</t>
    </rPh>
    <phoneticPr fontId="20"/>
  </si>
  <si>
    <t xml:space="preserve">FO
</t>
    <phoneticPr fontId="20"/>
  </si>
  <si>
    <t>マスタ/トランザクション</t>
    <phoneticPr fontId="20"/>
  </si>
  <si>
    <t>削除可
(★1)</t>
  </si>
  <si>
    <t>削除可</t>
  </si>
  <si>
    <t>削除しない
（★2）</t>
    <phoneticPr fontId="20"/>
  </si>
  <si>
    <t>会計データ</t>
    <rPh sb="0" eb="2">
      <t>カイケイ</t>
    </rPh>
    <phoneticPr fontId="20"/>
  </si>
  <si>
    <t>削除不可</t>
    <rPh sb="0" eb="4">
      <t>サクジョフカ</t>
    </rPh>
    <phoneticPr fontId="20"/>
  </si>
  <si>
    <t>削除しない</t>
    <phoneticPr fontId="20"/>
  </si>
  <si>
    <t>システム系ログ</t>
    <rPh sb="4" eb="5">
      <t>ケイ</t>
    </rPh>
    <phoneticPr fontId="20"/>
  </si>
  <si>
    <t>「【サンスター】非機能要件定義書_システム運用 .xlsx」参照</t>
  </si>
  <si>
    <t>★1：</t>
    <phoneticPr fontId="20"/>
  </si>
  <si>
    <t>標準のクリーンアップ処理で削除可能なデータについては以下の公開ドキュメントを参照</t>
    <phoneticPr fontId="20"/>
  </si>
  <si>
    <t>https://learn.microsoft.com/ja-jp/dynamics365/fin-ops-core/dev-itpro/sysadmin/cleanuproutines</t>
    <phoneticPr fontId="20"/>
  </si>
  <si>
    <t>★2：</t>
    <phoneticPr fontId="20"/>
  </si>
  <si>
    <t>基本的にマスタ/トランザクションのデータは削除しない方針とするが、データ容量試算によりデータ容量が多いマスタ/トランザクション（製品マスタ等）についてはデータ削除機能を検討する。</t>
    <rPh sb="64" eb="66">
      <t>セイヒン</t>
    </rPh>
    <rPh sb="69" eb="70">
      <t>トウ</t>
    </rPh>
    <phoneticPr fontId="20"/>
  </si>
  <si>
    <t>検討の場は各業務領域とする。</t>
    <rPh sb="0" eb="2">
      <t>ケントウ</t>
    </rPh>
    <rPh sb="3" eb="4">
      <t>バ</t>
    </rPh>
    <rPh sb="5" eb="10">
      <t>カクギョウムリョウイキ</t>
    </rPh>
    <phoneticPr fontId="20"/>
  </si>
  <si>
    <t>データバックアップ</t>
    <phoneticPr fontId="1"/>
  </si>
  <si>
    <t>環境を構築すると自動的にシステムバックアップが実行される。</t>
    <rPh sb="0" eb="2">
      <t>カンキョウ</t>
    </rPh>
    <rPh sb="3" eb="5">
      <t>コウチク</t>
    </rPh>
    <rPh sb="8" eb="11">
      <t>ジドウテキ</t>
    </rPh>
    <rPh sb="23" eb="25">
      <t>ジッコウ</t>
    </rPh>
    <phoneticPr fontId="1"/>
  </si>
  <si>
    <t>本資料ではデータバックアップでのデータ容量にまつわる部分のみ記載し、データバックアップの仕様については以下を参照する。</t>
    <rPh sb="0" eb="3">
      <t>ホンシリョウ</t>
    </rPh>
    <rPh sb="19" eb="21">
      <t>ヨウリョウ</t>
    </rPh>
    <rPh sb="26" eb="28">
      <t>ブブン</t>
    </rPh>
    <rPh sb="30" eb="32">
      <t>キサイ</t>
    </rPh>
    <phoneticPr fontId="1"/>
  </si>
  <si>
    <t>【サンスター様】バックアップについて.pptx</t>
    <phoneticPr fontId="1"/>
  </si>
  <si>
    <t>バックアップの使用容量について</t>
    <phoneticPr fontId="1"/>
  </si>
  <si>
    <t>自動バックアップ</t>
    <rPh sb="0" eb="2">
      <t>ジドウ</t>
    </rPh>
    <phoneticPr fontId="1"/>
  </si>
  <si>
    <t>FOの自動バックアップは15分に1回の頻度で自動取得されているが、ストレージ容量にはカウントされない。</t>
    <rPh sb="3" eb="5">
      <t>ジドウ</t>
    </rPh>
    <rPh sb="14" eb="15">
      <t>フン</t>
    </rPh>
    <rPh sb="17" eb="18">
      <t>カイ</t>
    </rPh>
    <rPh sb="19" eb="21">
      <t>ヒンド</t>
    </rPh>
    <rPh sb="22" eb="26">
      <t>ジドウシュトク</t>
    </rPh>
    <rPh sb="38" eb="40">
      <t>ヨウリョウ</t>
    </rPh>
    <phoneticPr fontId="1"/>
  </si>
  <si>
    <t>手動バックアップ</t>
    <rPh sb="0" eb="2">
      <t>シュドウ</t>
    </rPh>
    <phoneticPr fontId="1"/>
  </si>
  <si>
    <t>手動バックアップはLCSのAsset libraryに保存される。LCS自体に容量制限はなく、消費されるリソースもMicrosoftのシステムとなるため、</t>
    <rPh sb="0" eb="2">
      <t>シュドウ</t>
    </rPh>
    <rPh sb="27" eb="29">
      <t>ホゾン</t>
    </rPh>
    <rPh sb="36" eb="38">
      <t>ジタイ</t>
    </rPh>
    <rPh sb="39" eb="43">
      <t>ヨウリョウセイゲン</t>
    </rPh>
    <rPh sb="47" eb="49">
      <t>ショウヒ</t>
    </rPh>
    <phoneticPr fontId="1"/>
  </si>
  <si>
    <t>手動バックアップを取得したことによる容量消費やキャパシティアドオンの追加購入等は必要ない（2023/10/31時点）。</t>
    <rPh sb="0" eb="2">
      <t>シュドウ</t>
    </rPh>
    <rPh sb="9" eb="11">
      <t>シュトク</t>
    </rPh>
    <rPh sb="18" eb="22">
      <t>ヨウリョウショウヒ</t>
    </rPh>
    <rPh sb="34" eb="38">
      <t>ツイカコウニュウ</t>
    </rPh>
    <rPh sb="38" eb="39">
      <t>トウ</t>
    </rPh>
    <rPh sb="40" eb="42">
      <t>ヒツヨウ</t>
    </rPh>
    <rPh sb="55" eb="57">
      <t>ジテン</t>
    </rPh>
    <phoneticPr fontId="1"/>
  </si>
  <si>
    <t>ただしLCSの仕様として、Sandbox環境で手動バックアップを取得する際、バックアップファイル（bacpac）のサイズが50GBを超過するとバックアップできない。</t>
    <rPh sb="7" eb="9">
      <t>シヨウ</t>
    </rPh>
    <rPh sb="20" eb="22">
      <t>カンキョウ</t>
    </rPh>
    <rPh sb="23" eb="25">
      <t>シュドウ</t>
    </rPh>
    <rPh sb="32" eb="34">
      <t>シュトク</t>
    </rPh>
    <rPh sb="36" eb="37">
      <t>サイ</t>
    </rPh>
    <rPh sb="66" eb="68">
      <t>チョウカ</t>
    </rPh>
    <phoneticPr fontId="1"/>
  </si>
  <si>
    <t>超過していた場合は、手動バックアップを取得する前にクリーンアップ機能を使用し、Sandbox環境で削除できるデータを事前に削除する必要がある。</t>
    <rPh sb="0" eb="2">
      <t>チョウカ</t>
    </rPh>
    <rPh sb="6" eb="8">
      <t>バアイ</t>
    </rPh>
    <rPh sb="10" eb="12">
      <t>シュドウ</t>
    </rPh>
    <rPh sb="19" eb="21">
      <t>シュトク</t>
    </rPh>
    <rPh sb="23" eb="24">
      <t>マエ</t>
    </rPh>
    <rPh sb="46" eb="48">
      <t>カンキョウ</t>
    </rPh>
    <rPh sb="49" eb="51">
      <t>サクジョ</t>
    </rPh>
    <rPh sb="58" eb="60">
      <t>ジゼン</t>
    </rPh>
    <rPh sb="61" eb="63">
      <t>サクジョ</t>
    </rPh>
    <rPh sb="65" eb="67">
      <t>ヒツヨウ</t>
    </rPh>
    <phoneticPr fontId="1"/>
  </si>
  <si>
    <t>※参考：</t>
    <rPh sb="1" eb="3">
      <t>サンコウ</t>
    </rPh>
    <phoneticPr fontId="1"/>
  </si>
  <si>
    <t>https://learn.microsoft.com/ja-jp/dynamics365/fin-ops-core/dev-itpro/database/export-database#maximum-limit-50-gb-on-exported-bacpacs</t>
    <phoneticPr fontId="1"/>
  </si>
  <si>
    <t>データ長期保存の目的</t>
    <rPh sb="3" eb="7">
      <t>チョウキホゾン</t>
    </rPh>
    <rPh sb="8" eb="10">
      <t>モクテキ</t>
    </rPh>
    <phoneticPr fontId="1"/>
  </si>
  <si>
    <t>データ長期保存の目的は以下の通り。</t>
    <rPh sb="3" eb="7">
      <t>チョウキホゾン</t>
    </rPh>
    <rPh sb="8" eb="10">
      <t>モクテキ</t>
    </rPh>
    <rPh sb="11" eb="13">
      <t>イカ</t>
    </rPh>
    <rPh sb="14" eb="15">
      <t>トオ</t>
    </rPh>
    <phoneticPr fontId="1"/>
  </si>
  <si>
    <t>容量やパフォーマンスの観点からFOのデータをクリーンアップしたり他のストレージ領域（BI等）に移動させる際、その時点のデータを後々参照できるように退避しておく。</t>
    <rPh sb="0" eb="2">
      <t>ヨウリョウ</t>
    </rPh>
    <rPh sb="11" eb="13">
      <t>カンテン</t>
    </rPh>
    <rPh sb="32" eb="33">
      <t>ホカ</t>
    </rPh>
    <rPh sb="39" eb="41">
      <t>リョウイキ</t>
    </rPh>
    <rPh sb="44" eb="45">
      <t>トウ</t>
    </rPh>
    <rPh sb="47" eb="49">
      <t>イドウ</t>
    </rPh>
    <rPh sb="52" eb="53">
      <t>サイ</t>
    </rPh>
    <rPh sb="56" eb="58">
      <t>ジテン</t>
    </rPh>
    <rPh sb="63" eb="65">
      <t>ノチノチ</t>
    </rPh>
    <rPh sb="65" eb="67">
      <t>サンショウ</t>
    </rPh>
    <rPh sb="73" eb="75">
      <t>タイヒ</t>
    </rPh>
    <phoneticPr fontId="1"/>
  </si>
  <si>
    <t>→ユーザーからどのような過去データを参照したいかというリクエストが来るか想定できないため、対象テーブルやデータは絞らずその時点での環境すべてを参照できるようにしておく方針とする。</t>
    <rPh sb="12" eb="14">
      <t>カコ</t>
    </rPh>
    <rPh sb="18" eb="20">
      <t>サンショウ</t>
    </rPh>
    <rPh sb="33" eb="34">
      <t>ク</t>
    </rPh>
    <rPh sb="36" eb="38">
      <t>ソウテイ</t>
    </rPh>
    <rPh sb="45" eb="47">
      <t>タイショウ</t>
    </rPh>
    <rPh sb="56" eb="57">
      <t>シボ</t>
    </rPh>
    <rPh sb="61" eb="63">
      <t>ジテン</t>
    </rPh>
    <rPh sb="65" eb="67">
      <t>カンキョウ</t>
    </rPh>
    <rPh sb="71" eb="73">
      <t>サンショウ</t>
    </rPh>
    <rPh sb="83" eb="85">
      <t>ホウシン</t>
    </rPh>
    <phoneticPr fontId="1"/>
  </si>
  <si>
    <t>→以下に記載の通り、Sandbox環境でのバックアップを用いて長期保存に対応する想定のため、JBSの保守の範囲で対応する。</t>
    <rPh sb="1" eb="3">
      <t>イカ</t>
    </rPh>
    <rPh sb="4" eb="6">
      <t>キサイ</t>
    </rPh>
    <rPh sb="7" eb="8">
      <t>トオ</t>
    </rPh>
    <rPh sb="17" eb="19">
      <t>カンキョウ</t>
    </rPh>
    <rPh sb="28" eb="29">
      <t>モチ</t>
    </rPh>
    <rPh sb="31" eb="35">
      <t>チョウキホゾン</t>
    </rPh>
    <rPh sb="36" eb="38">
      <t>タイオウ</t>
    </rPh>
    <rPh sb="40" eb="42">
      <t>ソウテイ</t>
    </rPh>
    <rPh sb="50" eb="52">
      <t>ホシュ</t>
    </rPh>
    <rPh sb="53" eb="55">
      <t>ハンイ</t>
    </rPh>
    <rPh sb="56" eb="58">
      <t>タイオウ</t>
    </rPh>
    <phoneticPr fontId="1"/>
  </si>
  <si>
    <t>→改正電子帳簿保存法への対応については非機能要件定義書では扱わない。</t>
    <rPh sb="1" eb="3">
      <t>カイセイ</t>
    </rPh>
    <rPh sb="3" eb="5">
      <t>デンシ</t>
    </rPh>
    <rPh sb="5" eb="7">
      <t>チョウボ</t>
    </rPh>
    <rPh sb="7" eb="9">
      <t>ホゾン</t>
    </rPh>
    <rPh sb="9" eb="10">
      <t>ホウ</t>
    </rPh>
    <rPh sb="12" eb="14">
      <t>タイオウ</t>
    </rPh>
    <rPh sb="19" eb="20">
      <t>ヒ</t>
    </rPh>
    <rPh sb="20" eb="22">
      <t>キノウ</t>
    </rPh>
    <rPh sb="22" eb="24">
      <t>ヨウケン</t>
    </rPh>
    <rPh sb="24" eb="27">
      <t>テイギショ</t>
    </rPh>
    <rPh sb="29" eb="30">
      <t>アツカ</t>
    </rPh>
    <phoneticPr fontId="1"/>
  </si>
  <si>
    <t>販売はmcframe、購買側は楽楽精算のため、FOでは対応しない想定。BOXでの保管を検討中</t>
    <rPh sb="0" eb="2">
      <t>ハンバイ</t>
    </rPh>
    <rPh sb="11" eb="13">
      <t>コウバイ</t>
    </rPh>
    <rPh sb="13" eb="14">
      <t>ガワ</t>
    </rPh>
    <rPh sb="15" eb="17">
      <t>ラクラク</t>
    </rPh>
    <rPh sb="17" eb="19">
      <t>セイサン</t>
    </rPh>
    <rPh sb="27" eb="29">
      <t>タイオウ</t>
    </rPh>
    <rPh sb="32" eb="34">
      <t>ソウテイ</t>
    </rPh>
    <rPh sb="40" eb="42">
      <t>ホカン</t>
    </rPh>
    <rPh sb="43" eb="46">
      <t>ケントウチュウ</t>
    </rPh>
    <phoneticPr fontId="1"/>
  </si>
  <si>
    <t>FOでは添付ファイル保存はしない想定だが、「Azure Storage」を保存先としてパラメータを設定しておく</t>
    <rPh sb="4" eb="6">
      <t>テンプ</t>
    </rPh>
    <rPh sb="10" eb="12">
      <t>ホゾン</t>
    </rPh>
    <rPh sb="16" eb="18">
      <t>ソウテイ</t>
    </rPh>
    <rPh sb="39" eb="40">
      <t>サキ</t>
    </rPh>
    <rPh sb="50" eb="52">
      <t>セッテイ</t>
    </rPh>
    <phoneticPr fontId="1"/>
  </si>
  <si>
    <t>(FOとしては、保存先にSharepointサーバーも指定可能だが、FO管理者ユーザーにM365ライセンスが紐づかない想定のため、「Azure Storage」としている。)</t>
    <rPh sb="8" eb="11">
      <t>ホゾンサキ</t>
    </rPh>
    <rPh sb="27" eb="29">
      <t>シテイ</t>
    </rPh>
    <rPh sb="29" eb="31">
      <t>カノウ</t>
    </rPh>
    <rPh sb="36" eb="39">
      <t>カンリシャ</t>
    </rPh>
    <rPh sb="54" eb="55">
      <t>ヒモ</t>
    </rPh>
    <rPh sb="59" eb="61">
      <t>ソウテイ</t>
    </rPh>
    <phoneticPr fontId="1"/>
  </si>
  <si>
    <t>データ長期保存の実施概要</t>
    <rPh sb="3" eb="7">
      <t>チョウキホゾン</t>
    </rPh>
    <rPh sb="8" eb="10">
      <t>ジッシ</t>
    </rPh>
    <rPh sb="10" eb="12">
      <t>ガイヨウ</t>
    </rPh>
    <phoneticPr fontId="1"/>
  </si>
  <si>
    <t>1）データ長期保存を実施する頻度</t>
    <phoneticPr fontId="1"/>
  </si>
  <si>
    <t>データ長期保存の処置を実施するタイミングは以下の通り。</t>
    <rPh sb="3" eb="7">
      <t>チョウキホゾン</t>
    </rPh>
    <rPh sb="8" eb="10">
      <t>ショチ</t>
    </rPh>
    <rPh sb="11" eb="13">
      <t>ジッシ</t>
    </rPh>
    <rPh sb="21" eb="23">
      <t>イカ</t>
    </rPh>
    <rPh sb="24" eb="25">
      <t>トオ</t>
    </rPh>
    <phoneticPr fontId="1"/>
  </si>
  <si>
    <t>なお、実際のDB消費量やパフォーマンスの観点から間隔は増減する可能性がある。</t>
    <rPh sb="3" eb="5">
      <t>ジッサイ</t>
    </rPh>
    <rPh sb="8" eb="11">
      <t>ショウヒリョウ</t>
    </rPh>
    <rPh sb="20" eb="22">
      <t>カンテン</t>
    </rPh>
    <rPh sb="24" eb="26">
      <t>カンカク</t>
    </rPh>
    <rPh sb="27" eb="29">
      <t>ゾウゲン</t>
    </rPh>
    <rPh sb="31" eb="34">
      <t>カノウセイ</t>
    </rPh>
    <phoneticPr fontId="1"/>
  </si>
  <si>
    <t>データ長期保存実施頻度</t>
    <rPh sb="3" eb="7">
      <t>チョウキホゾン</t>
    </rPh>
    <rPh sb="7" eb="9">
      <t>ジッシ</t>
    </rPh>
    <rPh sb="9" eb="11">
      <t>ヒンド</t>
    </rPh>
    <phoneticPr fontId="20"/>
  </si>
  <si>
    <t>5年</t>
    <rPh sb="1" eb="2">
      <t>ネン</t>
    </rPh>
    <phoneticPr fontId="1"/>
  </si>
  <si>
    <t>長期保存</t>
    <phoneticPr fontId="1"/>
  </si>
  <si>
    <t>1）長期保存の手法</t>
    <rPh sb="2" eb="6">
      <t>チョウキホゾン</t>
    </rPh>
    <rPh sb="7" eb="9">
      <t>シュホウ</t>
    </rPh>
    <phoneticPr fontId="1"/>
  </si>
  <si>
    <r>
      <t>データそのものを長期保存するという観点から</t>
    </r>
    <r>
      <rPr>
        <b/>
        <sz val="11"/>
        <color theme="1"/>
        <rFont val="Meiryo UI"/>
        <family val="3"/>
        <charset val="128"/>
      </rPr>
      <t>"Sandbox環境でのバックアップ"</t>
    </r>
    <r>
      <rPr>
        <sz val="11"/>
        <color theme="1"/>
        <rFont val="Meiryo UI"/>
        <family val="3"/>
        <charset val="128"/>
      </rPr>
      <t>で対応する。</t>
    </r>
    <rPh sb="8" eb="12">
      <t>チョウキホゾン</t>
    </rPh>
    <rPh sb="17" eb="19">
      <t>カンテン</t>
    </rPh>
    <rPh sb="29" eb="31">
      <t>カンキョウ</t>
    </rPh>
    <rPh sb="41" eb="43">
      <t>タイオウ</t>
    </rPh>
    <phoneticPr fontId="1"/>
  </si>
  <si>
    <t>2）長期保存に用いる環境</t>
    <rPh sb="2" eb="6">
      <t>チョウキホゾン</t>
    </rPh>
    <rPh sb="7" eb="8">
      <t>モチ</t>
    </rPh>
    <rPh sb="10" eb="12">
      <t>カンキョウ</t>
    </rPh>
    <phoneticPr fontId="1"/>
  </si>
  <si>
    <t>長期保存には以下2つの環境を用いる。</t>
    <rPh sb="0" eb="4">
      <t>チョウキホゾン</t>
    </rPh>
    <rPh sb="6" eb="8">
      <t>イカ</t>
    </rPh>
    <rPh sb="11" eb="13">
      <t>カンキョウ</t>
    </rPh>
    <rPh sb="14" eb="15">
      <t>モチ</t>
    </rPh>
    <phoneticPr fontId="1"/>
  </si>
  <si>
    <t>ランニングコストを下げる観点から、データを参照するための環境（データ長期保存用環境）はクラウドホスト環境を用いる。</t>
    <rPh sb="9" eb="10">
      <t>サ</t>
    </rPh>
    <rPh sb="12" eb="14">
      <t>カンテン</t>
    </rPh>
    <rPh sb="21" eb="23">
      <t>サンショウ</t>
    </rPh>
    <rPh sb="28" eb="30">
      <t>カンキョウ</t>
    </rPh>
    <rPh sb="50" eb="52">
      <t>カンキョウ</t>
    </rPh>
    <rPh sb="53" eb="54">
      <t>モチ</t>
    </rPh>
    <phoneticPr fontId="1"/>
  </si>
  <si>
    <t>環境の種類</t>
    <rPh sb="0" eb="2">
      <t>カンキョウ</t>
    </rPh>
    <rPh sb="3" eb="5">
      <t>シュルイ</t>
    </rPh>
    <phoneticPr fontId="1"/>
  </si>
  <si>
    <t>使用用途</t>
    <rPh sb="0" eb="4">
      <t>シヨウヨウト</t>
    </rPh>
    <phoneticPr fontId="1"/>
  </si>
  <si>
    <t>Sandbox環境
（Tier2）</t>
    <rPh sb="7" eb="9">
      <t>カンキョウ</t>
    </rPh>
    <phoneticPr fontId="1"/>
  </si>
  <si>
    <t>本番環境のDBを取得するために使用。
また本番環境DB取得後、DBのbacpacファイルを作成するためにも使用する。</t>
    <rPh sb="0" eb="4">
      <t>ホンバンカンキョウ</t>
    </rPh>
    <rPh sb="8" eb="10">
      <t>シュトク</t>
    </rPh>
    <rPh sb="15" eb="17">
      <t>シヨウ</t>
    </rPh>
    <rPh sb="21" eb="23">
      <t>ホンバン</t>
    </rPh>
    <rPh sb="23" eb="25">
      <t>カンキョウ</t>
    </rPh>
    <rPh sb="27" eb="30">
      <t>シュトクゴ</t>
    </rPh>
    <rPh sb="45" eb="47">
      <t>サクセイ</t>
    </rPh>
    <rPh sb="53" eb="55">
      <t>シヨウ</t>
    </rPh>
    <phoneticPr fontId="1"/>
  </si>
  <si>
    <t>データ長期保存用環境
（クラウドホスト環境）</t>
    <rPh sb="3" eb="7">
      <t>チョウキホゾン</t>
    </rPh>
    <rPh sb="7" eb="10">
      <t>ヨウカンキョウ</t>
    </rPh>
    <rPh sb="19" eb="21">
      <t>カンキョウ</t>
    </rPh>
    <phoneticPr fontId="1"/>
  </si>
  <si>
    <t>データを参照するための参照専用環境。
Sandbox環境で取得した本番環境DBのbacpacファイルをリストアする。
クラウドホスト環境のため、データを参照する時のみ起動することでランニングコストを抑えることが可能。</t>
    <rPh sb="4" eb="6">
      <t>サンショウ</t>
    </rPh>
    <rPh sb="11" eb="17">
      <t>サンショウセンヨウカンキョウ</t>
    </rPh>
    <rPh sb="26" eb="28">
      <t>カンキョウ</t>
    </rPh>
    <rPh sb="29" eb="31">
      <t>シュトク</t>
    </rPh>
    <rPh sb="33" eb="35">
      <t>ホンバン</t>
    </rPh>
    <rPh sb="35" eb="37">
      <t>カンキョウ</t>
    </rPh>
    <rPh sb="66" eb="68">
      <t>カンキョウ</t>
    </rPh>
    <rPh sb="76" eb="78">
      <t>サンショウ</t>
    </rPh>
    <rPh sb="80" eb="81">
      <t>トキ</t>
    </rPh>
    <rPh sb="83" eb="85">
      <t>キドウ</t>
    </rPh>
    <rPh sb="99" eb="100">
      <t>オサ</t>
    </rPh>
    <rPh sb="105" eb="107">
      <t>カノウ</t>
    </rPh>
    <phoneticPr fontId="1"/>
  </si>
  <si>
    <t>3）留意点</t>
    <rPh sb="2" eb="5">
      <t>リュウイテン</t>
    </rPh>
    <phoneticPr fontId="1"/>
  </si>
  <si>
    <t>データ長期保存用環境ではAdminユーザー以外は全て参照専用のセキュリティロール（アドオンで作成）を付与し、システム管理者ロールを持つのはAdminユーザーのみとする。</t>
    <rPh sb="46" eb="48">
      <t>サクセイ</t>
    </rPh>
    <phoneticPr fontId="1"/>
  </si>
  <si>
    <t>「データ長期保存用環境の構築の流れ」のNo.5にて行うSandbox環境の手動バックアップの際、DBの容量が50GBを超過しているとバックアップ不可となる。</t>
    <rPh sb="25" eb="26">
      <t>オコナ</t>
    </rPh>
    <rPh sb="34" eb="36">
      <t>カンキョウ</t>
    </rPh>
    <rPh sb="37" eb="39">
      <t>シュドウ</t>
    </rPh>
    <rPh sb="46" eb="47">
      <t>サイ</t>
    </rPh>
    <rPh sb="51" eb="53">
      <t>ヨウリョウ</t>
    </rPh>
    <rPh sb="59" eb="61">
      <t>チョウカ</t>
    </rPh>
    <rPh sb="72" eb="74">
      <t>フカ</t>
    </rPh>
    <phoneticPr fontId="1"/>
  </si>
  <si>
    <t>そのため、データベースログやバッチログなと削除可能なデータを削除した上で手動バックアップを実施する。</t>
    <rPh sb="21" eb="25">
      <t>サクジョカノウ</t>
    </rPh>
    <rPh sb="30" eb="32">
      <t>サクジョ</t>
    </rPh>
    <rPh sb="34" eb="35">
      <t>ウエ</t>
    </rPh>
    <rPh sb="36" eb="38">
      <t>シュドウ</t>
    </rPh>
    <rPh sb="45" eb="47">
      <t>ジッシ</t>
    </rPh>
    <phoneticPr fontId="1"/>
  </si>
  <si>
    <t>データ長期保存用環境の構築の流れ</t>
    <phoneticPr fontId="1"/>
  </si>
  <si>
    <t>以下の流れでデータ長期保存用環境を構築する。</t>
    <phoneticPr fontId="1"/>
  </si>
  <si>
    <t>No.</t>
    <phoneticPr fontId="1"/>
  </si>
  <si>
    <t>作業内容</t>
    <rPh sb="0" eb="4">
      <t>サギョウナイヨウ</t>
    </rPh>
    <phoneticPr fontId="1"/>
  </si>
  <si>
    <t>CE</t>
    <phoneticPr fontId="1"/>
  </si>
  <si>
    <t>環境</t>
    <rPh sb="0" eb="2">
      <t>カンキョウ</t>
    </rPh>
    <phoneticPr fontId="1"/>
  </si>
  <si>
    <t>データ断面の決定</t>
    <rPh sb="3" eb="5">
      <t>ダンメン</t>
    </rPh>
    <rPh sb="6" eb="8">
      <t>ケッテイ</t>
    </rPh>
    <phoneticPr fontId="1"/>
  </si>
  <si>
    <t>本番環境のどの時刻の自動バックアップからDBを取得するか決定する。
※FOは15分間隔（毎時00分/15分/30分/45分）で時間を指定して復元できるのに対し、CEは時間を指定することができない。よって、CEで環境コピーを開始する時間を指定する必要がある。
※データ不整合を防ぐため、復元時間を指定する際はCE・FOともに同じ時間を指定する必要がある。</t>
    <phoneticPr fontId="1"/>
  </si>
  <si>
    <t>-</t>
    <phoneticPr fontId="1"/>
  </si>
  <si>
    <t>作業日程の調整</t>
    <rPh sb="0" eb="4">
      <t>サギョウニッテイ</t>
    </rPh>
    <rPh sb="5" eb="7">
      <t>チョウセイ</t>
    </rPh>
    <phoneticPr fontId="1"/>
  </si>
  <si>
    <t>作業実施日程を決定する。
データの不整合を避けるため、作業タイミングはFO同時に実施する。
※CEの環境コピーは時間を指定することができず、コピー作業開始時点の環境がコピーされるため、どのタイミングで作業を開始する必要があるか決定する。
※実際に作業を実施するタイミングは業務時間外とする。</t>
    <rPh sb="120" eb="122">
      <t>ジッサイ</t>
    </rPh>
    <rPh sb="123" eb="125">
      <t>サギョウ</t>
    </rPh>
    <rPh sb="126" eb="128">
      <t>ジッシ</t>
    </rPh>
    <rPh sb="136" eb="141">
      <t>ギョウムジカンガイ</t>
    </rPh>
    <phoneticPr fontId="1"/>
  </si>
  <si>
    <t>環境の準備</t>
    <phoneticPr fontId="1"/>
  </si>
  <si>
    <t>コピー先となるサンドボックス環境を作成する。</t>
    <phoneticPr fontId="1"/>
  </si>
  <si>
    <t>"長期保存に用いる環境" に記載の環境を構築する。
Sandbox環境については使用できる環境がない場合、新たに環境ライセンス（Tier2）が必要となる。
データ長期保存用環境はクラウドホスト環境となるため、LCSから構築する。</t>
    <phoneticPr fontId="1"/>
  </si>
  <si>
    <t>Sandbox環境
データ長期保存用環境</t>
    <rPh sb="7" eb="9">
      <t>カンキョウ</t>
    </rPh>
    <phoneticPr fontId="1"/>
  </si>
  <si>
    <t>Sandbox環境リストア実施</t>
    <phoneticPr fontId="1"/>
  </si>
  <si>
    <t>LCSでSandbox環境の詳細ページを開き、No.1で決定した時刻を指定して本番環境のDBをリストアする。
Sandbox環境ではダウンタイムが発生する（本番環境には影響なし）。</t>
    <phoneticPr fontId="1"/>
  </si>
  <si>
    <t>本番環境
Sandbox環境</t>
    <rPh sb="0" eb="4">
      <t>ホンバンカンキョウ</t>
    </rPh>
    <rPh sb="12" eb="14">
      <t>カンキョウ</t>
    </rPh>
    <phoneticPr fontId="1"/>
  </si>
  <si>
    <t>環境コピー実施</t>
    <rPh sb="0" eb="2">
      <t>カンキョウ</t>
    </rPh>
    <rPh sb="5" eb="7">
      <t>ジッシ</t>
    </rPh>
    <phoneticPr fontId="1"/>
  </si>
  <si>
    <t>本番環境をNo.3で作成した環境にコピーする。
データの不整合を避けるため、作業タイミングはLCSで指定した時刻と同時に実施する。また、作業時間は業務時間外とする。</t>
    <rPh sb="50" eb="52">
      <t>シテイ</t>
    </rPh>
    <rPh sb="54" eb="56">
      <t>ジコク</t>
    </rPh>
    <phoneticPr fontId="1"/>
  </si>
  <si>
    <t>本番環境
データ長期保存用環境</t>
    <phoneticPr fontId="1"/>
  </si>
  <si>
    <t>不要データの削除</t>
    <phoneticPr fontId="1"/>
  </si>
  <si>
    <t>DBの容量が50GBを超過している場合、データ長期保存用環境にリストアするためのバックアップの取得が不可となる。
そのため、データベースログやバッチログなと削除可能なデータをクリーンアップする。</t>
    <rPh sb="23" eb="25">
      <t>チョウキ</t>
    </rPh>
    <rPh sb="25" eb="30">
      <t>ホゾンヨウカンキョウ</t>
    </rPh>
    <rPh sb="47" eb="49">
      <t>シュトク</t>
    </rPh>
    <phoneticPr fontId="1"/>
  </si>
  <si>
    <t>Sandbox環境</t>
    <phoneticPr fontId="1"/>
  </si>
  <si>
    <t>Sandbox環境の
手動バックアップ</t>
    <phoneticPr fontId="1"/>
  </si>
  <si>
    <t>Sandbox環境を手動バックアップし、DBをbacpacファイルにエクスポートする。
エクスポートされたbacpacはLCSに保存される。</t>
    <phoneticPr fontId="1"/>
  </si>
  <si>
    <t>データ長期保存用環境
のリストア</t>
    <phoneticPr fontId="1"/>
  </si>
  <si>
    <t>No.7で取得したbacpacをデータ長期保存用環境にリストアする。</t>
    <phoneticPr fontId="1"/>
  </si>
  <si>
    <t>データ長期保存用環境</t>
    <phoneticPr fontId="1"/>
  </si>
  <si>
    <t>データ長期保存用環境
のユーザー設定</t>
    <phoneticPr fontId="1"/>
  </si>
  <si>
    <t>No.5作業後、データ長期保存用環境では自動的に管理者モードとなりシステム管理者以外ログインできない状態となっているため、管理者モードを無効化し、データを参照するユーザーのみを含んだセキュリティグループを設定する。</t>
    <phoneticPr fontId="1"/>
  </si>
  <si>
    <t>No.7作業後、データ長期保存用環境ではAdmin以外のユーザーは全て無効化されているため、データ長期保存用環境でデータを参照するユーザーのみ有効化する。
有効化したユーザーには参照専用のセキュリティロールを付与し、システム管理者ロールは剥奪する。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</si>
</sst>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d;@"/>
  </numFmts>
  <fonts count="44">
    <font>
      <sz val="11"/>
      <color theme="1"/>
      <name val="Meiryo UI"/>
      <family val="2"/>
      <charset val="128"/>
      <scheme val="minor"/>
    </font>
    <font>
      <sz val="6"/>
      <name val="Meiryo UI"/>
      <family val="2"/>
      <charset val="128"/>
      <scheme val="minor"/>
    </font>
    <font>
      <sz val="11"/>
      <color theme="1"/>
      <name val="Meiryo UI"/>
      <family val="2"/>
      <charset val="128"/>
      <scheme val="minor"/>
    </font>
    <font>
      <sz val="9"/>
      <color theme="1"/>
      <name val="メイリオ"/>
      <family val="2"/>
      <charset val="128"/>
    </font>
    <font>
      <sz val="6"/>
      <name val="ＭＳ Ｐゴシック"/>
      <family val="3"/>
      <charset val="128"/>
    </font>
    <font>
      <sz val="6"/>
      <name val="メイリオ"/>
      <family val="2"/>
      <charset val="128"/>
    </font>
    <font>
      <sz val="11"/>
      <color theme="1"/>
      <name val="メイリオ"/>
      <family val="3"/>
      <charset val="128"/>
    </font>
    <font>
      <sz val="11"/>
      <name val="メイリオ"/>
      <family val="3"/>
      <charset val="128"/>
    </font>
    <font>
      <sz val="11"/>
      <color theme="1"/>
      <name val="Meiryo UI"/>
      <family val="3"/>
      <charset val="128"/>
    </font>
    <font>
      <sz val="9"/>
      <color theme="1"/>
      <name val="Meiryo UI"/>
      <family val="3"/>
      <charset val="128"/>
    </font>
    <font>
      <sz val="10"/>
      <name val="Meiryo UI"/>
      <family val="3"/>
      <charset val="128"/>
    </font>
    <font>
      <sz val="14"/>
      <name val="Meiryo UI"/>
      <family val="3"/>
      <charset val="128"/>
    </font>
    <font>
      <b/>
      <sz val="20"/>
      <name val="Meiryo UI"/>
      <family val="3"/>
      <charset val="128"/>
    </font>
    <font>
      <b/>
      <sz val="18"/>
      <name val="Meiryo UI"/>
      <family val="3"/>
      <charset val="128"/>
    </font>
    <font>
      <b/>
      <sz val="16"/>
      <name val="Meiryo UI"/>
      <family val="3"/>
      <charset val="128"/>
    </font>
    <font>
      <sz val="11"/>
      <name val="Meiryo UI"/>
      <family val="3"/>
      <charset val="128"/>
    </font>
    <font>
      <sz val="11"/>
      <color indexed="8"/>
      <name val="メイリオ"/>
      <family val="3"/>
      <charset val="128"/>
    </font>
    <font>
      <sz val="11"/>
      <color indexed="8"/>
      <name val="Meiryo UI"/>
      <family val="3"/>
      <charset val="128"/>
    </font>
    <font>
      <u/>
      <sz val="11"/>
      <color theme="10"/>
      <name val="Meiryo UI"/>
      <family val="2"/>
      <charset val="128"/>
      <scheme val="minor"/>
    </font>
    <font>
      <sz val="11"/>
      <color theme="0"/>
      <name val="Meiryo UI"/>
      <family val="3"/>
      <charset val="128"/>
    </font>
    <font>
      <sz val="6"/>
      <name val="Meiryo UI"/>
      <family val="2"/>
      <charset val="128"/>
    </font>
    <font>
      <sz val="11"/>
      <color theme="1"/>
      <name val="Meiryo UI"/>
      <family val="3"/>
    </font>
    <font>
      <u/>
      <sz val="11"/>
      <color theme="10"/>
      <name val="Meiryo UI"/>
      <family val="3"/>
      <charset val="128"/>
      <scheme val="minor"/>
    </font>
    <font>
      <sz val="11"/>
      <color theme="0"/>
      <name val="Meiryo UI"/>
      <family val="3"/>
    </font>
    <font>
      <sz val="11"/>
      <name val="Meiryo UI"/>
      <family val="3"/>
      <charset val="128"/>
      <scheme val="minor"/>
    </font>
    <font>
      <sz val="11"/>
      <color theme="0"/>
      <name val="Meiryo UI"/>
      <family val="2"/>
      <charset val="128"/>
      <scheme val="minor"/>
    </font>
    <font>
      <sz val="11"/>
      <color theme="0"/>
      <name val="Meiryo UI"/>
      <family val="3"/>
      <charset val="128"/>
      <scheme val="minor"/>
    </font>
    <font>
      <sz val="11"/>
      <name val="Meiryo UI"/>
      <family val="2"/>
      <charset val="128"/>
      <scheme val="minor"/>
    </font>
    <font>
      <b/>
      <sz val="11"/>
      <color theme="1"/>
      <name val="Meiryo UI"/>
      <family val="3"/>
      <charset val="128"/>
    </font>
    <font>
      <sz val="11"/>
      <name val="Meiryo UI"/>
      <family val="3"/>
    </font>
    <font>
      <sz val="11"/>
      <color rgb="FFFF0000"/>
      <name val="Meiryo UI"/>
      <family val="2"/>
      <charset val="128"/>
      <scheme val="minor"/>
    </font>
    <font>
      <sz val="11"/>
      <color rgb="FFFF0000"/>
      <name val="Meiryo UI"/>
      <family val="3"/>
      <charset val="128"/>
      <scheme val="minor"/>
    </font>
    <font>
      <sz val="11"/>
      <color rgb="FFFF0000"/>
      <name val="Meiryo UI"/>
      <family val="3"/>
      <charset val="128"/>
    </font>
    <font>
      <sz val="11"/>
      <color theme="1"/>
      <name val="Meiryo UI"/>
      <family val="2"/>
      <scheme val="minor"/>
    </font>
    <font>
      <sz val="10"/>
      <color theme="0"/>
      <name val="Meiryo UI"/>
      <family val="3"/>
      <charset val="128"/>
    </font>
    <font>
      <sz val="6"/>
      <name val="Meiryo UI"/>
      <family val="3"/>
      <charset val="128"/>
      <scheme val="minor"/>
    </font>
    <font>
      <sz val="10"/>
      <color indexed="8"/>
      <name val="Meiryo UI"/>
      <family val="3"/>
      <charset val="128"/>
    </font>
    <font>
      <sz val="10"/>
      <color theme="1"/>
      <name val="Meiryo UI"/>
      <family val="3"/>
      <charset val="128"/>
    </font>
    <font>
      <sz val="9"/>
      <color rgb="FFFFFFFF"/>
      <name val="Meiryo UI"/>
      <family val="3"/>
      <charset val="128"/>
    </font>
    <font>
      <b/>
      <sz val="10"/>
      <color theme="0"/>
      <name val="Meiryo UI"/>
      <family val="3"/>
      <charset val="128"/>
    </font>
    <font>
      <sz val="6"/>
      <name val="ＭＳ ゴシック"/>
      <family val="3"/>
      <charset val="128"/>
    </font>
    <font>
      <b/>
      <sz val="10"/>
      <color theme="1"/>
      <name val="Meiryo UI"/>
      <family val="3"/>
      <charset val="128"/>
    </font>
    <font>
      <sz val="9"/>
      <color indexed="8"/>
      <name val="Meiryo UI"/>
      <family val="3"/>
      <charset val="128"/>
    </font>
    <font>
      <sz val="9"/>
      <name val="Meiryo UI"/>
      <family val="3"/>
      <charset val="128"/>
    </font>
  </fonts>
  <fills count="10">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
      <patternFill patternType="solid">
        <fgColor rgb="FFE2EFDA"/>
        <bgColor indexed="64"/>
      </patternFill>
    </fill>
    <fill>
      <patternFill patternType="solid">
        <fgColor rgb="FFFFF2CC"/>
        <bgColor indexed="64"/>
      </patternFill>
    </fill>
    <fill>
      <patternFill patternType="solid">
        <fgColor theme="4" tint="0.59999389629810485"/>
        <bgColor indexed="64"/>
      </patternFill>
    </fill>
    <fill>
      <patternFill patternType="solid">
        <fgColor theme="4" tint="-0.249977111117893"/>
        <bgColor indexed="64"/>
      </patternFill>
    </fill>
  </fills>
  <borders count="68">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diagonal/>
    </border>
    <border>
      <left style="thin">
        <color theme="0" tint="-0.499984740745262"/>
      </left>
      <right style="thin">
        <color theme="0" tint="-0.499984740745262"/>
      </right>
      <top style="medium">
        <color indexed="64"/>
      </top>
      <bottom/>
      <diagonal/>
    </border>
    <border>
      <left style="thin">
        <color theme="0" tint="-0.499984740745262"/>
      </left>
      <right style="medium">
        <color indexed="64"/>
      </right>
      <top style="medium">
        <color indexed="64"/>
      </top>
      <bottom/>
      <diagonal/>
    </border>
    <border>
      <left style="medium">
        <color indexed="64"/>
      </left>
      <right style="thin">
        <color theme="0" tint="-0.499984740745262"/>
      </right>
      <top style="medium">
        <color indexed="64"/>
      </top>
      <bottom style="medium">
        <color indexed="64"/>
      </bottom>
      <diagonal/>
    </border>
    <border>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medium">
        <color indexed="64"/>
      </top>
      <bottom style="thin">
        <color indexed="64"/>
      </bottom>
      <diagonal/>
    </border>
    <border>
      <left/>
      <right style="thin">
        <color theme="0" tint="-0.499984740745262"/>
      </right>
      <top style="medium">
        <color indexed="64"/>
      </top>
      <bottom style="thin">
        <color indexed="64"/>
      </bottom>
      <diagonal/>
    </border>
    <border>
      <left style="thin">
        <color theme="0" tint="-0.499984740745262"/>
      </left>
      <right style="thin">
        <color theme="0" tint="-0.499984740745262"/>
      </right>
      <top style="medium">
        <color indexed="64"/>
      </top>
      <bottom style="thin">
        <color indexed="64"/>
      </bottom>
      <diagonal/>
    </border>
    <border>
      <left style="thin">
        <color theme="0" tint="-0.499984740745262"/>
      </left>
      <right style="medium">
        <color indexed="64"/>
      </right>
      <top style="medium">
        <color indexed="64"/>
      </top>
      <bottom style="thin">
        <color indexed="64"/>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bottom style="thin">
        <color indexed="64"/>
      </bottom>
      <diagonal/>
    </border>
    <border>
      <left/>
      <right style="thin">
        <color theme="0" tint="-0.499984740745262"/>
      </right>
      <top/>
      <bottom style="thin">
        <color indexed="64"/>
      </bottom>
      <diagonal/>
    </border>
    <border>
      <left style="thin">
        <color theme="0" tint="-0.499984740745262"/>
      </left>
      <right style="thin">
        <color theme="0" tint="-0.499984740745262"/>
      </right>
      <top/>
      <bottom style="thin">
        <color indexed="64"/>
      </bottom>
      <diagonal/>
    </border>
    <border>
      <left style="thin">
        <color theme="0" tint="-0.499984740745262"/>
      </left>
      <right style="medium">
        <color indexed="64"/>
      </right>
      <top/>
      <bottom style="thin">
        <color indexed="64"/>
      </bottom>
      <diagonal/>
    </border>
    <border>
      <left style="thin">
        <color theme="0" tint="-0.499984740745262"/>
      </left>
      <right/>
      <top style="medium">
        <color indexed="64"/>
      </top>
      <bottom style="medium">
        <color indexed="64"/>
      </bottom>
      <diagonal/>
    </border>
    <border>
      <left style="medium">
        <color auto="1"/>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style="medium">
        <color indexed="64"/>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medium">
        <color auto="1"/>
      </left>
      <right style="thin">
        <color theme="0" tint="-0.499984740745262"/>
      </right>
      <top style="thin">
        <color theme="0" tint="-0.499984740745262"/>
      </top>
      <bottom style="thin">
        <color theme="0" tint="-0.499984740745262"/>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top style="thin">
        <color theme="0" tint="-0.499984740745262"/>
      </top>
      <bottom style="medium">
        <color indexed="64"/>
      </bottom>
      <diagonal/>
    </border>
    <border>
      <left/>
      <right/>
      <top style="thin">
        <color theme="0" tint="-0.499984740745262"/>
      </top>
      <bottom style="medium">
        <color indexed="64"/>
      </bottom>
      <diagonal/>
    </border>
    <border>
      <left/>
      <right style="thin">
        <color theme="0" tint="-0.499984740745262"/>
      </right>
      <top style="thin">
        <color theme="0" tint="-0.499984740745262"/>
      </top>
      <bottom style="medium">
        <color indexed="64"/>
      </bottom>
      <diagonal/>
    </border>
  </borders>
  <cellStyleXfs count="6">
    <xf numFmtId="0" fontId="0" fillId="0" borderId="0">
      <alignment vertical="center"/>
    </xf>
    <xf numFmtId="0" fontId="3" fillId="0" borderId="0">
      <alignment vertical="center"/>
    </xf>
    <xf numFmtId="0" fontId="2" fillId="0" borderId="0">
      <alignment vertical="center"/>
    </xf>
    <xf numFmtId="0" fontId="18" fillId="0" borderId="0" applyNumberFormat="0" applyFill="0" applyBorder="0" applyAlignment="0" applyProtection="0">
      <alignment vertical="center"/>
    </xf>
    <xf numFmtId="38" fontId="2" fillId="0" borderId="0" applyFont="0" applyFill="0" applyBorder="0" applyAlignment="0" applyProtection="0">
      <alignment vertical="center"/>
    </xf>
    <xf numFmtId="0" fontId="33" fillId="0" borderId="0"/>
  </cellStyleXfs>
  <cellXfs count="319">
    <xf numFmtId="0" fontId="0" fillId="0" borderId="0" xfId="0">
      <alignment vertical="center"/>
    </xf>
    <xf numFmtId="0" fontId="8" fillId="4" borderId="0" xfId="2" applyFont="1" applyFill="1">
      <alignment vertical="center"/>
    </xf>
    <xf numFmtId="0" fontId="9" fillId="4" borderId="0" xfId="1" applyFont="1" applyFill="1">
      <alignment vertical="center"/>
    </xf>
    <xf numFmtId="0" fontId="10" fillId="4" borderId="11" xfId="1" applyFont="1" applyFill="1" applyBorder="1">
      <alignment vertical="center"/>
    </xf>
    <xf numFmtId="0" fontId="10" fillId="4" borderId="12" xfId="1" applyFont="1" applyFill="1" applyBorder="1">
      <alignment vertical="center"/>
    </xf>
    <xf numFmtId="0" fontId="10" fillId="4" borderId="13" xfId="1" applyFont="1" applyFill="1" applyBorder="1">
      <alignment vertical="center"/>
    </xf>
    <xf numFmtId="0" fontId="10" fillId="4" borderId="14" xfId="1" applyFont="1" applyFill="1" applyBorder="1">
      <alignment vertical="center"/>
    </xf>
    <xf numFmtId="0" fontId="10" fillId="4" borderId="0" xfId="1" applyFont="1" applyFill="1">
      <alignment vertical="center"/>
    </xf>
    <xf numFmtId="0" fontId="11" fillId="4" borderId="0" xfId="1" applyFont="1" applyFill="1">
      <alignment vertical="center"/>
    </xf>
    <xf numFmtId="0" fontId="10" fillId="4" borderId="15" xfId="1" applyFont="1" applyFill="1" applyBorder="1">
      <alignment vertical="center"/>
    </xf>
    <xf numFmtId="0" fontId="13" fillId="4" borderId="0" xfId="1" applyFont="1" applyFill="1">
      <alignment vertical="center"/>
    </xf>
    <xf numFmtId="0" fontId="15" fillId="4" borderId="0" xfId="1" applyFont="1" applyFill="1" applyAlignment="1"/>
    <xf numFmtId="0" fontId="15" fillId="4" borderId="14" xfId="1" applyFont="1" applyFill="1" applyBorder="1" applyAlignment="1"/>
    <xf numFmtId="0" fontId="10" fillId="4" borderId="0" xfId="1" applyFont="1" applyFill="1" applyAlignment="1">
      <alignment horizontal="center" vertical="center"/>
    </xf>
    <xf numFmtId="0" fontId="10" fillId="4" borderId="0" xfId="1" applyFont="1" applyFill="1" applyAlignment="1">
      <alignment horizontal="center" vertical="center" wrapText="1"/>
    </xf>
    <xf numFmtId="0" fontId="10" fillId="4" borderId="16" xfId="1" applyFont="1" applyFill="1" applyBorder="1">
      <alignment vertical="center"/>
    </xf>
    <xf numFmtId="0" fontId="10" fillId="4" borderId="17" xfId="1" applyFont="1" applyFill="1" applyBorder="1">
      <alignment vertical="center"/>
    </xf>
    <xf numFmtId="0" fontId="10" fillId="4" borderId="17" xfId="1" applyFont="1" applyFill="1" applyBorder="1" applyAlignment="1">
      <alignment horizontal="center" vertical="center"/>
    </xf>
    <xf numFmtId="0" fontId="10" fillId="4" borderId="17" xfId="1" applyFont="1" applyFill="1" applyBorder="1" applyAlignment="1">
      <alignment vertical="center" wrapText="1"/>
    </xf>
    <xf numFmtId="0" fontId="15" fillId="4" borderId="17" xfId="1" applyFont="1" applyFill="1" applyBorder="1">
      <alignment vertical="center"/>
    </xf>
    <xf numFmtId="0" fontId="10" fillId="4" borderId="18" xfId="1" applyFont="1" applyFill="1" applyBorder="1">
      <alignment vertical="center"/>
    </xf>
    <xf numFmtId="0" fontId="8" fillId="0" borderId="0" xfId="0" applyFont="1">
      <alignment vertical="center"/>
    </xf>
    <xf numFmtId="0" fontId="18" fillId="0" borderId="0" xfId="3">
      <alignment vertical="center"/>
    </xf>
    <xf numFmtId="0" fontId="21" fillId="0" borderId="0" xfId="0" applyFont="1">
      <alignment vertical="center"/>
    </xf>
    <xf numFmtId="0" fontId="22" fillId="0" borderId="0" xfId="3" applyFont="1">
      <alignment vertical="center"/>
    </xf>
    <xf numFmtId="0" fontId="8" fillId="0" borderId="19" xfId="0" applyFont="1" applyBorder="1">
      <alignment vertical="center"/>
    </xf>
    <xf numFmtId="0" fontId="21" fillId="0" borderId="19" xfId="0" applyFont="1" applyBorder="1">
      <alignment vertical="center"/>
    </xf>
    <xf numFmtId="0" fontId="8" fillId="0" borderId="0" xfId="0" applyFont="1" applyAlignment="1">
      <alignment horizontal="center" vertical="center"/>
    </xf>
    <xf numFmtId="0" fontId="21" fillId="0" borderId="0" xfId="0" applyFont="1" applyAlignment="1">
      <alignment horizontal="center" vertical="center"/>
    </xf>
    <xf numFmtId="0" fontId="27" fillId="0" borderId="0" xfId="3" applyFont="1">
      <alignment vertical="center"/>
    </xf>
    <xf numFmtId="0" fontId="22" fillId="0" borderId="0" xfId="3" applyFont="1" applyFill="1">
      <alignment vertical="center"/>
    </xf>
    <xf numFmtId="0" fontId="31" fillId="0" borderId="0" xfId="0" applyFont="1">
      <alignment vertical="center"/>
    </xf>
    <xf numFmtId="0" fontId="32" fillId="0" borderId="0" xfId="0" applyFont="1">
      <alignment vertical="center"/>
    </xf>
    <xf numFmtId="0" fontId="8" fillId="0" borderId="0" xfId="5" applyFont="1" applyAlignment="1">
      <alignment vertical="center"/>
    </xf>
    <xf numFmtId="0" fontId="10" fillId="0" borderId="0" xfId="5" applyFont="1" applyAlignment="1">
      <alignment vertical="center"/>
    </xf>
    <xf numFmtId="0" fontId="37" fillId="0" borderId="12" xfId="5" applyFont="1" applyBorder="1" applyAlignment="1">
      <alignment vertical="center"/>
    </xf>
    <xf numFmtId="0" fontId="38" fillId="0" borderId="0" xfId="5" applyFont="1" applyAlignment="1">
      <alignment vertical="center"/>
    </xf>
    <xf numFmtId="0" fontId="37" fillId="0" borderId="0" xfId="5" applyFont="1" applyAlignment="1">
      <alignment vertical="center"/>
    </xf>
    <xf numFmtId="0" fontId="41" fillId="0" borderId="0" xfId="5" applyFont="1" applyAlignment="1">
      <alignment vertical="center"/>
    </xf>
    <xf numFmtId="0" fontId="31" fillId="7" borderId="21" xfId="0" applyFont="1" applyFill="1" applyBorder="1" applyAlignment="1">
      <alignment horizontal="left" vertical="center"/>
    </xf>
    <xf numFmtId="0" fontId="31" fillId="7" borderId="22" xfId="0" applyFont="1" applyFill="1" applyBorder="1" applyAlignment="1">
      <alignment horizontal="left" vertical="center"/>
    </xf>
    <xf numFmtId="0" fontId="31" fillId="7" borderId="23" xfId="0" applyFont="1" applyFill="1" applyBorder="1" applyAlignment="1">
      <alignment horizontal="left" vertical="center"/>
    </xf>
    <xf numFmtId="0" fontId="14" fillId="4" borderId="14" xfId="1" applyFont="1" applyFill="1" applyBorder="1" applyAlignment="1">
      <alignment horizontal="center" vertical="center"/>
    </xf>
    <xf numFmtId="0" fontId="14" fillId="4" borderId="0" xfId="1" applyFont="1" applyFill="1" applyAlignment="1">
      <alignment horizontal="center" vertical="center"/>
    </xf>
    <xf numFmtId="0" fontId="14" fillId="4" borderId="15" xfId="1" applyFont="1" applyFill="1" applyBorder="1" applyAlignment="1">
      <alignment horizontal="center" vertical="center"/>
    </xf>
    <xf numFmtId="0" fontId="12" fillId="4" borderId="11" xfId="1" applyFont="1" applyFill="1" applyBorder="1" applyAlignment="1">
      <alignment horizontal="center" vertical="center" wrapText="1"/>
    </xf>
    <xf numFmtId="0" fontId="12" fillId="4" borderId="12" xfId="1" applyFont="1" applyFill="1" applyBorder="1" applyAlignment="1">
      <alignment horizontal="center" vertical="center" wrapText="1"/>
    </xf>
    <xf numFmtId="0" fontId="12" fillId="4" borderId="13" xfId="1" applyFont="1" applyFill="1" applyBorder="1" applyAlignment="1">
      <alignment horizontal="center" vertical="center" wrapText="1"/>
    </xf>
    <xf numFmtId="0" fontId="12" fillId="4" borderId="14" xfId="1" applyFont="1" applyFill="1" applyBorder="1" applyAlignment="1">
      <alignment horizontal="center" vertical="center" wrapText="1"/>
    </xf>
    <xf numFmtId="0" fontId="12" fillId="4" borderId="0" xfId="1" applyFont="1" applyFill="1" applyAlignment="1">
      <alignment horizontal="center" vertical="center" wrapText="1"/>
    </xf>
    <xf numFmtId="0" fontId="12" fillId="4" borderId="15" xfId="1" applyFont="1" applyFill="1" applyBorder="1" applyAlignment="1">
      <alignment horizontal="center" vertical="center" wrapText="1"/>
    </xf>
    <xf numFmtId="0" fontId="12" fillId="4" borderId="14" xfId="1" applyFont="1" applyFill="1" applyBorder="1" applyAlignment="1">
      <alignment horizontal="center" vertical="center"/>
    </xf>
    <xf numFmtId="0" fontId="12" fillId="4" borderId="0" xfId="1" applyFont="1" applyFill="1" applyAlignment="1">
      <alignment horizontal="center" vertical="center"/>
    </xf>
    <xf numFmtId="0" fontId="12" fillId="4" borderId="15" xfId="1" applyFont="1" applyFill="1" applyBorder="1" applyAlignment="1">
      <alignment horizontal="center" vertical="center"/>
    </xf>
    <xf numFmtId="0" fontId="12" fillId="4" borderId="16" xfId="1" applyFont="1" applyFill="1" applyBorder="1" applyAlignment="1">
      <alignment horizontal="center" vertical="center"/>
    </xf>
    <xf numFmtId="0" fontId="12" fillId="4" borderId="17" xfId="1" applyFont="1" applyFill="1" applyBorder="1" applyAlignment="1">
      <alignment horizontal="center" vertical="center"/>
    </xf>
    <xf numFmtId="0" fontId="12" fillId="4" borderId="18" xfId="1" applyFont="1" applyFill="1" applyBorder="1" applyAlignment="1">
      <alignment horizontal="center" vertical="center"/>
    </xf>
    <xf numFmtId="14" fontId="14" fillId="4" borderId="14" xfId="1" applyNumberFormat="1" applyFont="1" applyFill="1" applyBorder="1" applyAlignment="1">
      <alignment horizontal="center" vertical="center"/>
    </xf>
    <xf numFmtId="14" fontId="42" fillId="4" borderId="51" xfId="1" applyNumberFormat="1" applyFont="1" applyFill="1" applyBorder="1" applyAlignment="1">
      <alignment horizontal="left" vertical="center"/>
    </xf>
    <xf numFmtId="14" fontId="42" fillId="4" borderId="52" xfId="1" applyNumberFormat="1" applyFont="1" applyFill="1" applyBorder="1" applyAlignment="1">
      <alignment horizontal="left" vertical="center"/>
    </xf>
    <xf numFmtId="14" fontId="42" fillId="4" borderId="65" xfId="1" applyNumberFormat="1" applyFont="1" applyFill="1" applyBorder="1" applyAlignment="1">
      <alignment horizontal="left" vertical="center"/>
    </xf>
    <xf numFmtId="0" fontId="42" fillId="4" borderId="51" xfId="1" applyFont="1" applyFill="1" applyBorder="1" applyAlignment="1">
      <alignment horizontal="left" vertical="center"/>
    </xf>
    <xf numFmtId="0" fontId="42" fillId="4" borderId="52" xfId="1" applyFont="1" applyFill="1" applyBorder="1" applyAlignment="1">
      <alignment horizontal="left" vertical="center"/>
    </xf>
    <xf numFmtId="0" fontId="42" fillId="4" borderId="53" xfId="1" applyFont="1" applyFill="1" applyBorder="1" applyAlignment="1">
      <alignment horizontal="left" vertical="center"/>
    </xf>
    <xf numFmtId="0" fontId="42" fillId="4" borderId="51" xfId="1" applyFont="1" applyFill="1" applyBorder="1" applyAlignment="1">
      <alignment horizontal="center" vertical="center" wrapText="1"/>
    </xf>
    <xf numFmtId="0" fontId="42" fillId="4" borderId="52" xfId="1" applyFont="1" applyFill="1" applyBorder="1" applyAlignment="1">
      <alignment horizontal="center" vertical="center" wrapText="1"/>
    </xf>
    <xf numFmtId="0" fontId="42" fillId="4" borderId="53" xfId="1" applyFont="1" applyFill="1" applyBorder="1" applyAlignment="1">
      <alignment horizontal="center" vertical="center" wrapText="1"/>
    </xf>
    <xf numFmtId="49" fontId="42" fillId="4" borderId="67" xfId="1" applyNumberFormat="1" applyFont="1" applyFill="1" applyBorder="1" applyAlignment="1">
      <alignment horizontal="center" vertical="center"/>
    </xf>
    <xf numFmtId="49" fontId="42" fillId="4" borderId="52" xfId="1" applyNumberFormat="1" applyFont="1" applyFill="1" applyBorder="1" applyAlignment="1">
      <alignment horizontal="center" vertical="center"/>
    </xf>
    <xf numFmtId="49" fontId="42" fillId="4" borderId="53" xfId="1" applyNumberFormat="1" applyFont="1" applyFill="1" applyBorder="1" applyAlignment="1">
      <alignment horizontal="center" vertical="center"/>
    </xf>
    <xf numFmtId="14" fontId="42" fillId="4" borderId="63" xfId="1" applyNumberFormat="1" applyFont="1" applyFill="1" applyBorder="1" applyAlignment="1">
      <alignment horizontal="left" vertical="center"/>
    </xf>
    <xf numFmtId="14" fontId="42" fillId="4" borderId="1" xfId="1" applyNumberFormat="1" applyFont="1" applyFill="1" applyBorder="1" applyAlignment="1">
      <alignment horizontal="left" vertical="center"/>
    </xf>
    <xf numFmtId="14" fontId="42" fillId="4" borderId="2" xfId="1" applyNumberFormat="1" applyFont="1" applyFill="1" applyBorder="1" applyAlignment="1">
      <alignment horizontal="left" vertical="center"/>
    </xf>
    <xf numFmtId="0" fontId="42" fillId="4" borderId="63" xfId="1" applyFont="1" applyFill="1" applyBorder="1" applyAlignment="1">
      <alignment horizontal="left" vertical="center"/>
    </xf>
    <xf numFmtId="0" fontId="42" fillId="4" borderId="1" xfId="1" applyFont="1" applyFill="1" applyBorder="1" applyAlignment="1">
      <alignment horizontal="left" vertical="center"/>
    </xf>
    <xf numFmtId="0" fontId="42" fillId="4" borderId="64" xfId="1" applyFont="1" applyFill="1" applyBorder="1" applyAlignment="1">
      <alignment horizontal="left" vertical="center"/>
    </xf>
    <xf numFmtId="0" fontId="42" fillId="4" borderId="3" xfId="1" applyFont="1" applyFill="1" applyBorder="1" applyAlignment="1">
      <alignment vertical="center" wrapText="1"/>
    </xf>
    <xf numFmtId="0" fontId="42" fillId="4" borderId="63" xfId="1" applyFont="1" applyFill="1" applyBorder="1" applyAlignment="1">
      <alignment horizontal="center" vertical="center" wrapText="1"/>
    </xf>
    <xf numFmtId="0" fontId="42" fillId="4" borderId="1" xfId="1" applyFont="1" applyFill="1" applyBorder="1" applyAlignment="1">
      <alignment horizontal="center" vertical="center" wrapText="1"/>
    </xf>
    <xf numFmtId="0" fontId="42" fillId="4" borderId="64" xfId="1" applyFont="1" applyFill="1" applyBorder="1" applyAlignment="1">
      <alignment horizontal="center" vertical="center" wrapText="1"/>
    </xf>
    <xf numFmtId="49" fontId="42" fillId="4" borderId="4" xfId="1" applyNumberFormat="1" applyFont="1" applyFill="1" applyBorder="1" applyAlignment="1">
      <alignment horizontal="center" vertical="center"/>
    </xf>
    <xf numFmtId="49" fontId="42" fillId="4" borderId="1" xfId="1" applyNumberFormat="1" applyFont="1" applyFill="1" applyBorder="1" applyAlignment="1">
      <alignment horizontal="center" vertical="center"/>
    </xf>
    <xf numFmtId="49" fontId="42" fillId="4" borderId="64" xfId="1" applyNumberFormat="1" applyFont="1" applyFill="1" applyBorder="1" applyAlignment="1">
      <alignment horizontal="center" vertical="center"/>
    </xf>
    <xf numFmtId="0" fontId="43" fillId="4" borderId="3" xfId="1" applyFont="1" applyFill="1" applyBorder="1" applyAlignment="1">
      <alignment vertical="center" wrapText="1"/>
    </xf>
    <xf numFmtId="14" fontId="42" fillId="4" borderId="59" xfId="1" applyNumberFormat="1" applyFont="1" applyFill="1" applyBorder="1" applyAlignment="1">
      <alignment horizontal="left" vertical="center"/>
    </xf>
    <xf numFmtId="14" fontId="42" fillId="4" borderId="60" xfId="1" applyNumberFormat="1" applyFont="1" applyFill="1" applyBorder="1" applyAlignment="1">
      <alignment horizontal="left" vertical="center"/>
    </xf>
    <xf numFmtId="14" fontId="42" fillId="4" borderId="8" xfId="1" applyNumberFormat="1" applyFont="1" applyFill="1" applyBorder="1" applyAlignment="1">
      <alignment horizontal="left" vertical="center"/>
    </xf>
    <xf numFmtId="0" fontId="42" fillId="4" borderId="59" xfId="1" applyFont="1" applyFill="1" applyBorder="1" applyAlignment="1">
      <alignment horizontal="left" vertical="center"/>
    </xf>
    <xf numFmtId="0" fontId="42" fillId="4" borderId="9" xfId="1" applyFont="1" applyFill="1" applyBorder="1" applyAlignment="1">
      <alignment horizontal="left" vertical="center"/>
    </xf>
    <xf numFmtId="0" fontId="42" fillId="4" borderId="61" xfId="1" applyFont="1" applyFill="1" applyBorder="1" applyAlignment="1">
      <alignment horizontal="left" vertical="center"/>
    </xf>
    <xf numFmtId="0" fontId="42" fillId="4" borderId="59" xfId="1" applyFont="1" applyFill="1" applyBorder="1" applyAlignment="1">
      <alignment horizontal="center" vertical="center" wrapText="1"/>
    </xf>
    <xf numFmtId="0" fontId="42" fillId="4" borderId="60" xfId="1" applyFont="1" applyFill="1" applyBorder="1" applyAlignment="1">
      <alignment horizontal="center" vertical="center" wrapText="1"/>
    </xf>
    <xf numFmtId="0" fontId="42" fillId="4" borderId="62" xfId="1" applyFont="1" applyFill="1" applyBorder="1" applyAlignment="1">
      <alignment horizontal="center" vertical="center" wrapText="1"/>
    </xf>
    <xf numFmtId="49" fontId="42" fillId="4" borderId="10" xfId="1" applyNumberFormat="1" applyFont="1" applyFill="1" applyBorder="1" applyAlignment="1">
      <alignment horizontal="center" vertical="center"/>
    </xf>
    <xf numFmtId="49" fontId="42" fillId="4" borderId="60" xfId="1" applyNumberFormat="1" applyFont="1" applyFill="1" applyBorder="1" applyAlignment="1">
      <alignment horizontal="center" vertical="center"/>
    </xf>
    <xf numFmtId="49" fontId="42" fillId="4" borderId="62" xfId="1" applyNumberFormat="1" applyFont="1" applyFill="1" applyBorder="1" applyAlignment="1">
      <alignment horizontal="center" vertical="center"/>
    </xf>
    <xf numFmtId="0" fontId="42" fillId="4" borderId="63" xfId="1" applyFont="1" applyFill="1" applyBorder="1" applyAlignment="1">
      <alignment horizontal="left" vertical="center" wrapText="1"/>
    </xf>
    <xf numFmtId="164" fontId="10" fillId="4" borderId="45" xfId="1" applyNumberFormat="1" applyFont="1" applyFill="1" applyBorder="1" applyAlignment="1">
      <alignment horizontal="center" vertical="center"/>
    </xf>
    <xf numFmtId="164" fontId="10" fillId="4" borderId="46" xfId="1" applyNumberFormat="1" applyFont="1" applyFill="1" applyBorder="1" applyAlignment="1">
      <alignment horizontal="center" vertical="center"/>
    </xf>
    <xf numFmtId="0" fontId="10" fillId="4" borderId="47" xfId="1" applyFont="1" applyFill="1" applyBorder="1" applyAlignment="1">
      <alignment horizontal="center" vertical="center"/>
    </xf>
    <xf numFmtId="0" fontId="10" fillId="4" borderId="48" xfId="1" applyFont="1" applyFill="1" applyBorder="1" applyAlignment="1">
      <alignment horizontal="center" vertical="center"/>
    </xf>
    <xf numFmtId="0" fontId="10" fillId="4" borderId="49" xfId="1" applyFont="1" applyFill="1" applyBorder="1" applyAlignment="1">
      <alignment horizontal="center" vertical="center"/>
    </xf>
    <xf numFmtId="0" fontId="10" fillId="4" borderId="50" xfId="1" applyFont="1" applyFill="1" applyBorder="1" applyAlignment="1">
      <alignment horizontal="center" vertical="center"/>
    </xf>
    <xf numFmtId="0" fontId="36" fillId="4" borderId="51" xfId="1" applyFont="1" applyFill="1" applyBorder="1" applyAlignment="1">
      <alignment horizontal="center" vertical="center"/>
    </xf>
    <xf numFmtId="0" fontId="36" fillId="4" borderId="52" xfId="1" applyFont="1" applyFill="1" applyBorder="1" applyAlignment="1">
      <alignment horizontal="center" vertical="center"/>
    </xf>
    <xf numFmtId="164" fontId="10" fillId="4" borderId="52" xfId="1" applyNumberFormat="1" applyFont="1" applyFill="1" applyBorder="1" applyAlignment="1">
      <alignment horizontal="center" vertical="center"/>
    </xf>
    <xf numFmtId="164" fontId="10" fillId="4" borderId="53" xfId="1" applyNumberFormat="1" applyFont="1" applyFill="1" applyBorder="1" applyAlignment="1">
      <alignment horizontal="center" vertical="center"/>
    </xf>
    <xf numFmtId="0" fontId="10" fillId="4" borderId="54" xfId="1" applyFont="1" applyFill="1" applyBorder="1" applyAlignment="1">
      <alignment horizontal="center" vertical="center"/>
    </xf>
    <xf numFmtId="0" fontId="10" fillId="4" borderId="55" xfId="1" applyFont="1" applyFill="1" applyBorder="1" applyAlignment="1">
      <alignment horizontal="center" vertical="center"/>
    </xf>
    <xf numFmtId="0" fontId="10" fillId="4" borderId="56" xfId="1" applyFont="1" applyFill="1" applyBorder="1" applyAlignment="1">
      <alignment horizontal="center" vertical="center"/>
    </xf>
    <xf numFmtId="0" fontId="10" fillId="4" borderId="57" xfId="1" applyFont="1" applyFill="1" applyBorder="1" applyAlignment="1">
      <alignment horizontal="center" vertical="center"/>
    </xf>
    <xf numFmtId="0" fontId="39" fillId="9" borderId="40" xfId="1" applyFont="1" applyFill="1" applyBorder="1" applyAlignment="1">
      <alignment horizontal="center" vertical="center"/>
    </xf>
    <xf numFmtId="0" fontId="39" fillId="9" borderId="42" xfId="1" applyFont="1" applyFill="1" applyBorder="1" applyAlignment="1">
      <alignment horizontal="center" vertical="center"/>
    </xf>
    <xf numFmtId="0" fontId="39" fillId="9" borderId="58" xfId="1" applyFont="1" applyFill="1" applyBorder="1" applyAlignment="1">
      <alignment horizontal="center" vertical="center"/>
    </xf>
    <xf numFmtId="0" fontId="39" fillId="9" borderId="34" xfId="1" applyFont="1" applyFill="1" applyBorder="1" applyAlignment="1">
      <alignment horizontal="center" vertical="center"/>
    </xf>
    <xf numFmtId="0" fontId="39" fillId="9" borderId="35" xfId="1" applyFont="1" applyFill="1" applyBorder="1" applyAlignment="1">
      <alignment horizontal="center" vertical="center"/>
    </xf>
    <xf numFmtId="0" fontId="39" fillId="9" borderId="36" xfId="1" applyFont="1" applyFill="1" applyBorder="1" applyAlignment="1">
      <alignment horizontal="center" vertical="center"/>
    </xf>
    <xf numFmtId="0" fontId="39" fillId="9" borderId="43" xfId="1" applyFont="1" applyFill="1" applyBorder="1" applyAlignment="1">
      <alignment horizontal="center" vertical="center"/>
    </xf>
    <xf numFmtId="0" fontId="39" fillId="9" borderId="41" xfId="1" applyFont="1" applyFill="1" applyBorder="1" applyAlignment="1">
      <alignment horizontal="center" vertical="center"/>
    </xf>
    <xf numFmtId="0" fontId="34" fillId="9" borderId="11" xfId="5" applyFont="1" applyFill="1" applyBorder="1" applyAlignment="1">
      <alignment horizontal="center" vertical="center" wrapText="1"/>
    </xf>
    <xf numFmtId="0" fontId="34" fillId="9" borderId="12" xfId="5" applyFont="1" applyFill="1" applyBorder="1" applyAlignment="1">
      <alignment horizontal="center" vertical="center" wrapText="1"/>
    </xf>
    <xf numFmtId="0" fontId="34" fillId="9" borderId="13" xfId="5" applyFont="1" applyFill="1" applyBorder="1" applyAlignment="1">
      <alignment horizontal="center" vertical="center" wrapText="1"/>
    </xf>
    <xf numFmtId="0" fontId="34" fillId="9" borderId="14" xfId="5" applyFont="1" applyFill="1" applyBorder="1" applyAlignment="1">
      <alignment horizontal="center" vertical="center" wrapText="1"/>
    </xf>
    <xf numFmtId="0" fontId="34" fillId="9" borderId="0" xfId="5" applyFont="1" applyFill="1" applyAlignment="1">
      <alignment horizontal="center" vertical="center" wrapText="1"/>
    </xf>
    <xf numFmtId="0" fontId="34" fillId="9" borderId="15" xfId="5" applyFont="1" applyFill="1" applyBorder="1" applyAlignment="1">
      <alignment horizontal="center" vertical="center" wrapText="1"/>
    </xf>
    <xf numFmtId="0" fontId="34" fillId="9" borderId="16" xfId="5" applyFont="1" applyFill="1" applyBorder="1" applyAlignment="1">
      <alignment horizontal="center" vertical="center" wrapText="1"/>
    </xf>
    <xf numFmtId="0" fontId="34" fillId="9" borderId="17" xfId="5" applyFont="1" applyFill="1" applyBorder="1" applyAlignment="1">
      <alignment horizontal="center" vertical="center" wrapText="1"/>
    </xf>
    <xf numFmtId="0" fontId="34" fillId="9" borderId="18" xfId="5" applyFont="1" applyFill="1" applyBorder="1" applyAlignment="1">
      <alignment horizontal="center" vertical="center" wrapText="1"/>
    </xf>
    <xf numFmtId="0" fontId="34" fillId="9" borderId="34" xfId="5" applyFont="1" applyFill="1" applyBorder="1" applyAlignment="1">
      <alignment horizontal="center" vertical="center"/>
    </xf>
    <xf numFmtId="0" fontId="34" fillId="9" borderId="35" xfId="5" applyFont="1" applyFill="1" applyBorder="1" applyAlignment="1">
      <alignment horizontal="center" vertical="center"/>
    </xf>
    <xf numFmtId="0" fontId="34" fillId="9" borderId="36" xfId="5" applyFont="1" applyFill="1" applyBorder="1" applyAlignment="1">
      <alignment horizontal="center" vertical="center"/>
    </xf>
    <xf numFmtId="0" fontId="34" fillId="9" borderId="11" xfId="5" applyFont="1" applyFill="1" applyBorder="1" applyAlignment="1">
      <alignment horizontal="center" vertical="center"/>
    </xf>
    <xf numFmtId="0" fontId="34" fillId="9" borderId="12" xfId="5" applyFont="1" applyFill="1" applyBorder="1" applyAlignment="1">
      <alignment horizontal="center" vertical="center"/>
    </xf>
    <xf numFmtId="0" fontId="34" fillId="9" borderId="13" xfId="5" applyFont="1" applyFill="1" applyBorder="1" applyAlignment="1">
      <alignment horizontal="center" vertical="center"/>
    </xf>
    <xf numFmtId="0" fontId="34" fillId="9" borderId="37" xfId="1" applyFont="1" applyFill="1" applyBorder="1" applyAlignment="1">
      <alignment horizontal="center" vertical="center"/>
    </xf>
    <xf numFmtId="0" fontId="34" fillId="9" borderId="38" xfId="1" applyFont="1" applyFill="1" applyBorder="1" applyAlignment="1">
      <alignment horizontal="center" vertical="center"/>
    </xf>
    <xf numFmtId="0" fontId="34" fillId="9" borderId="39" xfId="1" applyFont="1" applyFill="1" applyBorder="1" applyAlignment="1">
      <alignment horizontal="center" vertical="center"/>
    </xf>
    <xf numFmtId="0" fontId="34" fillId="9" borderId="40" xfId="1" applyFont="1" applyFill="1" applyBorder="1" applyAlignment="1">
      <alignment horizontal="center" vertical="center"/>
    </xf>
    <xf numFmtId="0" fontId="34" fillId="9" borderId="41" xfId="1" applyFont="1" applyFill="1" applyBorder="1" applyAlignment="1">
      <alignment horizontal="center" vertical="center"/>
    </xf>
    <xf numFmtId="0" fontId="34" fillId="9" borderId="42" xfId="1" applyFont="1" applyFill="1" applyBorder="1" applyAlignment="1">
      <alignment horizontal="center" vertical="center"/>
    </xf>
    <xf numFmtId="0" fontId="34" fillId="9" borderId="43" xfId="1" applyFont="1" applyFill="1" applyBorder="1" applyAlignment="1">
      <alignment horizontal="center" vertical="center"/>
    </xf>
    <xf numFmtId="0" fontId="10" fillId="0" borderId="11" xfId="5" applyFont="1" applyBorder="1" applyAlignment="1">
      <alignment horizontal="center" vertical="center" wrapText="1"/>
    </xf>
    <xf numFmtId="0" fontId="10" fillId="0" borderId="12" xfId="5" applyFont="1" applyBorder="1" applyAlignment="1">
      <alignment horizontal="center" vertical="center" wrapText="1"/>
    </xf>
    <xf numFmtId="0" fontId="10" fillId="0" borderId="13" xfId="5" applyFont="1" applyBorder="1" applyAlignment="1">
      <alignment horizontal="center" vertical="center" wrapText="1"/>
    </xf>
    <xf numFmtId="0" fontId="10" fillId="0" borderId="16" xfId="5" applyFont="1" applyBorder="1" applyAlignment="1">
      <alignment horizontal="center" vertical="center" wrapText="1"/>
    </xf>
    <xf numFmtId="0" fontId="10" fillId="0" borderId="17" xfId="5" applyFont="1" applyBorder="1" applyAlignment="1">
      <alignment horizontal="center" vertical="center" wrapText="1"/>
    </xf>
    <xf numFmtId="0" fontId="10" fillId="0" borderId="18" xfId="5" applyFont="1" applyBorder="1" applyAlignment="1">
      <alignment horizontal="center" vertical="center" wrapText="1"/>
    </xf>
    <xf numFmtId="0" fontId="10" fillId="0" borderId="11" xfId="5" quotePrefix="1" applyFont="1" applyBorder="1" applyAlignment="1">
      <alignment horizontal="center" vertical="center" wrapText="1"/>
    </xf>
    <xf numFmtId="0" fontId="10" fillId="0" borderId="12" xfId="5" quotePrefix="1" applyFont="1" applyBorder="1" applyAlignment="1">
      <alignment horizontal="center" vertical="center" wrapText="1"/>
    </xf>
    <xf numFmtId="0" fontId="10" fillId="0" borderId="13" xfId="5" quotePrefix="1" applyFont="1" applyBorder="1" applyAlignment="1">
      <alignment horizontal="center" vertical="center" wrapText="1"/>
    </xf>
    <xf numFmtId="0" fontId="10" fillId="0" borderId="16" xfId="5" quotePrefix="1" applyFont="1" applyBorder="1" applyAlignment="1">
      <alignment horizontal="center" vertical="center" wrapText="1"/>
    </xf>
    <xf numFmtId="0" fontId="10" fillId="0" borderId="17" xfId="5" quotePrefix="1" applyFont="1" applyBorder="1" applyAlignment="1">
      <alignment horizontal="center" vertical="center" wrapText="1"/>
    </xf>
    <xf numFmtId="0" fontId="10" fillId="0" borderId="18" xfId="5" quotePrefix="1" applyFont="1" applyBorder="1" applyAlignment="1">
      <alignment horizontal="center" vertical="center" wrapText="1"/>
    </xf>
    <xf numFmtId="0" fontId="36" fillId="4" borderId="44" xfId="1" applyFont="1" applyFill="1" applyBorder="1" applyAlignment="1">
      <alignment horizontal="center" vertical="center"/>
    </xf>
    <xf numFmtId="0" fontId="36" fillId="4" borderId="45" xfId="1" applyFont="1" applyFill="1" applyBorder="1" applyAlignment="1">
      <alignment horizontal="center" vertical="center"/>
    </xf>
    <xf numFmtId="0" fontId="7" fillId="4" borderId="2" xfId="1" applyFont="1" applyFill="1" applyBorder="1" applyAlignment="1">
      <alignment horizontal="left" vertical="center"/>
    </xf>
    <xf numFmtId="0" fontId="7" fillId="4" borderId="3" xfId="1" applyFont="1" applyFill="1" applyBorder="1" applyAlignment="1">
      <alignment horizontal="left" vertical="center"/>
    </xf>
    <xf numFmtId="0" fontId="7" fillId="4" borderId="4" xfId="1" applyFont="1" applyFill="1" applyBorder="1" applyAlignment="1">
      <alignment horizontal="left" vertical="center"/>
    </xf>
    <xf numFmtId="0" fontId="16" fillId="2" borderId="1" xfId="1" applyFont="1" applyFill="1" applyBorder="1" applyAlignment="1">
      <alignment horizontal="center" vertical="center"/>
    </xf>
    <xf numFmtId="164" fontId="7" fillId="4" borderId="1" xfId="1" applyNumberFormat="1" applyFont="1" applyFill="1" applyBorder="1" applyAlignment="1">
      <alignment horizontal="center" vertical="center"/>
    </xf>
    <xf numFmtId="0" fontId="7" fillId="4" borderId="1" xfId="1" applyFont="1" applyFill="1" applyBorder="1" applyAlignment="1">
      <alignment horizontal="left" vertical="center"/>
    </xf>
    <xf numFmtId="0" fontId="16" fillId="3" borderId="1" xfId="1" applyFont="1" applyFill="1" applyBorder="1" applyAlignment="1">
      <alignment horizontal="left" vertical="center"/>
    </xf>
    <xf numFmtId="0" fontId="16" fillId="2" borderId="2" xfId="1" applyFont="1" applyFill="1" applyBorder="1" applyAlignment="1">
      <alignment horizontal="center" vertical="center"/>
    </xf>
    <xf numFmtId="0" fontId="16" fillId="2" borderId="3" xfId="1" applyFont="1" applyFill="1" applyBorder="1" applyAlignment="1">
      <alignment horizontal="center" vertical="center"/>
    </xf>
    <xf numFmtId="0" fontId="16" fillId="2" borderId="4" xfId="1" applyFont="1" applyFill="1" applyBorder="1" applyAlignment="1">
      <alignment horizontal="center" vertical="center"/>
    </xf>
    <xf numFmtId="0" fontId="7" fillId="2" borderId="1" xfId="1" applyFont="1" applyFill="1" applyBorder="1" applyAlignment="1">
      <alignment horizontal="center" vertical="center"/>
    </xf>
    <xf numFmtId="0" fontId="6" fillId="3" borderId="1" xfId="1" applyFont="1" applyFill="1" applyBorder="1" applyAlignment="1">
      <alignment horizontal="left" vertical="center"/>
    </xf>
    <xf numFmtId="0" fontId="16" fillId="3" borderId="5" xfId="1" applyFont="1" applyFill="1" applyBorder="1" applyAlignment="1">
      <alignment horizontal="center" vertical="center"/>
    </xf>
    <xf numFmtId="0" fontId="16" fillId="3" borderId="6" xfId="1" applyFont="1" applyFill="1" applyBorder="1" applyAlignment="1">
      <alignment horizontal="center" vertical="center"/>
    </xf>
    <xf numFmtId="0" fontId="16" fillId="3" borderId="7" xfId="1" applyFont="1" applyFill="1" applyBorder="1" applyAlignment="1">
      <alignment horizontal="center" vertical="center"/>
    </xf>
    <xf numFmtId="0" fontId="16" fillId="3" borderId="8" xfId="1" applyFont="1" applyFill="1" applyBorder="1" applyAlignment="1">
      <alignment horizontal="center" vertical="center"/>
    </xf>
    <xf numFmtId="0" fontId="16" fillId="3" borderId="9" xfId="1" applyFont="1" applyFill="1" applyBorder="1" applyAlignment="1">
      <alignment horizontal="center" vertical="center"/>
    </xf>
    <xf numFmtId="0" fontId="16" fillId="3" borderId="10" xfId="1" applyFont="1" applyFill="1" applyBorder="1" applyAlignment="1">
      <alignment horizontal="center" vertical="center"/>
    </xf>
    <xf numFmtId="164" fontId="7" fillId="4" borderId="2" xfId="1" applyNumberFormat="1" applyFont="1" applyFill="1" applyBorder="1" applyAlignment="1">
      <alignment horizontal="center" vertical="center"/>
    </xf>
    <xf numFmtId="164" fontId="7" fillId="4" borderId="3" xfId="1" applyNumberFormat="1" applyFont="1" applyFill="1" applyBorder="1" applyAlignment="1">
      <alignment horizontal="center" vertical="center"/>
    </xf>
    <xf numFmtId="164" fontId="7" fillId="4" borderId="4" xfId="1" applyNumberFormat="1" applyFont="1" applyFill="1" applyBorder="1" applyAlignment="1">
      <alignment horizontal="center" vertical="center"/>
    </xf>
    <xf numFmtId="0" fontId="31" fillId="7" borderId="21" xfId="0" applyFont="1" applyFill="1" applyBorder="1" applyAlignment="1">
      <alignment horizontal="left" vertical="center"/>
    </xf>
    <xf numFmtId="0" fontId="31" fillId="7" borderId="22" xfId="0" applyFont="1" applyFill="1" applyBorder="1" applyAlignment="1">
      <alignment horizontal="left" vertical="center"/>
    </xf>
    <xf numFmtId="0" fontId="31" fillId="7" borderId="23" xfId="0" applyFont="1" applyFill="1" applyBorder="1" applyAlignment="1">
      <alignment horizontal="left" vertical="center"/>
    </xf>
    <xf numFmtId="0" fontId="30" fillId="7" borderId="21" xfId="0" applyFont="1" applyFill="1" applyBorder="1" applyAlignment="1">
      <alignment horizontal="center" vertical="center"/>
    </xf>
    <xf numFmtId="0" fontId="31" fillId="7" borderId="22" xfId="0" applyFont="1" applyFill="1" applyBorder="1" applyAlignment="1">
      <alignment horizontal="center" vertical="center"/>
    </xf>
    <xf numFmtId="0" fontId="31" fillId="7" borderId="23" xfId="0" applyFont="1" applyFill="1" applyBorder="1" applyAlignment="1">
      <alignment horizontal="center" vertical="center"/>
    </xf>
    <xf numFmtId="0" fontId="31" fillId="7" borderId="20" xfId="0" applyFont="1" applyFill="1" applyBorder="1" applyAlignment="1">
      <alignment horizontal="center" vertical="center" shrinkToFit="1"/>
    </xf>
    <xf numFmtId="0" fontId="31" fillId="7" borderId="20" xfId="0" applyFont="1" applyFill="1" applyBorder="1" applyAlignment="1">
      <alignment horizontal="center" vertical="center"/>
    </xf>
    <xf numFmtId="0" fontId="25" fillId="5" borderId="20" xfId="0" applyFont="1" applyFill="1" applyBorder="1" applyAlignment="1">
      <alignment horizontal="center" vertical="center"/>
    </xf>
    <xf numFmtId="0" fontId="25" fillId="5" borderId="21" xfId="0" applyFont="1" applyFill="1" applyBorder="1" applyAlignment="1">
      <alignment horizontal="center" vertical="center"/>
    </xf>
    <xf numFmtId="0" fontId="26" fillId="5" borderId="22" xfId="0" applyFont="1" applyFill="1" applyBorder="1" applyAlignment="1">
      <alignment horizontal="center" vertical="center"/>
    </xf>
    <xf numFmtId="0" fontId="26" fillId="5" borderId="23" xfId="0" applyFont="1" applyFill="1" applyBorder="1" applyAlignment="1">
      <alignment horizontal="center" vertical="center"/>
    </xf>
    <xf numFmtId="0" fontId="17" fillId="2" borderId="1" xfId="1" applyFont="1" applyFill="1" applyBorder="1" applyAlignment="1">
      <alignment horizontal="center" vertical="center"/>
    </xf>
    <xf numFmtId="164" fontId="15" fillId="4" borderId="1" xfId="1" applyNumberFormat="1" applyFont="1" applyFill="1" applyBorder="1" applyAlignment="1">
      <alignment horizontal="center" vertical="center"/>
    </xf>
    <xf numFmtId="0" fontId="15" fillId="4" borderId="1" xfId="1" applyFont="1" applyFill="1" applyBorder="1" applyAlignment="1">
      <alignment horizontal="left" vertical="center"/>
    </xf>
    <xf numFmtId="0" fontId="0" fillId="0" borderId="20" xfId="0" applyBorder="1" applyAlignment="1">
      <alignment horizontal="center" vertical="center"/>
    </xf>
    <xf numFmtId="0" fontId="0" fillId="0" borderId="21" xfId="0"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vertical="center"/>
    </xf>
    <xf numFmtId="0" fontId="0" fillId="0" borderId="20" xfId="0" applyBorder="1" applyAlignment="1">
      <alignment horizontal="left" vertical="center"/>
    </xf>
    <xf numFmtId="0" fontId="17" fillId="3" borderId="1" xfId="1" applyFont="1" applyFill="1" applyBorder="1" applyAlignment="1">
      <alignment horizontal="left" vertical="center"/>
    </xf>
    <xf numFmtId="0" fontId="17" fillId="2" borderId="2" xfId="1" applyFont="1" applyFill="1" applyBorder="1" applyAlignment="1">
      <alignment horizontal="center" vertical="center"/>
    </xf>
    <xf numFmtId="0" fontId="17" fillId="2" borderId="3" xfId="1" applyFont="1" applyFill="1" applyBorder="1" applyAlignment="1">
      <alignment horizontal="center" vertical="center"/>
    </xf>
    <xf numFmtId="0" fontId="17" fillId="2" borderId="4" xfId="1" applyFont="1" applyFill="1" applyBorder="1" applyAlignment="1">
      <alignment horizontal="center" vertical="center"/>
    </xf>
    <xf numFmtId="0" fontId="15" fillId="2" borderId="1" xfId="1" applyFont="1" applyFill="1" applyBorder="1" applyAlignment="1">
      <alignment horizontal="center" vertical="center"/>
    </xf>
    <xf numFmtId="0" fontId="8" fillId="3" borderId="1" xfId="1" applyFont="1" applyFill="1" applyBorder="1" applyAlignment="1">
      <alignment horizontal="left" vertical="center"/>
    </xf>
    <xf numFmtId="0" fontId="17" fillId="3" borderId="5" xfId="1" applyFont="1" applyFill="1" applyBorder="1" applyAlignment="1">
      <alignment horizontal="center" vertical="center"/>
    </xf>
    <xf numFmtId="0" fontId="17" fillId="3" borderId="6" xfId="1" applyFont="1" applyFill="1" applyBorder="1" applyAlignment="1">
      <alignment horizontal="center" vertical="center"/>
    </xf>
    <xf numFmtId="0" fontId="17" fillId="3" borderId="7" xfId="1" applyFont="1" applyFill="1" applyBorder="1" applyAlignment="1">
      <alignment horizontal="center" vertical="center"/>
    </xf>
    <xf numFmtId="0" fontId="17" fillId="3" borderId="8" xfId="1" applyFont="1" applyFill="1" applyBorder="1" applyAlignment="1">
      <alignment horizontal="center" vertical="center"/>
    </xf>
    <xf numFmtId="0" fontId="17" fillId="3" borderId="9" xfId="1" applyFont="1" applyFill="1" applyBorder="1" applyAlignment="1">
      <alignment horizontal="center" vertical="center"/>
    </xf>
    <xf numFmtId="0" fontId="17" fillId="3" borderId="10" xfId="1"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6" borderId="21" xfId="0" applyFill="1" applyBorder="1" applyAlignment="1">
      <alignment horizontal="center" vertical="center"/>
    </xf>
    <xf numFmtId="0" fontId="0" fillId="6" borderId="22" xfId="0" applyFill="1" applyBorder="1" applyAlignment="1">
      <alignment horizontal="center" vertical="center"/>
    </xf>
    <xf numFmtId="0" fontId="0" fillId="6" borderId="23" xfId="0" applyFill="1" applyBorder="1" applyAlignment="1">
      <alignment horizontal="center" vertical="center"/>
    </xf>
    <xf numFmtId="0" fontId="0" fillId="6" borderId="20" xfId="0" applyFill="1" applyBorder="1" applyAlignment="1">
      <alignment horizontal="center" vertical="center"/>
    </xf>
    <xf numFmtId="0" fontId="27" fillId="7" borderId="20" xfId="0" applyFont="1" applyFill="1" applyBorder="1" applyAlignment="1">
      <alignment horizontal="center" vertical="center" wrapText="1"/>
    </xf>
    <xf numFmtId="0" fontId="24" fillId="7" borderId="20" xfId="0" applyFont="1" applyFill="1" applyBorder="1" applyAlignment="1">
      <alignment horizontal="center" vertical="center"/>
    </xf>
    <xf numFmtId="0" fontId="0" fillId="7" borderId="21" xfId="0" applyFill="1" applyBorder="1" applyAlignment="1">
      <alignment horizontal="left" vertical="center"/>
    </xf>
    <xf numFmtId="0" fontId="0" fillId="7" borderId="22" xfId="0" applyFill="1" applyBorder="1" applyAlignment="1">
      <alignment horizontal="left" vertical="center"/>
    </xf>
    <xf numFmtId="0" fontId="0" fillId="7" borderId="23" xfId="0" applyFill="1" applyBorder="1" applyAlignment="1">
      <alignment horizontal="left" vertical="center"/>
    </xf>
    <xf numFmtId="0" fontId="0" fillId="7" borderId="20" xfId="0" applyFill="1" applyBorder="1" applyAlignment="1">
      <alignment horizontal="left" vertical="center"/>
    </xf>
    <xf numFmtId="0" fontId="0" fillId="7" borderId="20" xfId="0" applyFill="1" applyBorder="1" applyAlignment="1">
      <alignment horizontal="center" vertical="center"/>
    </xf>
    <xf numFmtId="38" fontId="0" fillId="0" borderId="20" xfId="4" applyFont="1" applyFill="1" applyBorder="1" applyAlignment="1">
      <alignment horizontal="right" vertical="center"/>
    </xf>
    <xf numFmtId="0" fontId="0" fillId="8" borderId="21" xfId="0" applyFill="1" applyBorder="1" applyAlignment="1">
      <alignment horizontal="left" vertical="center"/>
    </xf>
    <xf numFmtId="0" fontId="0" fillId="8" borderId="22" xfId="0" applyFill="1" applyBorder="1" applyAlignment="1">
      <alignment horizontal="left" vertical="center"/>
    </xf>
    <xf numFmtId="0" fontId="0" fillId="8" borderId="23" xfId="0" applyFill="1" applyBorder="1" applyAlignment="1">
      <alignment horizontal="left" vertical="center"/>
    </xf>
    <xf numFmtId="38" fontId="0" fillId="8" borderId="21" xfId="4" applyFont="1" applyFill="1" applyBorder="1" applyAlignment="1">
      <alignment vertical="center"/>
    </xf>
    <xf numFmtId="38" fontId="0" fillId="8" borderId="22" xfId="4" applyFont="1" applyFill="1" applyBorder="1" applyAlignment="1">
      <alignment vertical="center"/>
    </xf>
    <xf numFmtId="38" fontId="0" fillId="8" borderId="23" xfId="4" applyFont="1" applyFill="1" applyBorder="1" applyAlignment="1">
      <alignment vertical="center"/>
    </xf>
    <xf numFmtId="38" fontId="0" fillId="0" borderId="21" xfId="4" applyFont="1" applyBorder="1" applyAlignment="1">
      <alignment horizontal="right" vertical="center"/>
    </xf>
    <xf numFmtId="38" fontId="0" fillId="0" borderId="22" xfId="4" applyFont="1" applyBorder="1" applyAlignment="1">
      <alignment horizontal="right" vertical="center"/>
    </xf>
    <xf numFmtId="38" fontId="0" fillId="0" borderId="23" xfId="4" applyFont="1" applyBorder="1" applyAlignment="1">
      <alignment horizontal="right" vertical="center"/>
    </xf>
    <xf numFmtId="0" fontId="0" fillId="8" borderId="21" xfId="0" applyFill="1" applyBorder="1" applyAlignment="1">
      <alignment horizontal="center" vertical="center"/>
    </xf>
    <xf numFmtId="0" fontId="0" fillId="8" borderId="22" xfId="0" applyFill="1" applyBorder="1" applyAlignment="1">
      <alignment horizontal="center" vertical="center"/>
    </xf>
    <xf numFmtId="0" fontId="0" fillId="8" borderId="23" xfId="0" applyFill="1" applyBorder="1" applyAlignment="1">
      <alignment horizontal="center" vertical="center"/>
    </xf>
    <xf numFmtId="0" fontId="0" fillId="7" borderId="21" xfId="0" applyFill="1" applyBorder="1" applyAlignment="1">
      <alignment horizontal="center" vertical="center"/>
    </xf>
    <xf numFmtId="0" fontId="0" fillId="7" borderId="22" xfId="0" applyFill="1" applyBorder="1" applyAlignment="1">
      <alignment horizontal="center" vertical="center"/>
    </xf>
    <xf numFmtId="0" fontId="0" fillId="7" borderId="23" xfId="0" applyFill="1" applyBorder="1" applyAlignment="1">
      <alignment horizontal="center" vertical="center"/>
    </xf>
    <xf numFmtId="0" fontId="8" fillId="0" borderId="20" xfId="0" applyFont="1" applyBorder="1" applyAlignment="1">
      <alignment horizontal="center" vertical="center" wrapText="1"/>
    </xf>
    <xf numFmtId="0" fontId="8" fillId="0" borderId="20" xfId="0" applyFont="1" applyBorder="1" applyAlignment="1">
      <alignment horizontal="center" vertical="center"/>
    </xf>
    <xf numFmtId="0" fontId="8" fillId="0" borderId="24" xfId="0" applyFont="1" applyBorder="1" applyAlignment="1">
      <alignment horizontal="center" vertical="center"/>
    </xf>
    <xf numFmtId="0" fontId="8" fillId="0" borderId="19" xfId="0" applyFont="1" applyBorder="1" applyAlignment="1">
      <alignment horizontal="center" vertical="center"/>
    </xf>
    <xf numFmtId="0" fontId="8" fillId="0" borderId="25" xfId="0" applyFont="1" applyBorder="1" applyAlignment="1">
      <alignment horizontal="center" vertical="center"/>
    </xf>
    <xf numFmtId="0" fontId="8" fillId="0" borderId="26" xfId="0" applyFont="1" applyBorder="1" applyAlignment="1">
      <alignment horizontal="center" vertical="center"/>
    </xf>
    <xf numFmtId="0" fontId="8" fillId="0" borderId="27" xfId="0" applyFont="1" applyBorder="1" applyAlignment="1">
      <alignment horizontal="center" vertical="center"/>
    </xf>
    <xf numFmtId="0" fontId="8" fillId="0" borderId="28" xfId="0" applyFont="1" applyBorder="1" applyAlignment="1">
      <alignment horizontal="center" vertical="center"/>
    </xf>
    <xf numFmtId="0" fontId="8" fillId="0" borderId="24"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19" fillId="5" borderId="20" xfId="0" applyFont="1" applyFill="1" applyBorder="1" applyAlignment="1">
      <alignment horizontal="center" vertical="center"/>
    </xf>
    <xf numFmtId="38" fontId="0" fillId="0" borderId="20" xfId="4" applyFont="1" applyBorder="1" applyAlignment="1">
      <alignment horizontal="center" vertical="center"/>
    </xf>
    <xf numFmtId="0" fontId="8" fillId="0" borderId="29"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29" xfId="0" applyFont="1" applyBorder="1" applyAlignment="1">
      <alignment vertical="center" wrapText="1"/>
    </xf>
    <xf numFmtId="0" fontId="8" fillId="0" borderId="31" xfId="0" applyFont="1" applyBorder="1" applyAlignment="1">
      <alignment vertical="center" wrapText="1"/>
    </xf>
    <xf numFmtId="0" fontId="8" fillId="0" borderId="29" xfId="0" applyFont="1" applyBorder="1" applyAlignment="1">
      <alignment horizontal="left" vertical="center" wrapText="1"/>
    </xf>
    <xf numFmtId="0" fontId="8" fillId="0" borderId="29" xfId="0" applyFont="1" applyBorder="1" applyAlignment="1">
      <alignment horizontal="left" vertical="center"/>
    </xf>
    <xf numFmtId="0" fontId="8" fillId="0" borderId="31" xfId="0" applyFont="1" applyBorder="1" applyAlignment="1">
      <alignment horizontal="left" vertical="center" wrapText="1"/>
    </xf>
    <xf numFmtId="0" fontId="8" fillId="0" borderId="31" xfId="0" applyFont="1" applyBorder="1" applyAlignment="1">
      <alignment horizontal="left" vertical="center"/>
    </xf>
    <xf numFmtId="0" fontId="8" fillId="0" borderId="30" xfId="0" applyFont="1" applyBorder="1" applyAlignment="1">
      <alignment horizontal="left"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8" fillId="0" borderId="24" xfId="0" applyFont="1" applyBorder="1" applyAlignment="1">
      <alignment vertical="center" wrapText="1"/>
    </xf>
    <xf numFmtId="0" fontId="8" fillId="0" borderId="32" xfId="0" applyFont="1" applyBorder="1" applyAlignment="1">
      <alignment vertical="center" wrapText="1"/>
    </xf>
    <xf numFmtId="0" fontId="8" fillId="0" borderId="32" xfId="0" applyFont="1" applyBorder="1" applyAlignment="1">
      <alignment horizontal="center" vertical="center"/>
    </xf>
    <xf numFmtId="0" fontId="8" fillId="0" borderId="0" xfId="0" applyFont="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0" xfId="0" applyFont="1" applyAlignment="1">
      <alignment horizontal="center" vertical="center" wrapText="1"/>
    </xf>
    <xf numFmtId="0" fontId="8" fillId="0" borderId="20" xfId="0" applyFont="1" applyBorder="1" applyAlignment="1">
      <alignment vertical="center" wrapText="1"/>
    </xf>
    <xf numFmtId="0" fontId="23" fillId="5" borderId="20" xfId="0" applyFont="1" applyFill="1" applyBorder="1" applyAlignment="1">
      <alignment horizontal="center" vertical="center"/>
    </xf>
    <xf numFmtId="0" fontId="21" fillId="0" borderId="29" xfId="0" applyFont="1" applyBorder="1" applyAlignment="1">
      <alignment horizontal="left" vertical="center" wrapText="1"/>
    </xf>
    <xf numFmtId="0" fontId="21" fillId="0" borderId="29" xfId="0" applyFont="1" applyBorder="1" applyAlignment="1">
      <alignment horizontal="left" vertical="center"/>
    </xf>
    <xf numFmtId="0" fontId="21" fillId="0" borderId="31" xfId="0" applyFont="1" applyBorder="1" applyAlignment="1">
      <alignment horizontal="left" vertical="center" wrapText="1"/>
    </xf>
    <xf numFmtId="0" fontId="21" fillId="0" borderId="31" xfId="0" applyFont="1" applyBorder="1" applyAlignment="1">
      <alignment horizontal="left" vertical="center"/>
    </xf>
    <xf numFmtId="0" fontId="21" fillId="0" borderId="30" xfId="0" applyFont="1" applyBorder="1" applyAlignment="1">
      <alignment horizontal="left" vertical="center"/>
    </xf>
    <xf numFmtId="0" fontId="19" fillId="5" borderId="21" xfId="0" applyFont="1" applyFill="1" applyBorder="1" applyAlignment="1">
      <alignment horizontal="center" vertical="center"/>
    </xf>
    <xf numFmtId="0" fontId="19" fillId="5" borderId="22" xfId="0" applyFont="1" applyFill="1" applyBorder="1" applyAlignment="1">
      <alignment horizontal="center" vertical="center"/>
    </xf>
    <xf numFmtId="0" fontId="19" fillId="5" borderId="23" xfId="0" applyFont="1" applyFill="1" applyBorder="1" applyAlignment="1">
      <alignment horizontal="center" vertical="center"/>
    </xf>
    <xf numFmtId="0" fontId="29" fillId="0" borderId="21" xfId="0" applyFont="1" applyBorder="1" applyAlignment="1">
      <alignment horizontal="center" vertical="center"/>
    </xf>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21" fillId="0" borderId="24" xfId="0" applyFont="1" applyBorder="1" applyAlignment="1">
      <alignment horizontal="left" vertical="center" wrapText="1"/>
    </xf>
    <xf numFmtId="0" fontId="21" fillId="0" borderId="19" xfId="0" applyFont="1" applyBorder="1" applyAlignment="1">
      <alignment horizontal="left" vertical="center" wrapText="1"/>
    </xf>
    <xf numFmtId="0" fontId="21" fillId="0" borderId="25" xfId="0" applyFont="1" applyBorder="1" applyAlignment="1">
      <alignment horizontal="left" vertical="center" wrapText="1"/>
    </xf>
    <xf numFmtId="0" fontId="21" fillId="0" borderId="26" xfId="0" applyFont="1" applyBorder="1" applyAlignment="1">
      <alignment horizontal="left" vertical="center" wrapText="1"/>
    </xf>
    <xf numFmtId="0" fontId="21" fillId="0" borderId="27" xfId="0" applyFont="1" applyBorder="1" applyAlignment="1">
      <alignment horizontal="left" vertical="center" wrapText="1"/>
    </xf>
    <xf numFmtId="0" fontId="21" fillId="0" borderId="28" xfId="0" applyFont="1" applyBorder="1" applyAlignment="1">
      <alignment horizontal="left" vertical="center" wrapText="1"/>
    </xf>
    <xf numFmtId="0" fontId="42" fillId="4" borderId="9" xfId="1" applyFont="1" applyFill="1" applyBorder="1" applyAlignment="1">
      <alignment vertical="center"/>
    </xf>
    <xf numFmtId="0" fontId="43" fillId="4" borderId="3" xfId="1" applyFont="1" applyFill="1" applyBorder="1" applyAlignment="1">
      <alignment vertical="center"/>
    </xf>
    <xf numFmtId="0" fontId="42" fillId="4" borderId="3" xfId="1" applyFont="1" applyFill="1" applyBorder="1" applyAlignment="1">
      <alignment vertical="center"/>
    </xf>
    <xf numFmtId="0" fontId="42" fillId="4" borderId="66" xfId="1" applyFont="1" applyFill="1" applyBorder="1" applyAlignment="1">
      <alignment vertical="center"/>
    </xf>
    <xf numFmtId="0" fontId="0" fillId="7" borderId="20" xfId="0" applyFill="1" applyBorder="1" applyAlignment="1">
      <alignment vertical="center"/>
    </xf>
    <xf numFmtId="38" fontId="0" fillId="0" borderId="21" xfId="4" applyFont="1" applyBorder="1" applyAlignment="1">
      <alignment vertical="center"/>
    </xf>
    <xf numFmtId="38" fontId="0" fillId="0" borderId="22" xfId="4" applyFont="1" applyBorder="1" applyAlignment="1">
      <alignment vertical="center"/>
    </xf>
    <xf numFmtId="38" fontId="0" fillId="0" borderId="23" xfId="4" applyFont="1" applyBorder="1" applyAlignment="1">
      <alignment vertical="center"/>
    </xf>
    <xf numFmtId="38" fontId="0" fillId="0" borderId="20" xfId="4" applyFont="1" applyBorder="1" applyAlignment="1">
      <alignment vertical="center"/>
    </xf>
    <xf numFmtId="38" fontId="31" fillId="7" borderId="20" xfId="4" applyFont="1" applyFill="1" applyBorder="1" applyAlignment="1">
      <alignment vertical="center"/>
    </xf>
    <xf numFmtId="38" fontId="0" fillId="7" borderId="20" xfId="4" applyFont="1" applyFill="1" applyBorder="1" applyAlignment="1">
      <alignment vertical="center"/>
    </xf>
    <xf numFmtId="38" fontId="30" fillId="7" borderId="20" xfId="4" applyFont="1" applyFill="1" applyBorder="1" applyAlignment="1">
      <alignment vertical="center"/>
    </xf>
    <xf numFmtId="0" fontId="31" fillId="7" borderId="20" xfId="0" applyFont="1" applyFill="1" applyBorder="1" applyAlignment="1">
      <alignment vertical="center"/>
    </xf>
    <xf numFmtId="38" fontId="31" fillId="0" borderId="20" xfId="4" applyFont="1" applyBorder="1" applyAlignment="1">
      <alignment vertical="center"/>
    </xf>
    <xf numFmtId="0" fontId="8" fillId="0" borderId="19" xfId="0" applyFont="1" applyBorder="1" applyAlignment="1">
      <alignment vertical="center"/>
    </xf>
    <xf numFmtId="0" fontId="8" fillId="0" borderId="25" xfId="0" applyFont="1" applyBorder="1" applyAlignment="1">
      <alignment vertical="center"/>
    </xf>
    <xf numFmtId="0" fontId="8" fillId="0" borderId="0" xfId="0" applyFont="1" applyAlignment="1">
      <alignment vertical="center"/>
    </xf>
    <xf numFmtId="0" fontId="8" fillId="0" borderId="33" xfId="0" applyFont="1" applyBorder="1" applyAlignment="1">
      <alignment vertical="center"/>
    </xf>
    <xf numFmtId="0" fontId="8" fillId="0" borderId="32" xfId="0" applyFont="1" applyBorder="1" applyAlignment="1">
      <alignment vertical="center"/>
    </xf>
    <xf numFmtId="0" fontId="8" fillId="0" borderId="26" xfId="0" applyFont="1" applyBorder="1" applyAlignment="1">
      <alignment vertical="center"/>
    </xf>
    <xf numFmtId="0" fontId="8" fillId="0" borderId="27" xfId="0" applyFont="1" applyBorder="1" applyAlignment="1">
      <alignment vertical="center"/>
    </xf>
    <xf numFmtId="0" fontId="8" fillId="0" borderId="28" xfId="0" applyFont="1" applyBorder="1" applyAlignment="1">
      <alignment vertical="center"/>
    </xf>
    <xf numFmtId="0" fontId="8" fillId="0" borderId="29" xfId="0" applyFont="1" applyBorder="1" applyAlignment="1">
      <alignment vertical="center"/>
    </xf>
    <xf numFmtId="0" fontId="8" fillId="0" borderId="31" xfId="0" applyFont="1" applyBorder="1" applyAlignment="1">
      <alignment vertical="center"/>
    </xf>
    <xf numFmtId="0" fontId="8" fillId="0" borderId="30" xfId="0" applyFont="1" applyBorder="1" applyAlignment="1">
      <alignment vertical="center"/>
    </xf>
  </cellXfs>
  <cellStyles count="6">
    <cellStyle name="ハイパーリンク" xfId="3" builtinId="8"/>
    <cellStyle name="桁区切り" xfId="4" builtinId="6"/>
    <cellStyle name="標準" xfId="0" builtinId="0"/>
    <cellStyle name="標準 2" xfId="1" xr:uid="{F29E9F88-122F-43CC-B810-1C5395248D63}"/>
    <cellStyle name="標準 3" xfId="2" xr:uid="{AD6AB97D-814B-4704-B324-70FD0E76C8C9}"/>
    <cellStyle name="標準 4" xfId="5" xr:uid="{F3E9240D-7A30-45AA-B5CF-983B24C46CE3}"/>
  </cellStyles>
  <dxfs count="0"/>
  <tableStyles count="0" defaultTableStyle="TableStyleMedium2" defaultPivotStyle="PivotStyleLight16"/>
  <colors>
    <mruColors>
      <color rgb="FF522866"/>
      <color rgb="FF007FA3"/>
      <color rgb="FF002060"/>
      <color rgb="FF1B36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21" Type="http://schemas.openxmlformats.org/officeDocument/2006/relationships/externalLink" Target="externalLinks/externalLink14.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customXml" Target="../customXml/item2.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externalLink" Target="externalLinks/externalLink1.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27</xdr:col>
      <xdr:colOff>167640</xdr:colOff>
      <xdr:row>34</xdr:row>
      <xdr:rowOff>129539</xdr:rowOff>
    </xdr:from>
    <xdr:to>
      <xdr:col>32</xdr:col>
      <xdr:colOff>140970</xdr:colOff>
      <xdr:row>48</xdr:row>
      <xdr:rowOff>136070</xdr:rowOff>
    </xdr:to>
    <xdr:sp macro="" textlink="">
      <xdr:nvSpPr>
        <xdr:cNvPr id="2" name="正方形/長方形 1">
          <a:extLst>
            <a:ext uri="{FF2B5EF4-FFF2-40B4-BE49-F238E27FC236}">
              <a16:creationId xmlns:a16="http://schemas.microsoft.com/office/drawing/2014/main" id="{B8608CC9-DED8-197F-D5B2-4435141AE3E1}"/>
            </a:ext>
          </a:extLst>
        </xdr:cNvPr>
        <xdr:cNvSpPr/>
      </xdr:nvSpPr>
      <xdr:spPr>
        <a:xfrm>
          <a:off x="4943747" y="6606539"/>
          <a:ext cx="857794" cy="26735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t>以降フェーズで調査する</a:t>
          </a:r>
        </a:p>
      </xdr:txBody>
    </xdr:sp>
    <xdr:clientData/>
  </xdr:twoCellAnchor>
  <xdr:twoCellAnchor>
    <xdr:from>
      <xdr:col>78</xdr:col>
      <xdr:colOff>172493</xdr:colOff>
      <xdr:row>26</xdr:row>
      <xdr:rowOff>1497</xdr:rowOff>
    </xdr:from>
    <xdr:to>
      <xdr:col>86</xdr:col>
      <xdr:colOff>174397</xdr:colOff>
      <xdr:row>32</xdr:row>
      <xdr:rowOff>91032</xdr:rowOff>
    </xdr:to>
    <xdr:sp macro="" textlink="">
      <xdr:nvSpPr>
        <xdr:cNvPr id="3" name="正方形/長方形 2">
          <a:extLst>
            <a:ext uri="{FF2B5EF4-FFF2-40B4-BE49-F238E27FC236}">
              <a16:creationId xmlns:a16="http://schemas.microsoft.com/office/drawing/2014/main" id="{7AC2907F-0C67-4F48-9F7A-F79926B7409E}"/>
            </a:ext>
          </a:extLst>
        </xdr:cNvPr>
        <xdr:cNvSpPr/>
      </xdr:nvSpPr>
      <xdr:spPr>
        <a:xfrm>
          <a:off x="13970136" y="4954497"/>
          <a:ext cx="1417047" cy="12325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t>要ヒアリング</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1.16.240\erpdev1\DOCUME~1\GS012\LOCALS~1\Temp\notes966155\M-001R0_1(&#12510;&#12523;&#12481;&#22312;&#24235;&#36578;&#36865;).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Library" Target="COMMO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25.134.1\public\Documents%20and%20Settings\46167\&#12487;&#12473;&#12463;&#12488;&#12483;&#12503;\&#20241;&#26085;&#23550;&#24540;\RD_FI_2008(&#27161;&#28310;&#12452;&#12531;&#12479;&#12540;&#12501;&#12455;&#12540;&#12473;)\&#12501;&#12449;&#12452;&#12523;&#12524;&#12452;&#12450;&#12454;&#12488;(&#27161;&#28310;&#12452;&#12531;&#12479;&#12540;&#12501;&#12455;&#12540;&#1247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apnt01\public\Documents%20and%20Settings\h-kagawa\&#12487;&#12473;&#12463;&#12488;&#12483;&#12503;\&#12469;&#12531;&#12473;&#12479;&#12540;\&#26481;&#26144;&#12398;&#12469;&#12531;&#12503;&#12523;\&#65297;-&#9312;%20&#22770;&#19978;&#12539;&#22770;&#25499;&#37329;&#35336;&#19978;&#12398;&#21462;&#36796;&#12415;\Book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ites/msteams_358ee9/Shared%20Documents/General/04_&#35201;&#20214;&#23450;&#32681;/02_&#12467;&#12531;&#12475;&#12503;&#12488;&#12488;&#12524;&#12540;&#12491;&#12531;&#12464;/01_&#29872;&#22659;&#27083;&#31689;/01.JBS&#29872;&#22659;/&#12304;&#12469;&#12531;&#12473;&#12479;&#12540;&#27096;&#12305;&#20107;&#21069;&#12498;&#12450;&#12522;&#12531;&#12464;&#12471;&#12540;&#12488;.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00207\D\Documents%20and%20Settings\moriuchi\My%20Documents\&#25216;&#34899;&#36039;&#26009;\&#12450;&#12489;&#12458;&#12531;&#38283;&#30330;\&#38306;&#38651;&#65289;&#22806;&#37096;&#35373;&#35336;&#12502;&#12521;&#12531;&#12463;&#12501;&#12457;&#12540;&#12512;&#65288;IPO).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jbsbpos1.sharepoint.com/sites/msteams_358ee9/Shared%20Documents/General/01_LIBRA/05_&#35373;&#35336;/02_&#22522;&#26412;&#35373;&#35336;&#26360;/2.&#12362;&#23458;&#27096;&#12524;&#12499;&#12517;&#12540;&#24453;&#12385;/FO-001_&#35373;&#35336;&#26360;_&#20250;&#35336;&#20253;&#31080;&#24773;&#22577;&#21462;&#36796;.xlsx" TargetMode="External"/><Relationship Id="rId1" Type="http://schemas.openxmlformats.org/officeDocument/2006/relationships/externalLinkPath" Target="/sites/msteams_358ee9/Shared%20Documents/General/01_LIBRA/05_&#35373;&#35336;/02_&#22522;&#26412;&#35373;&#35336;&#26360;/2.&#12362;&#23458;&#27096;&#12524;&#12499;&#12517;&#12540;&#24453;&#12385;/FO-001_&#35373;&#35336;&#26360;_&#20250;&#35336;&#20253;&#31080;&#24773;&#22577;&#21462;&#36796;.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apnt01\Public\Documents%20and%20Settings\sfujita\&#12487;&#12473;&#12463;&#12488;&#12483;&#12503;\Book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72.21.16.240\erpdev1\My%20Documents\GYB&#36039;&#26009;\IF&#35201;&#20214;&#23450;&#32681;\&#35201;&#20214;&#23450;&#32681;&#26360;\M-001R0_1(&#12510;&#12523;&#12481;&#22312;&#24235;&#36578;&#3686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25.134.1\public\Documents%20and%20Settings\y-mino\&#12487;&#12473;&#12463;&#12488;&#12483;&#12503;\GS%20YUASA\&#12503;&#12525;&#12472;&#12455;&#12463;&#12488;&#36039;&#26009;\50&#38283;&#30330;\03_IMM-0040_&#30330;&#27880;&#20837;&#24235;&#12539;&#33258;&#21205;&#22770;&#19978;&#20966;&#29702;\10&#35201;&#20214;&#23450;&#32681;&#26360;\sample\M-001R0_1(&#12510;&#12523;&#12481;&#22312;&#24235;&#36578;&#3686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ites/CRMG852/Shared%20Documents/ERP%20Solution%20Groups/20.&#26045;&#31574;&#38306;&#36899;/FO&#27231;&#33021;&#26908;&#35388;&#12469;&#12540;&#12499;&#12473;&#21270;/&#12497;&#12521;&#12513;&#12540;&#12479;&#12471;&#12540;&#12488;/&#21442;&#32771;/&#12304;&#12469;&#12531;&#12503;&#12523;&#12305;FO&#12467;&#12531;&#12501;&#12451;&#12464;&#23450;&#32681;&#26360;_00_&#27861;&#20154;&#20316;&#25104;.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ites/CRMG852/Shared%20Documents/ERP%20Solution%20Groups/20.&#26045;&#31574;&#38306;&#36899;/FO&#12489;&#12461;&#12517;&#12513;&#12531;&#12488;&#27161;&#28310;&#21270;/10.&#35201;&#20214;&#23450;&#32681;/07.&#12497;&#12521;&#12513;&#12540;&#12479;&#35373;&#23450;&#36039;&#26009;/&#12304;&#12469;&#12531;&#12503;&#12523;&#12305;FO&#12467;&#12531;&#12501;&#12451;&#12464;&#23450;&#32681;&#26360;_11.&#35069;&#21697;&#24773;&#22577;&#31649;&#2970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moiwa/Downloads/&#12304;&#30011;&#38754;&#12501;&#12457;&#12540;&#12510;&#12483;&#12488;&#12305;XX-X-XX_&#35373;&#35336;&#26360;_&#65308;&#27231;&#33021;&#21517;&#31216;&#65310;%20(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ites/CRMG852/Shared%20Documents/ERP%20Solution%20Groups/20.&#26045;&#31574;&#38306;&#36899;/FO&#12489;&#12461;&#12517;&#12513;&#12531;&#12488;&#27161;&#28310;&#21270;/10.&#35201;&#20214;&#23450;&#32681;/07.&#12497;&#12521;&#12513;&#12540;&#12479;&#35373;&#23450;&#36039;&#26009;/&#12304;&#12469;&#12531;&#12503;&#12523;&#12305;FO&#12467;&#12531;&#12501;&#12451;&#12464;&#23450;&#32681;&#26360;_03.&#19968;&#33324;&#20250;&#35336;.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25.134.8\share\Documents%20and%20Settings\User\&#12487;&#12473;&#12463;&#12488;&#12483;&#12503;\&#20316;&#26989;&#20013;&#35373;&#35336;&#26360;\&#12486;&#12540;&#12502;&#12523;&#23450;&#32681;&#26360;\ZKMETMT0012_&#12486;&#12540;&#12502;&#12523;&#12539;&#27083;&#36896;&#20849;&#29992;&#23450;&#32681;&#26360;&#65288;&#12481;&#12515;&#12540;&#12472;&#12501;&#12449;&#12452;&#12523;&#6528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ystem-sv2\7d2\PROJECT\UTL\OLD\Y_MAINX.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ersonal/mifukuda_jbs_com/Documents/&#12487;&#12473;&#12463;&#12488;&#12483;&#12503;/FO&#27231;&#33021;&#26908;&#35388;&#12469;&#12540;&#12499;&#12473;&#21270;/&#12497;&#12521;&#12513;&#12540;&#12479;&#12471;&#12540;&#12488;/SATO_&#12497;&#12521;&#12513;&#12540;&#12479;&#23450;&#32681;&#26360;/BR100_ERP&#35373;&#23450;&#38917;&#30446;&#19968;&#35239;_&#36001;&#21209;&#32076;&#29702;&#65288;&#19968;&#33324;&#20250;&#35336;&#65289;_v4.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Ntsspt1\sapr3\WINDOWS\TEMP\~005658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ites/CRMG852/Shared%20Documents/ERP%20Solution%20Groups/20.&#26045;&#31574;&#38306;&#36899;/FO&#27231;&#33021;&#26908;&#35388;&#12469;&#12540;&#12499;&#12473;&#21270;/&#12497;&#12521;&#12513;&#12540;&#12479;&#12471;&#12540;&#12488;/&#21442;&#32771;/&#12304;PSTC&#12305;FO&#12467;&#12531;&#12501;&#12451;&#12464;&#23450;&#32681;&#26360;_2.&#12471;&#12473;&#12486;&#12512;&#31649;&#29702;.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Nssui117\AERP\120.&#12481;&#12540;&#12512;\120-01.&#20849;&#36890;\&#26032;&#27770;&#31639;&#12503;&#12525;&#12475;&#12473;&#38306;&#36899;\&#25972;&#29702;&#29992;&#65420;&#65387;&#65433;&#65408;&#65438;\&#65404;&#65405;&#65411;&#65425;\&#65418;&#65439;&#65407;&#65402;&#65437;&#30740;&#20462;\Excel&#23455;&#36341;\(&#23436;&#25104;)&#35211;&#31309;&#26360;.xlt"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jal25f\tmp\@temp\3-1&amp;2&amp;3.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yamadah/OneDrive/&#26085;&#26412;&#12499;&#12472;&#12493;&#12473;&#12471;&#12473;&#12486;&#12512;&#12474;&#26666;&#24335;&#20250;&#31038;/Guest-NXPJ%20-%20General/10.&#35201;&#20214;&#23450;&#32681;&#12501;&#12455;&#12540;&#12474;/12.&#12497;&#12521;&#12513;&#12540;&#12479;&#35373;&#23450;/&#12467;&#12531;&#12501;&#12451;&#12464;&#23450;&#32681;&#26360;/NEX/&#12304;&#32173;&#26032;Project&#12305;FO&#12467;&#12531;&#12501;&#12451;&#12464;&#23450;&#32681;&#26360;-NEX_1.&#19968;&#33324;&#20250;&#3533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承認票"/>
      <sheetName val="文書構成表"/>
      <sheetName val="来歴"/>
      <sheetName val="外付け機能概要記述書"/>
      <sheetName val="処理説明"/>
      <sheetName val="画面ﾚｲｱｳﾄ (1)"/>
      <sheetName val="画面処理仕様(1)"/>
      <sheetName val="入力ﾁｪｯｸ仕様(1)"/>
      <sheetName val="画面ﾚｲｱｳﾄ (2)"/>
      <sheetName val="画面処理仕様(2)"/>
      <sheetName val="入力ﾁｪｯｸ仕様(2)"/>
      <sheetName val="ﾊﾞｯﾁｲﾝﾌﾟｯﾄ編集仕様(1)"/>
      <sheetName val="ﾊﾞｯﾁｲﾝﾌﾟｯﾄ画面遷移(1)"/>
      <sheetName val="ﾊﾞｯﾁｲﾝﾌﾟｯﾄ編集仕様(2)"/>
      <sheetName val="ﾊﾞｯﾁｲﾝﾌﾟｯﾄ画面遷移(2)"/>
      <sheetName val="ﾌﾟﾛｸﾞﾗﾑﾊﾞﾘｱﾝﾄ仕様"/>
      <sheetName val="添付(1)"/>
      <sheetName val="添付(2)"/>
      <sheetName val="添付(3)"/>
      <sheetName val="添付(4)"/>
      <sheetName val="社員リスト"/>
      <sheetName val="TABLE"/>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社員リスト"/>
      <sheetName val="商品リスト"/>
      <sheetName val="表紙"/>
      <sheetName val="確認書"/>
      <sheetName val="IPO"/>
      <sheetName val="汎用M"/>
      <sheetName val="ﾃﾞｰﾀ項目"/>
      <sheetName val="編集"/>
      <sheetName val="画面遷移"/>
      <sheetName val="画面レ"/>
      <sheetName val="画面機能"/>
      <sheetName val="画面項目"/>
      <sheetName val="UT"/>
      <sheetName val="UTﾊﾟﾀｰﾝ"/>
      <sheetName val="別紙用"/>
      <sheetName val="別紙用 (2)"/>
      <sheetName val="Sheet2"/>
      <sheetName val="Sheet1"/>
      <sheetName val="Sheet3"/>
      <sheetName val="TABLE"/>
      <sheetName val="機能"/>
      <sheetName val="処理概要図"/>
      <sheetName val="IF-FILE"/>
      <sheetName val="IF(FILE-R3）(1)"/>
      <sheetName val="IF(FILE-R3）(2)"/>
      <sheetName val="IF(FILE-R3）(3)"/>
      <sheetName val="R3関連画面 (1)"/>
      <sheetName val="R3関連画面 (2)"/>
      <sheetName val="R3関連画面 (3)"/>
      <sheetName val="R3関連画面 (4)"/>
      <sheetName val="R3関連画面 (5)"/>
      <sheetName val="R3関連画面 (6)"/>
      <sheetName val="表紙 (2)"/>
      <sheetName val="IPO(旧版)"/>
      <sheetName val="IPO (最新版)"/>
      <sheetName val="ﾒｯｾｰｼﾞ"/>
      <sheetName val="補足"/>
      <sheetName val="処理フロー"/>
      <sheetName val="変更履歴"/>
      <sheetName val="機能構造図"/>
      <sheetName val="SP(条件指定検索)"/>
      <sheetName val="SP(発注人略称明細)"/>
      <sheetName val="SP(ｱｲﾃﾑNo明細)"/>
      <sheetName val="SP(ｱｲﾃﾑｵｰﾀﾞ明細)"/>
      <sheetName val="SP(相手先ｵｰﾀﾞ明細)"/>
      <sheetName val="SP(納入船積表示)"/>
      <sheetName val="IPO(指定条件検索)"/>
      <sheetName val="IPO(発注人略称)"/>
      <sheetName val="IPO(ｱｲﾃﾑNo)"/>
      <sheetName val="IPO(ｱｲﾃﾑｵｰﾀﾞ)"/>
      <sheetName val="IPO(相手先ｵｰﾀﾞ)"/>
      <sheetName val="IPO(納入船積表示)"/>
      <sheetName val="UT (指定条件検索)"/>
      <sheetName val="UT (発注人略称)"/>
      <sheetName val="UT (ｱｲﾃﾑNo)"/>
      <sheetName val="UT (ｱｲﾃﾑｵｰﾀﾞ)"/>
      <sheetName val="UT (相手先ｵｰﾀﾞ)"/>
      <sheetName val="UT (納入船積表示)"/>
      <sheetName val="UTﾊﾟﾀｰﾝ(初期画面)"/>
      <sheetName val="UTﾊﾟﾀｰﾝ(検索結果)"/>
      <sheetName val="ﾌﾛｰ "/>
      <sheetName val="MSG定義"/>
      <sheetName val="入力ﾁｪｯｸ (指定条件検索)"/>
      <sheetName val="入力ﾁｪｯｸ (品番明細)"/>
      <sheetName val="画面レ(指定条件検索)"/>
      <sheetName val="画面項目（指定条件検索）"/>
      <sheetName val="画面レ(発注人略称)"/>
      <sheetName val="画面項目(発注人略称)"/>
      <sheetName val="画面レ(ｱｲﾃﾑNo)"/>
      <sheetName val="画面項目(ｱｲﾃﾑNo)"/>
      <sheetName val="画面レ(ｱｲﾃﾑｵｰﾀﾞ)"/>
      <sheetName val="画面項目(ｱｲﾃﾑｵｰﾀﾞ)"/>
      <sheetName val="画面レ(相手先ｵｰﾀﾞ)"/>
      <sheetName val="画面項目(相手先ｵｰﾀﾞ)"/>
      <sheetName val="画面レ(納入船積表示)"/>
      <sheetName val="画面項目(納入船積表示)"/>
      <sheetName val="編集 (PO表示)"/>
      <sheetName val="編集 (発注人略称明細)"/>
      <sheetName val="編集 (ｱｲﾃﾑNo明細)"/>
      <sheetName val="編集 (ｱｲﾃﾑｵｰﾀﾞ明細)"/>
      <sheetName val="編集 (相手先ｵｰﾀﾞ明細)"/>
      <sheetName val="編集 (納入船積表示)"/>
      <sheetName val="編集 (発注人略称CSV)"/>
      <sheetName val="編集 (ｱｲﾃﾑNo CSV)"/>
      <sheetName val="編集 (ｱｲﾃﾑｵｰﾀﾞCSV)"/>
      <sheetName val="編集 (相手先ｵｰﾀﾞCSV)"/>
      <sheetName val="編集 (納入船積表示CSV)"/>
      <sheetName val="画面機能（条件指定検索）"/>
      <sheetName val="画面機能（品番明細）"/>
      <sheetName val="画面機能(納入船積表示)"/>
      <sheetName val="ｵﾌﾞｼﾞｪｸﾄ"/>
      <sheetName val="編集 (ｴﾗｰ情報)"/>
      <sheetName val="別紙）ｱﾌﾟﾘﾛｸﾞ定義書"/>
      <sheetName val="SP"/>
      <sheetName val="画面項目 (一覧出力)"/>
      <sheetName val="編集 (取引NO一覧)"/>
      <sheetName val="編集 (一覧出力)"/>
      <sheetName val="編集 (一覧出力CSV)"/>
      <sheetName val="入力ﾁｪｯｸ"/>
      <sheetName val="COMMON"/>
      <sheetName val="(ﾍｯﾀﾞ)"/>
      <sheetName val="kna1"/>
      <sheetName val="knb1"/>
      <sheetName val="テストデータ記述2"/>
      <sheetName val="Employee Info"/>
      <sheetName val="Product and Service Catalog"/>
      <sheetName val="品目DB"/>
      <sheetName val="#REF"/>
      <sheetName val="レポートレイアウト"/>
      <sheetName val="ドキュメント一覧・変更履歴"/>
      <sheetName val="日付ﾃｰﾌﾞﾙ"/>
      <sheetName val="ÐõXg"/>
      <sheetName val="１．InfoCube (YKCH0010) 案２"/>
      <sheetName val="１．InfoCube (YKCH0010)案１"/>
      <sheetName val="工数Worksheet"/>
      <sheetName val="Program List"/>
      <sheetName val="ŽÐˆõƒŠƒXƒg"/>
      <sheetName val="テスト仕様書兼報告書表紙"/>
      <sheetName val="単体テスト仕様書 "/>
      <sheetName val="IK輸入LC残高移行ﾃﾞｰﾀ実行前"/>
      <sheetName val="IK輸入LC残高移行ﾃﾞｰﾀ実行後"/>
      <sheetName val="移行結果リスト"/>
      <sheetName val="他者名義変換表"/>
      <sheetName val="実行ログ"/>
      <sheetName val="設計書一覧"/>
      <sheetName val="改訂履歴"/>
      <sheetName val="機能概要 "/>
      <sheetName val="入出力関連図"/>
      <sheetName val="処理機能記述書"/>
      <sheetName val="処理機能記述書 (2)"/>
      <sheetName val="画面遷移図"/>
      <sheetName val="画面レイアウト (１)"/>
      <sheetName val="画面項目定義書 (１)"/>
      <sheetName val="画面レイアウト (2)"/>
      <sheetName val="画面項目定義書 (2)"/>
      <sheetName val="画面レイアウト（3）"/>
      <sheetName val="画面項目定義書（3）"/>
      <sheetName val="入力定義書(BGR00)"/>
      <sheetName val="入力定義書 (BBKPF)"/>
      <sheetName val="入力定義書 (ZBSEG)"/>
      <sheetName val="入力定義書 (BBTAX)"/>
      <sheetName val="汎用紙"/>
      <sheetName val="全般の記載ルール"/>
      <sheetName val="PCLパターン一覧"/>
      <sheetName val="1.選択条件画面レイアウト"/>
      <sheetName val="2-1.入力チェック(通常項目)"/>
      <sheetName val="3-1.データ抽出(前提条件無)"/>
      <sheetName val="3-2.データチェック（必須チェック）"/>
      <sheetName val="3-3-1.データチェック(存在チェック)"/>
      <sheetName val="3-3-1.データチェック(存在チェック2)"/>
      <sheetName val="3-3-1.データチェック(存在チェック3)"/>
      <sheetName val="3-3-1.データチェック(その他)"/>
      <sheetName val="3-3-1.データチェック(演算)"/>
      <sheetName val="3-3-2.更新処理-出力処理"/>
      <sheetName val="6.出力ファイルレイアウト"/>
      <sheetName val="7.更新結果(YMAK0390)"/>
      <sheetName val="7.更新結果(YMAK0450)"/>
      <sheetName val="7.更新結果(バッチインプット)"/>
      <sheetName val="10.終了処理"/>
      <sheetName val="出力結果添付1(終了処理)"/>
      <sheetName val="出力結果添付2(EDI処理)"/>
      <sheetName val="出力結果添付3(更新結果)"/>
      <sheetName val="出力結果添付4(入力データ)"/>
      <sheetName val="EKKO"/>
      <sheetName val="EKPO"/>
      <sheetName val="MARC"/>
      <sheetName val="MDBS"/>
      <sheetName val="EKET"/>
      <sheetName val="2.入力チェック"/>
      <sheetName val="3-1.データ抽出(前提条件無)20050203追加"/>
      <sheetName val="3-2.データ抽出(前提条件有)"/>
      <sheetName val="4.データ集約・集計"/>
      <sheetName val="5.その他出力項目の抽出"/>
      <sheetName val="6.データ更新"/>
      <sheetName val="7.標準原価の少数点以下5桁対応"/>
      <sheetName val="テスト結果添付 2004.12.9"/>
      <sheetName val="テスト結果添付 2004.12.14"/>
      <sheetName val="テスト結果添付1 2005.02.03"/>
      <sheetName val="出力結果添付2 2005.02.03"/>
      <sheetName val="エビデンス(単一価格データ)"/>
      <sheetName val="アクション一覧"/>
      <sheetName val="ユースケース一覧"/>
      <sheetName val="画面一覧"/>
      <sheetName val="メニュー"/>
      <sheetName val="本日分一覧"/>
      <sheetName val="書類種別一覧"/>
      <sheetName val="一覧"/>
      <sheetName val="検索結果一覧"/>
      <sheetName val="詳細"/>
      <sheetName val="詳細A1"/>
      <sheetName val="登録"/>
      <sheetName val="登録A2"/>
      <sheetName val="登録確認"/>
      <sheetName val="登録確認A3"/>
      <sheetName val="登録完了"/>
      <sheetName val="削除確認"/>
      <sheetName val="削除確認A4"/>
      <sheetName val="削除完了"/>
      <sheetName val="変更"/>
      <sheetName val="変更A5"/>
      <sheetName val="変更確認"/>
      <sheetName val="変更確認A6"/>
      <sheetName val="変更完了"/>
      <sheetName val="修正"/>
      <sheetName val="修正A7"/>
      <sheetName val="修正確認"/>
      <sheetName val="修正確認A8"/>
      <sheetName val="修正完了"/>
      <sheetName val="強制削除"/>
      <sheetName val="強制削除確認"/>
      <sheetName val="強制削除確認A9"/>
      <sheetName val="強制削除完了"/>
      <sheetName val="基本情報一覧"/>
      <sheetName val="基本情報設定詳細"/>
      <sheetName val="基本情報設定"/>
      <sheetName val="基本情報確認"/>
      <sheetName val="基本情報完了"/>
      <sheetName val="検索"/>
      <sheetName val="定期掲載日時一覧"/>
      <sheetName val="提供書類DB"/>
      <sheetName val="画面フロー"/>
      <sheetName val="画面定義"/>
      <sheetName val="文書履歴"/>
      <sheetName val="表紙 "/>
      <sheetName val="_REF"/>
      <sheetName val="問い合わせ票"/>
      <sheetName val="問い合わせ票 (中文)"/>
      <sheetName val="trans_at"/>
      <sheetName val="画面項目¨ｱｲﾃﾑｵｰﾀﾞ)"/>
      <sheetName val="画面項目(癸手先ｵｰﾀﾞ)"/>
      <sheetName val=""/>
      <sheetName val="問い合わせ票 (中ꀫ룇"/>
      <sheetName val="1.選択条件画面レイアウꀫ"/>
      <sheetName val="入力定義書 (ZBSEGꀫ"/>
      <sheetName val="n_x0000_f_x0000_o_x0000_"/>
      <sheetName val=" ⠀夀䬀䌀䠀　　㄀　⤀ 䠀ቨ៿Ā１．InfoCube (YKC"/>
      <sheetName val="緪集 (一覧出力CSV)"/>
      <sheetName val="DV02-A01_表紙"/>
      <sheetName val="DV02-A02ドキュメント一覧・変更履歴"/>
      <sheetName val="DV02-A03基本仕様"/>
      <sheetName val="DV02-A05処理概要"/>
      <sheetName val="DV02-A06設計詳細"/>
      <sheetName val="A07処理内容補足説明書（検索条件説明書）"/>
      <sheetName val="3-3-1.データチェック(存在チェッƯ3)"/>
      <sheetName val="n?f?o?"/>
      <sheetName val="+表紙!$AA$20社員リスト"/>
      <sheetName val="Employee_Info"/>
      <sheetName val="Product_and_Service_Catalog"/>
      <sheetName val="別紙用_(2)"/>
      <sheetName val="UT_(指定条件検索)"/>
      <sheetName val="UT_(発注人略称)"/>
      <sheetName val="UT_(ｱｲﾃﾑNo)"/>
      <sheetName val="UT_(ｱｲﾃﾑｵｰﾀﾞ)"/>
      <sheetName val="UT_(相手先ｵｰﾀﾞ)"/>
      <sheetName val="UT_(納入船積表示)"/>
      <sheetName val="ﾌﾛｰ_"/>
      <sheetName val="入力ﾁｪｯｸ_(指定条件検索)"/>
      <sheetName val="入力ﾁｪｯｸ_(品番明細)"/>
      <sheetName val="編集_(PO表示)"/>
      <sheetName val="編集_(発注人略称明細)"/>
      <sheetName val="編集_(ｱｲﾃﾑNo明細)"/>
      <sheetName val="編集_(ｱｲﾃﾑｵｰﾀﾞ明細)"/>
      <sheetName val="編集_(相手先ｵｰﾀﾞ明細)"/>
      <sheetName val="編集_(納入船積表示)"/>
      <sheetName val="編集_(発注人略称CSV)"/>
      <sheetName val="編集_(ｱｲﾃﾑNo_CSV)"/>
      <sheetName val="編集_(ｱｲﾃﾑｵｰﾀﾞCSV)"/>
      <sheetName val="編集_(相手先ｵｰﾀﾞCSV)"/>
      <sheetName val="編集_(納入船積表示CSV)"/>
      <sheetName val="編集_(ｴﾗｰ情報)"/>
      <sheetName val="画面項目_(一覧出力)"/>
      <sheetName val="編集_(取引NO一覧)"/>
      <sheetName val="編集_(一覧出力)"/>
      <sheetName val="編集_(一覧出力CSV)"/>
      <sheetName val="R3関連画面_(1)"/>
      <sheetName val="R3関連画面_(2)"/>
      <sheetName val="R3関連画面_(3)"/>
      <sheetName val="R3関連画面_(4)"/>
      <sheetName val="R3関連画面_(5)"/>
      <sheetName val="R3関連画面_(6)"/>
      <sheetName val="表紙_(2)"/>
      <sheetName val="IPO_(最新版)"/>
      <sheetName val="１．InfoCube_(YKCH0010)_案２"/>
      <sheetName val="１．InfoCube_(YKCH0010)案１"/>
      <sheetName val="Program_List"/>
      <sheetName val="1_選択条件画面レイアウト"/>
      <sheetName val="2-1_入力チェック(通常項目)"/>
      <sheetName val="3-1_データ抽出(前提条件無)"/>
      <sheetName val="3-2_データチェック（必須チェック）"/>
      <sheetName val="3-3-1_データチェック(存在チェック)"/>
      <sheetName val="3-3-1_データチェック(存在チェック2)"/>
      <sheetName val="3-3-1_データチェック(存在チェック3)"/>
      <sheetName val="3-3-1_データチェック(その他)"/>
      <sheetName val="3-3-1_データチェック(演算)"/>
      <sheetName val="3-3-2_更新処理-出力処理"/>
      <sheetName val="6_出力ファイルレイアウト"/>
      <sheetName val="7_更新結果(YMAK0390)"/>
      <sheetName val="7_更新結果(YMAK0450)"/>
      <sheetName val="7_更新結果(バッチインプット)"/>
      <sheetName val="10_終了処理"/>
      <sheetName val="2_入力チェック"/>
      <sheetName val="3-1_データ抽出(前提条件無)20050203追加"/>
      <sheetName val="3-2_データ抽出(前提条件有)"/>
      <sheetName val="4_データ集約・集計"/>
      <sheetName val="5_その他出力項目の抽出"/>
      <sheetName val="6_データ更新"/>
      <sheetName val="7_標準原価の少数点以下5桁対応"/>
      <sheetName val="テスト結果添付_2004_12_9"/>
      <sheetName val="テスト結果添付_2004_12_14"/>
      <sheetName val="テスト結果添付1_2005_02_03"/>
      <sheetName val="出力結果添付2_2005_02_03"/>
      <sheetName val="機能概要_"/>
      <sheetName val="処理機能記述書_(2)"/>
      <sheetName val="画面レイアウト_(１)"/>
      <sheetName val="画面項目定義書_(１)"/>
      <sheetName val="画面レイアウト_(2)"/>
      <sheetName val="画面項目定義書_(2)"/>
      <sheetName val="入力定義書_(BBKPF)"/>
      <sheetName val="入力定義書_(ZBSEG)"/>
      <sheetName val="入力定義書_(BBTAX)"/>
      <sheetName val="単体テスト仕様書_"/>
      <sheetName val="表紙_"/>
      <sheetName val="問い合わせ票_(中文)"/>
      <sheetName val="Employee_Info1"/>
      <sheetName val="Product_and_Service_Catalog1"/>
      <sheetName val="別紙用_(2)1"/>
      <sheetName val="UT_(指定条件検索)1"/>
      <sheetName val="UT_(発注人略称)1"/>
      <sheetName val="UT_(ｱｲﾃﾑNo)1"/>
      <sheetName val="UT_(ｱｲﾃﾑｵｰﾀﾞ)1"/>
      <sheetName val="UT_(相手先ｵｰﾀﾞ)1"/>
      <sheetName val="UT_(納入船積表示)1"/>
      <sheetName val="ﾌﾛｰ_1"/>
      <sheetName val="入力ﾁｪｯｸ_(指定条件検索)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sheetData sheetId="328"/>
      <sheetData sheetId="329"/>
      <sheetData sheetId="330"/>
      <sheetData sheetId="331"/>
      <sheetData sheetId="332"/>
      <sheetData sheetId="3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BIBL01"/>
      <sheetName val="転記キー"/>
      <sheetName val="税コード"/>
      <sheetName val="ﾜﾝﾀｲﾑ"/>
      <sheetName val="JGR"/>
      <sheetName val="支払方法"/>
      <sheetName val="基本数量単位"/>
      <sheetName val="ｻﾝﾌﾟﾙ伝票"/>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処理機能記述"/>
      <sheetName val="#REF"/>
      <sheetName val="レポートレイアウト"/>
      <sheetName val="社員リスト"/>
      <sheetName val="ﾘｽﾄ"/>
      <sheetName val="勤務体系"/>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記入票"/>
      <sheetName val="部門"/>
      <sheetName val="原価センター"/>
      <sheetName val="勘定科目表 "/>
      <sheetName val="財務分析コード"/>
      <sheetName val="銀行口座"/>
      <sheetName val="顧客"/>
      <sheetName val="仕入先"/>
      <sheetName val="消費税"/>
      <sheetName val="固定資産"/>
      <sheetName val="プロジェクト"/>
      <sheetName val="支払条件"/>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外部設計確認書"/>
      <sheetName val="処理概要"/>
      <sheetName val="処理機能記述"/>
      <sheetName val="別紙(IPO)"/>
      <sheetName val="別紙①"/>
      <sheetName val="別紙&lt;1&gt;"/>
      <sheetName val="画面遷移図"/>
      <sheetName val="画面レイアウト"/>
      <sheetName val="画面機能定義"/>
      <sheetName val="画面項目定義"/>
      <sheetName val="帳票レイアウト"/>
      <sheetName val="帳票項目定義"/>
      <sheetName val="Q草稿"/>
      <sheetName val="メモ"/>
      <sheetName val="HR_0001AP"/>
      <sheetName val="HR_0002Dragle"/>
      <sheetName val="HR_0003EDI"/>
      <sheetName val="IFID_R3-Outbound"/>
      <sheetName val="HR_0004社員原簿"/>
      <sheetName val="HR_0005源泉"/>
      <sheetName val="HR_0005源泉(高木氏改修分)"/>
      <sheetName val="源泉の修正レイアウト"/>
      <sheetName val="HR_0006昇給"/>
      <sheetName val="HR_0006 040709"/>
      <sheetName val="HR_0006昇給画面レイアウト図"/>
      <sheetName val="承認票"/>
      <sheetName val="社員リスト"/>
      <sheetName val="勤務体系"/>
      <sheetName val="TABLE"/>
      <sheetName val="基本情報"/>
      <sheetName val="function"/>
      <sheetName val="JOBINFOD"/>
      <sheetName val="JOBINFOR"/>
      <sheetName val="SD_FUNCTION"/>
      <sheetName val="SD_TABLE"/>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変更履歴"/>
      <sheetName val="処理概要"/>
      <sheetName val="テーブル一覧"/>
      <sheetName val="DFD"/>
      <sheetName val="イベント説明"/>
      <sheetName val="画面レイアウト "/>
      <sheetName val="画面項目説明"/>
      <sheetName val="帳票レイアウト"/>
      <sheetName val="帳票出力仕様"/>
      <sheetName val="ファイルレイアウト"/>
      <sheetName val="テーブル出力仕様(会計伝票情報取込ログ)"/>
      <sheetName val="補足説明（機能関連図）"/>
      <sheetName val="補足説明（データ区分一覧）"/>
      <sheetName val="補足説明（消費税計算）"/>
      <sheetName val="レビュー指摘事項"/>
      <sheetName val="オブジェクト一覧"/>
      <sheetName val="プログラムフロー図"/>
      <sheetName val="マス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処理機能記述"/>
      <sheetName val="#REF"/>
      <sheetName val="レポートレイアウト"/>
      <sheetName val="社員リスト"/>
      <sheetName val="ﾘｽﾄ"/>
      <sheetName val="勤務体系"/>
      <sheetName val="確認書"/>
      <sheetName val="変更履歴"/>
      <sheetName val="処理機能概要"/>
      <sheetName val="画面遷移図"/>
      <sheetName val="画面レイアウト"/>
      <sheetName val="画面機能定義"/>
      <sheetName val="画面項目定義"/>
      <sheetName val="帳票レイアウト"/>
      <sheetName val="帳票項目定義"/>
      <sheetName val="テーブル項目編集定義"/>
      <sheetName val="ファイル項目定義"/>
      <sheetName val="ＢＩ要領定義"/>
      <sheetName val="BAPI編集要領"/>
      <sheetName val="メッセージ一覧"/>
      <sheetName val="補足説明"/>
      <sheetName val="TABLE"/>
      <sheetName val="障害検出率"/>
      <sheetName val="型TB"/>
      <sheetName val="Sheet1"/>
      <sheetName val="Sheet2"/>
      <sheetName val="Sheet3"/>
    </sheetNames>
    <definedNames>
      <definedName name="sheetprint"/>
      <definedName name="リピートボタン_Click"/>
      <definedName name="制御情報更新"/>
      <definedName name="画面名表示"/>
      <definedName name="制御情報更新"/>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refreshError="1"/>
      <sheetData sheetId="2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承認票"/>
      <sheetName val="文書構成表"/>
      <sheetName val="来歴"/>
      <sheetName val="外付け機能概要記述書"/>
      <sheetName val="処理説明"/>
      <sheetName val="画面ﾚｲｱｳﾄ (1)"/>
      <sheetName val="画面処理仕様(1)"/>
      <sheetName val="入力ﾁｪｯｸ仕様(1)"/>
      <sheetName val="画面ﾚｲｱｳﾄ (2)"/>
      <sheetName val="画面処理仕様(2)"/>
      <sheetName val="入力ﾁｪｯｸ仕様(2)"/>
      <sheetName val="ﾊﾞｯﾁｲﾝﾌﾟｯﾄ編集仕様(1)"/>
      <sheetName val="ﾊﾞｯﾁｲﾝﾌﾟｯﾄ画面遷移(1)"/>
      <sheetName val="ﾊﾞｯﾁｲﾝﾌﾟｯﾄ編集仕様(2)"/>
      <sheetName val="ﾊﾞｯﾁｲﾝﾌﾟｯﾄ画面遷移(2)"/>
      <sheetName val="ﾌﾟﾛｸﾞﾗﾑﾊﾞﾘｱﾝﾄ仕様"/>
      <sheetName val="添付(1)"/>
      <sheetName val="添付(2)"/>
      <sheetName val="添付(3)"/>
      <sheetName val="添付(4)"/>
      <sheetName val="M-001R0_1(マルチ在庫転送)"/>
      <sheetName val="Sheet3"/>
      <sheetName val="処理機能記述"/>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承認票"/>
      <sheetName val="文書構成表"/>
      <sheetName val="来歴"/>
      <sheetName val="外付け機能概要記述書"/>
      <sheetName val="処理説明"/>
      <sheetName val="画面ﾚｲｱｳﾄ (1)"/>
      <sheetName val="画面処理仕様(1)"/>
      <sheetName val="入力ﾁｪｯｸ仕様(1)"/>
      <sheetName val="画面ﾚｲｱｳﾄ (2)"/>
      <sheetName val="画面処理仕様(2)"/>
      <sheetName val="入力ﾁｪｯｸ仕様(2)"/>
      <sheetName val="ﾊﾞｯﾁｲﾝﾌﾟｯﾄ編集仕様(1)"/>
      <sheetName val="ﾊﾞｯﾁｲﾝﾌﾟｯﾄ画面遷移(1)"/>
      <sheetName val="ﾊﾞｯﾁｲﾝﾌﾟｯﾄ編集仕様(2)"/>
      <sheetName val="ﾊﾞｯﾁｲﾝﾌﾟｯﾄ画面遷移(2)"/>
      <sheetName val="ﾌﾟﾛｸﾞﾗﾑﾊﾞﾘｱﾝﾄ仕様"/>
      <sheetName val="添付(1)"/>
      <sheetName val="添付(2)"/>
      <sheetName val="添付(3)"/>
      <sheetName val="添付(4)"/>
      <sheetName val="処理機能記述"/>
      <sheetName val="ﾘｽﾄ"/>
      <sheetName val="調査シート"/>
      <sheetName val="データ"/>
      <sheetName val="MstIT"/>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コンフィグ設定一覧"/>
      <sheetName val="システムパラメータ"/>
      <sheetName val="法人"/>
      <sheetName val="法人-設定値"/>
      <sheetName val="法人-番号順序 "/>
      <sheetName val="会計カレンダー"/>
      <sheetName val="会計カレンダー-設定値"/>
      <sheetName val="元帳カレンダー"/>
      <sheetName val="元帳カレンダー-設定値"/>
      <sheetName val="勘定科目表"/>
      <sheetName val="通貨-設定値"/>
      <sheetName val="勘定科目表-設定値"/>
      <sheetName val="通貨"/>
      <sheetName val="元帳"/>
      <sheetName val="元帳-勘定構造"/>
      <sheetName val="財務分析コード"/>
      <sheetName val="財務分析コード-設定値"/>
      <sheetName val="財務分析コード値"/>
      <sheetName val="財務分析コード値-設定値"/>
      <sheetName val="財務分析コードセット"/>
      <sheetName val="財務分析コードセット-設定値"/>
      <sheetName val="勘定構造のコンフィギュレーション"/>
      <sheetName val="勘定構造のコンフィギュレーション-設定値"/>
      <sheetName val="元帳転記グループ"/>
      <sheetName val="元帳転記グループ-設定値"/>
      <sheetName val="消費税所轄官庁"/>
      <sheetName val="消費税所轄官庁-設定値"/>
      <sheetName val="消費税決済期間"/>
      <sheetName val="消費税決済期間-設定値"/>
      <sheetName val="消費税決済期間_間隔-設定値"/>
      <sheetName val="消費税コード"/>
      <sheetName val="消費税コード-設定値"/>
      <sheetName val="消費税コードの値-設定値 "/>
      <sheetName val="消費税グループ"/>
      <sheetName val="消費税グループ-設定値"/>
      <sheetName val="消費税グループ_設定-設定値"/>
      <sheetName val="品目消費税グループ"/>
      <sheetName val="品目消費税グループ-設定値"/>
      <sheetName val="主勘定"/>
      <sheetName val="主勘定-設定値"/>
      <sheetName val="主勘定（法人の上書き）-設定値"/>
      <sheetName val="主勘定（既定の財務分析コード）-設定値"/>
      <sheetName val="主勘定（消費税）-設定値"/>
      <sheetName val="番号順序"/>
      <sheetName val="番号順序-設定値"/>
      <sheetName val="仕訳帳名"/>
      <sheetName val="仕訳帳名-設定値"/>
      <sheetName val="銀行口座"/>
      <sheetName val=" 銀行口座-設定値"/>
      <sheetName val="銀行グループ"/>
      <sheetName val="銀行グループ-設定値"/>
      <sheetName val="顧客グループ"/>
      <sheetName val="顧客グループ-設定値"/>
      <sheetName val="顧客転記プロファイル"/>
      <sheetName val="顧客転記プロファイル-設定値"/>
      <sheetName val="顧客転記プロファイル_設定-設定値"/>
      <sheetName val="支払方法_売掛"/>
      <sheetName val="支払方法_売掛-設定値"/>
      <sheetName val="支払期日"/>
      <sheetName val="支払期日-設定値"/>
      <sheetName val="支払条件"/>
      <sheetName val="支払条件-設定値"/>
      <sheetName val="仕入先グループ"/>
      <sheetName val="仕入先グループ-設定値"/>
      <sheetName val="仕入先転記プロファイル"/>
      <sheetName val="仕入先転記プロファイル-設定値"/>
      <sheetName val="仕入先転記プロファイル_設定-設定値"/>
      <sheetName val="支払方法_買掛"/>
      <sheetName val="支払方法_買掛-設定値"/>
      <sheetName val="住所の設定"/>
      <sheetName val="住所の形式-設定値"/>
      <sheetName val="都道府県-設定値"/>
      <sheetName val="サイト"/>
      <sheetName val="サイト-設定値"/>
      <sheetName val="倉庫"/>
      <sheetName val="倉庫-設定値"/>
      <sheetName val="品目グループ"/>
      <sheetName val="品目グループ-設定値"/>
      <sheetName val="品目グループの転記"/>
      <sheetName val="品目グループの転記-設定値"/>
      <sheetName val="品目モデルグループ"/>
      <sheetName val="品目モデルグループ-設定値"/>
      <sheetName val="保管分析コードグループ"/>
      <sheetName val="保管分析コードグループ-設定値"/>
      <sheetName val="保管分析コードグループ-保管分析コード"/>
      <sheetName val="追跡用分析コードグループ"/>
      <sheetName val="追跡用分析コードグループ-設定値"/>
      <sheetName val="追跡用分析コードグループ-追跡用分析コード"/>
      <sheetName val="追跡番号グループ"/>
      <sheetName val="追跡番号グループ-設定値"/>
      <sheetName val="マス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コンフィグ設定一覧"/>
      <sheetName val="製品情報管理パラメータ―"/>
      <sheetName val="製品情報管理パラメータ―-番号順序"/>
      <sheetName val="保管分析コードグループ"/>
      <sheetName val="保管分析コードグループ-設定値"/>
      <sheetName val="保管分析コードグループ-保管分析コード"/>
      <sheetName val="追跡用分析コードグループ"/>
      <sheetName val="追跡用分析コードグループ-設定値"/>
      <sheetName val="追跡用分析コードグループ-追跡用分析コード"/>
      <sheetName val="カテゴリ階層 "/>
      <sheetName val="カテゴリ階層 -設定値"/>
      <sheetName val="カテゴリ階層ロールのアソシエーション "/>
      <sheetName val="カテゴリ階層ロールのアソシエーション  -設定値"/>
      <sheetName val="マス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処理概要"/>
      <sheetName val="テーブル一覧"/>
      <sheetName val="DFD"/>
      <sheetName val="イベント説明"/>
      <sheetName val="画面レイアウト"/>
      <sheetName val="画面項目説明"/>
      <sheetName val="テーブル出力項目"/>
      <sheetName val="補足説明"/>
      <sheetName val="オブジェクト一覧"/>
      <sheetName val="プログラムフロー図"/>
      <sheetName val="マスタ"/>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コンフィグ設定一覧"/>
      <sheetName val="一般会計パラメータ"/>
      <sheetName val="一般会計パラメータ-設定値"/>
      <sheetName val="一般会計パラメータ-番号順序"/>
      <sheetName val="会計カレンダー"/>
      <sheetName val="会計カレンダー-設定値"/>
      <sheetName val="元帳カレンダー"/>
      <sheetName val="元帳カレンダー-設定値"/>
      <sheetName val="勘定科目表"/>
      <sheetName val="勘定科目表-設定値"/>
      <sheetName val="通貨"/>
      <sheetName val="通貨-設定値"/>
      <sheetName val="元帳"/>
      <sheetName val="元帳-勘定構造"/>
      <sheetName val="主勘定"/>
      <sheetName val="主勘定-設定値"/>
      <sheetName val="主勘定（法人の上書き）-設定値"/>
      <sheetName val="主勘定（既定の財務分析コード）-設定値"/>
      <sheetName val="主勘定（消費税）-設定値"/>
      <sheetName val="財務分析コード"/>
      <sheetName val="財務分析コード-設定値"/>
      <sheetName val="勘定構造のコンフィギュレーション"/>
      <sheetName val="勘定構造のコンフィギュレーション-設定値"/>
      <sheetName val="仕訳帳名"/>
      <sheetName val="仕訳帳名-設定値"/>
      <sheetName val="財務分析コードセット"/>
      <sheetName val="財務分析コードセット-設定値"/>
      <sheetName val="既定の説明"/>
      <sheetName val="既定の説明-設定値"/>
      <sheetName val="アプリケーション統合用の財務分析コードの構成"/>
      <sheetName val="アプリケーション統合用の財務分析コード-設定値"/>
      <sheetName val="仕訳帳の説明"/>
      <sheetName val="仕訳帳の説明-設定値"/>
      <sheetName val="マス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フォーマット"/>
      <sheetName val="リストBOX定義"/>
      <sheetName val="商品一覧"/>
      <sheetName val="T"/>
      <sheetName val="承認票"/>
      <sheetName val="【Head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_MAINX"/>
      <sheetName val="リストBOX定義"/>
      <sheetName val="承認票"/>
      <sheetName val="TABLE"/>
      <sheetName val="障害管理票"/>
      <sheetName val="#REF"/>
      <sheetName val="型TB"/>
    </sheetNames>
    <definedNames>
      <definedName name="パターン"/>
      <definedName name="フォント"/>
      <definedName name="再表示_列"/>
      <definedName name="再表示_行"/>
      <definedName name="幅"/>
      <definedName name="標準幅"/>
      <definedName name="罫線"/>
      <definedName name="自動"/>
      <definedName name="表示形式"/>
      <definedName name="選択範囲"/>
      <definedName name="配置"/>
      <definedName name="非表示_列"/>
      <definedName name="非表示_行"/>
      <definedName name="高さ"/>
      <definedName name="再表示_行"/>
      <definedName name="再表示_列"/>
      <definedName name="自動"/>
      <definedName name="選択範囲"/>
      <definedName name="配置"/>
      <definedName name="非表示_行"/>
      <definedName name="非表示_列"/>
      <definedName name="標準幅"/>
      <definedName name="表示形式"/>
      <definedName name="幅"/>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版履歴"/>
      <sheetName val="ERP設定項目一覧"/>
      <sheetName val="1.1　法人-番号順序（NEX）"/>
      <sheetName val="一般会計パラメータ"/>
      <sheetName val="一般会計パラメータ-番号順序"/>
      <sheetName val="元帳"/>
      <sheetName val="元帳-勘定構造"/>
      <sheetName val="会計カレンダー"/>
      <sheetName val="会計カレンダー-設定値"/>
      <sheetName val="通貨"/>
      <sheetName val="通貨-設定値"/>
      <sheetName val="勘定科目表"/>
      <sheetName val="勘定科目表-設定値"/>
      <sheetName val="勘定構造のコンフィギュレーション"/>
      <sheetName val="勘定構造のコンフィギュレーション-設定値"/>
      <sheetName val="主勘定カテゴリ"/>
      <sheetName val="主勘定カテゴリ-設定値"/>
      <sheetName val="財務分析コード"/>
      <sheetName val="財務分析コード-設定値"/>
      <sheetName val="財務分析コード値"/>
      <sheetName val="財務分析コード値-設定値"/>
      <sheetName val="財務分析コード（翻訳）"/>
      <sheetName val="財務分析コード（翻訳）-設定値"/>
      <sheetName val="元帳カレンダー"/>
      <sheetName val="元帳カレンダー-設定値"/>
      <sheetName val="仕訳帳名"/>
      <sheetName val="仕訳帳名-設定値"/>
      <sheetName val="通貨の再評価勘定"/>
      <sheetName val="通貨の再評価勘定-設定値"/>
      <sheetName val="通貨の為替レート"/>
      <sheetName val="通貨の為替レート-設定値"/>
      <sheetName val="為替レートタイプ "/>
      <sheetName val="為替レートタイプ-設定値"/>
      <sheetName val="日付範囲"/>
      <sheetName val="日付範囲-設定値"/>
      <sheetName val="財務分析コードセット"/>
      <sheetName val="財務分析コードセット-設定値"/>
      <sheetName val="自動トランザクションの勘定"/>
      <sheetName val="自動トランザクションの勘定-設定値"/>
      <sheetName val="既定の説明"/>
      <sheetName val="既定の説明-設定値"/>
      <sheetName val="アプリケーション統合用の財務分析コードの構成"/>
      <sheetName val="アプリケーション統合用の財務分析コード-設定値"/>
      <sheetName val="主勘定"/>
      <sheetName val="主勘定-設定値"/>
      <sheetName val="主勘定（法人の上書き）-設定値"/>
      <sheetName val="一般会計ワークフロー"/>
      <sheetName val="一般会計ワークフロー-設定値"/>
      <sheetName val="マスタ"/>
      <sheetName val="年度末決算テンプレートの設定"/>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ポートレイアウト"/>
      <sheetName val="５月作業計画"/>
      <sheetName val="ﾍｯﾀﾞ"/>
      <sheetName val="001"/>
      <sheetName val="002"/>
      <sheetName val="表紙"/>
      <sheetName val="TABLE"/>
      <sheetName val="確認書"/>
      <sheetName val="機能 (3)"/>
      <sheetName val="機能"/>
      <sheetName val="機能 (2)"/>
      <sheetName val="遷移図"/>
      <sheetName val="IPO"/>
      <sheetName val="画面レ"/>
      <sheetName val="画面項目"/>
      <sheetName val="帳票ﾚA4"/>
      <sheetName val="帳票項目"/>
      <sheetName val="ﾃﾞｰﾀ構造図(ﾄﾘｶﾞｰ)"/>
      <sheetName val="ﾃﾞｰﾀ項目(ﾄﾘｶﾞｰ)"/>
      <sheetName val="ﾃﾞｰﾀ構造図(搬入場所)"/>
      <sheetName val="ﾃﾞｰﾀ項目(搬入場所)"/>
      <sheetName val="別紙①"/>
      <sheetName val="別紙②"/>
      <sheetName val="概要処理ﾌﾛｰ (ZJPMM078)"/>
      <sheetName val="概要処理ﾌﾛｰ (ZJPMM079)"/>
      <sheetName val="R3関連補足(ZJPMM079)"/>
      <sheetName val="概要処理ﾌﾛｰ(ZJPMM080)"/>
      <sheetName val="R3関連補足(ZJPMM080)"/>
      <sheetName val="概要処理ﾌﾛｰ (ZJPMM081) "/>
      <sheetName val="概要処理ﾌﾛｰ (ZJPMM083)"/>
      <sheetName val="概要処理ﾌﾛｰ(ZJPMM084)"/>
      <sheetName val="R3関連補足(ZJPMM084)"/>
      <sheetName val="概要処理ﾌﾛｰ(ZJPMM085)"/>
      <sheetName val="R3関連補足(ZJPMM085)"/>
      <sheetName val="概要処理ﾌﾛｰZJPMM086)"/>
      <sheetName val="概要処理ﾌﾛｰ（ZJPMM137）"/>
      <sheetName val="概要処理ﾌﾛｰ（ZJPMM137） (2)"/>
      <sheetName val="概要処理ﾌﾛｰ（ZJPMM138）"/>
      <sheetName val="概要処理ﾌﾛｰ (ZJPOMM033)"/>
      <sheetName val="R3関連画面（ZJPOMM033）"/>
      <sheetName val="概要処理ﾌﾛｰ (ZJPOMM034)"/>
      <sheetName val="R3関連画面（ZJPOMM034） "/>
      <sheetName val="概要処理ﾌﾛｰ (ZJPOMM035)"/>
      <sheetName val="概要処理ﾌﾛｰ  (ZJPOMM036)"/>
      <sheetName val="概要処理ﾌﾛｰ (ZJPOMM037)"/>
      <sheetName val="概要処理ﾌﾛｰ（ZJPOMM038）"/>
      <sheetName val="R3関連画面（ZJPOMM038）"/>
      <sheetName val="概要処理ﾌﾛｰ（ZJPOMM039）"/>
      <sheetName val="R3関連画面（ZJPOMM039)"/>
      <sheetName val="処理概要図"/>
      <sheetName val="IF-FILE"/>
      <sheetName val="IF(FILE-R3）(1)"/>
      <sheetName val="IF(FILE-R3）(2)"/>
      <sheetName val="IF(FILE-R3）(3)"/>
      <sheetName val="R3関連画面 (1)"/>
      <sheetName val="R3関連画面 (2)"/>
      <sheetName val="R3関連画面 (3)"/>
      <sheetName val="R3関連画面 (4)"/>
      <sheetName val="R3関連画面 (5)"/>
      <sheetName val="R3関連画面 (6)"/>
      <sheetName val="表紙 (2)"/>
      <sheetName val="IPO(旧版)"/>
      <sheetName val="IPO (最新版)"/>
      <sheetName val="ﾒｯｾｰｼﾞ"/>
      <sheetName val="補足"/>
      <sheetName val="処理フロー"/>
      <sheetName val="変更履歴"/>
      <sheetName val="機能構造図"/>
      <sheetName val="SP(条件指定検索)"/>
      <sheetName val="SP(発注人略称明細)"/>
      <sheetName val="SP(ｱｲﾃﾑNo明細)"/>
      <sheetName val="SP(ｱｲﾃﾑｵｰﾀﾞ明細)"/>
      <sheetName val="SP(相手先ｵｰﾀﾞ明細)"/>
      <sheetName val="SP(納入船積表示)"/>
      <sheetName val="IPO(指定条件検索)"/>
      <sheetName val="IPO(発注人略称)"/>
      <sheetName val="IPO(ｱｲﾃﾑNo)"/>
      <sheetName val="IPO(ｱｲﾃﾑｵｰﾀﾞ)"/>
      <sheetName val="IPO(相手先ｵｰﾀﾞ)"/>
      <sheetName val="IPO(納入船積表示)"/>
      <sheetName val="UT (指定条件検索)"/>
      <sheetName val="UT (発注人略称)"/>
      <sheetName val="UT (ｱｲﾃﾑNo)"/>
      <sheetName val="UT (ｱｲﾃﾑｵｰﾀﾞ)"/>
      <sheetName val="UT (相手先ｵｰﾀﾞ)"/>
      <sheetName val="UT (納入船積表示)"/>
      <sheetName val="UTﾊﾟﾀｰﾝ(初期画面)"/>
      <sheetName val="UTﾊﾟﾀｰﾝ(検索結果)"/>
      <sheetName val="ﾌﾛｰ "/>
      <sheetName val="MSG定義"/>
      <sheetName val="入力ﾁｪｯｸ (指定条件検索)"/>
      <sheetName val="入力ﾁｪｯｸ (品番明細)"/>
      <sheetName val="画面レ(指定条件検索)"/>
      <sheetName val="画面項目（指定条件検索）"/>
      <sheetName val="画面レ(発注人略称)"/>
      <sheetName val="画面項目(発注人略称)"/>
      <sheetName val="画面レ(ｱｲﾃﾑNo)"/>
      <sheetName val="画面項目(ｱｲﾃﾑNo)"/>
      <sheetName val="画面レ(ｱｲﾃﾑｵｰﾀﾞ)"/>
      <sheetName val="画面項目(ｱｲﾃﾑｵｰﾀﾞ)"/>
      <sheetName val="画面レ(相手先ｵｰﾀﾞ)"/>
      <sheetName val="画面項目(相手先ｵｰﾀﾞ)"/>
      <sheetName val="画面レ(納入船積表示)"/>
      <sheetName val="画面項目(納入船積表示)"/>
      <sheetName val="編集 (PO表示)"/>
      <sheetName val="編集 (発注人略称明細)"/>
      <sheetName val="編集 (ｱｲﾃﾑNo明細)"/>
      <sheetName val="編集 (ｱｲﾃﾑｵｰﾀﾞ明細)"/>
      <sheetName val="編集 (相手先ｵｰﾀﾞ明細)"/>
      <sheetName val="編集 (納入船積表示)"/>
      <sheetName val="編集 (発注人略称CSV)"/>
      <sheetName val="編集 (ｱｲﾃﾑNo CSV)"/>
      <sheetName val="編集 (ｱｲﾃﾑｵｰﾀﾞCSV)"/>
      <sheetName val="編集 (相手先ｵｰﾀﾞCSV)"/>
      <sheetName val="編集 (納入船積表示CSV)"/>
      <sheetName val="画面機能（条件指定検索）"/>
      <sheetName val="画面機能（品番明細）"/>
      <sheetName val="画面機能(納入船積表示)"/>
      <sheetName val="画面遷移"/>
      <sheetName val="ｵﾌﾞｼﾞｪｸﾄ"/>
      <sheetName val="編集 (ｴﾗｰ情報)"/>
      <sheetName val="別紙）ｱﾌﾟﾘﾛｸﾞ定義書"/>
      <sheetName val="SP"/>
      <sheetName val="画面項目 (一覧出力)"/>
      <sheetName val="編集 (取引NO一覧)"/>
      <sheetName val="編集 (一覧出力)"/>
      <sheetName val="編集 (一覧出力CSV)"/>
      <sheetName val="UT"/>
      <sheetName val="UTﾊﾟﾀｰﾝ"/>
      <sheetName val="入力ﾁｪｯｸ"/>
      <sheetName val="画面機能"/>
      <sheetName val="文書履歴"/>
      <sheetName val="画面フロー"/>
      <sheetName val="入出力定義"/>
      <sheetName val="エラー処理定義"/>
      <sheetName val="メッセージ一覧"/>
      <sheetName val="権限制御定義"/>
      <sheetName val="画面定義"/>
      <sheetName val="画面レイアウト"/>
      <sheetName val="補足事項"/>
      <sheetName val="補足事項区分"/>
      <sheetName val="kna1"/>
      <sheetName val="knb1"/>
      <sheetName val="テストデータ記述2"/>
      <sheetName val="Sheet1"/>
      <sheetName val="Sheet2"/>
      <sheetName val="Sheet3"/>
      <sheetName val="販売"/>
      <sheetName val="物流"/>
      <sheetName val="購買"/>
      <sheetName val="生産1"/>
      <sheetName val="生産2"/>
      <sheetName val="テスト仕様書"/>
      <sheetName val="棚卸資産記入帳実績明細テーブル"/>
      <sheetName val="預け預り品記入帳実績明細テーブル"/>
      <sheetName val="【最新】テストコンディションシート"/>
      <sheetName val="参考1"/>
      <sheetName val="テスト対象機能一覧（参照用）"/>
      <sheetName val="テスト対象プロセス一覧（参照用）"/>
      <sheetName val="【旧】テストコンディションシート"/>
      <sheetName val="F00_機能表紙"/>
      <sheetName val="F02_基本仕様"/>
      <sheetName val="F03_アドオン機能詳細"/>
      <sheetName val="F06_画面・帳票遷移"/>
      <sheetName val="F07_帳票レイアウト(000)"/>
      <sheetName val="F07_帳票レイアウト(001-1)"/>
      <sheetName val="F08_帳票項目定義(001-1)"/>
      <sheetName val="F13_補足説明"/>
      <sheetName val="F16_汎用モジュール定義"/>
      <sheetName val="表紙  "/>
      <sheetName val="承認票"/>
      <sheetName val="単体ﾃｽﾄ定義書"/>
      <sheetName val="ヘッダー"/>
      <sheetName val="TìÆvæ"/>
      <sheetName val="|[gCAEg"/>
      <sheetName val="統合決定表"/>
      <sheetName val="‚TŒŽì‹ÆŒv‰æ"/>
      <sheetName val="ƒŒƒ|[ƒgƒŒƒCƒAƒEƒg"/>
      <sheetName val="捺印用表紙"/>
      <sheetName val="改訂履歴"/>
      <sheetName val="作成物管理表"/>
      <sheetName val="機能概要"/>
      <sheetName val="機能補足"/>
      <sheetName val="画面項目定義"/>
      <sheetName val="帳票レイアウト(132)"/>
      <sheetName val="SVF・RM帳票出力定義"/>
      <sheetName val="帳票レイアウト"/>
      <sheetName val="帳票項目定義"/>
      <sheetName val="処理記述"/>
      <sheetName val="補足説明"/>
      <sheetName val="翻訳"/>
      <sheetName val="ヘッダ"/>
      <sheetName val="job一覧"/>
      <sheetName val="原紙"/>
      <sheetName val="SHOT(001)"/>
      <sheetName val="SHOT(002)"/>
      <sheetName val="SHOT(003)"/>
      <sheetName val="SHOT(004)"/>
      <sheetName val="SHOT(005)"/>
      <sheetName val="SHOT(006)"/>
      <sheetName val="SHOT(007)"/>
      <sheetName val="SHOT(008)"/>
      <sheetName val="SHOT(009)"/>
      <sheetName val="SHOT(010)"/>
      <sheetName val="SHOT(011)"/>
      <sheetName val="SHOT(012)"/>
      <sheetName val="SHOT(013)"/>
      <sheetName val="SHOT(014)"/>
      <sheetName val="SHOT(015)"/>
      <sheetName val="SHOT(016)"/>
      <sheetName val="SHOT(017)"/>
      <sheetName val="SHOT(018)"/>
      <sheetName val="SHOT(019)"/>
      <sheetName val="SHOT(020)"/>
      <sheetName val="SHOT(021)"/>
      <sheetName val="SHOT(022)"/>
      <sheetName val="SHOT(023)"/>
      <sheetName val="SHOT(024)"/>
      <sheetName val="SHOT(025)"/>
      <sheetName val="SHOT(026)"/>
      <sheetName val="SHOT(027)"/>
      <sheetName val="SHOT(028)"/>
      <sheetName val="SHOT(029)"/>
      <sheetName val="SHOT(030)"/>
      <sheetName val="SHOT(031)"/>
      <sheetName val="SHOT(032)"/>
      <sheetName val="SHOT(033)"/>
      <sheetName val="SHOT(034)"/>
      <sheetName val="SHOT(035)"/>
      <sheetName val="ヘッダ (2)"/>
      <sheetName val="SHOT(036)"/>
      <sheetName val="SHOT(037)"/>
      <sheetName val="SHOT(038)"/>
      <sheetName val="SHOT(039)"/>
      <sheetName val="SHOT(040)"/>
      <sheetName val="SHOT(041)"/>
      <sheetName val="SHOT(042)"/>
      <sheetName val="SHOT(043)"/>
      <sheetName val="SHOT(044)"/>
      <sheetName val="SHOT(45)"/>
      <sheetName val="SHOT(046)"/>
      <sheetName val="SHOT(047)"/>
      <sheetName val="SHOT(048)"/>
      <sheetName val="SHOT(049)"/>
      <sheetName val="SHOT(050-1)"/>
      <sheetName val="SHOT(050-2)"/>
      <sheetName val="SHOT(050-3)"/>
      <sheetName val="SHOT(051)"/>
      <sheetName val="SHOT(052)"/>
      <sheetName val="ヘッダ (3)"/>
      <sheetName val="SHOT(053)"/>
      <sheetName val="SHOT(054)"/>
      <sheetName val="SHOT(055)"/>
      <sheetName val="SHOT(056)"/>
      <sheetName val="SHOT(057)"/>
      <sheetName val="SHOT(058)"/>
      <sheetName val="ヘッダ (4)"/>
      <sheetName val="必要トランザクション一覧"/>
      <sheetName val="3_ステージング機能定義書（処理概要）"/>
      <sheetName val="4_ステージング機能定義書（処理フロー）"/>
      <sheetName val="6_ステージング機能定義書（項目対比表）"/>
      <sheetName val="cdhdr.einkbeleg.2005.12.12.aa"/>
      <sheetName val="CDPOS.1"/>
      <sheetName val="Sheet4"/>
      <sheetName val="ekpo"/>
      <sheetName val="エビデンス(単一価格データ)"/>
      <sheetName val="内部機能定義"/>
      <sheetName val="IPOﾀﾞｲｱｸﾞﾗﾑ"/>
      <sheetName val="（ﾍｯﾀﾞ）"/>
      <sheetName val="(20021209退避)内部機能定義"/>
      <sheetName val="(20021209退避)IPOﾀﾞｲｱｸﾞﾗﾑ"/>
      <sheetName val="画面定義 (2)"/>
      <sheetName val="画面レイアウト (2)"/>
      <sheetName val="改版履歴"/>
      <sheetName val="データ項目一覧"/>
      <sheetName val="ネーミング"/>
      <sheetName val="コントロール"/>
      <sheetName val="リストデータ設定シート"/>
      <sheetName val="設計書表紙"/>
      <sheetName val="ドキュメント一覧"/>
      <sheetName val="基本仕様"/>
      <sheetName val="機能詳細"/>
      <sheetName val="ファイル編集要領"/>
      <sheetName val="内部構造編集要領"/>
      <sheetName val="帳票項目定義（ヘッダ部）"/>
      <sheetName val="総括表 "/>
      <sheetName val="表紙 "/>
      <sheetName val="更新履歴"/>
      <sheetName val="共通定義"/>
      <sheetName val="ﾕｰｻﾞEXIT(1)"/>
      <sheetName val="(ﾍｯﾀﾞ)"/>
      <sheetName val="(概要)"/>
      <sheetName val="(ﾕｰｻﾞ文書)"/>
      <sheetName val="(ｷｰﾜｰﾄﾞ)"/>
      <sheetName val="(その他)"/>
      <sheetName val="~0056583"/>
      <sheetName val="社員リスト"/>
      <sheetName val="|_gCAEg"/>
      <sheetName val="ƒŒƒ|_ƒgƒŒƒCƒAƒEƒg"/>
      <sheetName val="レポートレイアウ⃈"/>
      <sheetName val="現行"/>
      <sheetName val="改善案"/>
      <sheetName val="画面"/>
      <sheetName val="TSBFTPF"/>
      <sheetName val="開始送信"/>
      <sheetName val="終了送信"/>
      <sheetName val="停止送信"/>
      <sheetName val="終了取得"/>
      <sheetName val="処理概要"/>
      <sheetName val="処理詳細"/>
      <sheetName val="項目移送"/>
      <sheetName val="貨物保険料対象条件マスタ"/>
      <sheetName val="リスト値"/>
      <sheetName val="調査シート"/>
      <sheetName val=""/>
      <sheetName val="処理機能記述"/>
      <sheetName val="マスタ"/>
      <sheetName val="テーブル"/>
      <sheetName val="ﾏｽﾀｰ(Z82)"/>
      <sheetName val="型TB"/>
      <sheetName val="T"/>
      <sheetName val="勤務体系"/>
      <sheetName val="リストBOX定義"/>
      <sheetName val="リスト"/>
      <sheetName val="【参考】パラメータ設定値"/>
      <sheetName val="1.2.list"/>
      <sheetName val="コード定義"/>
      <sheetName val="見積テーブル"/>
      <sheetName val="帳票レイアウト（鑑）"/>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表紙v1"/>
      <sheetName val="コンフィグ設定一覧"/>
      <sheetName val="1.1　法人-番号順序（NEX）"/>
      <sheetName val="システムパラメータ"/>
      <sheetName val="ユーザーグループ"/>
      <sheetName val="ユーザーグループ-設定値"/>
      <sheetName val="電子メールパラメーター"/>
      <sheetName val="電子メールパラメーター-設定値"/>
      <sheetName val="システムの電子メールテンプレート"/>
      <sheetName val="システムの電子メールテンプレート-設定値"/>
      <sheetName val="電子メールディストリビュータバッチ"/>
      <sheetName val="電子メールディストリビュータバッチ-設定値"/>
      <sheetName val="AADアプリケーション"/>
      <sheetName val="AADアプリケーション-設定値"/>
      <sheetName val="機能管理"/>
      <sheetName val="ワークフロー IF コンフィグ"/>
      <sheetName val="B2B 招待状のコンフィギュレーション"/>
      <sheetName val="外部ロール"/>
      <sheetName val="外部ロール-設定値 "/>
      <sheetName val="ユーザーワークフロー"/>
      <sheetName val="ユーザーワークフロー-設定値 "/>
      <sheetName val="マス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見積書"/>
      <sheetName val="商品一覧"/>
      <sheetName val="承認票"/>
      <sheetName val="(完成)見積書"/>
      <sheetName val="自動・手動総メッセージ_20001124修正版"/>
      <sheetName val="銀行補助と使用管理単位の紐つけ(fabs)"/>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DS"/>
      <sheetName val="MAC"/>
      <sheetName val="T-ID"/>
      <sheetName val="DD"/>
      <sheetName val="型TB"/>
      <sheetName val="DD(Webあり)"/>
      <sheetName val="検索"/>
      <sheetName val="MAC印"/>
      <sheetName val="MAC店"/>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コンフィグ設定一覧"/>
      <sheetName val="1.1　法人"/>
      <sheetName val="1.1 法人-変更履歴"/>
      <sheetName val="1.1　法人-設定値"/>
      <sheetName val="1.1　法人-番号順序（MEDC）"/>
      <sheetName val="1.1　法人-設定値NEX"/>
      <sheetName val="1.1　法人-住所"/>
      <sheetName val="1.1　法人-連絡先情報"/>
      <sheetName val="1.1　法人-番号順序（NEX）"/>
      <sheetName val="1.2　一般会計パラメータ"/>
      <sheetName val="1.2 一般会計パラメータ変更履歴 "/>
      <sheetName val="1.2　一般会計パラメータ-番号順序"/>
      <sheetName val="1.3　元帳"/>
      <sheetName val="1.3　元帳‐変更履歴"/>
      <sheetName val="1.3　元帳-勘定構造"/>
      <sheetName val="1.4　会計カレンダー"/>
      <sheetName val="1.4　会計カレンダー‐変更履歴 "/>
      <sheetName val="1.4　会計カレンダー-設定値"/>
      <sheetName val="1.5　通貨"/>
      <sheetName val="1.5　通貨‐変更履歴  "/>
      <sheetName val="1.5　通貨-設定値"/>
      <sheetName val="1.6　勘定科目表"/>
      <sheetName val="1.6　勘定科目表‐変更履歴  "/>
      <sheetName val="1.6　勘定科目表-設定値"/>
      <sheetName val="1.7　勘定構造のコンフィギュレーション"/>
      <sheetName val="1.7　勘定構造のコンフィギュレーション-変更履歴  "/>
      <sheetName val="1.7　勘定構造のコンフィギュレーション-設定値"/>
      <sheetName val="1.8　主勘定カテゴリ"/>
      <sheetName val="1.8　主勘定カテゴリ-変更履歴  "/>
      <sheetName val="1.8　主勘定カテゴリ-設定値"/>
      <sheetName val="1.9 財務分析コード"/>
      <sheetName val="1.9 財務分析コード-変更履歴  "/>
      <sheetName val="1.9 財務分析コード-設定値"/>
      <sheetName val="1.10 財務分析コード値"/>
      <sheetName val="1.10 財務分析コード値-変更履歴   "/>
      <sheetName val="1.10 財務分析コード値-設定値"/>
      <sheetName val="1.10 財務分析コード値（法人の上書き）-設定値"/>
      <sheetName val="1.11 財務分析コード（主勘定）"/>
      <sheetName val="1.11 財務分析コード（主勘定）-変更履歴    "/>
      <sheetName val="1.11 財務分析コード（主勘定）-設定値"/>
      <sheetName val="1.12 元帳カレンダー"/>
      <sheetName val="1.12 元帳カレンダー-変更履歴 "/>
      <sheetName val="1.12 元帳カレンダー-設定値"/>
      <sheetName val="1.13 仕訳帳名"/>
      <sheetName val="1.13 仕訳帳名-変更履歴  "/>
      <sheetName val="1.13 仕訳帳名-設定値"/>
      <sheetName val="1.14 通貨の再評価勘定"/>
      <sheetName val="1.14 通貨の再評価勘定-設定値-変更履歴  "/>
      <sheetName val="1.14 通貨の再評価勘定-設定値"/>
      <sheetName val="1.15 通貨の為替レート"/>
      <sheetName val="1.15 通貨の為替レート-変更履歴 "/>
      <sheetName val="1.15 通貨の為替レート-設定値"/>
      <sheetName val="1.16 為替レートタイプ "/>
      <sheetName val="1.16 為替レートタイプ -変更履歴 "/>
      <sheetName val="1.16 為替レートタイプ-設定値"/>
      <sheetName val="1.17 外貨再評価"/>
      <sheetName val="1.17 外貨再評価 -変更履歴 "/>
      <sheetName val="1.18 日付範囲"/>
      <sheetName val="1.18 日付範囲 -変更履歴"/>
      <sheetName val="1.18 日付範囲-設定値"/>
      <sheetName val="1.19 財務分析コードセット"/>
      <sheetName val="1.19 財務分析コードセット-変更履歴  "/>
      <sheetName val="1.19 財務分析コードセット-設定値"/>
      <sheetName val="1.20 自動トランザクションの勘定"/>
      <sheetName val="1.20 自動トランザクションの勘定-変更履歴"/>
      <sheetName val="1.20 自動トランザクションの勘定-設定値"/>
      <sheetName val="1.21 既定の説明"/>
      <sheetName val="1.21 既定の説明-変更履歴   "/>
      <sheetName val="1.21 既定の説明-設定値"/>
      <sheetName val="1.22 アプリケーション統合用の財務分析コードの構成"/>
      <sheetName val="1.22 アプリケーション統合用の財務-変更履歴   "/>
      <sheetName val="1.22 アプリケーション統合用の財務分析コード-設定値"/>
      <sheetName val="1.23　主勘定"/>
      <sheetName val="1.23　主勘定-変更履歴"/>
      <sheetName val="1.23　主勘定-設定値"/>
      <sheetName val="1.23　主勘定（法人の上書き）-設定値"/>
      <sheetName val="マス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Meiryo UI">
      <a:majorFont>
        <a:latin typeface="Meiryo UI"/>
        <a:ea typeface="Meiryo UI"/>
        <a:cs typeface=""/>
      </a:majorFont>
      <a:minorFont>
        <a:latin typeface="Calibr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learn.microsoft.com/ja-jp/dynamics365/fin-ops-core/dev-itpro/sysadmin/cleanuproutines"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learn.microsoft.com/ja-jp/dynamics365/fin-ops-core/dev-itpro/database/export-database"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441C-74F9-4834-A618-9933C7EE4F0C}">
  <dimension ref="B1:CC36"/>
  <sheetViews>
    <sheetView tabSelected="1" zoomScale="70" zoomScaleNormal="70" workbookViewId="0"/>
  </sheetViews>
  <sheetFormatPr defaultColWidth="2.21875" defaultRowHeight="15" customHeight="1"/>
  <cols>
    <col min="1" max="16384" width="2.21875" style="2"/>
  </cols>
  <sheetData>
    <row r="1" spans="2:81" ht="15" customHeight="1" thickBot="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row>
    <row r="2" spans="2:81" ht="15" customHeight="1">
      <c r="B2" s="3"/>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5"/>
    </row>
    <row r="3" spans="2:81" ht="15" customHeight="1">
      <c r="B3" s="6"/>
      <c r="C3" s="7"/>
      <c r="D3" s="8" t="s">
        <v>0</v>
      </c>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9"/>
    </row>
    <row r="4" spans="2:81" ht="15" customHeight="1">
      <c r="B4" s="6"/>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9"/>
    </row>
    <row r="5" spans="2:81" ht="15" customHeight="1" thickBot="1">
      <c r="B5" s="6"/>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9"/>
    </row>
    <row r="6" spans="2:81" ht="15" customHeight="1">
      <c r="B6" s="6"/>
      <c r="C6" s="7"/>
      <c r="D6" s="7"/>
      <c r="E6" s="7"/>
      <c r="F6" s="7"/>
      <c r="G6" s="7"/>
      <c r="H6" s="7"/>
      <c r="I6" s="7"/>
      <c r="J6" s="7"/>
      <c r="K6" s="7"/>
      <c r="L6" s="7"/>
      <c r="M6" s="7"/>
      <c r="N6" s="7"/>
      <c r="O6" s="7"/>
      <c r="P6" s="7"/>
      <c r="Q6" s="7"/>
      <c r="R6" s="7"/>
      <c r="S6" s="7"/>
      <c r="T6" s="7"/>
      <c r="U6" s="7"/>
      <c r="V6" s="45" t="s">
        <v>1</v>
      </c>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7"/>
      <c r="BL6" s="7"/>
      <c r="BM6" s="7"/>
      <c r="BN6" s="7"/>
      <c r="BO6" s="7"/>
      <c r="BP6" s="7"/>
      <c r="BQ6" s="7"/>
      <c r="BR6" s="7"/>
      <c r="BS6" s="7"/>
      <c r="BT6" s="7"/>
      <c r="BU6" s="7"/>
      <c r="BV6" s="7"/>
      <c r="BW6" s="7"/>
      <c r="BX6" s="7"/>
      <c r="BY6" s="7"/>
      <c r="BZ6" s="7"/>
      <c r="CA6" s="7"/>
      <c r="CB6" s="7"/>
      <c r="CC6" s="9"/>
    </row>
    <row r="7" spans="2:81" ht="15" customHeight="1">
      <c r="B7" s="6"/>
      <c r="C7" s="7"/>
      <c r="D7" s="7"/>
      <c r="E7" s="7"/>
      <c r="F7" s="7"/>
      <c r="G7" s="7"/>
      <c r="H7" s="7"/>
      <c r="I7" s="7"/>
      <c r="J7" s="7"/>
      <c r="K7" s="7"/>
      <c r="L7" s="7"/>
      <c r="M7" s="7"/>
      <c r="N7" s="7"/>
      <c r="O7" s="7"/>
      <c r="P7" s="7"/>
      <c r="Q7" s="7"/>
      <c r="R7" s="7"/>
      <c r="S7" s="7"/>
      <c r="T7" s="7"/>
      <c r="U7" s="7"/>
      <c r="V7" s="48"/>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50"/>
      <c r="BL7" s="7"/>
      <c r="BM7" s="7"/>
      <c r="BN7" s="7"/>
      <c r="BO7" s="7"/>
      <c r="BP7" s="7"/>
      <c r="BQ7" s="7"/>
      <c r="BR7" s="7"/>
      <c r="BS7" s="7"/>
      <c r="BT7" s="7"/>
      <c r="BU7" s="7"/>
      <c r="BV7" s="7"/>
      <c r="BW7" s="7"/>
      <c r="BX7" s="7"/>
      <c r="BY7" s="7"/>
      <c r="BZ7" s="7"/>
      <c r="CA7" s="7"/>
      <c r="CB7" s="7"/>
      <c r="CC7" s="9"/>
    </row>
    <row r="8" spans="2:81" ht="15" customHeight="1">
      <c r="B8" s="6"/>
      <c r="C8" s="7"/>
      <c r="D8" s="7"/>
      <c r="E8" s="7"/>
      <c r="F8" s="7"/>
      <c r="G8" s="7"/>
      <c r="H8" s="7"/>
      <c r="I8" s="7"/>
      <c r="J8" s="7"/>
      <c r="K8" s="7"/>
      <c r="L8" s="7"/>
      <c r="M8" s="7"/>
      <c r="N8" s="7"/>
      <c r="O8" s="7"/>
      <c r="P8" s="7"/>
      <c r="Q8" s="7"/>
      <c r="R8" s="7"/>
      <c r="S8" s="7"/>
      <c r="T8" s="7"/>
      <c r="U8" s="7"/>
      <c r="V8" s="48"/>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49"/>
      <c r="BJ8" s="49"/>
      <c r="BK8" s="50"/>
      <c r="BL8" s="7"/>
      <c r="BM8" s="7"/>
      <c r="BN8" s="7"/>
      <c r="BO8" s="7"/>
      <c r="BP8" s="7"/>
      <c r="BQ8" s="7"/>
      <c r="BR8" s="7"/>
      <c r="BS8" s="7"/>
      <c r="BT8" s="7"/>
      <c r="BU8" s="7"/>
      <c r="BV8" s="7"/>
      <c r="BW8" s="7"/>
      <c r="BX8" s="7"/>
      <c r="BY8" s="7"/>
      <c r="BZ8" s="7"/>
      <c r="CA8" s="7"/>
      <c r="CB8" s="7"/>
      <c r="CC8" s="9"/>
    </row>
    <row r="9" spans="2:81" ht="15" customHeight="1">
      <c r="B9" s="6"/>
      <c r="C9" s="7"/>
      <c r="D9" s="7"/>
      <c r="E9" s="7"/>
      <c r="F9" s="7"/>
      <c r="G9" s="7"/>
      <c r="H9" s="7"/>
      <c r="I9" s="7"/>
      <c r="J9" s="7"/>
      <c r="K9" s="7"/>
      <c r="L9" s="7"/>
      <c r="M9" s="7"/>
      <c r="N9" s="7"/>
      <c r="O9" s="7"/>
      <c r="P9" s="7"/>
      <c r="Q9" s="7"/>
      <c r="R9" s="7"/>
      <c r="S9" s="7"/>
      <c r="T9" s="7"/>
      <c r="U9" s="7"/>
      <c r="V9" s="48"/>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50"/>
      <c r="BL9" s="7"/>
      <c r="BM9" s="7"/>
      <c r="BN9" s="7"/>
      <c r="BO9" s="7"/>
      <c r="BP9" s="7"/>
      <c r="BQ9" s="7"/>
      <c r="BR9" s="7"/>
      <c r="BS9" s="7"/>
      <c r="BT9" s="7"/>
      <c r="BU9" s="7"/>
      <c r="BV9" s="7"/>
      <c r="BW9" s="7"/>
      <c r="BX9" s="7"/>
      <c r="BY9" s="7"/>
      <c r="BZ9" s="7"/>
      <c r="CA9" s="7"/>
      <c r="CB9" s="7"/>
      <c r="CC9" s="9"/>
    </row>
    <row r="10" spans="2:81" ht="15" customHeight="1">
      <c r="B10" s="6"/>
      <c r="C10" s="7"/>
      <c r="D10" s="7"/>
      <c r="E10" s="7"/>
      <c r="F10" s="7"/>
      <c r="G10" s="7"/>
      <c r="H10" s="7"/>
      <c r="I10" s="7"/>
      <c r="J10" s="7"/>
      <c r="K10" s="7"/>
      <c r="L10" s="7"/>
      <c r="M10" s="7"/>
      <c r="N10" s="7"/>
      <c r="O10" s="7"/>
      <c r="P10" s="7"/>
      <c r="Q10" s="7"/>
      <c r="R10" s="7"/>
      <c r="S10" s="7"/>
      <c r="T10" s="7"/>
      <c r="U10" s="7"/>
      <c r="V10" s="51" t="s">
        <v>2</v>
      </c>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3"/>
      <c r="BL10" s="7"/>
      <c r="BM10" s="7"/>
      <c r="BN10" s="7"/>
      <c r="BO10" s="7"/>
      <c r="BP10" s="7"/>
      <c r="BQ10" s="7"/>
      <c r="BR10" s="7"/>
      <c r="BS10" s="7"/>
      <c r="BT10" s="7"/>
      <c r="BU10" s="7"/>
      <c r="BV10" s="7"/>
      <c r="BW10" s="7"/>
      <c r="BX10" s="7"/>
      <c r="BY10" s="7"/>
      <c r="BZ10" s="7"/>
      <c r="CA10" s="7"/>
      <c r="CB10" s="7"/>
      <c r="CC10" s="9"/>
    </row>
    <row r="11" spans="2:81" ht="15" customHeight="1">
      <c r="B11" s="6"/>
      <c r="C11" s="7"/>
      <c r="D11" s="7"/>
      <c r="E11" s="7"/>
      <c r="F11" s="7"/>
      <c r="G11" s="7"/>
      <c r="H11" s="7"/>
      <c r="I11" s="7"/>
      <c r="J11" s="7"/>
      <c r="K11" s="7"/>
      <c r="L11" s="7"/>
      <c r="M11" s="7"/>
      <c r="N11" s="7"/>
      <c r="O11" s="7"/>
      <c r="P11" s="7"/>
      <c r="Q11" s="7"/>
      <c r="R11" s="7"/>
      <c r="S11" s="7"/>
      <c r="T11" s="7"/>
      <c r="U11" s="7"/>
      <c r="V11" s="51"/>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3"/>
      <c r="BL11" s="7"/>
      <c r="BM11" s="7"/>
      <c r="BN11" s="7"/>
      <c r="BO11" s="7"/>
      <c r="BP11" s="7"/>
      <c r="BQ11" s="7"/>
      <c r="BR11" s="7"/>
      <c r="BS11" s="7"/>
      <c r="BT11" s="7"/>
      <c r="BU11" s="7"/>
      <c r="BV11" s="7"/>
      <c r="BW11" s="7"/>
      <c r="BX11" s="7"/>
      <c r="BY11" s="7"/>
      <c r="BZ11" s="7"/>
      <c r="CA11" s="7"/>
      <c r="CB11" s="7"/>
      <c r="CC11" s="9"/>
    </row>
    <row r="12" spans="2:81" ht="15" customHeight="1" thickBot="1">
      <c r="B12" s="6"/>
      <c r="C12" s="7"/>
      <c r="D12" s="7"/>
      <c r="E12" s="7"/>
      <c r="F12" s="7"/>
      <c r="G12" s="7"/>
      <c r="H12" s="7"/>
      <c r="I12" s="7"/>
      <c r="J12" s="7"/>
      <c r="K12" s="7"/>
      <c r="L12" s="7"/>
      <c r="M12" s="7"/>
      <c r="N12" s="7"/>
      <c r="O12" s="7"/>
      <c r="P12" s="7"/>
      <c r="Q12" s="7"/>
      <c r="R12" s="7"/>
      <c r="S12" s="7"/>
      <c r="T12" s="7"/>
      <c r="U12" s="7"/>
      <c r="V12" s="54"/>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6"/>
      <c r="BL12" s="7"/>
      <c r="BM12" s="7"/>
      <c r="BN12" s="7"/>
      <c r="BO12" s="7"/>
      <c r="BP12" s="7"/>
      <c r="BQ12" s="7"/>
      <c r="BR12" s="7"/>
      <c r="BS12" s="7"/>
      <c r="BT12" s="7"/>
      <c r="BU12" s="7"/>
      <c r="BV12" s="7"/>
      <c r="BW12" s="7"/>
      <c r="BX12" s="7"/>
      <c r="BY12" s="7"/>
      <c r="BZ12" s="7"/>
      <c r="CA12" s="7"/>
      <c r="CB12" s="7"/>
      <c r="CC12" s="9"/>
    </row>
    <row r="13" spans="2:81" ht="15" customHeight="1">
      <c r="B13" s="6"/>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9"/>
    </row>
    <row r="14" spans="2:81" ht="15" customHeight="1">
      <c r="B14" s="6"/>
      <c r="C14" s="7"/>
      <c r="D14" s="7"/>
      <c r="E14" s="7"/>
      <c r="F14" s="7"/>
      <c r="G14" s="7"/>
      <c r="H14" s="7"/>
      <c r="I14" s="7"/>
      <c r="J14" s="7"/>
      <c r="K14" s="7"/>
      <c r="L14" s="7"/>
      <c r="M14" s="7"/>
      <c r="N14" s="7"/>
      <c r="O14" s="7"/>
      <c r="P14" s="7"/>
      <c r="Q14" s="7"/>
      <c r="R14" s="7"/>
      <c r="S14" s="7"/>
      <c r="T14" s="7"/>
      <c r="U14" s="7"/>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7"/>
      <c r="BM14" s="7"/>
      <c r="BN14" s="7"/>
      <c r="BO14" s="7"/>
      <c r="BP14" s="7"/>
      <c r="BQ14" s="7"/>
      <c r="BR14" s="7"/>
      <c r="BS14" s="7"/>
      <c r="BT14" s="7"/>
      <c r="BU14" s="7"/>
      <c r="BV14" s="7"/>
      <c r="BW14" s="7"/>
      <c r="BX14" s="7"/>
      <c r="BY14" s="7"/>
      <c r="BZ14" s="7"/>
      <c r="CA14" s="7"/>
      <c r="CB14" s="7"/>
      <c r="CC14" s="9"/>
    </row>
    <row r="15" spans="2:81" ht="15" customHeight="1">
      <c r="B15" s="6"/>
      <c r="C15" s="7"/>
      <c r="D15" s="7"/>
      <c r="E15" s="7"/>
      <c r="F15" s="7"/>
      <c r="G15" s="7"/>
      <c r="H15" s="7"/>
      <c r="I15" s="7"/>
      <c r="J15" s="7"/>
      <c r="K15" s="7"/>
      <c r="L15" s="7"/>
      <c r="M15" s="7"/>
      <c r="N15" s="7"/>
      <c r="O15" s="7"/>
      <c r="P15" s="7"/>
      <c r="Q15" s="7"/>
      <c r="R15" s="7"/>
      <c r="S15" s="7"/>
      <c r="T15" s="7"/>
      <c r="U15" s="7"/>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7"/>
      <c r="BM15" s="7"/>
      <c r="BN15" s="7"/>
      <c r="BO15" s="7"/>
      <c r="BP15" s="7"/>
      <c r="BQ15" s="7"/>
      <c r="BR15" s="7"/>
      <c r="BS15" s="7"/>
      <c r="BT15" s="7"/>
      <c r="BU15" s="7"/>
      <c r="BV15" s="7"/>
      <c r="BW15" s="7"/>
      <c r="BX15" s="7"/>
      <c r="BY15" s="7"/>
      <c r="BZ15" s="7"/>
      <c r="CA15" s="7"/>
      <c r="CB15" s="7"/>
      <c r="CC15" s="9"/>
    </row>
    <row r="16" spans="2:81" ht="15" customHeight="1">
      <c r="B16" s="6"/>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9"/>
    </row>
    <row r="17" spans="2:81" ht="15" customHeight="1">
      <c r="B17" s="42" t="s">
        <v>3</v>
      </c>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c r="BM17" s="43"/>
      <c r="BN17" s="43"/>
      <c r="BO17" s="43"/>
      <c r="BP17" s="43"/>
      <c r="BQ17" s="43"/>
      <c r="BR17" s="43"/>
      <c r="BS17" s="43"/>
      <c r="BT17" s="43"/>
      <c r="BU17" s="43"/>
      <c r="BV17" s="43"/>
      <c r="BW17" s="43"/>
      <c r="BX17" s="43"/>
      <c r="BY17" s="43"/>
      <c r="BZ17" s="43"/>
      <c r="CA17" s="43"/>
      <c r="CB17" s="43"/>
      <c r="CC17" s="44"/>
    </row>
    <row r="18" spans="2:81" ht="15" customHeight="1">
      <c r="B18" s="6"/>
      <c r="C18" s="7"/>
      <c r="D18" s="7"/>
      <c r="E18" s="7"/>
      <c r="F18" s="11"/>
      <c r="G18" s="11"/>
      <c r="H18" s="11"/>
      <c r="I18" s="11"/>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9"/>
    </row>
    <row r="19" spans="2:81" ht="15" customHeight="1">
      <c r="B19" s="57">
        <v>45632</v>
      </c>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c r="BP19" s="43"/>
      <c r="BQ19" s="43"/>
      <c r="BR19" s="43"/>
      <c r="BS19" s="43"/>
      <c r="BT19" s="43"/>
      <c r="BU19" s="43"/>
      <c r="BV19" s="43"/>
      <c r="BW19" s="43"/>
      <c r="BX19" s="43"/>
      <c r="BY19" s="43"/>
      <c r="BZ19" s="43"/>
      <c r="CA19" s="43"/>
      <c r="CB19" s="43"/>
      <c r="CC19" s="44"/>
    </row>
    <row r="20" spans="2:81" ht="15" customHeight="1">
      <c r="B20" s="6"/>
      <c r="C20" s="7"/>
      <c r="D20" s="7"/>
      <c r="E20" s="7"/>
      <c r="F20" s="11"/>
      <c r="G20" s="11"/>
      <c r="H20" s="11"/>
      <c r="I20" s="11"/>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9"/>
    </row>
    <row r="21" spans="2:81" ht="15" customHeight="1">
      <c r="B21" s="42" t="s">
        <v>4</v>
      </c>
      <c r="C21" s="43"/>
      <c r="D21" s="43"/>
      <c r="E21" s="43"/>
      <c r="F21" s="43"/>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c r="BO21" s="43"/>
      <c r="BP21" s="43"/>
      <c r="BQ21" s="43"/>
      <c r="BR21" s="43"/>
      <c r="BS21" s="43"/>
      <c r="BT21" s="43"/>
      <c r="BU21" s="43"/>
      <c r="BV21" s="43"/>
      <c r="BW21" s="43"/>
      <c r="BX21" s="43"/>
      <c r="BY21" s="43"/>
      <c r="BZ21" s="43"/>
      <c r="CA21" s="43"/>
      <c r="CB21" s="43"/>
      <c r="CC21" s="44"/>
    </row>
    <row r="22" spans="2:81" ht="15" customHeight="1">
      <c r="B22" s="6"/>
      <c r="C22" s="7"/>
      <c r="D22" s="7"/>
      <c r="E22" s="7"/>
      <c r="F22" s="11"/>
      <c r="G22" s="11"/>
      <c r="H22" s="11"/>
      <c r="I22" s="11"/>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9"/>
    </row>
    <row r="23" spans="2:81" ht="15" customHeight="1">
      <c r="B23" s="42"/>
      <c r="C23" s="43"/>
      <c r="D23" s="43"/>
      <c r="E23" s="43"/>
      <c r="F23" s="43"/>
      <c r="G23" s="43"/>
      <c r="H23" s="43"/>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c r="BM23" s="43"/>
      <c r="BN23" s="43"/>
      <c r="BO23" s="43"/>
      <c r="BP23" s="43"/>
      <c r="BQ23" s="43"/>
      <c r="BR23" s="43"/>
      <c r="BS23" s="43"/>
      <c r="BT23" s="43"/>
      <c r="BU23" s="43"/>
      <c r="BV23" s="43"/>
      <c r="BW23" s="43"/>
      <c r="BX23" s="43"/>
      <c r="BY23" s="43"/>
      <c r="BZ23" s="43"/>
      <c r="CA23" s="43"/>
      <c r="CB23" s="43"/>
      <c r="CC23" s="44"/>
    </row>
    <row r="24" spans="2:81" ht="15" customHeight="1">
      <c r="B24" s="6"/>
      <c r="C24" s="7"/>
      <c r="D24" s="7"/>
      <c r="E24" s="7"/>
      <c r="F24" s="11"/>
      <c r="G24" s="11"/>
      <c r="H24" s="11"/>
      <c r="I24" s="11"/>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9"/>
    </row>
    <row r="25" spans="2:81" ht="15" customHeight="1">
      <c r="B25" s="12"/>
      <c r="C25" s="11"/>
      <c r="D25" s="11"/>
      <c r="E25" s="11"/>
      <c r="F25" s="11"/>
      <c r="G25" s="11"/>
      <c r="H25" s="11"/>
      <c r="I25" s="11"/>
      <c r="J25" s="11"/>
      <c r="K25" s="11"/>
      <c r="L25" s="11"/>
      <c r="M25" s="11"/>
      <c r="N25" s="11"/>
      <c r="O25" s="11"/>
      <c r="P25" s="11"/>
      <c r="Q25" s="11"/>
      <c r="R25" s="11"/>
      <c r="S25" s="11"/>
      <c r="T25" s="11"/>
      <c r="U25" s="11"/>
      <c r="V25" s="11"/>
      <c r="W25" s="11"/>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9"/>
    </row>
    <row r="26" spans="2:81" ht="15" customHeight="1">
      <c r="B26" s="12"/>
      <c r="C26" s="11"/>
      <c r="D26" s="11"/>
      <c r="E26" s="11"/>
      <c r="F26" s="11"/>
      <c r="G26" s="11"/>
      <c r="H26" s="11"/>
      <c r="I26" s="11"/>
      <c r="J26" s="11"/>
      <c r="K26" s="11"/>
      <c r="L26" s="11"/>
      <c r="M26" s="11"/>
      <c r="N26" s="11"/>
      <c r="O26" s="11"/>
      <c r="P26" s="11"/>
      <c r="Q26" s="11"/>
      <c r="R26" s="11"/>
      <c r="S26" s="11"/>
      <c r="T26" s="11"/>
      <c r="U26" s="11"/>
      <c r="V26" s="11"/>
      <c r="W26" s="11"/>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9"/>
    </row>
    <row r="27" spans="2:81" ht="15" customHeight="1">
      <c r="B27" s="12"/>
      <c r="C27" s="11"/>
      <c r="D27" s="11"/>
      <c r="E27" s="11"/>
      <c r="F27" s="11"/>
      <c r="G27" s="11"/>
      <c r="H27" s="11"/>
      <c r="I27" s="11"/>
      <c r="J27" s="11"/>
      <c r="K27" s="11"/>
      <c r="L27" s="11"/>
      <c r="M27" s="11"/>
      <c r="N27" s="11"/>
      <c r="O27" s="11"/>
      <c r="P27" s="11"/>
      <c r="Q27" s="11"/>
      <c r="R27" s="11"/>
      <c r="S27" s="11"/>
      <c r="T27" s="11"/>
      <c r="U27" s="11"/>
      <c r="V27" s="11"/>
      <c r="W27" s="11"/>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9"/>
    </row>
    <row r="28" spans="2:81" ht="15" customHeight="1">
      <c r="B28" s="12"/>
      <c r="C28" s="11"/>
      <c r="D28" s="11"/>
      <c r="E28" s="11"/>
      <c r="F28" s="11"/>
      <c r="G28" s="11"/>
      <c r="H28" s="11"/>
      <c r="I28" s="11"/>
      <c r="J28" s="11"/>
      <c r="K28" s="11"/>
      <c r="L28" s="11"/>
      <c r="M28" s="11"/>
      <c r="N28" s="11"/>
      <c r="O28" s="11"/>
      <c r="P28" s="11"/>
      <c r="Q28" s="11"/>
      <c r="R28" s="11"/>
      <c r="S28" s="11"/>
      <c r="T28" s="11"/>
      <c r="U28" s="11"/>
      <c r="V28" s="11"/>
      <c r="W28" s="11"/>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9"/>
    </row>
    <row r="29" spans="2:81" ht="15" customHeight="1">
      <c r="B29" s="12"/>
      <c r="C29" s="11"/>
      <c r="D29" s="11"/>
      <c r="E29" s="11"/>
      <c r="F29" s="11"/>
      <c r="G29" s="11"/>
      <c r="H29" s="11"/>
      <c r="I29" s="11"/>
      <c r="J29" s="11"/>
      <c r="K29" s="11"/>
      <c r="L29" s="11"/>
      <c r="M29" s="11"/>
      <c r="N29" s="11"/>
      <c r="O29" s="11"/>
      <c r="P29" s="11"/>
      <c r="Q29" s="11"/>
      <c r="R29" s="11"/>
      <c r="S29" s="11"/>
      <c r="T29" s="11"/>
      <c r="U29" s="11"/>
      <c r="V29" s="11"/>
      <c r="W29" s="11"/>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9"/>
    </row>
    <row r="30" spans="2:81" ht="15" customHeight="1">
      <c r="B30" s="12"/>
      <c r="C30" s="11"/>
      <c r="D30" s="11"/>
      <c r="E30" s="11"/>
      <c r="F30" s="11"/>
      <c r="G30" s="11"/>
      <c r="H30" s="11"/>
      <c r="I30" s="11"/>
      <c r="J30" s="11"/>
      <c r="K30" s="11"/>
      <c r="L30" s="11"/>
      <c r="M30" s="11"/>
      <c r="N30" s="11"/>
      <c r="O30" s="11"/>
      <c r="P30" s="11"/>
      <c r="Q30" s="11"/>
      <c r="R30" s="11"/>
      <c r="S30" s="11"/>
      <c r="T30" s="11"/>
      <c r="U30" s="11"/>
      <c r="V30" s="11"/>
      <c r="W30" s="11"/>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9"/>
    </row>
    <row r="31" spans="2:81" ht="15" customHeight="1">
      <c r="B31" s="12"/>
      <c r="C31" s="11"/>
      <c r="D31" s="11"/>
      <c r="E31" s="11"/>
      <c r="F31" s="11"/>
      <c r="G31" s="11"/>
      <c r="H31" s="11"/>
      <c r="I31" s="11"/>
      <c r="J31" s="11"/>
      <c r="K31" s="11"/>
      <c r="L31" s="11"/>
      <c r="M31" s="11"/>
      <c r="N31" s="11"/>
      <c r="O31" s="11"/>
      <c r="P31" s="11"/>
      <c r="Q31" s="11"/>
      <c r="R31" s="11"/>
      <c r="S31" s="11"/>
      <c r="T31" s="11"/>
      <c r="U31" s="11"/>
      <c r="V31" s="11"/>
      <c r="W31" s="11"/>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9"/>
    </row>
    <row r="32" spans="2:81" ht="15" customHeight="1">
      <c r="B32" s="12"/>
      <c r="C32" s="11"/>
      <c r="D32" s="11"/>
      <c r="E32" s="11"/>
      <c r="F32" s="11"/>
      <c r="G32" s="11"/>
      <c r="H32" s="11"/>
      <c r="I32" s="11"/>
      <c r="J32" s="11"/>
      <c r="K32" s="11"/>
      <c r="L32" s="11"/>
      <c r="M32" s="11"/>
      <c r="N32" s="11"/>
      <c r="O32" s="11"/>
      <c r="P32" s="11"/>
      <c r="Q32" s="11"/>
      <c r="R32" s="11"/>
      <c r="S32" s="11"/>
      <c r="T32" s="11"/>
      <c r="U32" s="11"/>
      <c r="V32" s="11"/>
      <c r="W32" s="11"/>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9"/>
    </row>
    <row r="33" spans="2:81" ht="15" customHeight="1">
      <c r="B33" s="12"/>
      <c r="C33" s="11"/>
      <c r="D33" s="11"/>
      <c r="E33" s="11"/>
      <c r="F33" s="11"/>
      <c r="G33" s="11"/>
      <c r="H33" s="11"/>
      <c r="I33" s="11"/>
      <c r="J33" s="11"/>
      <c r="K33" s="11"/>
      <c r="L33" s="11"/>
      <c r="M33" s="11"/>
      <c r="N33" s="11"/>
      <c r="O33" s="11"/>
      <c r="P33" s="11"/>
      <c r="Q33" s="11"/>
      <c r="R33" s="11"/>
      <c r="S33" s="11"/>
      <c r="T33" s="11"/>
      <c r="U33" s="11"/>
      <c r="V33" s="11"/>
      <c r="W33" s="11"/>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9"/>
    </row>
    <row r="34" spans="2:81" ht="15" customHeight="1">
      <c r="B34" s="12"/>
      <c r="C34" s="11"/>
      <c r="D34" s="11"/>
      <c r="E34" s="11"/>
      <c r="F34" s="11"/>
      <c r="G34" s="11"/>
      <c r="H34" s="11"/>
      <c r="I34" s="11"/>
      <c r="J34" s="11"/>
      <c r="K34" s="11"/>
      <c r="L34" s="11"/>
      <c r="M34" s="11"/>
      <c r="N34" s="11"/>
      <c r="O34" s="11"/>
      <c r="P34" s="11"/>
      <c r="Q34" s="11"/>
      <c r="R34" s="11"/>
      <c r="S34" s="11"/>
      <c r="T34" s="11"/>
      <c r="U34" s="11"/>
      <c r="V34" s="11"/>
      <c r="W34" s="11"/>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9"/>
    </row>
    <row r="35" spans="2:81" ht="15" customHeight="1">
      <c r="B35" s="6"/>
      <c r="C35" s="7"/>
      <c r="D35" s="7"/>
      <c r="E35" s="7"/>
      <c r="F35" s="13"/>
      <c r="G35" s="13"/>
      <c r="H35" s="13"/>
      <c r="I35" s="13"/>
      <c r="J35" s="13"/>
      <c r="K35" s="13"/>
      <c r="L35" s="13"/>
      <c r="M35" s="13"/>
      <c r="N35" s="13"/>
      <c r="O35" s="13"/>
      <c r="P35" s="13"/>
      <c r="Q35" s="13"/>
      <c r="R35" s="13"/>
      <c r="S35" s="13"/>
      <c r="T35" s="13"/>
      <c r="U35" s="13"/>
      <c r="V35" s="13"/>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7"/>
      <c r="BL35" s="7"/>
      <c r="BM35" s="7"/>
      <c r="BN35" s="7"/>
      <c r="BO35" s="7"/>
      <c r="BP35" s="7"/>
      <c r="BQ35" s="7"/>
      <c r="BR35" s="7"/>
      <c r="BS35" s="7"/>
      <c r="BT35" s="7"/>
      <c r="BU35" s="7"/>
      <c r="BV35" s="7"/>
      <c r="BW35" s="7"/>
      <c r="BX35" s="7"/>
      <c r="BY35" s="7"/>
      <c r="BZ35" s="7"/>
      <c r="CA35" s="7"/>
      <c r="CB35" s="7"/>
      <c r="CC35" s="9"/>
    </row>
    <row r="36" spans="2:81" ht="15" customHeight="1" thickBot="1">
      <c r="B36" s="15"/>
      <c r="C36" s="16"/>
      <c r="D36" s="16"/>
      <c r="E36" s="16"/>
      <c r="F36" s="17"/>
      <c r="G36" s="17"/>
      <c r="H36" s="17"/>
      <c r="I36" s="17"/>
      <c r="J36" s="17"/>
      <c r="K36" s="17"/>
      <c r="L36" s="17"/>
      <c r="M36" s="17"/>
      <c r="N36" s="17"/>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9"/>
      <c r="AR36" s="19"/>
      <c r="AS36" s="19"/>
      <c r="AT36" s="19"/>
      <c r="AU36" s="19"/>
      <c r="AV36" s="19"/>
      <c r="AW36" s="19"/>
      <c r="AX36" s="19"/>
      <c r="AY36" s="19"/>
      <c r="AZ36" s="19"/>
      <c r="BA36" s="19"/>
      <c r="BB36" s="19"/>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20"/>
    </row>
  </sheetData>
  <mergeCells count="6">
    <mergeCell ref="B23:CC23"/>
    <mergeCell ref="V6:BK9"/>
    <mergeCell ref="V10:BK12"/>
    <mergeCell ref="B17:CC17"/>
    <mergeCell ref="B19:CC19"/>
    <mergeCell ref="B21:CC21"/>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53CFD-D40D-43DE-ABEB-44EBB8EE333D}">
  <dimension ref="A1:BP40"/>
  <sheetViews>
    <sheetView showGridLines="0" zoomScale="80" zoomScaleNormal="80" workbookViewId="0">
      <pane ySplit="5" topLeftCell="A6" activePane="bottomLeft" state="frozen"/>
      <selection pane="bottomLeft" activeCell="F11" sqref="F11:S11"/>
    </sheetView>
  </sheetViews>
  <sheetFormatPr defaultColWidth="2.21875" defaultRowHeight="15" customHeight="1"/>
  <cols>
    <col min="1" max="47" width="2.21875" style="37"/>
    <col min="48" max="48" width="2.21875" style="37" customWidth="1"/>
    <col min="49" max="16384" width="2.21875" style="37"/>
  </cols>
  <sheetData>
    <row r="1" spans="1:68" s="34" customFormat="1" ht="15" customHeight="1" thickBot="1">
      <c r="A1" s="119" t="s">
        <v>5</v>
      </c>
      <c r="B1" s="120"/>
      <c r="C1" s="120"/>
      <c r="D1" s="120"/>
      <c r="E1" s="121"/>
      <c r="F1" s="128" t="s">
        <v>6</v>
      </c>
      <c r="G1" s="129"/>
      <c r="H1" s="129"/>
      <c r="I1" s="129"/>
      <c r="J1" s="129"/>
      <c r="K1" s="129"/>
      <c r="L1" s="129"/>
      <c r="M1" s="129"/>
      <c r="N1" s="129"/>
      <c r="O1" s="129"/>
      <c r="P1" s="130"/>
      <c r="Q1" s="131" t="s">
        <v>7</v>
      </c>
      <c r="R1" s="132"/>
      <c r="S1" s="132"/>
      <c r="T1" s="132"/>
      <c r="U1" s="132"/>
      <c r="V1" s="133"/>
      <c r="W1" s="128" t="s">
        <v>8</v>
      </c>
      <c r="X1" s="129"/>
      <c r="Y1" s="129"/>
      <c r="Z1" s="129"/>
      <c r="AA1" s="129"/>
      <c r="AB1" s="129"/>
      <c r="AC1" s="129"/>
      <c r="AD1" s="129"/>
      <c r="AE1" s="129"/>
      <c r="AF1" s="129"/>
      <c r="AG1" s="129"/>
      <c r="AH1" s="129"/>
      <c r="AI1" s="129"/>
      <c r="AJ1" s="129"/>
      <c r="AK1" s="129"/>
      <c r="AL1" s="129"/>
      <c r="AM1" s="129"/>
      <c r="AN1" s="129"/>
      <c r="AO1" s="129"/>
      <c r="AP1" s="129"/>
      <c r="AQ1" s="129"/>
      <c r="AR1" s="129"/>
      <c r="AS1" s="130"/>
      <c r="AT1" s="134" t="s">
        <v>9</v>
      </c>
      <c r="AU1" s="135"/>
      <c r="AV1" s="135"/>
      <c r="AW1" s="135"/>
      <c r="AX1" s="135"/>
      <c r="AY1" s="135"/>
      <c r="AZ1" s="135"/>
      <c r="BA1" s="136"/>
      <c r="BB1" s="137" t="s">
        <v>10</v>
      </c>
      <c r="BC1" s="138"/>
      <c r="BD1" s="139"/>
      <c r="BE1" s="139"/>
      <c r="BF1" s="139"/>
      <c r="BG1" s="139"/>
      <c r="BH1" s="139"/>
      <c r="BI1" s="140"/>
      <c r="BJ1" s="33"/>
      <c r="BK1" s="33"/>
      <c r="BL1" s="33"/>
      <c r="BM1" s="33"/>
      <c r="BN1" s="33"/>
      <c r="BO1" s="33"/>
      <c r="BP1" s="33"/>
    </row>
    <row r="2" spans="1:68" s="34" customFormat="1" ht="15" customHeight="1">
      <c r="A2" s="122"/>
      <c r="B2" s="123"/>
      <c r="C2" s="123"/>
      <c r="D2" s="123"/>
      <c r="E2" s="124"/>
      <c r="F2" s="141" t="s">
        <v>11</v>
      </c>
      <c r="G2" s="142"/>
      <c r="H2" s="142"/>
      <c r="I2" s="142"/>
      <c r="J2" s="142"/>
      <c r="K2" s="142"/>
      <c r="L2" s="142"/>
      <c r="M2" s="142"/>
      <c r="N2" s="142"/>
      <c r="O2" s="142"/>
      <c r="P2" s="143"/>
      <c r="Q2" s="141" t="s">
        <v>12</v>
      </c>
      <c r="R2" s="142"/>
      <c r="S2" s="142"/>
      <c r="T2" s="142"/>
      <c r="U2" s="142"/>
      <c r="V2" s="143"/>
      <c r="W2" s="147" t="s">
        <v>13</v>
      </c>
      <c r="X2" s="148"/>
      <c r="Y2" s="148"/>
      <c r="Z2" s="148"/>
      <c r="AA2" s="148"/>
      <c r="AB2" s="148"/>
      <c r="AC2" s="148"/>
      <c r="AD2" s="148"/>
      <c r="AE2" s="148"/>
      <c r="AF2" s="148"/>
      <c r="AG2" s="148"/>
      <c r="AH2" s="148"/>
      <c r="AI2" s="148"/>
      <c r="AJ2" s="148"/>
      <c r="AK2" s="148"/>
      <c r="AL2" s="148"/>
      <c r="AM2" s="148"/>
      <c r="AN2" s="148"/>
      <c r="AO2" s="148"/>
      <c r="AP2" s="148"/>
      <c r="AQ2" s="148"/>
      <c r="AR2" s="148"/>
      <c r="AS2" s="149"/>
      <c r="AT2" s="153" t="s">
        <v>14</v>
      </c>
      <c r="AU2" s="154"/>
      <c r="AV2" s="97">
        <f>A6</f>
        <v>45435</v>
      </c>
      <c r="AW2" s="97"/>
      <c r="AX2" s="97"/>
      <c r="AY2" s="97"/>
      <c r="AZ2" s="97"/>
      <c r="BA2" s="98"/>
      <c r="BB2" s="99" t="str">
        <f>AZ6</f>
        <v>JBS加藤</v>
      </c>
      <c r="BC2" s="100"/>
      <c r="BD2" s="101"/>
      <c r="BE2" s="101"/>
      <c r="BF2" s="101"/>
      <c r="BG2" s="101"/>
      <c r="BH2" s="101"/>
      <c r="BI2" s="102"/>
      <c r="BJ2" s="33"/>
      <c r="BK2" s="33"/>
      <c r="BL2" s="33"/>
      <c r="BM2" s="33"/>
      <c r="BN2" s="33"/>
      <c r="BO2" s="33"/>
      <c r="BP2" s="33"/>
    </row>
    <row r="3" spans="1:68" s="34" customFormat="1" ht="15" customHeight="1" thickBot="1">
      <c r="A3" s="125"/>
      <c r="B3" s="126"/>
      <c r="C3" s="126"/>
      <c r="D3" s="126"/>
      <c r="E3" s="127"/>
      <c r="F3" s="144"/>
      <c r="G3" s="145"/>
      <c r="H3" s="145"/>
      <c r="I3" s="145"/>
      <c r="J3" s="145"/>
      <c r="K3" s="145"/>
      <c r="L3" s="145"/>
      <c r="M3" s="145"/>
      <c r="N3" s="145"/>
      <c r="O3" s="145"/>
      <c r="P3" s="146"/>
      <c r="Q3" s="144"/>
      <c r="R3" s="145"/>
      <c r="S3" s="145"/>
      <c r="T3" s="145"/>
      <c r="U3" s="145"/>
      <c r="V3" s="146"/>
      <c r="W3" s="150"/>
      <c r="X3" s="151"/>
      <c r="Y3" s="151"/>
      <c r="Z3" s="151"/>
      <c r="AA3" s="151"/>
      <c r="AB3" s="151"/>
      <c r="AC3" s="151"/>
      <c r="AD3" s="151"/>
      <c r="AE3" s="151"/>
      <c r="AF3" s="151"/>
      <c r="AG3" s="151"/>
      <c r="AH3" s="151"/>
      <c r="AI3" s="151"/>
      <c r="AJ3" s="151"/>
      <c r="AK3" s="151"/>
      <c r="AL3" s="151"/>
      <c r="AM3" s="151"/>
      <c r="AN3" s="151"/>
      <c r="AO3" s="151"/>
      <c r="AP3" s="151"/>
      <c r="AQ3" s="151"/>
      <c r="AR3" s="151"/>
      <c r="AS3" s="152"/>
      <c r="AT3" s="103" t="s">
        <v>15</v>
      </c>
      <c r="AU3" s="104"/>
      <c r="AV3" s="105" cm="1">
        <f t="array" aca="1" ref="AV3" ca="1">IF(OR(COUNTA(A:E)=2),"",INDIRECT("A"&amp;COUNTA(A:E)+3))</f>
        <v>45632</v>
      </c>
      <c r="AW3" s="105"/>
      <c r="AX3" s="105"/>
      <c r="AY3" s="105"/>
      <c r="AZ3" s="105"/>
      <c r="BA3" s="106"/>
      <c r="BB3" s="107" t="str" cm="1">
        <f t="array" aca="1" ref="BB3" ca="1">IF(COUNTA(AZ5:BE100018)=1,"",INDIRECT("AZ"&amp;COUNTA(AZ5:BE100018)+4))</f>
        <v>JBS北井</v>
      </c>
      <c r="BC3" s="108"/>
      <c r="BD3" s="109"/>
      <c r="BE3" s="109"/>
      <c r="BF3" s="109"/>
      <c r="BG3" s="109"/>
      <c r="BH3" s="109"/>
      <c r="BI3" s="110"/>
      <c r="BJ3" s="33"/>
      <c r="BK3" s="33"/>
      <c r="BL3" s="33"/>
      <c r="BM3" s="33"/>
      <c r="BN3" s="33"/>
      <c r="BO3" s="33"/>
      <c r="BP3" s="33"/>
    </row>
    <row r="4" spans="1:68" ht="15" customHeight="1" thickBot="1">
      <c r="A4" s="35"/>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6" t="s">
        <v>16</v>
      </c>
      <c r="AX4" s="35"/>
      <c r="AY4" s="35"/>
      <c r="AZ4" s="35"/>
      <c r="BA4" s="35"/>
      <c r="BB4" s="35"/>
      <c r="BC4" s="35"/>
      <c r="BD4" s="35"/>
      <c r="BE4" s="35"/>
      <c r="BF4" s="35"/>
      <c r="BG4" s="35"/>
      <c r="BH4" s="35"/>
      <c r="BI4" s="35"/>
    </row>
    <row r="5" spans="1:68" s="38" customFormat="1" ht="15" customHeight="1" thickBot="1">
      <c r="A5" s="111" t="s">
        <v>17</v>
      </c>
      <c r="B5" s="112"/>
      <c r="C5" s="112"/>
      <c r="D5" s="112"/>
      <c r="E5" s="113"/>
      <c r="F5" s="114" t="s">
        <v>18</v>
      </c>
      <c r="G5" s="115"/>
      <c r="H5" s="115"/>
      <c r="I5" s="115"/>
      <c r="J5" s="115"/>
      <c r="K5" s="115"/>
      <c r="L5" s="115"/>
      <c r="M5" s="115"/>
      <c r="N5" s="115"/>
      <c r="O5" s="115"/>
      <c r="P5" s="115"/>
      <c r="Q5" s="115"/>
      <c r="R5" s="115"/>
      <c r="S5" s="116"/>
      <c r="T5" s="115" t="s">
        <v>19</v>
      </c>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1" t="s">
        <v>20</v>
      </c>
      <c r="BA5" s="112"/>
      <c r="BB5" s="112"/>
      <c r="BC5" s="112"/>
      <c r="BD5" s="112"/>
      <c r="BE5" s="117"/>
      <c r="BF5" s="118" t="s">
        <v>21</v>
      </c>
      <c r="BG5" s="118"/>
      <c r="BH5" s="112"/>
      <c r="BI5" s="117"/>
    </row>
    <row r="6" spans="1:68" ht="15" customHeight="1">
      <c r="A6" s="84">
        <v>45435</v>
      </c>
      <c r="B6" s="85"/>
      <c r="C6" s="85"/>
      <c r="D6" s="85"/>
      <c r="E6" s="86"/>
      <c r="F6" s="87" t="s">
        <v>22</v>
      </c>
      <c r="G6" s="88"/>
      <c r="H6" s="88"/>
      <c r="I6" s="88"/>
      <c r="J6" s="88"/>
      <c r="K6" s="88"/>
      <c r="L6" s="88"/>
      <c r="M6" s="88"/>
      <c r="N6" s="88"/>
      <c r="O6" s="88"/>
      <c r="P6" s="88"/>
      <c r="Q6" s="88"/>
      <c r="R6" s="88"/>
      <c r="S6" s="89"/>
      <c r="T6" s="294" t="s">
        <v>23</v>
      </c>
      <c r="U6" s="294"/>
      <c r="V6" s="294"/>
      <c r="W6" s="294"/>
      <c r="X6" s="294"/>
      <c r="Y6" s="294"/>
      <c r="Z6" s="294"/>
      <c r="AA6" s="294"/>
      <c r="AB6" s="294"/>
      <c r="AC6" s="294"/>
      <c r="AD6" s="294"/>
      <c r="AE6" s="294"/>
      <c r="AF6" s="294"/>
      <c r="AG6" s="294"/>
      <c r="AH6" s="294"/>
      <c r="AI6" s="294"/>
      <c r="AJ6" s="294"/>
      <c r="AK6" s="294"/>
      <c r="AL6" s="294"/>
      <c r="AM6" s="294"/>
      <c r="AN6" s="294"/>
      <c r="AO6" s="294"/>
      <c r="AP6" s="294"/>
      <c r="AQ6" s="294"/>
      <c r="AR6" s="294"/>
      <c r="AS6" s="294"/>
      <c r="AT6" s="294"/>
      <c r="AU6" s="294"/>
      <c r="AV6" s="294"/>
      <c r="AW6" s="294"/>
      <c r="AX6" s="294"/>
      <c r="AY6" s="294"/>
      <c r="AZ6" s="90" t="s">
        <v>24</v>
      </c>
      <c r="BA6" s="91"/>
      <c r="BB6" s="91"/>
      <c r="BC6" s="91"/>
      <c r="BD6" s="91"/>
      <c r="BE6" s="92"/>
      <c r="BF6" s="93" t="s">
        <v>25</v>
      </c>
      <c r="BG6" s="93"/>
      <c r="BH6" s="94"/>
      <c r="BI6" s="95"/>
    </row>
    <row r="7" spans="1:68" ht="14.45">
      <c r="A7" s="70">
        <v>45632</v>
      </c>
      <c r="B7" s="71"/>
      <c r="C7" s="71"/>
      <c r="D7" s="71"/>
      <c r="E7" s="72"/>
      <c r="F7" s="96" t="s">
        <v>26</v>
      </c>
      <c r="G7" s="74"/>
      <c r="H7" s="74"/>
      <c r="I7" s="74"/>
      <c r="J7" s="74"/>
      <c r="K7" s="74"/>
      <c r="L7" s="74"/>
      <c r="M7" s="74"/>
      <c r="N7" s="74"/>
      <c r="O7" s="74"/>
      <c r="P7" s="74"/>
      <c r="Q7" s="74"/>
      <c r="R7" s="74"/>
      <c r="S7" s="75"/>
      <c r="T7" s="83" t="s">
        <v>27</v>
      </c>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295"/>
      <c r="AW7" s="295"/>
      <c r="AX7" s="295"/>
      <c r="AY7" s="295"/>
      <c r="AZ7" s="77" t="s">
        <v>28</v>
      </c>
      <c r="BA7" s="78"/>
      <c r="BB7" s="78"/>
      <c r="BC7" s="78"/>
      <c r="BD7" s="78"/>
      <c r="BE7" s="79"/>
      <c r="BF7" s="80" t="s">
        <v>29</v>
      </c>
      <c r="BG7" s="80"/>
      <c r="BH7" s="81"/>
      <c r="BI7" s="82"/>
    </row>
    <row r="8" spans="1:68" ht="14.45">
      <c r="A8" s="70"/>
      <c r="B8" s="71"/>
      <c r="C8" s="71"/>
      <c r="D8" s="71"/>
      <c r="E8" s="72"/>
      <c r="F8" s="73"/>
      <c r="G8" s="74"/>
      <c r="H8" s="74"/>
      <c r="I8" s="74"/>
      <c r="J8" s="74"/>
      <c r="K8" s="74"/>
      <c r="L8" s="74"/>
      <c r="M8" s="74"/>
      <c r="N8" s="74"/>
      <c r="O8" s="74"/>
      <c r="P8" s="74"/>
      <c r="Q8" s="74"/>
      <c r="R8" s="74"/>
      <c r="S8" s="75"/>
      <c r="T8" s="83"/>
      <c r="U8" s="295"/>
      <c r="V8" s="295"/>
      <c r="W8" s="295"/>
      <c r="X8" s="295"/>
      <c r="Y8" s="295"/>
      <c r="Z8" s="295"/>
      <c r="AA8" s="295"/>
      <c r="AB8" s="295"/>
      <c r="AC8" s="295"/>
      <c r="AD8" s="295"/>
      <c r="AE8" s="295"/>
      <c r="AF8" s="295"/>
      <c r="AG8" s="295"/>
      <c r="AH8" s="295"/>
      <c r="AI8" s="295"/>
      <c r="AJ8" s="295"/>
      <c r="AK8" s="295"/>
      <c r="AL8" s="295"/>
      <c r="AM8" s="295"/>
      <c r="AN8" s="295"/>
      <c r="AO8" s="295"/>
      <c r="AP8" s="295"/>
      <c r="AQ8" s="295"/>
      <c r="AR8" s="295"/>
      <c r="AS8" s="295"/>
      <c r="AT8" s="295"/>
      <c r="AU8" s="295"/>
      <c r="AV8" s="295"/>
      <c r="AW8" s="295"/>
      <c r="AX8" s="295"/>
      <c r="AY8" s="295"/>
      <c r="AZ8" s="77"/>
      <c r="BA8" s="78"/>
      <c r="BB8" s="78"/>
      <c r="BC8" s="78"/>
      <c r="BD8" s="78"/>
      <c r="BE8" s="79"/>
      <c r="BF8" s="80"/>
      <c r="BG8" s="80"/>
      <c r="BH8" s="81"/>
      <c r="BI8" s="82"/>
    </row>
    <row r="9" spans="1:68" ht="14.45">
      <c r="A9" s="70"/>
      <c r="B9" s="71"/>
      <c r="C9" s="71"/>
      <c r="D9" s="71"/>
      <c r="E9" s="72"/>
      <c r="F9" s="73"/>
      <c r="G9" s="74"/>
      <c r="H9" s="74"/>
      <c r="I9" s="74"/>
      <c r="J9" s="74"/>
      <c r="K9" s="74"/>
      <c r="L9" s="74"/>
      <c r="M9" s="74"/>
      <c r="N9" s="74"/>
      <c r="O9" s="74"/>
      <c r="P9" s="74"/>
      <c r="Q9" s="74"/>
      <c r="R9" s="74"/>
      <c r="S9" s="75"/>
      <c r="T9" s="76"/>
      <c r="U9" s="296"/>
      <c r="V9" s="296"/>
      <c r="W9" s="296"/>
      <c r="X9" s="296"/>
      <c r="Y9" s="296"/>
      <c r="Z9" s="296"/>
      <c r="AA9" s="296"/>
      <c r="AB9" s="296"/>
      <c r="AC9" s="296"/>
      <c r="AD9" s="296"/>
      <c r="AE9" s="296"/>
      <c r="AF9" s="296"/>
      <c r="AG9" s="296"/>
      <c r="AH9" s="296"/>
      <c r="AI9" s="296"/>
      <c r="AJ9" s="296"/>
      <c r="AK9" s="296"/>
      <c r="AL9" s="296"/>
      <c r="AM9" s="296"/>
      <c r="AN9" s="296"/>
      <c r="AO9" s="296"/>
      <c r="AP9" s="296"/>
      <c r="AQ9" s="296"/>
      <c r="AR9" s="296"/>
      <c r="AS9" s="296"/>
      <c r="AT9" s="296"/>
      <c r="AU9" s="296"/>
      <c r="AV9" s="296"/>
      <c r="AW9" s="296"/>
      <c r="AX9" s="296"/>
      <c r="AY9" s="296"/>
      <c r="AZ9" s="77"/>
      <c r="BA9" s="78"/>
      <c r="BB9" s="78"/>
      <c r="BC9" s="78"/>
      <c r="BD9" s="78"/>
      <c r="BE9" s="79"/>
      <c r="BF9" s="80"/>
      <c r="BG9" s="80"/>
      <c r="BH9" s="81"/>
      <c r="BI9" s="82"/>
    </row>
    <row r="10" spans="1:68" ht="14.45">
      <c r="A10" s="70"/>
      <c r="B10" s="71"/>
      <c r="C10" s="71"/>
      <c r="D10" s="71"/>
      <c r="E10" s="72"/>
      <c r="F10" s="73"/>
      <c r="G10" s="74"/>
      <c r="H10" s="74"/>
      <c r="I10" s="74"/>
      <c r="J10" s="74"/>
      <c r="K10" s="74"/>
      <c r="L10" s="74"/>
      <c r="M10" s="74"/>
      <c r="N10" s="74"/>
      <c r="O10" s="74"/>
      <c r="P10" s="74"/>
      <c r="Q10" s="74"/>
      <c r="R10" s="74"/>
      <c r="S10" s="75"/>
      <c r="T10" s="76"/>
      <c r="U10" s="296"/>
      <c r="V10" s="296"/>
      <c r="W10" s="296"/>
      <c r="X10" s="296"/>
      <c r="Y10" s="296"/>
      <c r="Z10" s="296"/>
      <c r="AA10" s="296"/>
      <c r="AB10" s="296"/>
      <c r="AC10" s="296"/>
      <c r="AD10" s="296"/>
      <c r="AE10" s="296"/>
      <c r="AF10" s="296"/>
      <c r="AG10" s="296"/>
      <c r="AH10" s="296"/>
      <c r="AI10" s="296"/>
      <c r="AJ10" s="296"/>
      <c r="AK10" s="296"/>
      <c r="AL10" s="296"/>
      <c r="AM10" s="296"/>
      <c r="AN10" s="296"/>
      <c r="AO10" s="296"/>
      <c r="AP10" s="296"/>
      <c r="AQ10" s="296"/>
      <c r="AR10" s="296"/>
      <c r="AS10" s="296"/>
      <c r="AT10" s="296"/>
      <c r="AU10" s="296"/>
      <c r="AV10" s="296"/>
      <c r="AW10" s="296"/>
      <c r="AX10" s="296"/>
      <c r="AY10" s="296"/>
      <c r="AZ10" s="77"/>
      <c r="BA10" s="78"/>
      <c r="BB10" s="78"/>
      <c r="BC10" s="78"/>
      <c r="BD10" s="78"/>
      <c r="BE10" s="79"/>
      <c r="BF10" s="80"/>
      <c r="BG10" s="80"/>
      <c r="BH10" s="81"/>
      <c r="BI10" s="82"/>
    </row>
    <row r="11" spans="1:68" ht="14.45">
      <c r="A11" s="70"/>
      <c r="B11" s="71"/>
      <c r="C11" s="71"/>
      <c r="D11" s="71"/>
      <c r="E11" s="72"/>
      <c r="F11" s="73"/>
      <c r="G11" s="74"/>
      <c r="H11" s="74"/>
      <c r="I11" s="74"/>
      <c r="J11" s="74"/>
      <c r="K11" s="74"/>
      <c r="L11" s="74"/>
      <c r="M11" s="74"/>
      <c r="N11" s="74"/>
      <c r="O11" s="74"/>
      <c r="P11" s="74"/>
      <c r="Q11" s="74"/>
      <c r="R11" s="74"/>
      <c r="S11" s="75"/>
      <c r="T11" s="76"/>
      <c r="U11" s="296"/>
      <c r="V11" s="296"/>
      <c r="W11" s="296"/>
      <c r="X11" s="296"/>
      <c r="Y11" s="296"/>
      <c r="Z11" s="296"/>
      <c r="AA11" s="296"/>
      <c r="AB11" s="296"/>
      <c r="AC11" s="296"/>
      <c r="AD11" s="296"/>
      <c r="AE11" s="296"/>
      <c r="AF11" s="296"/>
      <c r="AG11" s="296"/>
      <c r="AH11" s="296"/>
      <c r="AI11" s="296"/>
      <c r="AJ11" s="296"/>
      <c r="AK11" s="296"/>
      <c r="AL11" s="296"/>
      <c r="AM11" s="296"/>
      <c r="AN11" s="296"/>
      <c r="AO11" s="296"/>
      <c r="AP11" s="296"/>
      <c r="AQ11" s="296"/>
      <c r="AR11" s="296"/>
      <c r="AS11" s="296"/>
      <c r="AT11" s="296"/>
      <c r="AU11" s="296"/>
      <c r="AV11" s="296"/>
      <c r="AW11" s="296"/>
      <c r="AX11" s="296"/>
      <c r="AY11" s="296"/>
      <c r="AZ11" s="77"/>
      <c r="BA11" s="78"/>
      <c r="BB11" s="78"/>
      <c r="BC11" s="78"/>
      <c r="BD11" s="78"/>
      <c r="BE11" s="79"/>
      <c r="BF11" s="80"/>
      <c r="BG11" s="80"/>
      <c r="BH11" s="81"/>
      <c r="BI11" s="82"/>
    </row>
    <row r="12" spans="1:68" ht="15" customHeight="1">
      <c r="A12" s="70"/>
      <c r="B12" s="71"/>
      <c r="C12" s="71"/>
      <c r="D12" s="71"/>
      <c r="E12" s="72"/>
      <c r="F12" s="73"/>
      <c r="G12" s="74"/>
      <c r="H12" s="74"/>
      <c r="I12" s="74"/>
      <c r="J12" s="74"/>
      <c r="K12" s="74"/>
      <c r="L12" s="74"/>
      <c r="M12" s="74"/>
      <c r="N12" s="74"/>
      <c r="O12" s="74"/>
      <c r="P12" s="74"/>
      <c r="Q12" s="74"/>
      <c r="R12" s="74"/>
      <c r="S12" s="75"/>
      <c r="T12" s="296"/>
      <c r="U12" s="296"/>
      <c r="V12" s="296"/>
      <c r="W12" s="296"/>
      <c r="X12" s="296"/>
      <c r="Y12" s="296"/>
      <c r="Z12" s="296"/>
      <c r="AA12" s="296"/>
      <c r="AB12" s="296"/>
      <c r="AC12" s="296"/>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6"/>
      <c r="AZ12" s="77"/>
      <c r="BA12" s="78"/>
      <c r="BB12" s="78"/>
      <c r="BC12" s="78"/>
      <c r="BD12" s="78"/>
      <c r="BE12" s="79"/>
      <c r="BF12" s="80"/>
      <c r="BG12" s="80"/>
      <c r="BH12" s="81"/>
      <c r="BI12" s="82"/>
    </row>
    <row r="13" spans="1:68" ht="14.45">
      <c r="A13" s="70"/>
      <c r="B13" s="71"/>
      <c r="C13" s="71"/>
      <c r="D13" s="71"/>
      <c r="E13" s="72"/>
      <c r="F13" s="73"/>
      <c r="G13" s="74"/>
      <c r="H13" s="74"/>
      <c r="I13" s="74"/>
      <c r="J13" s="74"/>
      <c r="K13" s="74"/>
      <c r="L13" s="74"/>
      <c r="M13" s="74"/>
      <c r="N13" s="74"/>
      <c r="O13" s="74"/>
      <c r="P13" s="74"/>
      <c r="Q13" s="74"/>
      <c r="R13" s="74"/>
      <c r="S13" s="75"/>
      <c r="T13" s="76"/>
      <c r="U13" s="296"/>
      <c r="V13" s="296"/>
      <c r="W13" s="296"/>
      <c r="X13" s="296"/>
      <c r="Y13" s="296"/>
      <c r="Z13" s="296"/>
      <c r="AA13" s="296"/>
      <c r="AB13" s="296"/>
      <c r="AC13" s="296"/>
      <c r="AD13" s="296"/>
      <c r="AE13" s="296"/>
      <c r="AF13" s="296"/>
      <c r="AG13" s="296"/>
      <c r="AH13" s="296"/>
      <c r="AI13" s="296"/>
      <c r="AJ13" s="296"/>
      <c r="AK13" s="296"/>
      <c r="AL13" s="296"/>
      <c r="AM13" s="296"/>
      <c r="AN13" s="296"/>
      <c r="AO13" s="296"/>
      <c r="AP13" s="296"/>
      <c r="AQ13" s="296"/>
      <c r="AR13" s="296"/>
      <c r="AS13" s="296"/>
      <c r="AT13" s="296"/>
      <c r="AU13" s="296"/>
      <c r="AV13" s="296"/>
      <c r="AW13" s="296"/>
      <c r="AX13" s="296"/>
      <c r="AY13" s="296"/>
      <c r="AZ13" s="77"/>
      <c r="BA13" s="78"/>
      <c r="BB13" s="78"/>
      <c r="BC13" s="78"/>
      <c r="BD13" s="78"/>
      <c r="BE13" s="79"/>
      <c r="BF13" s="80"/>
      <c r="BG13" s="80"/>
      <c r="BH13" s="81"/>
      <c r="BI13" s="82"/>
    </row>
    <row r="14" spans="1:68" ht="14.45">
      <c r="A14" s="70"/>
      <c r="B14" s="71"/>
      <c r="C14" s="71"/>
      <c r="D14" s="71"/>
      <c r="E14" s="72"/>
      <c r="F14" s="73"/>
      <c r="G14" s="74"/>
      <c r="H14" s="74"/>
      <c r="I14" s="74"/>
      <c r="J14" s="74"/>
      <c r="K14" s="74"/>
      <c r="L14" s="74"/>
      <c r="M14" s="74"/>
      <c r="N14" s="74"/>
      <c r="O14" s="74"/>
      <c r="P14" s="74"/>
      <c r="Q14" s="74"/>
      <c r="R14" s="74"/>
      <c r="S14" s="75"/>
      <c r="T14" s="76"/>
      <c r="U14" s="296"/>
      <c r="V14" s="296"/>
      <c r="W14" s="296"/>
      <c r="X14" s="296"/>
      <c r="Y14" s="296"/>
      <c r="Z14" s="296"/>
      <c r="AA14" s="296"/>
      <c r="AB14" s="296"/>
      <c r="AC14" s="296"/>
      <c r="AD14" s="296"/>
      <c r="AE14" s="296"/>
      <c r="AF14" s="296"/>
      <c r="AG14" s="296"/>
      <c r="AH14" s="296"/>
      <c r="AI14" s="296"/>
      <c r="AJ14" s="296"/>
      <c r="AK14" s="296"/>
      <c r="AL14" s="296"/>
      <c r="AM14" s="296"/>
      <c r="AN14" s="296"/>
      <c r="AO14" s="296"/>
      <c r="AP14" s="296"/>
      <c r="AQ14" s="296"/>
      <c r="AR14" s="296"/>
      <c r="AS14" s="296"/>
      <c r="AT14" s="296"/>
      <c r="AU14" s="296"/>
      <c r="AV14" s="296"/>
      <c r="AW14" s="296"/>
      <c r="AX14" s="296"/>
      <c r="AY14" s="296"/>
      <c r="AZ14" s="77"/>
      <c r="BA14" s="78"/>
      <c r="BB14" s="78"/>
      <c r="BC14" s="78"/>
      <c r="BD14" s="78"/>
      <c r="BE14" s="79"/>
      <c r="BF14" s="80"/>
      <c r="BG14" s="80"/>
      <c r="BH14" s="81"/>
      <c r="BI14" s="82"/>
    </row>
    <row r="15" spans="1:68" ht="14.45">
      <c r="A15" s="70"/>
      <c r="B15" s="71"/>
      <c r="C15" s="71"/>
      <c r="D15" s="71"/>
      <c r="E15" s="72"/>
      <c r="F15" s="73"/>
      <c r="G15" s="74"/>
      <c r="H15" s="74"/>
      <c r="I15" s="74"/>
      <c r="J15" s="74"/>
      <c r="K15" s="74"/>
      <c r="L15" s="74"/>
      <c r="M15" s="74"/>
      <c r="N15" s="74"/>
      <c r="O15" s="74"/>
      <c r="P15" s="74"/>
      <c r="Q15" s="74"/>
      <c r="R15" s="74"/>
      <c r="S15" s="75"/>
      <c r="T15" s="76"/>
      <c r="U15" s="296"/>
      <c r="V15" s="296"/>
      <c r="W15" s="296"/>
      <c r="X15" s="296"/>
      <c r="Y15" s="296"/>
      <c r="Z15" s="296"/>
      <c r="AA15" s="296"/>
      <c r="AB15" s="296"/>
      <c r="AC15" s="296"/>
      <c r="AD15" s="296"/>
      <c r="AE15" s="296"/>
      <c r="AF15" s="296"/>
      <c r="AG15" s="296"/>
      <c r="AH15" s="296"/>
      <c r="AI15" s="296"/>
      <c r="AJ15" s="296"/>
      <c r="AK15" s="296"/>
      <c r="AL15" s="296"/>
      <c r="AM15" s="296"/>
      <c r="AN15" s="296"/>
      <c r="AO15" s="296"/>
      <c r="AP15" s="296"/>
      <c r="AQ15" s="296"/>
      <c r="AR15" s="296"/>
      <c r="AS15" s="296"/>
      <c r="AT15" s="296"/>
      <c r="AU15" s="296"/>
      <c r="AV15" s="296"/>
      <c r="AW15" s="296"/>
      <c r="AX15" s="296"/>
      <c r="AY15" s="296"/>
      <c r="AZ15" s="77"/>
      <c r="BA15" s="78"/>
      <c r="BB15" s="78"/>
      <c r="BC15" s="78"/>
      <c r="BD15" s="78"/>
      <c r="BE15" s="79"/>
      <c r="BF15" s="80"/>
      <c r="BG15" s="80"/>
      <c r="BH15" s="81"/>
      <c r="BI15" s="82"/>
    </row>
    <row r="16" spans="1:68" ht="14.45">
      <c r="A16" s="70"/>
      <c r="B16" s="71"/>
      <c r="C16" s="71"/>
      <c r="D16" s="71"/>
      <c r="E16" s="72"/>
      <c r="F16" s="73"/>
      <c r="G16" s="74"/>
      <c r="H16" s="74"/>
      <c r="I16" s="74"/>
      <c r="J16" s="74"/>
      <c r="K16" s="74"/>
      <c r="L16" s="74"/>
      <c r="M16" s="74"/>
      <c r="N16" s="74"/>
      <c r="O16" s="74"/>
      <c r="P16" s="74"/>
      <c r="Q16" s="74"/>
      <c r="R16" s="74"/>
      <c r="S16" s="75"/>
      <c r="T16" s="76"/>
      <c r="U16" s="296"/>
      <c r="V16" s="296"/>
      <c r="W16" s="296"/>
      <c r="X16" s="296"/>
      <c r="Y16" s="296"/>
      <c r="Z16" s="296"/>
      <c r="AA16" s="296"/>
      <c r="AB16" s="296"/>
      <c r="AC16" s="296"/>
      <c r="AD16" s="296"/>
      <c r="AE16" s="296"/>
      <c r="AF16" s="296"/>
      <c r="AG16" s="296"/>
      <c r="AH16" s="296"/>
      <c r="AI16" s="296"/>
      <c r="AJ16" s="296"/>
      <c r="AK16" s="296"/>
      <c r="AL16" s="296"/>
      <c r="AM16" s="296"/>
      <c r="AN16" s="296"/>
      <c r="AO16" s="296"/>
      <c r="AP16" s="296"/>
      <c r="AQ16" s="296"/>
      <c r="AR16" s="296"/>
      <c r="AS16" s="296"/>
      <c r="AT16" s="296"/>
      <c r="AU16" s="296"/>
      <c r="AV16" s="296"/>
      <c r="AW16" s="296"/>
      <c r="AX16" s="296"/>
      <c r="AY16" s="296"/>
      <c r="AZ16" s="77"/>
      <c r="BA16" s="78"/>
      <c r="BB16" s="78"/>
      <c r="BC16" s="78"/>
      <c r="BD16" s="78"/>
      <c r="BE16" s="79"/>
      <c r="BF16" s="80"/>
      <c r="BG16" s="80"/>
      <c r="BH16" s="81"/>
      <c r="BI16" s="82"/>
    </row>
    <row r="17" spans="1:61" ht="14.45">
      <c r="A17" s="70"/>
      <c r="B17" s="71"/>
      <c r="C17" s="71"/>
      <c r="D17" s="71"/>
      <c r="E17" s="72"/>
      <c r="F17" s="73"/>
      <c r="G17" s="74"/>
      <c r="H17" s="74"/>
      <c r="I17" s="74"/>
      <c r="J17" s="74"/>
      <c r="K17" s="74"/>
      <c r="L17" s="74"/>
      <c r="M17" s="74"/>
      <c r="N17" s="74"/>
      <c r="O17" s="74"/>
      <c r="P17" s="74"/>
      <c r="Q17" s="74"/>
      <c r="R17" s="74"/>
      <c r="S17" s="75"/>
      <c r="T17" s="76"/>
      <c r="U17" s="296"/>
      <c r="V17" s="296"/>
      <c r="W17" s="296"/>
      <c r="X17" s="296"/>
      <c r="Y17" s="296"/>
      <c r="Z17" s="296"/>
      <c r="AA17" s="296"/>
      <c r="AB17" s="296"/>
      <c r="AC17" s="296"/>
      <c r="AD17" s="296"/>
      <c r="AE17" s="296"/>
      <c r="AF17" s="296"/>
      <c r="AG17" s="296"/>
      <c r="AH17" s="296"/>
      <c r="AI17" s="296"/>
      <c r="AJ17" s="296"/>
      <c r="AK17" s="296"/>
      <c r="AL17" s="296"/>
      <c r="AM17" s="296"/>
      <c r="AN17" s="296"/>
      <c r="AO17" s="296"/>
      <c r="AP17" s="296"/>
      <c r="AQ17" s="296"/>
      <c r="AR17" s="296"/>
      <c r="AS17" s="296"/>
      <c r="AT17" s="296"/>
      <c r="AU17" s="296"/>
      <c r="AV17" s="296"/>
      <c r="AW17" s="296"/>
      <c r="AX17" s="296"/>
      <c r="AY17" s="296"/>
      <c r="AZ17" s="77"/>
      <c r="BA17" s="78"/>
      <c r="BB17" s="78"/>
      <c r="BC17" s="78"/>
      <c r="BD17" s="78"/>
      <c r="BE17" s="79"/>
      <c r="BF17" s="80"/>
      <c r="BG17" s="80"/>
      <c r="BH17" s="81"/>
      <c r="BI17" s="82"/>
    </row>
    <row r="18" spans="1:61" ht="14.45">
      <c r="A18" s="70"/>
      <c r="B18" s="71"/>
      <c r="C18" s="71"/>
      <c r="D18" s="71"/>
      <c r="E18" s="72"/>
      <c r="F18" s="73"/>
      <c r="G18" s="74"/>
      <c r="H18" s="74"/>
      <c r="I18" s="74"/>
      <c r="J18" s="74"/>
      <c r="K18" s="74"/>
      <c r="L18" s="74"/>
      <c r="M18" s="74"/>
      <c r="N18" s="74"/>
      <c r="O18" s="74"/>
      <c r="P18" s="74"/>
      <c r="Q18" s="74"/>
      <c r="R18" s="74"/>
      <c r="S18" s="75"/>
      <c r="T18" s="76"/>
      <c r="U18" s="296"/>
      <c r="V18" s="296"/>
      <c r="W18" s="296"/>
      <c r="X18" s="296"/>
      <c r="Y18" s="296"/>
      <c r="Z18" s="296"/>
      <c r="AA18" s="296"/>
      <c r="AB18" s="296"/>
      <c r="AC18" s="296"/>
      <c r="AD18" s="296"/>
      <c r="AE18" s="296"/>
      <c r="AF18" s="296"/>
      <c r="AG18" s="296"/>
      <c r="AH18" s="296"/>
      <c r="AI18" s="296"/>
      <c r="AJ18" s="296"/>
      <c r="AK18" s="296"/>
      <c r="AL18" s="296"/>
      <c r="AM18" s="296"/>
      <c r="AN18" s="296"/>
      <c r="AO18" s="296"/>
      <c r="AP18" s="296"/>
      <c r="AQ18" s="296"/>
      <c r="AR18" s="296"/>
      <c r="AS18" s="296"/>
      <c r="AT18" s="296"/>
      <c r="AU18" s="296"/>
      <c r="AV18" s="296"/>
      <c r="AW18" s="296"/>
      <c r="AX18" s="296"/>
      <c r="AY18" s="296"/>
      <c r="AZ18" s="77"/>
      <c r="BA18" s="78"/>
      <c r="BB18" s="78"/>
      <c r="BC18" s="78"/>
      <c r="BD18" s="78"/>
      <c r="BE18" s="79"/>
      <c r="BF18" s="80"/>
      <c r="BG18" s="80"/>
      <c r="BH18" s="81"/>
      <c r="BI18" s="82"/>
    </row>
    <row r="19" spans="1:61" ht="14.45">
      <c r="A19" s="70"/>
      <c r="B19" s="71"/>
      <c r="C19" s="71"/>
      <c r="D19" s="71"/>
      <c r="E19" s="72"/>
      <c r="F19" s="73"/>
      <c r="G19" s="74"/>
      <c r="H19" s="74"/>
      <c r="I19" s="74"/>
      <c r="J19" s="74"/>
      <c r="K19" s="74"/>
      <c r="L19" s="74"/>
      <c r="M19" s="74"/>
      <c r="N19" s="74"/>
      <c r="O19" s="74"/>
      <c r="P19" s="74"/>
      <c r="Q19" s="74"/>
      <c r="R19" s="74"/>
      <c r="S19" s="75"/>
      <c r="T19" s="76"/>
      <c r="U19" s="296"/>
      <c r="V19" s="296"/>
      <c r="W19" s="296"/>
      <c r="X19" s="296"/>
      <c r="Y19" s="296"/>
      <c r="Z19" s="296"/>
      <c r="AA19" s="296"/>
      <c r="AB19" s="296"/>
      <c r="AC19" s="296"/>
      <c r="AD19" s="296"/>
      <c r="AE19" s="296"/>
      <c r="AF19" s="296"/>
      <c r="AG19" s="296"/>
      <c r="AH19" s="296"/>
      <c r="AI19" s="296"/>
      <c r="AJ19" s="296"/>
      <c r="AK19" s="296"/>
      <c r="AL19" s="296"/>
      <c r="AM19" s="296"/>
      <c r="AN19" s="296"/>
      <c r="AO19" s="296"/>
      <c r="AP19" s="296"/>
      <c r="AQ19" s="296"/>
      <c r="AR19" s="296"/>
      <c r="AS19" s="296"/>
      <c r="AT19" s="296"/>
      <c r="AU19" s="296"/>
      <c r="AV19" s="296"/>
      <c r="AW19" s="296"/>
      <c r="AX19" s="296"/>
      <c r="AY19" s="296"/>
      <c r="AZ19" s="77"/>
      <c r="BA19" s="78"/>
      <c r="BB19" s="78"/>
      <c r="BC19" s="78"/>
      <c r="BD19" s="78"/>
      <c r="BE19" s="79"/>
      <c r="BF19" s="80"/>
      <c r="BG19" s="80"/>
      <c r="BH19" s="81"/>
      <c r="BI19" s="82"/>
    </row>
    <row r="20" spans="1:61" ht="14.45">
      <c r="A20" s="70"/>
      <c r="B20" s="71"/>
      <c r="C20" s="71"/>
      <c r="D20" s="71"/>
      <c r="E20" s="72"/>
      <c r="F20" s="73"/>
      <c r="G20" s="74"/>
      <c r="H20" s="74"/>
      <c r="I20" s="74"/>
      <c r="J20" s="74"/>
      <c r="K20" s="74"/>
      <c r="L20" s="74"/>
      <c r="M20" s="74"/>
      <c r="N20" s="74"/>
      <c r="O20" s="74"/>
      <c r="P20" s="74"/>
      <c r="Q20" s="74"/>
      <c r="R20" s="74"/>
      <c r="S20" s="75"/>
      <c r="T20" s="76"/>
      <c r="U20" s="296"/>
      <c r="V20" s="296"/>
      <c r="W20" s="296"/>
      <c r="X20" s="296"/>
      <c r="Y20" s="296"/>
      <c r="Z20" s="296"/>
      <c r="AA20" s="296"/>
      <c r="AB20" s="296"/>
      <c r="AC20" s="296"/>
      <c r="AD20" s="296"/>
      <c r="AE20" s="296"/>
      <c r="AF20" s="296"/>
      <c r="AG20" s="296"/>
      <c r="AH20" s="296"/>
      <c r="AI20" s="296"/>
      <c r="AJ20" s="296"/>
      <c r="AK20" s="296"/>
      <c r="AL20" s="296"/>
      <c r="AM20" s="296"/>
      <c r="AN20" s="296"/>
      <c r="AO20" s="296"/>
      <c r="AP20" s="296"/>
      <c r="AQ20" s="296"/>
      <c r="AR20" s="296"/>
      <c r="AS20" s="296"/>
      <c r="AT20" s="296"/>
      <c r="AU20" s="296"/>
      <c r="AV20" s="296"/>
      <c r="AW20" s="296"/>
      <c r="AX20" s="296"/>
      <c r="AY20" s="296"/>
      <c r="AZ20" s="77"/>
      <c r="BA20" s="78"/>
      <c r="BB20" s="78"/>
      <c r="BC20" s="78"/>
      <c r="BD20" s="78"/>
      <c r="BE20" s="79"/>
      <c r="BF20" s="80"/>
      <c r="BG20" s="80"/>
      <c r="BH20" s="81"/>
      <c r="BI20" s="82"/>
    </row>
    <row r="21" spans="1:61" ht="14.45">
      <c r="A21" s="70"/>
      <c r="B21" s="71"/>
      <c r="C21" s="71"/>
      <c r="D21" s="71"/>
      <c r="E21" s="72"/>
      <c r="F21" s="73"/>
      <c r="G21" s="74"/>
      <c r="H21" s="74"/>
      <c r="I21" s="74"/>
      <c r="J21" s="74"/>
      <c r="K21" s="74"/>
      <c r="L21" s="74"/>
      <c r="M21" s="74"/>
      <c r="N21" s="74"/>
      <c r="O21" s="74"/>
      <c r="P21" s="74"/>
      <c r="Q21" s="74"/>
      <c r="R21" s="74"/>
      <c r="S21" s="75"/>
      <c r="T21" s="76"/>
      <c r="U21" s="296"/>
      <c r="V21" s="296"/>
      <c r="W21" s="296"/>
      <c r="X21" s="296"/>
      <c r="Y21" s="296"/>
      <c r="Z21" s="296"/>
      <c r="AA21" s="296"/>
      <c r="AB21" s="296"/>
      <c r="AC21" s="296"/>
      <c r="AD21" s="296"/>
      <c r="AE21" s="296"/>
      <c r="AF21" s="296"/>
      <c r="AG21" s="296"/>
      <c r="AH21" s="296"/>
      <c r="AI21" s="296"/>
      <c r="AJ21" s="296"/>
      <c r="AK21" s="296"/>
      <c r="AL21" s="296"/>
      <c r="AM21" s="296"/>
      <c r="AN21" s="296"/>
      <c r="AO21" s="296"/>
      <c r="AP21" s="296"/>
      <c r="AQ21" s="296"/>
      <c r="AR21" s="296"/>
      <c r="AS21" s="296"/>
      <c r="AT21" s="296"/>
      <c r="AU21" s="296"/>
      <c r="AV21" s="296"/>
      <c r="AW21" s="296"/>
      <c r="AX21" s="296"/>
      <c r="AY21" s="296"/>
      <c r="AZ21" s="77"/>
      <c r="BA21" s="78"/>
      <c r="BB21" s="78"/>
      <c r="BC21" s="78"/>
      <c r="BD21" s="78"/>
      <c r="BE21" s="79"/>
      <c r="BF21" s="80"/>
      <c r="BG21" s="80"/>
      <c r="BH21" s="81"/>
      <c r="BI21" s="82"/>
    </row>
    <row r="22" spans="1:61" ht="14.45">
      <c r="A22" s="70"/>
      <c r="B22" s="71"/>
      <c r="C22" s="71"/>
      <c r="D22" s="71"/>
      <c r="E22" s="72"/>
      <c r="F22" s="73"/>
      <c r="G22" s="74"/>
      <c r="H22" s="74"/>
      <c r="I22" s="74"/>
      <c r="J22" s="74"/>
      <c r="K22" s="74"/>
      <c r="L22" s="74"/>
      <c r="M22" s="74"/>
      <c r="N22" s="74"/>
      <c r="O22" s="74"/>
      <c r="P22" s="74"/>
      <c r="Q22" s="74"/>
      <c r="R22" s="74"/>
      <c r="S22" s="75"/>
      <c r="T22" s="76"/>
      <c r="U22" s="296"/>
      <c r="V22" s="296"/>
      <c r="W22" s="296"/>
      <c r="X22" s="296"/>
      <c r="Y22" s="296"/>
      <c r="Z22" s="296"/>
      <c r="AA22" s="296"/>
      <c r="AB22" s="296"/>
      <c r="AC22" s="296"/>
      <c r="AD22" s="296"/>
      <c r="AE22" s="296"/>
      <c r="AF22" s="296"/>
      <c r="AG22" s="296"/>
      <c r="AH22" s="296"/>
      <c r="AI22" s="296"/>
      <c r="AJ22" s="296"/>
      <c r="AK22" s="296"/>
      <c r="AL22" s="296"/>
      <c r="AM22" s="296"/>
      <c r="AN22" s="296"/>
      <c r="AO22" s="296"/>
      <c r="AP22" s="296"/>
      <c r="AQ22" s="296"/>
      <c r="AR22" s="296"/>
      <c r="AS22" s="296"/>
      <c r="AT22" s="296"/>
      <c r="AU22" s="296"/>
      <c r="AV22" s="296"/>
      <c r="AW22" s="296"/>
      <c r="AX22" s="296"/>
      <c r="AY22" s="296"/>
      <c r="AZ22" s="77"/>
      <c r="BA22" s="78"/>
      <c r="BB22" s="78"/>
      <c r="BC22" s="78"/>
      <c r="BD22" s="78"/>
      <c r="BE22" s="79"/>
      <c r="BF22" s="80"/>
      <c r="BG22" s="80"/>
      <c r="BH22" s="81"/>
      <c r="BI22" s="82"/>
    </row>
    <row r="23" spans="1:61" ht="14.45">
      <c r="A23" s="70"/>
      <c r="B23" s="71"/>
      <c r="C23" s="71"/>
      <c r="D23" s="71"/>
      <c r="E23" s="72"/>
      <c r="F23" s="73"/>
      <c r="G23" s="74"/>
      <c r="H23" s="74"/>
      <c r="I23" s="74"/>
      <c r="J23" s="74"/>
      <c r="K23" s="74"/>
      <c r="L23" s="74"/>
      <c r="M23" s="74"/>
      <c r="N23" s="74"/>
      <c r="O23" s="74"/>
      <c r="P23" s="74"/>
      <c r="Q23" s="74"/>
      <c r="R23" s="74"/>
      <c r="S23" s="75"/>
      <c r="T23" s="76"/>
      <c r="U23" s="296"/>
      <c r="V23" s="296"/>
      <c r="W23" s="296"/>
      <c r="X23" s="296"/>
      <c r="Y23" s="296"/>
      <c r="Z23" s="296"/>
      <c r="AA23" s="296"/>
      <c r="AB23" s="296"/>
      <c r="AC23" s="296"/>
      <c r="AD23" s="296"/>
      <c r="AE23" s="296"/>
      <c r="AF23" s="296"/>
      <c r="AG23" s="296"/>
      <c r="AH23" s="296"/>
      <c r="AI23" s="296"/>
      <c r="AJ23" s="296"/>
      <c r="AK23" s="296"/>
      <c r="AL23" s="296"/>
      <c r="AM23" s="296"/>
      <c r="AN23" s="296"/>
      <c r="AO23" s="296"/>
      <c r="AP23" s="296"/>
      <c r="AQ23" s="296"/>
      <c r="AR23" s="296"/>
      <c r="AS23" s="296"/>
      <c r="AT23" s="296"/>
      <c r="AU23" s="296"/>
      <c r="AV23" s="296"/>
      <c r="AW23" s="296"/>
      <c r="AX23" s="296"/>
      <c r="AY23" s="296"/>
      <c r="AZ23" s="77"/>
      <c r="BA23" s="78"/>
      <c r="BB23" s="78"/>
      <c r="BC23" s="78"/>
      <c r="BD23" s="78"/>
      <c r="BE23" s="79"/>
      <c r="BF23" s="80"/>
      <c r="BG23" s="80"/>
      <c r="BH23" s="81"/>
      <c r="BI23" s="82"/>
    </row>
    <row r="24" spans="1:61" ht="14.45">
      <c r="A24" s="70"/>
      <c r="B24" s="71"/>
      <c r="C24" s="71"/>
      <c r="D24" s="71"/>
      <c r="E24" s="72"/>
      <c r="F24" s="73"/>
      <c r="G24" s="74"/>
      <c r="H24" s="74"/>
      <c r="I24" s="74"/>
      <c r="J24" s="74"/>
      <c r="K24" s="74"/>
      <c r="L24" s="74"/>
      <c r="M24" s="74"/>
      <c r="N24" s="74"/>
      <c r="O24" s="74"/>
      <c r="P24" s="74"/>
      <c r="Q24" s="74"/>
      <c r="R24" s="74"/>
      <c r="S24" s="75"/>
      <c r="T24" s="76"/>
      <c r="U24" s="296"/>
      <c r="V24" s="296"/>
      <c r="W24" s="296"/>
      <c r="X24" s="296"/>
      <c r="Y24" s="296"/>
      <c r="Z24" s="296"/>
      <c r="AA24" s="296"/>
      <c r="AB24" s="296"/>
      <c r="AC24" s="296"/>
      <c r="AD24" s="296"/>
      <c r="AE24" s="296"/>
      <c r="AF24" s="296"/>
      <c r="AG24" s="296"/>
      <c r="AH24" s="296"/>
      <c r="AI24" s="296"/>
      <c r="AJ24" s="296"/>
      <c r="AK24" s="296"/>
      <c r="AL24" s="296"/>
      <c r="AM24" s="296"/>
      <c r="AN24" s="296"/>
      <c r="AO24" s="296"/>
      <c r="AP24" s="296"/>
      <c r="AQ24" s="296"/>
      <c r="AR24" s="296"/>
      <c r="AS24" s="296"/>
      <c r="AT24" s="296"/>
      <c r="AU24" s="296"/>
      <c r="AV24" s="296"/>
      <c r="AW24" s="296"/>
      <c r="AX24" s="296"/>
      <c r="AY24" s="296"/>
      <c r="AZ24" s="77"/>
      <c r="BA24" s="78"/>
      <c r="BB24" s="78"/>
      <c r="BC24" s="78"/>
      <c r="BD24" s="78"/>
      <c r="BE24" s="79"/>
      <c r="BF24" s="80"/>
      <c r="BG24" s="80"/>
      <c r="BH24" s="81"/>
      <c r="BI24" s="82"/>
    </row>
    <row r="25" spans="1:61" ht="14.45">
      <c r="A25" s="70"/>
      <c r="B25" s="71"/>
      <c r="C25" s="71"/>
      <c r="D25" s="71"/>
      <c r="E25" s="72"/>
      <c r="F25" s="73"/>
      <c r="G25" s="74"/>
      <c r="H25" s="74"/>
      <c r="I25" s="74"/>
      <c r="J25" s="74"/>
      <c r="K25" s="74"/>
      <c r="L25" s="74"/>
      <c r="M25" s="74"/>
      <c r="N25" s="74"/>
      <c r="O25" s="74"/>
      <c r="P25" s="74"/>
      <c r="Q25" s="74"/>
      <c r="R25" s="74"/>
      <c r="S25" s="75"/>
      <c r="T25" s="76"/>
      <c r="U25" s="296"/>
      <c r="V25" s="296"/>
      <c r="W25" s="296"/>
      <c r="X25" s="296"/>
      <c r="Y25" s="296"/>
      <c r="Z25" s="296"/>
      <c r="AA25" s="296"/>
      <c r="AB25" s="296"/>
      <c r="AC25" s="296"/>
      <c r="AD25" s="296"/>
      <c r="AE25" s="296"/>
      <c r="AF25" s="296"/>
      <c r="AG25" s="296"/>
      <c r="AH25" s="296"/>
      <c r="AI25" s="296"/>
      <c r="AJ25" s="296"/>
      <c r="AK25" s="296"/>
      <c r="AL25" s="296"/>
      <c r="AM25" s="296"/>
      <c r="AN25" s="296"/>
      <c r="AO25" s="296"/>
      <c r="AP25" s="296"/>
      <c r="AQ25" s="296"/>
      <c r="AR25" s="296"/>
      <c r="AS25" s="296"/>
      <c r="AT25" s="296"/>
      <c r="AU25" s="296"/>
      <c r="AV25" s="296"/>
      <c r="AW25" s="296"/>
      <c r="AX25" s="296"/>
      <c r="AY25" s="296"/>
      <c r="AZ25" s="77"/>
      <c r="BA25" s="78"/>
      <c r="BB25" s="78"/>
      <c r="BC25" s="78"/>
      <c r="BD25" s="78"/>
      <c r="BE25" s="79"/>
      <c r="BF25" s="80"/>
      <c r="BG25" s="80"/>
      <c r="BH25" s="81"/>
      <c r="BI25" s="82"/>
    </row>
    <row r="26" spans="1:61" ht="14.45">
      <c r="A26" s="70"/>
      <c r="B26" s="71"/>
      <c r="C26" s="71"/>
      <c r="D26" s="71"/>
      <c r="E26" s="72"/>
      <c r="F26" s="73"/>
      <c r="G26" s="74"/>
      <c r="H26" s="74"/>
      <c r="I26" s="74"/>
      <c r="J26" s="74"/>
      <c r="K26" s="74"/>
      <c r="L26" s="74"/>
      <c r="M26" s="74"/>
      <c r="N26" s="74"/>
      <c r="O26" s="74"/>
      <c r="P26" s="74"/>
      <c r="Q26" s="74"/>
      <c r="R26" s="74"/>
      <c r="S26" s="75"/>
      <c r="T26" s="76"/>
      <c r="U26" s="296"/>
      <c r="V26" s="296"/>
      <c r="W26" s="296"/>
      <c r="X26" s="296"/>
      <c r="Y26" s="296"/>
      <c r="Z26" s="296"/>
      <c r="AA26" s="296"/>
      <c r="AB26" s="296"/>
      <c r="AC26" s="296"/>
      <c r="AD26" s="296"/>
      <c r="AE26" s="296"/>
      <c r="AF26" s="296"/>
      <c r="AG26" s="296"/>
      <c r="AH26" s="296"/>
      <c r="AI26" s="296"/>
      <c r="AJ26" s="296"/>
      <c r="AK26" s="296"/>
      <c r="AL26" s="296"/>
      <c r="AM26" s="296"/>
      <c r="AN26" s="296"/>
      <c r="AO26" s="296"/>
      <c r="AP26" s="296"/>
      <c r="AQ26" s="296"/>
      <c r="AR26" s="296"/>
      <c r="AS26" s="296"/>
      <c r="AT26" s="296"/>
      <c r="AU26" s="296"/>
      <c r="AV26" s="296"/>
      <c r="AW26" s="296"/>
      <c r="AX26" s="296"/>
      <c r="AY26" s="296"/>
      <c r="AZ26" s="77"/>
      <c r="BA26" s="78"/>
      <c r="BB26" s="78"/>
      <c r="BC26" s="78"/>
      <c r="BD26" s="78"/>
      <c r="BE26" s="79"/>
      <c r="BF26" s="80"/>
      <c r="BG26" s="80"/>
      <c r="BH26" s="81"/>
      <c r="BI26" s="82"/>
    </row>
    <row r="27" spans="1:61" ht="14.45">
      <c r="A27" s="70"/>
      <c r="B27" s="71"/>
      <c r="C27" s="71"/>
      <c r="D27" s="71"/>
      <c r="E27" s="72"/>
      <c r="F27" s="73"/>
      <c r="G27" s="74"/>
      <c r="H27" s="74"/>
      <c r="I27" s="74"/>
      <c r="J27" s="74"/>
      <c r="K27" s="74"/>
      <c r="L27" s="74"/>
      <c r="M27" s="74"/>
      <c r="N27" s="74"/>
      <c r="O27" s="74"/>
      <c r="P27" s="74"/>
      <c r="Q27" s="74"/>
      <c r="R27" s="74"/>
      <c r="S27" s="75"/>
      <c r="T27" s="76"/>
      <c r="U27" s="296"/>
      <c r="V27" s="296"/>
      <c r="W27" s="296"/>
      <c r="X27" s="296"/>
      <c r="Y27" s="296"/>
      <c r="Z27" s="296"/>
      <c r="AA27" s="296"/>
      <c r="AB27" s="296"/>
      <c r="AC27" s="296"/>
      <c r="AD27" s="296"/>
      <c r="AE27" s="296"/>
      <c r="AF27" s="296"/>
      <c r="AG27" s="296"/>
      <c r="AH27" s="296"/>
      <c r="AI27" s="296"/>
      <c r="AJ27" s="296"/>
      <c r="AK27" s="296"/>
      <c r="AL27" s="296"/>
      <c r="AM27" s="296"/>
      <c r="AN27" s="296"/>
      <c r="AO27" s="296"/>
      <c r="AP27" s="296"/>
      <c r="AQ27" s="296"/>
      <c r="AR27" s="296"/>
      <c r="AS27" s="296"/>
      <c r="AT27" s="296"/>
      <c r="AU27" s="296"/>
      <c r="AV27" s="296"/>
      <c r="AW27" s="296"/>
      <c r="AX27" s="296"/>
      <c r="AY27" s="296"/>
      <c r="AZ27" s="77"/>
      <c r="BA27" s="78"/>
      <c r="BB27" s="78"/>
      <c r="BC27" s="78"/>
      <c r="BD27" s="78"/>
      <c r="BE27" s="79"/>
      <c r="BF27" s="80"/>
      <c r="BG27" s="80"/>
      <c r="BH27" s="81"/>
      <c r="BI27" s="82"/>
    </row>
    <row r="28" spans="1:61" ht="14.45">
      <c r="A28" s="70"/>
      <c r="B28" s="71"/>
      <c r="C28" s="71"/>
      <c r="D28" s="71"/>
      <c r="E28" s="72"/>
      <c r="F28" s="73"/>
      <c r="G28" s="74"/>
      <c r="H28" s="74"/>
      <c r="I28" s="74"/>
      <c r="J28" s="74"/>
      <c r="K28" s="74"/>
      <c r="L28" s="74"/>
      <c r="M28" s="74"/>
      <c r="N28" s="74"/>
      <c r="O28" s="74"/>
      <c r="P28" s="74"/>
      <c r="Q28" s="74"/>
      <c r="R28" s="74"/>
      <c r="S28" s="75"/>
      <c r="T28" s="76"/>
      <c r="U28" s="296"/>
      <c r="V28" s="296"/>
      <c r="W28" s="296"/>
      <c r="X28" s="296"/>
      <c r="Y28" s="296"/>
      <c r="Z28" s="296"/>
      <c r="AA28" s="296"/>
      <c r="AB28" s="296"/>
      <c r="AC28" s="296"/>
      <c r="AD28" s="296"/>
      <c r="AE28" s="296"/>
      <c r="AF28" s="296"/>
      <c r="AG28" s="296"/>
      <c r="AH28" s="296"/>
      <c r="AI28" s="296"/>
      <c r="AJ28" s="296"/>
      <c r="AK28" s="296"/>
      <c r="AL28" s="296"/>
      <c r="AM28" s="296"/>
      <c r="AN28" s="296"/>
      <c r="AO28" s="296"/>
      <c r="AP28" s="296"/>
      <c r="AQ28" s="296"/>
      <c r="AR28" s="296"/>
      <c r="AS28" s="296"/>
      <c r="AT28" s="296"/>
      <c r="AU28" s="296"/>
      <c r="AV28" s="296"/>
      <c r="AW28" s="296"/>
      <c r="AX28" s="296"/>
      <c r="AY28" s="296"/>
      <c r="AZ28" s="77"/>
      <c r="BA28" s="78"/>
      <c r="BB28" s="78"/>
      <c r="BC28" s="78"/>
      <c r="BD28" s="78"/>
      <c r="BE28" s="79"/>
      <c r="BF28" s="80"/>
      <c r="BG28" s="80"/>
      <c r="BH28" s="81"/>
      <c r="BI28" s="82"/>
    </row>
    <row r="29" spans="1:61" ht="14.45">
      <c r="A29" s="70"/>
      <c r="B29" s="71"/>
      <c r="C29" s="71"/>
      <c r="D29" s="71"/>
      <c r="E29" s="72"/>
      <c r="F29" s="73"/>
      <c r="G29" s="74"/>
      <c r="H29" s="74"/>
      <c r="I29" s="74"/>
      <c r="J29" s="74"/>
      <c r="K29" s="74"/>
      <c r="L29" s="74"/>
      <c r="M29" s="74"/>
      <c r="N29" s="74"/>
      <c r="O29" s="74"/>
      <c r="P29" s="74"/>
      <c r="Q29" s="74"/>
      <c r="R29" s="74"/>
      <c r="S29" s="75"/>
      <c r="T29" s="76"/>
      <c r="U29" s="296"/>
      <c r="V29" s="296"/>
      <c r="W29" s="296"/>
      <c r="X29" s="296"/>
      <c r="Y29" s="296"/>
      <c r="Z29" s="296"/>
      <c r="AA29" s="296"/>
      <c r="AB29" s="296"/>
      <c r="AC29" s="296"/>
      <c r="AD29" s="296"/>
      <c r="AE29" s="296"/>
      <c r="AF29" s="296"/>
      <c r="AG29" s="296"/>
      <c r="AH29" s="296"/>
      <c r="AI29" s="296"/>
      <c r="AJ29" s="296"/>
      <c r="AK29" s="296"/>
      <c r="AL29" s="296"/>
      <c r="AM29" s="296"/>
      <c r="AN29" s="296"/>
      <c r="AO29" s="296"/>
      <c r="AP29" s="296"/>
      <c r="AQ29" s="296"/>
      <c r="AR29" s="296"/>
      <c r="AS29" s="296"/>
      <c r="AT29" s="296"/>
      <c r="AU29" s="296"/>
      <c r="AV29" s="296"/>
      <c r="AW29" s="296"/>
      <c r="AX29" s="296"/>
      <c r="AY29" s="296"/>
      <c r="AZ29" s="77"/>
      <c r="BA29" s="78"/>
      <c r="BB29" s="78"/>
      <c r="BC29" s="78"/>
      <c r="BD29" s="78"/>
      <c r="BE29" s="79"/>
      <c r="BF29" s="80"/>
      <c r="BG29" s="80"/>
      <c r="BH29" s="81"/>
      <c r="BI29" s="82"/>
    </row>
    <row r="30" spans="1:61" ht="14.45">
      <c r="A30" s="70"/>
      <c r="B30" s="71"/>
      <c r="C30" s="71"/>
      <c r="D30" s="71"/>
      <c r="E30" s="72"/>
      <c r="F30" s="73"/>
      <c r="G30" s="74"/>
      <c r="H30" s="74"/>
      <c r="I30" s="74"/>
      <c r="J30" s="74"/>
      <c r="K30" s="74"/>
      <c r="L30" s="74"/>
      <c r="M30" s="74"/>
      <c r="N30" s="74"/>
      <c r="O30" s="74"/>
      <c r="P30" s="74"/>
      <c r="Q30" s="74"/>
      <c r="R30" s="74"/>
      <c r="S30" s="75"/>
      <c r="T30" s="76"/>
      <c r="U30" s="296"/>
      <c r="V30" s="296"/>
      <c r="W30" s="296"/>
      <c r="X30" s="296"/>
      <c r="Y30" s="296"/>
      <c r="Z30" s="296"/>
      <c r="AA30" s="296"/>
      <c r="AB30" s="296"/>
      <c r="AC30" s="296"/>
      <c r="AD30" s="296"/>
      <c r="AE30" s="296"/>
      <c r="AF30" s="296"/>
      <c r="AG30" s="296"/>
      <c r="AH30" s="296"/>
      <c r="AI30" s="296"/>
      <c r="AJ30" s="296"/>
      <c r="AK30" s="296"/>
      <c r="AL30" s="296"/>
      <c r="AM30" s="296"/>
      <c r="AN30" s="296"/>
      <c r="AO30" s="296"/>
      <c r="AP30" s="296"/>
      <c r="AQ30" s="296"/>
      <c r="AR30" s="296"/>
      <c r="AS30" s="296"/>
      <c r="AT30" s="296"/>
      <c r="AU30" s="296"/>
      <c r="AV30" s="296"/>
      <c r="AW30" s="296"/>
      <c r="AX30" s="296"/>
      <c r="AY30" s="296"/>
      <c r="AZ30" s="77"/>
      <c r="BA30" s="78"/>
      <c r="BB30" s="78"/>
      <c r="BC30" s="78"/>
      <c r="BD30" s="78"/>
      <c r="BE30" s="79"/>
      <c r="BF30" s="80"/>
      <c r="BG30" s="80"/>
      <c r="BH30" s="81"/>
      <c r="BI30" s="82"/>
    </row>
    <row r="31" spans="1:61" ht="14.45">
      <c r="A31" s="70"/>
      <c r="B31" s="71"/>
      <c r="C31" s="71"/>
      <c r="D31" s="71"/>
      <c r="E31" s="72"/>
      <c r="F31" s="73"/>
      <c r="G31" s="74"/>
      <c r="H31" s="74"/>
      <c r="I31" s="74"/>
      <c r="J31" s="74"/>
      <c r="K31" s="74"/>
      <c r="L31" s="74"/>
      <c r="M31" s="74"/>
      <c r="N31" s="74"/>
      <c r="O31" s="74"/>
      <c r="P31" s="74"/>
      <c r="Q31" s="74"/>
      <c r="R31" s="74"/>
      <c r="S31" s="75"/>
      <c r="T31" s="76"/>
      <c r="U31" s="296"/>
      <c r="V31" s="296"/>
      <c r="W31" s="296"/>
      <c r="X31" s="296"/>
      <c r="Y31" s="296"/>
      <c r="Z31" s="296"/>
      <c r="AA31" s="296"/>
      <c r="AB31" s="296"/>
      <c r="AC31" s="296"/>
      <c r="AD31" s="296"/>
      <c r="AE31" s="296"/>
      <c r="AF31" s="296"/>
      <c r="AG31" s="296"/>
      <c r="AH31" s="296"/>
      <c r="AI31" s="296"/>
      <c r="AJ31" s="296"/>
      <c r="AK31" s="296"/>
      <c r="AL31" s="296"/>
      <c r="AM31" s="296"/>
      <c r="AN31" s="296"/>
      <c r="AO31" s="296"/>
      <c r="AP31" s="296"/>
      <c r="AQ31" s="296"/>
      <c r="AR31" s="296"/>
      <c r="AS31" s="296"/>
      <c r="AT31" s="296"/>
      <c r="AU31" s="296"/>
      <c r="AV31" s="296"/>
      <c r="AW31" s="296"/>
      <c r="AX31" s="296"/>
      <c r="AY31" s="296"/>
      <c r="AZ31" s="77"/>
      <c r="BA31" s="78"/>
      <c r="BB31" s="78"/>
      <c r="BC31" s="78"/>
      <c r="BD31" s="78"/>
      <c r="BE31" s="79"/>
      <c r="BF31" s="80"/>
      <c r="BG31" s="80"/>
      <c r="BH31" s="81"/>
      <c r="BI31" s="82"/>
    </row>
    <row r="32" spans="1:61" ht="14.45">
      <c r="A32" s="70"/>
      <c r="B32" s="71"/>
      <c r="C32" s="71"/>
      <c r="D32" s="71"/>
      <c r="E32" s="72"/>
      <c r="F32" s="73"/>
      <c r="G32" s="74"/>
      <c r="H32" s="74"/>
      <c r="I32" s="74"/>
      <c r="J32" s="74"/>
      <c r="K32" s="74"/>
      <c r="L32" s="74"/>
      <c r="M32" s="74"/>
      <c r="N32" s="74"/>
      <c r="O32" s="74"/>
      <c r="P32" s="74"/>
      <c r="Q32" s="74"/>
      <c r="R32" s="74"/>
      <c r="S32" s="75"/>
      <c r="T32" s="76"/>
      <c r="U32" s="296"/>
      <c r="V32" s="296"/>
      <c r="W32" s="296"/>
      <c r="X32" s="296"/>
      <c r="Y32" s="296"/>
      <c r="Z32" s="296"/>
      <c r="AA32" s="296"/>
      <c r="AB32" s="296"/>
      <c r="AC32" s="296"/>
      <c r="AD32" s="296"/>
      <c r="AE32" s="296"/>
      <c r="AF32" s="296"/>
      <c r="AG32" s="296"/>
      <c r="AH32" s="296"/>
      <c r="AI32" s="296"/>
      <c r="AJ32" s="296"/>
      <c r="AK32" s="296"/>
      <c r="AL32" s="296"/>
      <c r="AM32" s="296"/>
      <c r="AN32" s="296"/>
      <c r="AO32" s="296"/>
      <c r="AP32" s="296"/>
      <c r="AQ32" s="296"/>
      <c r="AR32" s="296"/>
      <c r="AS32" s="296"/>
      <c r="AT32" s="296"/>
      <c r="AU32" s="296"/>
      <c r="AV32" s="296"/>
      <c r="AW32" s="296"/>
      <c r="AX32" s="296"/>
      <c r="AY32" s="296"/>
      <c r="AZ32" s="77"/>
      <c r="BA32" s="78"/>
      <c r="BB32" s="78"/>
      <c r="BC32" s="78"/>
      <c r="BD32" s="78"/>
      <c r="BE32" s="79"/>
      <c r="BF32" s="80"/>
      <c r="BG32" s="80"/>
      <c r="BH32" s="81"/>
      <c r="BI32" s="82"/>
    </row>
    <row r="33" spans="1:61" ht="14.45">
      <c r="A33" s="70"/>
      <c r="B33" s="71"/>
      <c r="C33" s="71"/>
      <c r="D33" s="71"/>
      <c r="E33" s="72"/>
      <c r="F33" s="73"/>
      <c r="G33" s="74"/>
      <c r="H33" s="74"/>
      <c r="I33" s="74"/>
      <c r="J33" s="74"/>
      <c r="K33" s="74"/>
      <c r="L33" s="74"/>
      <c r="M33" s="74"/>
      <c r="N33" s="74"/>
      <c r="O33" s="74"/>
      <c r="P33" s="74"/>
      <c r="Q33" s="74"/>
      <c r="R33" s="74"/>
      <c r="S33" s="75"/>
      <c r="T33" s="76"/>
      <c r="U33" s="296"/>
      <c r="V33" s="296"/>
      <c r="W33" s="296"/>
      <c r="X33" s="296"/>
      <c r="Y33" s="296"/>
      <c r="Z33" s="296"/>
      <c r="AA33" s="296"/>
      <c r="AB33" s="296"/>
      <c r="AC33" s="296"/>
      <c r="AD33" s="296"/>
      <c r="AE33" s="296"/>
      <c r="AF33" s="296"/>
      <c r="AG33" s="296"/>
      <c r="AH33" s="296"/>
      <c r="AI33" s="296"/>
      <c r="AJ33" s="296"/>
      <c r="AK33" s="296"/>
      <c r="AL33" s="296"/>
      <c r="AM33" s="296"/>
      <c r="AN33" s="296"/>
      <c r="AO33" s="296"/>
      <c r="AP33" s="296"/>
      <c r="AQ33" s="296"/>
      <c r="AR33" s="296"/>
      <c r="AS33" s="296"/>
      <c r="AT33" s="296"/>
      <c r="AU33" s="296"/>
      <c r="AV33" s="296"/>
      <c r="AW33" s="296"/>
      <c r="AX33" s="296"/>
      <c r="AY33" s="296"/>
      <c r="AZ33" s="77"/>
      <c r="BA33" s="78"/>
      <c r="BB33" s="78"/>
      <c r="BC33" s="78"/>
      <c r="BD33" s="78"/>
      <c r="BE33" s="79"/>
      <c r="BF33" s="80"/>
      <c r="BG33" s="80"/>
      <c r="BH33" s="81"/>
      <c r="BI33" s="82"/>
    </row>
    <row r="34" spans="1:61" ht="14.45">
      <c r="A34" s="70"/>
      <c r="B34" s="71"/>
      <c r="C34" s="71"/>
      <c r="D34" s="71"/>
      <c r="E34" s="72"/>
      <c r="F34" s="73"/>
      <c r="G34" s="74"/>
      <c r="H34" s="74"/>
      <c r="I34" s="74"/>
      <c r="J34" s="74"/>
      <c r="K34" s="74"/>
      <c r="L34" s="74"/>
      <c r="M34" s="74"/>
      <c r="N34" s="74"/>
      <c r="O34" s="74"/>
      <c r="P34" s="74"/>
      <c r="Q34" s="74"/>
      <c r="R34" s="74"/>
      <c r="S34" s="75"/>
      <c r="T34" s="76"/>
      <c r="U34" s="296"/>
      <c r="V34" s="296"/>
      <c r="W34" s="296"/>
      <c r="X34" s="296"/>
      <c r="Y34" s="296"/>
      <c r="Z34" s="296"/>
      <c r="AA34" s="296"/>
      <c r="AB34" s="296"/>
      <c r="AC34" s="296"/>
      <c r="AD34" s="296"/>
      <c r="AE34" s="296"/>
      <c r="AF34" s="296"/>
      <c r="AG34" s="296"/>
      <c r="AH34" s="296"/>
      <c r="AI34" s="296"/>
      <c r="AJ34" s="296"/>
      <c r="AK34" s="296"/>
      <c r="AL34" s="296"/>
      <c r="AM34" s="296"/>
      <c r="AN34" s="296"/>
      <c r="AO34" s="296"/>
      <c r="AP34" s="296"/>
      <c r="AQ34" s="296"/>
      <c r="AR34" s="296"/>
      <c r="AS34" s="296"/>
      <c r="AT34" s="296"/>
      <c r="AU34" s="296"/>
      <c r="AV34" s="296"/>
      <c r="AW34" s="296"/>
      <c r="AX34" s="296"/>
      <c r="AY34" s="296"/>
      <c r="AZ34" s="77"/>
      <c r="BA34" s="78"/>
      <c r="BB34" s="78"/>
      <c r="BC34" s="78"/>
      <c r="BD34" s="78"/>
      <c r="BE34" s="79"/>
      <c r="BF34" s="80"/>
      <c r="BG34" s="80"/>
      <c r="BH34" s="81"/>
      <c r="BI34" s="82"/>
    </row>
    <row r="35" spans="1:61" ht="14.45">
      <c r="A35" s="70"/>
      <c r="B35" s="71"/>
      <c r="C35" s="71"/>
      <c r="D35" s="71"/>
      <c r="E35" s="72"/>
      <c r="F35" s="73"/>
      <c r="G35" s="74"/>
      <c r="H35" s="74"/>
      <c r="I35" s="74"/>
      <c r="J35" s="74"/>
      <c r="K35" s="74"/>
      <c r="L35" s="74"/>
      <c r="M35" s="74"/>
      <c r="N35" s="74"/>
      <c r="O35" s="74"/>
      <c r="P35" s="74"/>
      <c r="Q35" s="74"/>
      <c r="R35" s="74"/>
      <c r="S35" s="75"/>
      <c r="T35" s="76"/>
      <c r="U35" s="296"/>
      <c r="V35" s="296"/>
      <c r="W35" s="296"/>
      <c r="X35" s="296"/>
      <c r="Y35" s="296"/>
      <c r="Z35" s="296"/>
      <c r="AA35" s="296"/>
      <c r="AB35" s="296"/>
      <c r="AC35" s="296"/>
      <c r="AD35" s="296"/>
      <c r="AE35" s="296"/>
      <c r="AF35" s="296"/>
      <c r="AG35" s="296"/>
      <c r="AH35" s="296"/>
      <c r="AI35" s="296"/>
      <c r="AJ35" s="296"/>
      <c r="AK35" s="296"/>
      <c r="AL35" s="296"/>
      <c r="AM35" s="296"/>
      <c r="AN35" s="296"/>
      <c r="AO35" s="296"/>
      <c r="AP35" s="296"/>
      <c r="AQ35" s="296"/>
      <c r="AR35" s="296"/>
      <c r="AS35" s="296"/>
      <c r="AT35" s="296"/>
      <c r="AU35" s="296"/>
      <c r="AV35" s="296"/>
      <c r="AW35" s="296"/>
      <c r="AX35" s="296"/>
      <c r="AY35" s="296"/>
      <c r="AZ35" s="77"/>
      <c r="BA35" s="78"/>
      <c r="BB35" s="78"/>
      <c r="BC35" s="78"/>
      <c r="BD35" s="78"/>
      <c r="BE35" s="79"/>
      <c r="BF35" s="80"/>
      <c r="BG35" s="80"/>
      <c r="BH35" s="81"/>
      <c r="BI35" s="82"/>
    </row>
    <row r="36" spans="1:61" ht="14.45">
      <c r="A36" s="70"/>
      <c r="B36" s="71"/>
      <c r="C36" s="71"/>
      <c r="D36" s="71"/>
      <c r="E36" s="72"/>
      <c r="F36" s="73"/>
      <c r="G36" s="74"/>
      <c r="H36" s="74"/>
      <c r="I36" s="74"/>
      <c r="J36" s="74"/>
      <c r="K36" s="74"/>
      <c r="L36" s="74"/>
      <c r="M36" s="74"/>
      <c r="N36" s="74"/>
      <c r="O36" s="74"/>
      <c r="P36" s="74"/>
      <c r="Q36" s="74"/>
      <c r="R36" s="74"/>
      <c r="S36" s="75"/>
      <c r="T36" s="76"/>
      <c r="U36" s="296"/>
      <c r="V36" s="296"/>
      <c r="W36" s="296"/>
      <c r="X36" s="296"/>
      <c r="Y36" s="296"/>
      <c r="Z36" s="296"/>
      <c r="AA36" s="296"/>
      <c r="AB36" s="296"/>
      <c r="AC36" s="296"/>
      <c r="AD36" s="296"/>
      <c r="AE36" s="296"/>
      <c r="AF36" s="296"/>
      <c r="AG36" s="296"/>
      <c r="AH36" s="296"/>
      <c r="AI36" s="296"/>
      <c r="AJ36" s="296"/>
      <c r="AK36" s="296"/>
      <c r="AL36" s="296"/>
      <c r="AM36" s="296"/>
      <c r="AN36" s="296"/>
      <c r="AO36" s="296"/>
      <c r="AP36" s="296"/>
      <c r="AQ36" s="296"/>
      <c r="AR36" s="296"/>
      <c r="AS36" s="296"/>
      <c r="AT36" s="296"/>
      <c r="AU36" s="296"/>
      <c r="AV36" s="296"/>
      <c r="AW36" s="296"/>
      <c r="AX36" s="296"/>
      <c r="AY36" s="296"/>
      <c r="AZ36" s="77"/>
      <c r="BA36" s="78"/>
      <c r="BB36" s="78"/>
      <c r="BC36" s="78"/>
      <c r="BD36" s="78"/>
      <c r="BE36" s="79"/>
      <c r="BF36" s="80"/>
      <c r="BG36" s="80"/>
      <c r="BH36" s="81"/>
      <c r="BI36" s="82"/>
    </row>
    <row r="37" spans="1:61" ht="14.45">
      <c r="A37" s="70"/>
      <c r="B37" s="71"/>
      <c r="C37" s="71"/>
      <c r="D37" s="71"/>
      <c r="E37" s="72"/>
      <c r="F37" s="73"/>
      <c r="G37" s="74"/>
      <c r="H37" s="74"/>
      <c r="I37" s="74"/>
      <c r="J37" s="74"/>
      <c r="K37" s="74"/>
      <c r="L37" s="74"/>
      <c r="M37" s="74"/>
      <c r="N37" s="74"/>
      <c r="O37" s="74"/>
      <c r="P37" s="74"/>
      <c r="Q37" s="74"/>
      <c r="R37" s="74"/>
      <c r="S37" s="75"/>
      <c r="T37" s="76"/>
      <c r="U37" s="296"/>
      <c r="V37" s="296"/>
      <c r="W37" s="296"/>
      <c r="X37" s="296"/>
      <c r="Y37" s="296"/>
      <c r="Z37" s="296"/>
      <c r="AA37" s="296"/>
      <c r="AB37" s="296"/>
      <c r="AC37" s="296"/>
      <c r="AD37" s="296"/>
      <c r="AE37" s="296"/>
      <c r="AF37" s="296"/>
      <c r="AG37" s="296"/>
      <c r="AH37" s="296"/>
      <c r="AI37" s="296"/>
      <c r="AJ37" s="296"/>
      <c r="AK37" s="296"/>
      <c r="AL37" s="296"/>
      <c r="AM37" s="296"/>
      <c r="AN37" s="296"/>
      <c r="AO37" s="296"/>
      <c r="AP37" s="296"/>
      <c r="AQ37" s="296"/>
      <c r="AR37" s="296"/>
      <c r="AS37" s="296"/>
      <c r="AT37" s="296"/>
      <c r="AU37" s="296"/>
      <c r="AV37" s="296"/>
      <c r="AW37" s="296"/>
      <c r="AX37" s="296"/>
      <c r="AY37" s="296"/>
      <c r="AZ37" s="77"/>
      <c r="BA37" s="78"/>
      <c r="BB37" s="78"/>
      <c r="BC37" s="78"/>
      <c r="BD37" s="78"/>
      <c r="BE37" s="79"/>
      <c r="BF37" s="80"/>
      <c r="BG37" s="80"/>
      <c r="BH37" s="81"/>
      <c r="BI37" s="82"/>
    </row>
    <row r="38" spans="1:61" ht="14.45">
      <c r="A38" s="70"/>
      <c r="B38" s="71"/>
      <c r="C38" s="71"/>
      <c r="D38" s="71"/>
      <c r="E38" s="72"/>
      <c r="F38" s="73"/>
      <c r="G38" s="74"/>
      <c r="H38" s="74"/>
      <c r="I38" s="74"/>
      <c r="J38" s="74"/>
      <c r="K38" s="74"/>
      <c r="L38" s="74"/>
      <c r="M38" s="74"/>
      <c r="N38" s="74"/>
      <c r="O38" s="74"/>
      <c r="P38" s="74"/>
      <c r="Q38" s="74"/>
      <c r="R38" s="74"/>
      <c r="S38" s="75"/>
      <c r="T38" s="76"/>
      <c r="U38" s="296"/>
      <c r="V38" s="296"/>
      <c r="W38" s="296"/>
      <c r="X38" s="296"/>
      <c r="Y38" s="296"/>
      <c r="Z38" s="296"/>
      <c r="AA38" s="296"/>
      <c r="AB38" s="296"/>
      <c r="AC38" s="296"/>
      <c r="AD38" s="296"/>
      <c r="AE38" s="296"/>
      <c r="AF38" s="296"/>
      <c r="AG38" s="296"/>
      <c r="AH38" s="296"/>
      <c r="AI38" s="296"/>
      <c r="AJ38" s="296"/>
      <c r="AK38" s="296"/>
      <c r="AL38" s="296"/>
      <c r="AM38" s="296"/>
      <c r="AN38" s="296"/>
      <c r="AO38" s="296"/>
      <c r="AP38" s="296"/>
      <c r="AQ38" s="296"/>
      <c r="AR38" s="296"/>
      <c r="AS38" s="296"/>
      <c r="AT38" s="296"/>
      <c r="AU38" s="296"/>
      <c r="AV38" s="296"/>
      <c r="AW38" s="296"/>
      <c r="AX38" s="296"/>
      <c r="AY38" s="296"/>
      <c r="AZ38" s="77"/>
      <c r="BA38" s="78"/>
      <c r="BB38" s="78"/>
      <c r="BC38" s="78"/>
      <c r="BD38" s="78"/>
      <c r="BE38" s="79"/>
      <c r="BF38" s="80"/>
      <c r="BG38" s="80"/>
      <c r="BH38" s="81"/>
      <c r="BI38" s="82"/>
    </row>
    <row r="39" spans="1:61" ht="15" customHeight="1">
      <c r="A39" s="70"/>
      <c r="B39" s="71"/>
      <c r="C39" s="71"/>
      <c r="D39" s="71"/>
      <c r="E39" s="72"/>
      <c r="F39" s="73"/>
      <c r="G39" s="74"/>
      <c r="H39" s="74"/>
      <c r="I39" s="74"/>
      <c r="J39" s="74"/>
      <c r="K39" s="74"/>
      <c r="L39" s="74"/>
      <c r="M39" s="74"/>
      <c r="N39" s="74"/>
      <c r="O39" s="74"/>
      <c r="P39" s="74"/>
      <c r="Q39" s="74"/>
      <c r="R39" s="74"/>
      <c r="S39" s="75"/>
      <c r="T39" s="296"/>
      <c r="U39" s="296"/>
      <c r="V39" s="296"/>
      <c r="W39" s="296"/>
      <c r="X39" s="296"/>
      <c r="Y39" s="296"/>
      <c r="Z39" s="296"/>
      <c r="AA39" s="296"/>
      <c r="AB39" s="296"/>
      <c r="AC39" s="296"/>
      <c r="AD39" s="296"/>
      <c r="AE39" s="296"/>
      <c r="AF39" s="296"/>
      <c r="AG39" s="296"/>
      <c r="AH39" s="296"/>
      <c r="AI39" s="296"/>
      <c r="AJ39" s="296"/>
      <c r="AK39" s="296"/>
      <c r="AL39" s="296"/>
      <c r="AM39" s="296"/>
      <c r="AN39" s="296"/>
      <c r="AO39" s="296"/>
      <c r="AP39" s="296"/>
      <c r="AQ39" s="296"/>
      <c r="AR39" s="296"/>
      <c r="AS39" s="296"/>
      <c r="AT39" s="296"/>
      <c r="AU39" s="296"/>
      <c r="AV39" s="296"/>
      <c r="AW39" s="296"/>
      <c r="AX39" s="296"/>
      <c r="AY39" s="296"/>
      <c r="AZ39" s="77"/>
      <c r="BA39" s="78"/>
      <c r="BB39" s="78"/>
      <c r="BC39" s="78"/>
      <c r="BD39" s="78"/>
      <c r="BE39" s="79"/>
      <c r="BF39" s="80"/>
      <c r="BG39" s="80"/>
      <c r="BH39" s="81"/>
      <c r="BI39" s="82"/>
    </row>
    <row r="40" spans="1:61" ht="15" customHeight="1" thickBot="1">
      <c r="A40" s="58"/>
      <c r="B40" s="59"/>
      <c r="C40" s="59"/>
      <c r="D40" s="59"/>
      <c r="E40" s="60"/>
      <c r="F40" s="61"/>
      <c r="G40" s="62"/>
      <c r="H40" s="62"/>
      <c r="I40" s="62"/>
      <c r="J40" s="62"/>
      <c r="K40" s="62"/>
      <c r="L40" s="62"/>
      <c r="M40" s="62"/>
      <c r="N40" s="62"/>
      <c r="O40" s="62"/>
      <c r="P40" s="62"/>
      <c r="Q40" s="62"/>
      <c r="R40" s="62"/>
      <c r="S40" s="63"/>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c r="AP40" s="297"/>
      <c r="AQ40" s="297"/>
      <c r="AR40" s="297"/>
      <c r="AS40" s="297"/>
      <c r="AT40" s="297"/>
      <c r="AU40" s="297"/>
      <c r="AV40" s="297"/>
      <c r="AW40" s="297"/>
      <c r="AX40" s="297"/>
      <c r="AY40" s="297"/>
      <c r="AZ40" s="64"/>
      <c r="BA40" s="65"/>
      <c r="BB40" s="65"/>
      <c r="BC40" s="65"/>
      <c r="BD40" s="65"/>
      <c r="BE40" s="66"/>
      <c r="BF40" s="67"/>
      <c r="BG40" s="67"/>
      <c r="BH40" s="68"/>
      <c r="BI40" s="69"/>
    </row>
  </sheetData>
  <mergeCells count="195">
    <mergeCell ref="AV2:BA2"/>
    <mergeCell ref="BB2:BI2"/>
    <mergeCell ref="AT3:AU3"/>
    <mergeCell ref="AV3:BA3"/>
    <mergeCell ref="BB3:BI3"/>
    <mergeCell ref="A5:E5"/>
    <mergeCell ref="F5:S5"/>
    <mergeCell ref="T5:AY5"/>
    <mergeCell ref="AZ5:BE5"/>
    <mergeCell ref="BF5:BI5"/>
    <mergeCell ref="A1:E3"/>
    <mergeCell ref="F1:P1"/>
    <mergeCell ref="Q1:V1"/>
    <mergeCell ref="W1:AS1"/>
    <mergeCell ref="AT1:BA1"/>
    <mergeCell ref="BB1:BI1"/>
    <mergeCell ref="F2:P3"/>
    <mergeCell ref="Q2:V3"/>
    <mergeCell ref="W2:AS3"/>
    <mergeCell ref="AT2:AU2"/>
    <mergeCell ref="A6:E6"/>
    <mergeCell ref="F6:S6"/>
    <mergeCell ref="T6:AY6"/>
    <mergeCell ref="AZ6:BE6"/>
    <mergeCell ref="BF6:BI6"/>
    <mergeCell ref="A7:E7"/>
    <mergeCell ref="F7:S7"/>
    <mergeCell ref="T7:AY7"/>
    <mergeCell ref="AZ7:BE7"/>
    <mergeCell ref="BF7:BI7"/>
    <mergeCell ref="A8:E8"/>
    <mergeCell ref="F8:S8"/>
    <mergeCell ref="T8:AY8"/>
    <mergeCell ref="AZ8:BE8"/>
    <mergeCell ref="BF8:BI8"/>
    <mergeCell ref="A9:E9"/>
    <mergeCell ref="F9:S9"/>
    <mergeCell ref="T9:AY9"/>
    <mergeCell ref="AZ9:BE9"/>
    <mergeCell ref="BF9:BI9"/>
    <mergeCell ref="A10:E10"/>
    <mergeCell ref="F10:S10"/>
    <mergeCell ref="T10:AY10"/>
    <mergeCell ref="AZ10:BE10"/>
    <mergeCell ref="BF10:BI10"/>
    <mergeCell ref="A11:E11"/>
    <mergeCell ref="F11:S11"/>
    <mergeCell ref="T11:AY11"/>
    <mergeCell ref="AZ11:BE11"/>
    <mergeCell ref="BF11:BI11"/>
    <mergeCell ref="A12:E12"/>
    <mergeCell ref="F12:S12"/>
    <mergeCell ref="T12:AY12"/>
    <mergeCell ref="AZ12:BE12"/>
    <mergeCell ref="BF12:BI12"/>
    <mergeCell ref="A13:E13"/>
    <mergeCell ref="F13:S13"/>
    <mergeCell ref="T13:AY13"/>
    <mergeCell ref="AZ13:BE13"/>
    <mergeCell ref="BF13:BI13"/>
    <mergeCell ref="A14:E14"/>
    <mergeCell ref="F14:S14"/>
    <mergeCell ref="T14:AY14"/>
    <mergeCell ref="AZ14:BE14"/>
    <mergeCell ref="BF14:BI14"/>
    <mergeCell ref="A15:E15"/>
    <mergeCell ref="F15:S15"/>
    <mergeCell ref="T15:AY15"/>
    <mergeCell ref="AZ15:BE15"/>
    <mergeCell ref="BF15:BI15"/>
    <mergeCell ref="A16:E16"/>
    <mergeCell ref="F16:S16"/>
    <mergeCell ref="T16:AY16"/>
    <mergeCell ref="AZ16:BE16"/>
    <mergeCell ref="BF16:BI16"/>
    <mergeCell ref="A17:E17"/>
    <mergeCell ref="F17:S17"/>
    <mergeCell ref="T17:AY17"/>
    <mergeCell ref="AZ17:BE17"/>
    <mergeCell ref="BF17:BI17"/>
    <mergeCell ref="A18:E18"/>
    <mergeCell ref="F18:S18"/>
    <mergeCell ref="T18:AY18"/>
    <mergeCell ref="AZ18:BE18"/>
    <mergeCell ref="BF18:BI18"/>
    <mergeCell ref="A19:E19"/>
    <mergeCell ref="F19:S19"/>
    <mergeCell ref="T19:AY19"/>
    <mergeCell ref="AZ19:BE19"/>
    <mergeCell ref="BF19:BI19"/>
    <mergeCell ref="A20:E20"/>
    <mergeCell ref="F20:S20"/>
    <mergeCell ref="T20:AY20"/>
    <mergeCell ref="AZ20:BE20"/>
    <mergeCell ref="BF20:BI20"/>
    <mergeCell ref="A21:E21"/>
    <mergeCell ref="F21:S21"/>
    <mergeCell ref="T21:AY21"/>
    <mergeCell ref="AZ21:BE21"/>
    <mergeCell ref="BF21:BI21"/>
    <mergeCell ref="A22:E22"/>
    <mergeCell ref="F22:S22"/>
    <mergeCell ref="T22:AY22"/>
    <mergeCell ref="AZ22:BE22"/>
    <mergeCell ref="BF22:BI22"/>
    <mergeCell ref="A23:E23"/>
    <mergeCell ref="F23:S23"/>
    <mergeCell ref="T23:AY23"/>
    <mergeCell ref="AZ23:BE23"/>
    <mergeCell ref="BF23:BI23"/>
    <mergeCell ref="A24:E24"/>
    <mergeCell ref="F24:S24"/>
    <mergeCell ref="T24:AY24"/>
    <mergeCell ref="AZ24:BE24"/>
    <mergeCell ref="BF24:BI24"/>
    <mergeCell ref="A25:E25"/>
    <mergeCell ref="F25:S25"/>
    <mergeCell ref="T25:AY25"/>
    <mergeCell ref="AZ25:BE25"/>
    <mergeCell ref="BF25:BI25"/>
    <mergeCell ref="A26:E26"/>
    <mergeCell ref="F26:S26"/>
    <mergeCell ref="T26:AY26"/>
    <mergeCell ref="AZ26:BE26"/>
    <mergeCell ref="BF26:BI26"/>
    <mergeCell ref="A27:E27"/>
    <mergeCell ref="F27:S27"/>
    <mergeCell ref="T27:AY27"/>
    <mergeCell ref="AZ27:BE27"/>
    <mergeCell ref="BF27:BI27"/>
    <mergeCell ref="A28:E28"/>
    <mergeCell ref="F28:S28"/>
    <mergeCell ref="T28:AY28"/>
    <mergeCell ref="AZ28:BE28"/>
    <mergeCell ref="BF28:BI28"/>
    <mergeCell ref="A29:E29"/>
    <mergeCell ref="F29:S29"/>
    <mergeCell ref="T29:AY29"/>
    <mergeCell ref="AZ29:BE29"/>
    <mergeCell ref="BF29:BI29"/>
    <mergeCell ref="A30:E30"/>
    <mergeCell ref="F30:S30"/>
    <mergeCell ref="T30:AY30"/>
    <mergeCell ref="AZ30:BE30"/>
    <mergeCell ref="BF30:BI30"/>
    <mergeCell ref="A31:E31"/>
    <mergeCell ref="F31:S31"/>
    <mergeCell ref="T31:AY31"/>
    <mergeCell ref="AZ31:BE31"/>
    <mergeCell ref="BF31:BI31"/>
    <mergeCell ref="A32:E32"/>
    <mergeCell ref="F32:S32"/>
    <mergeCell ref="T32:AY32"/>
    <mergeCell ref="AZ32:BE32"/>
    <mergeCell ref="BF32:BI32"/>
    <mergeCell ref="A33:E33"/>
    <mergeCell ref="F33:S33"/>
    <mergeCell ref="T33:AY33"/>
    <mergeCell ref="AZ33:BE33"/>
    <mergeCell ref="BF33:BI33"/>
    <mergeCell ref="A34:E34"/>
    <mergeCell ref="F34:S34"/>
    <mergeCell ref="T34:AY34"/>
    <mergeCell ref="AZ34:BE34"/>
    <mergeCell ref="BF34:BI34"/>
    <mergeCell ref="A35:E35"/>
    <mergeCell ref="F35:S35"/>
    <mergeCell ref="T35:AY35"/>
    <mergeCell ref="AZ35:BE35"/>
    <mergeCell ref="BF35:BI35"/>
    <mergeCell ref="A36:E36"/>
    <mergeCell ref="F36:S36"/>
    <mergeCell ref="T36:AY36"/>
    <mergeCell ref="AZ36:BE36"/>
    <mergeCell ref="BF36:BI36"/>
    <mergeCell ref="A37:E37"/>
    <mergeCell ref="F37:S37"/>
    <mergeCell ref="T37:AY37"/>
    <mergeCell ref="AZ37:BE37"/>
    <mergeCell ref="BF37:BI37"/>
    <mergeCell ref="A40:E40"/>
    <mergeCell ref="F40:S40"/>
    <mergeCell ref="T40:AY40"/>
    <mergeCell ref="AZ40:BE40"/>
    <mergeCell ref="BF40:BI40"/>
    <mergeCell ref="A38:E38"/>
    <mergeCell ref="F38:S38"/>
    <mergeCell ref="T38:AY38"/>
    <mergeCell ref="AZ38:BE38"/>
    <mergeCell ref="BF38:BI38"/>
    <mergeCell ref="A39:E39"/>
    <mergeCell ref="F39:S39"/>
    <mergeCell ref="T39:AY39"/>
    <mergeCell ref="AZ39:BE39"/>
    <mergeCell ref="BF39:BI39"/>
  </mergeCells>
  <phoneticPr fontId="1"/>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A2DDC-30B7-41FE-8400-75AC68183F70}">
  <dimension ref="B2:BG12"/>
  <sheetViews>
    <sheetView showGridLines="0" zoomScale="80" zoomScaleNormal="80" workbookViewId="0"/>
  </sheetViews>
  <sheetFormatPr defaultColWidth="2.21875" defaultRowHeight="15" customHeight="1"/>
  <sheetData>
    <row r="2" spans="2:59" ht="15" customHeight="1">
      <c r="B2" s="158" t="s">
        <v>30</v>
      </c>
      <c r="C2" s="158"/>
      <c r="D2" s="158"/>
      <c r="E2" s="158"/>
      <c r="F2" s="158"/>
      <c r="G2" s="161" t="str">
        <f>表紙!V6</f>
        <v>会計システム刷新プロジェクト</v>
      </c>
      <c r="H2" s="161"/>
      <c r="I2" s="161"/>
      <c r="J2" s="161"/>
      <c r="K2" s="161"/>
      <c r="L2" s="161"/>
      <c r="M2" s="161"/>
      <c r="N2" s="161"/>
      <c r="O2" s="161"/>
      <c r="P2" s="161"/>
      <c r="Q2" s="161"/>
      <c r="R2" s="161"/>
      <c r="S2" s="161"/>
      <c r="T2" s="161"/>
      <c r="U2" s="162" t="s">
        <v>31</v>
      </c>
      <c r="V2" s="163"/>
      <c r="W2" s="163"/>
      <c r="X2" s="163"/>
      <c r="Y2" s="163"/>
      <c r="Z2" s="163"/>
      <c r="AA2" s="163"/>
      <c r="AB2" s="163"/>
      <c r="AC2" s="163"/>
      <c r="AD2" s="163"/>
      <c r="AE2" s="163"/>
      <c r="AF2" s="163"/>
      <c r="AG2" s="163"/>
      <c r="AH2" s="163"/>
      <c r="AI2" s="163"/>
      <c r="AJ2" s="163"/>
      <c r="AK2" s="163"/>
      <c r="AL2" s="163"/>
      <c r="AM2" s="163"/>
      <c r="AN2" s="163"/>
      <c r="AO2" s="163"/>
      <c r="AP2" s="163"/>
      <c r="AQ2" s="163"/>
      <c r="AR2" s="164"/>
      <c r="AS2" s="165" t="s">
        <v>9</v>
      </c>
      <c r="AT2" s="165"/>
      <c r="AU2" s="165"/>
      <c r="AV2" s="165"/>
      <c r="AW2" s="165"/>
      <c r="AX2" s="165"/>
      <c r="AY2" s="165"/>
      <c r="AZ2" s="165"/>
      <c r="BA2" s="165" t="s">
        <v>10</v>
      </c>
      <c r="BB2" s="165"/>
      <c r="BC2" s="165"/>
      <c r="BD2" s="165"/>
      <c r="BE2" s="165"/>
      <c r="BF2" s="165"/>
      <c r="BG2" s="165"/>
    </row>
    <row r="3" spans="2:59" ht="15" customHeight="1">
      <c r="B3" s="158" t="s">
        <v>32</v>
      </c>
      <c r="C3" s="158"/>
      <c r="D3" s="158"/>
      <c r="E3" s="158"/>
      <c r="F3" s="158"/>
      <c r="G3" s="161" t="str">
        <f>表紙!V10</f>
        <v>非機能要件定義書_データ容量・パフォーマンス</v>
      </c>
      <c r="H3" s="161"/>
      <c r="I3" s="161"/>
      <c r="J3" s="161"/>
      <c r="K3" s="161"/>
      <c r="L3" s="161"/>
      <c r="M3" s="161"/>
      <c r="N3" s="161"/>
      <c r="O3" s="161"/>
      <c r="P3" s="161"/>
      <c r="Q3" s="161"/>
      <c r="R3" s="161"/>
      <c r="S3" s="161"/>
      <c r="T3" s="161"/>
      <c r="U3" s="167" t="s">
        <v>33</v>
      </c>
      <c r="V3" s="168"/>
      <c r="W3" s="168"/>
      <c r="X3" s="168"/>
      <c r="Y3" s="168"/>
      <c r="Z3" s="168"/>
      <c r="AA3" s="168"/>
      <c r="AB3" s="168"/>
      <c r="AC3" s="168"/>
      <c r="AD3" s="168"/>
      <c r="AE3" s="168"/>
      <c r="AF3" s="168"/>
      <c r="AG3" s="168"/>
      <c r="AH3" s="168"/>
      <c r="AI3" s="168"/>
      <c r="AJ3" s="168"/>
      <c r="AK3" s="168"/>
      <c r="AL3" s="168"/>
      <c r="AM3" s="168"/>
      <c r="AN3" s="168"/>
      <c r="AO3" s="168"/>
      <c r="AP3" s="168"/>
      <c r="AQ3" s="168"/>
      <c r="AR3" s="169"/>
      <c r="AS3" s="158" t="s">
        <v>14</v>
      </c>
      <c r="AT3" s="158"/>
      <c r="AU3" s="173">
        <v>45435</v>
      </c>
      <c r="AV3" s="174"/>
      <c r="AW3" s="174"/>
      <c r="AX3" s="174"/>
      <c r="AY3" s="174"/>
      <c r="AZ3" s="175"/>
      <c r="BA3" s="155" t="s">
        <v>34</v>
      </c>
      <c r="BB3" s="156"/>
      <c r="BC3" s="156"/>
      <c r="BD3" s="156"/>
      <c r="BE3" s="156"/>
      <c r="BF3" s="156"/>
      <c r="BG3" s="157"/>
    </row>
    <row r="4" spans="2:59" ht="15" customHeight="1">
      <c r="B4" s="158"/>
      <c r="C4" s="158"/>
      <c r="D4" s="158"/>
      <c r="E4" s="158"/>
      <c r="F4" s="158"/>
      <c r="G4" s="166"/>
      <c r="H4" s="166"/>
      <c r="I4" s="166"/>
      <c r="J4" s="166"/>
      <c r="K4" s="166"/>
      <c r="L4" s="166"/>
      <c r="M4" s="166"/>
      <c r="N4" s="166"/>
      <c r="O4" s="166"/>
      <c r="P4" s="166"/>
      <c r="Q4" s="166"/>
      <c r="R4" s="166"/>
      <c r="S4" s="166"/>
      <c r="T4" s="166"/>
      <c r="U4" s="170"/>
      <c r="V4" s="171"/>
      <c r="W4" s="171"/>
      <c r="X4" s="171"/>
      <c r="Y4" s="171"/>
      <c r="Z4" s="171"/>
      <c r="AA4" s="171"/>
      <c r="AB4" s="171"/>
      <c r="AC4" s="171"/>
      <c r="AD4" s="171"/>
      <c r="AE4" s="171"/>
      <c r="AF4" s="171"/>
      <c r="AG4" s="171"/>
      <c r="AH4" s="171"/>
      <c r="AI4" s="171"/>
      <c r="AJ4" s="171"/>
      <c r="AK4" s="171"/>
      <c r="AL4" s="171"/>
      <c r="AM4" s="171"/>
      <c r="AN4" s="171"/>
      <c r="AO4" s="171"/>
      <c r="AP4" s="171"/>
      <c r="AQ4" s="171"/>
      <c r="AR4" s="172"/>
      <c r="AS4" s="158" t="s">
        <v>15</v>
      </c>
      <c r="AT4" s="158"/>
      <c r="AU4" s="159"/>
      <c r="AV4" s="159"/>
      <c r="AW4" s="159"/>
      <c r="AX4" s="159"/>
      <c r="AY4" s="159"/>
      <c r="AZ4" s="159"/>
      <c r="BA4" s="160"/>
      <c r="BB4" s="160"/>
      <c r="BC4" s="160"/>
      <c r="BD4" s="160"/>
      <c r="BE4" s="160"/>
      <c r="BF4" s="160"/>
      <c r="BG4" s="160"/>
    </row>
    <row r="6" spans="2:59" ht="15" customHeight="1">
      <c r="B6" s="21" t="s">
        <v>35</v>
      </c>
      <c r="C6" s="21" t="s">
        <v>36</v>
      </c>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row>
    <row r="7" spans="2:59" ht="15" customHeight="1">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row>
    <row r="8" spans="2:59" ht="15" customHeight="1">
      <c r="C8" t="s">
        <v>37</v>
      </c>
    </row>
    <row r="9" spans="2:59" ht="15" customHeight="1">
      <c r="C9" t="s">
        <v>38</v>
      </c>
    </row>
    <row r="11" spans="2:59" ht="15" customHeight="1">
      <c r="C11" t="s">
        <v>39</v>
      </c>
    </row>
    <row r="12" spans="2:59" ht="15" customHeight="1">
      <c r="C12" s="29"/>
      <c r="D12" s="29" t="s">
        <v>40</v>
      </c>
    </row>
  </sheetData>
  <mergeCells count="14">
    <mergeCell ref="BA3:BG3"/>
    <mergeCell ref="AS4:AT4"/>
    <mergeCell ref="AU4:AZ4"/>
    <mergeCell ref="BA4:BG4"/>
    <mergeCell ref="B2:F2"/>
    <mergeCell ref="G2:T2"/>
    <mergeCell ref="U2:AR2"/>
    <mergeCell ref="AS2:AZ2"/>
    <mergeCell ref="BA2:BG2"/>
    <mergeCell ref="B3:F4"/>
    <mergeCell ref="G3:T4"/>
    <mergeCell ref="U3:AR4"/>
    <mergeCell ref="AS3:AT3"/>
    <mergeCell ref="AU3:AZ3"/>
  </mergeCells>
  <phoneticPr fontId="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2440-C087-4F02-B98B-BFFFF876E57A}">
  <dimension ref="A2:CR63"/>
  <sheetViews>
    <sheetView showGridLines="0" topLeftCell="A31" zoomScale="80" zoomScaleNormal="80" workbookViewId="0">
      <selection activeCell="BL55" sqref="BL55"/>
    </sheetView>
  </sheetViews>
  <sheetFormatPr defaultColWidth="2.21875" defaultRowHeight="15" customHeight="1"/>
  <cols>
    <col min="1" max="16384" width="2.21875" style="21"/>
  </cols>
  <sheetData>
    <row r="2" spans="2:59" ht="15" customHeight="1">
      <c r="B2" s="188" t="s">
        <v>30</v>
      </c>
      <c r="C2" s="188"/>
      <c r="D2" s="188"/>
      <c r="E2" s="188"/>
      <c r="F2" s="188"/>
      <c r="G2" s="196" t="str">
        <f>表紙!V6</f>
        <v>会計システム刷新プロジェクト</v>
      </c>
      <c r="H2" s="196"/>
      <c r="I2" s="196"/>
      <c r="J2" s="196"/>
      <c r="K2" s="196"/>
      <c r="L2" s="196"/>
      <c r="M2" s="196"/>
      <c r="N2" s="196"/>
      <c r="O2" s="196"/>
      <c r="P2" s="196"/>
      <c r="Q2" s="196"/>
      <c r="R2" s="196"/>
      <c r="S2" s="196"/>
      <c r="T2" s="196"/>
      <c r="U2" s="197" t="s">
        <v>31</v>
      </c>
      <c r="V2" s="198"/>
      <c r="W2" s="198"/>
      <c r="X2" s="198"/>
      <c r="Y2" s="198"/>
      <c r="Z2" s="198"/>
      <c r="AA2" s="198"/>
      <c r="AB2" s="198"/>
      <c r="AC2" s="198"/>
      <c r="AD2" s="198"/>
      <c r="AE2" s="198"/>
      <c r="AF2" s="198"/>
      <c r="AG2" s="198"/>
      <c r="AH2" s="198"/>
      <c r="AI2" s="198"/>
      <c r="AJ2" s="198"/>
      <c r="AK2" s="198"/>
      <c r="AL2" s="198"/>
      <c r="AM2" s="198"/>
      <c r="AN2" s="198"/>
      <c r="AO2" s="198"/>
      <c r="AP2" s="198"/>
      <c r="AQ2" s="198"/>
      <c r="AR2" s="199"/>
      <c r="AS2" s="200" t="s">
        <v>9</v>
      </c>
      <c r="AT2" s="200"/>
      <c r="AU2" s="200"/>
      <c r="AV2" s="200"/>
      <c r="AW2" s="200"/>
      <c r="AX2" s="200"/>
      <c r="AY2" s="200"/>
      <c r="AZ2" s="200"/>
      <c r="BA2" s="200" t="s">
        <v>10</v>
      </c>
      <c r="BB2" s="200"/>
      <c r="BC2" s="200"/>
      <c r="BD2" s="200"/>
      <c r="BE2" s="200"/>
      <c r="BF2" s="200"/>
      <c r="BG2" s="200"/>
    </row>
    <row r="3" spans="2:59" ht="15" customHeight="1">
      <c r="B3" s="188" t="s">
        <v>32</v>
      </c>
      <c r="C3" s="188"/>
      <c r="D3" s="188"/>
      <c r="E3" s="188"/>
      <c r="F3" s="188"/>
      <c r="G3" s="196" t="str">
        <f>表紙!V10</f>
        <v>非機能要件定義書_データ容量・パフォーマンス</v>
      </c>
      <c r="H3" s="196"/>
      <c r="I3" s="196"/>
      <c r="J3" s="196"/>
      <c r="K3" s="196"/>
      <c r="L3" s="196"/>
      <c r="M3" s="196"/>
      <c r="N3" s="196"/>
      <c r="O3" s="196"/>
      <c r="P3" s="196"/>
      <c r="Q3" s="196"/>
      <c r="R3" s="196"/>
      <c r="S3" s="196"/>
      <c r="T3" s="196"/>
      <c r="U3" s="202" t="s">
        <v>33</v>
      </c>
      <c r="V3" s="203"/>
      <c r="W3" s="203"/>
      <c r="X3" s="203"/>
      <c r="Y3" s="203"/>
      <c r="Z3" s="203"/>
      <c r="AA3" s="203"/>
      <c r="AB3" s="203"/>
      <c r="AC3" s="203"/>
      <c r="AD3" s="203"/>
      <c r="AE3" s="203"/>
      <c r="AF3" s="203"/>
      <c r="AG3" s="203"/>
      <c r="AH3" s="203"/>
      <c r="AI3" s="203"/>
      <c r="AJ3" s="203"/>
      <c r="AK3" s="203"/>
      <c r="AL3" s="203"/>
      <c r="AM3" s="203"/>
      <c r="AN3" s="203"/>
      <c r="AO3" s="203"/>
      <c r="AP3" s="203"/>
      <c r="AQ3" s="203"/>
      <c r="AR3" s="204"/>
      <c r="AS3" s="188" t="s">
        <v>14</v>
      </c>
      <c r="AT3" s="188"/>
      <c r="AU3" s="173">
        <v>45435</v>
      </c>
      <c r="AV3" s="174"/>
      <c r="AW3" s="174"/>
      <c r="AX3" s="174"/>
      <c r="AY3" s="174"/>
      <c r="AZ3" s="175"/>
      <c r="BA3" s="155" t="s">
        <v>34</v>
      </c>
      <c r="BB3" s="156"/>
      <c r="BC3" s="156"/>
      <c r="BD3" s="156"/>
      <c r="BE3" s="156"/>
      <c r="BF3" s="156"/>
      <c r="BG3" s="157"/>
    </row>
    <row r="4" spans="2:59" ht="15" customHeight="1">
      <c r="B4" s="188"/>
      <c r="C4" s="188"/>
      <c r="D4" s="188"/>
      <c r="E4" s="188"/>
      <c r="F4" s="188"/>
      <c r="G4" s="201"/>
      <c r="H4" s="201"/>
      <c r="I4" s="201"/>
      <c r="J4" s="201"/>
      <c r="K4" s="201"/>
      <c r="L4" s="201"/>
      <c r="M4" s="201"/>
      <c r="N4" s="201"/>
      <c r="O4" s="201"/>
      <c r="P4" s="201"/>
      <c r="Q4" s="201"/>
      <c r="R4" s="201"/>
      <c r="S4" s="201"/>
      <c r="T4" s="201"/>
      <c r="U4" s="205"/>
      <c r="V4" s="206"/>
      <c r="W4" s="206"/>
      <c r="X4" s="206"/>
      <c r="Y4" s="206"/>
      <c r="Z4" s="206"/>
      <c r="AA4" s="206"/>
      <c r="AB4" s="206"/>
      <c r="AC4" s="206"/>
      <c r="AD4" s="206"/>
      <c r="AE4" s="206"/>
      <c r="AF4" s="206"/>
      <c r="AG4" s="206"/>
      <c r="AH4" s="206"/>
      <c r="AI4" s="206"/>
      <c r="AJ4" s="206"/>
      <c r="AK4" s="206"/>
      <c r="AL4" s="206"/>
      <c r="AM4" s="206"/>
      <c r="AN4" s="206"/>
      <c r="AO4" s="206"/>
      <c r="AP4" s="206"/>
      <c r="AQ4" s="206"/>
      <c r="AR4" s="207"/>
      <c r="AS4" s="188" t="s">
        <v>15</v>
      </c>
      <c r="AT4" s="188"/>
      <c r="AU4" s="189">
        <v>45632</v>
      </c>
      <c r="AV4" s="189"/>
      <c r="AW4" s="189"/>
      <c r="AX4" s="189"/>
      <c r="AY4" s="189"/>
      <c r="AZ4" s="189"/>
      <c r="BA4" s="190" t="s">
        <v>28</v>
      </c>
      <c r="BB4" s="190"/>
      <c r="BC4" s="190"/>
      <c r="BD4" s="190"/>
      <c r="BE4" s="190"/>
      <c r="BF4" s="190"/>
      <c r="BG4" s="190"/>
    </row>
    <row r="6" spans="2:59" ht="15" customHeight="1">
      <c r="B6" s="21" t="s">
        <v>35</v>
      </c>
      <c r="C6" s="21" t="s">
        <v>41</v>
      </c>
    </row>
    <row r="7" spans="2:59" ht="15" customHeight="1">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row>
    <row r="8" spans="2:59" customFormat="1">
      <c r="B8" t="s">
        <v>42</v>
      </c>
    </row>
    <row r="9" spans="2:59" customFormat="1"/>
    <row r="10" spans="2:59" customFormat="1">
      <c r="C10" t="s">
        <v>43</v>
      </c>
    </row>
    <row r="11" spans="2:59" customFormat="1">
      <c r="C11" t="s">
        <v>44</v>
      </c>
    </row>
    <row r="12" spans="2:59" customFormat="1">
      <c r="C12" t="s">
        <v>45</v>
      </c>
    </row>
    <row r="13" spans="2:59" customFormat="1"/>
    <row r="14" spans="2:59" customFormat="1">
      <c r="C14" t="s">
        <v>46</v>
      </c>
    </row>
    <row r="15" spans="2:59" customFormat="1">
      <c r="C15" t="s">
        <v>47</v>
      </c>
    </row>
    <row r="16" spans="2:59" customFormat="1"/>
    <row r="17" spans="1:47" customFormat="1">
      <c r="D17" s="184"/>
      <c r="E17" s="184"/>
      <c r="F17" s="184"/>
      <c r="G17" s="185" t="s">
        <v>48</v>
      </c>
      <c r="H17" s="186"/>
      <c r="I17" s="186"/>
      <c r="J17" s="186"/>
      <c r="K17" s="186"/>
      <c r="L17" s="186"/>
      <c r="M17" s="186"/>
      <c r="N17" s="186"/>
      <c r="O17" s="186"/>
      <c r="P17" s="187"/>
      <c r="Q17" s="185" t="s">
        <v>49</v>
      </c>
      <c r="R17" s="186"/>
      <c r="S17" s="186"/>
      <c r="T17" s="186"/>
      <c r="U17" s="186"/>
      <c r="V17" s="186"/>
      <c r="W17" s="186"/>
      <c r="X17" s="186"/>
      <c r="Y17" s="186"/>
      <c r="Z17" s="186"/>
      <c r="AA17" s="186"/>
      <c r="AB17" s="186"/>
      <c r="AC17" s="186"/>
      <c r="AD17" s="186"/>
      <c r="AE17" s="186"/>
      <c r="AF17" s="186"/>
      <c r="AG17" s="186"/>
      <c r="AH17" s="186"/>
      <c r="AI17" s="186"/>
      <c r="AJ17" s="186"/>
      <c r="AK17" s="186"/>
      <c r="AL17" s="186"/>
      <c r="AM17" s="186"/>
      <c r="AN17" s="186"/>
      <c r="AO17" s="186"/>
      <c r="AP17" s="186"/>
      <c r="AQ17" s="186"/>
      <c r="AR17" s="186"/>
      <c r="AS17" s="186"/>
      <c r="AT17" s="186"/>
      <c r="AU17" s="187"/>
    </row>
    <row r="18" spans="1:47" customFormat="1">
      <c r="D18" s="191" t="s">
        <v>50</v>
      </c>
      <c r="E18" s="191"/>
      <c r="F18" s="191"/>
      <c r="G18" s="192" t="s">
        <v>51</v>
      </c>
      <c r="H18" s="193" t="s">
        <v>51</v>
      </c>
      <c r="I18" s="193" t="s">
        <v>51</v>
      </c>
      <c r="J18" s="193" t="s">
        <v>51</v>
      </c>
      <c r="K18" s="193" t="s">
        <v>51</v>
      </c>
      <c r="L18" s="193" t="s">
        <v>51</v>
      </c>
      <c r="M18" s="193" t="s">
        <v>51</v>
      </c>
      <c r="N18" s="193" t="s">
        <v>51</v>
      </c>
      <c r="O18" s="193" t="s">
        <v>51</v>
      </c>
      <c r="P18" s="194" t="s">
        <v>51</v>
      </c>
      <c r="Q18" s="195" t="s">
        <v>52</v>
      </c>
      <c r="R18" s="195"/>
      <c r="S18" s="195"/>
      <c r="T18" s="195"/>
      <c r="U18" s="195"/>
      <c r="V18" s="195"/>
      <c r="W18" s="195"/>
      <c r="X18" s="195"/>
      <c r="Y18" s="195"/>
      <c r="Z18" s="195"/>
      <c r="AA18" s="195"/>
      <c r="AB18" s="195"/>
      <c r="AC18" s="195"/>
      <c r="AD18" s="195"/>
      <c r="AE18" s="195"/>
      <c r="AF18" s="195"/>
      <c r="AG18" s="195"/>
      <c r="AH18" s="195"/>
      <c r="AI18" s="195"/>
      <c r="AJ18" s="195"/>
      <c r="AK18" s="195"/>
      <c r="AL18" s="195"/>
      <c r="AM18" s="195"/>
      <c r="AN18" s="195"/>
      <c r="AO18" s="195"/>
      <c r="AP18" s="195"/>
      <c r="AQ18" s="195"/>
      <c r="AR18" s="195"/>
      <c r="AS18" s="195"/>
      <c r="AT18" s="195"/>
      <c r="AU18" s="195"/>
    </row>
    <row r="19" spans="1:47" customFormat="1">
      <c r="D19" s="208" t="s">
        <v>53</v>
      </c>
      <c r="E19" s="209"/>
      <c r="F19" s="210"/>
      <c r="G19" s="192" t="s">
        <v>54</v>
      </c>
      <c r="H19" s="193" t="s">
        <v>54</v>
      </c>
      <c r="I19" s="193" t="s">
        <v>54</v>
      </c>
      <c r="J19" s="193" t="s">
        <v>54</v>
      </c>
      <c r="K19" s="193" t="s">
        <v>54</v>
      </c>
      <c r="L19" s="193" t="s">
        <v>54</v>
      </c>
      <c r="M19" s="193" t="s">
        <v>54</v>
      </c>
      <c r="N19" s="193" t="s">
        <v>54</v>
      </c>
      <c r="O19" s="193" t="s">
        <v>54</v>
      </c>
      <c r="P19" s="194" t="s">
        <v>54</v>
      </c>
      <c r="Q19" s="195" t="s">
        <v>55</v>
      </c>
      <c r="R19" s="195" t="s">
        <v>56</v>
      </c>
      <c r="S19" s="195" t="s">
        <v>56</v>
      </c>
      <c r="T19" s="195" t="s">
        <v>56</v>
      </c>
      <c r="U19" s="195" t="s">
        <v>56</v>
      </c>
      <c r="V19" s="195" t="s">
        <v>56</v>
      </c>
      <c r="W19" s="195" t="s">
        <v>56</v>
      </c>
      <c r="X19" s="195" t="s">
        <v>56</v>
      </c>
      <c r="Y19" s="195" t="s">
        <v>56</v>
      </c>
      <c r="Z19" s="195" t="s">
        <v>56</v>
      </c>
      <c r="AA19" s="195" t="s">
        <v>56</v>
      </c>
      <c r="AB19" s="195" t="s">
        <v>56</v>
      </c>
      <c r="AC19" s="195" t="s">
        <v>56</v>
      </c>
      <c r="AD19" s="195" t="s">
        <v>56</v>
      </c>
      <c r="AE19" s="195" t="s">
        <v>56</v>
      </c>
      <c r="AF19" s="195" t="s">
        <v>56</v>
      </c>
      <c r="AG19" s="195" t="s">
        <v>56</v>
      </c>
      <c r="AH19" s="195" t="s">
        <v>56</v>
      </c>
      <c r="AI19" s="195" t="s">
        <v>56</v>
      </c>
      <c r="AJ19" s="195" t="s">
        <v>56</v>
      </c>
      <c r="AK19" s="195" t="s">
        <v>56</v>
      </c>
      <c r="AL19" s="195" t="s">
        <v>56</v>
      </c>
      <c r="AM19" s="195" t="s">
        <v>56</v>
      </c>
      <c r="AN19" s="195" t="s">
        <v>56</v>
      </c>
      <c r="AO19" s="195" t="s">
        <v>56</v>
      </c>
      <c r="AP19" s="195" t="s">
        <v>56</v>
      </c>
      <c r="AQ19" s="195" t="s">
        <v>56</v>
      </c>
      <c r="AR19" s="195" t="s">
        <v>56</v>
      </c>
      <c r="AS19" s="195" t="s">
        <v>56</v>
      </c>
      <c r="AT19" s="195" t="s">
        <v>56</v>
      </c>
      <c r="AU19" s="195" t="s">
        <v>56</v>
      </c>
    </row>
    <row r="20" spans="1:47" customFormat="1">
      <c r="D20" s="191" t="s">
        <v>57</v>
      </c>
      <c r="E20" s="191"/>
      <c r="F20" s="191"/>
      <c r="G20" s="192" t="s">
        <v>58</v>
      </c>
      <c r="H20" s="193" t="s">
        <v>58</v>
      </c>
      <c r="I20" s="193" t="s">
        <v>58</v>
      </c>
      <c r="J20" s="193" t="s">
        <v>58</v>
      </c>
      <c r="K20" s="193" t="s">
        <v>58</v>
      </c>
      <c r="L20" s="193" t="s">
        <v>58</v>
      </c>
      <c r="M20" s="193" t="s">
        <v>58</v>
      </c>
      <c r="N20" s="193" t="s">
        <v>58</v>
      </c>
      <c r="O20" s="193" t="s">
        <v>58</v>
      </c>
      <c r="P20" s="194" t="s">
        <v>58</v>
      </c>
      <c r="Q20" s="195" t="s">
        <v>59</v>
      </c>
      <c r="R20" s="195" t="s">
        <v>60</v>
      </c>
      <c r="S20" s="195" t="s">
        <v>60</v>
      </c>
      <c r="T20" s="195" t="s">
        <v>60</v>
      </c>
      <c r="U20" s="195" t="s">
        <v>60</v>
      </c>
      <c r="V20" s="195" t="s">
        <v>60</v>
      </c>
      <c r="W20" s="195" t="s">
        <v>60</v>
      </c>
      <c r="X20" s="195" t="s">
        <v>60</v>
      </c>
      <c r="Y20" s="195" t="s">
        <v>60</v>
      </c>
      <c r="Z20" s="195" t="s">
        <v>60</v>
      </c>
      <c r="AA20" s="195" t="s">
        <v>60</v>
      </c>
      <c r="AB20" s="195" t="s">
        <v>60</v>
      </c>
      <c r="AC20" s="195" t="s">
        <v>60</v>
      </c>
      <c r="AD20" s="195" t="s">
        <v>60</v>
      </c>
      <c r="AE20" s="195" t="s">
        <v>60</v>
      </c>
      <c r="AF20" s="195" t="s">
        <v>60</v>
      </c>
      <c r="AG20" s="195" t="s">
        <v>60</v>
      </c>
      <c r="AH20" s="195" t="s">
        <v>60</v>
      </c>
      <c r="AI20" s="195" t="s">
        <v>60</v>
      </c>
      <c r="AJ20" s="195" t="s">
        <v>60</v>
      </c>
      <c r="AK20" s="195" t="s">
        <v>60</v>
      </c>
      <c r="AL20" s="195" t="s">
        <v>60</v>
      </c>
      <c r="AM20" s="195" t="s">
        <v>60</v>
      </c>
      <c r="AN20" s="195" t="s">
        <v>60</v>
      </c>
      <c r="AO20" s="195" t="s">
        <v>60</v>
      </c>
      <c r="AP20" s="195" t="s">
        <v>60</v>
      </c>
      <c r="AQ20" s="195" t="s">
        <v>60</v>
      </c>
      <c r="AR20" s="195" t="s">
        <v>60</v>
      </c>
      <c r="AS20" s="195" t="s">
        <v>60</v>
      </c>
      <c r="AT20" s="195" t="s">
        <v>60</v>
      </c>
      <c r="AU20" s="195" t="s">
        <v>60</v>
      </c>
    </row>
    <row r="21" spans="1:47" customFormat="1">
      <c r="D21" s="191" t="s">
        <v>61</v>
      </c>
      <c r="E21" s="191"/>
      <c r="F21" s="191"/>
      <c r="G21" s="192" t="s">
        <v>62</v>
      </c>
      <c r="H21" s="193" t="s">
        <v>62</v>
      </c>
      <c r="I21" s="193" t="s">
        <v>62</v>
      </c>
      <c r="J21" s="193" t="s">
        <v>62</v>
      </c>
      <c r="K21" s="193" t="s">
        <v>62</v>
      </c>
      <c r="L21" s="193" t="s">
        <v>62</v>
      </c>
      <c r="M21" s="193" t="s">
        <v>62</v>
      </c>
      <c r="N21" s="193" t="s">
        <v>62</v>
      </c>
      <c r="O21" s="193" t="s">
        <v>62</v>
      </c>
      <c r="P21" s="194" t="s">
        <v>62</v>
      </c>
      <c r="Q21" s="195"/>
      <c r="R21" s="195"/>
      <c r="S21" s="195"/>
      <c r="T21" s="195"/>
      <c r="U21" s="195"/>
      <c r="V21" s="195"/>
      <c r="W21" s="195"/>
      <c r="X21" s="195"/>
      <c r="Y21" s="195"/>
      <c r="Z21" s="195"/>
      <c r="AA21" s="195"/>
      <c r="AB21" s="195"/>
      <c r="AC21" s="195"/>
      <c r="AD21" s="195"/>
      <c r="AE21" s="195"/>
      <c r="AF21" s="195"/>
      <c r="AG21" s="195"/>
      <c r="AH21" s="195"/>
      <c r="AI21" s="195"/>
      <c r="AJ21" s="195"/>
      <c r="AK21" s="195"/>
      <c r="AL21" s="195"/>
      <c r="AM21" s="195"/>
      <c r="AN21" s="195"/>
      <c r="AO21" s="195"/>
      <c r="AP21" s="195"/>
      <c r="AQ21" s="195"/>
      <c r="AR21" s="195"/>
      <c r="AS21" s="195"/>
      <c r="AT21" s="195"/>
      <c r="AU21" s="195"/>
    </row>
    <row r="22" spans="1:47" customFormat="1">
      <c r="D22" s="191" t="s">
        <v>63</v>
      </c>
      <c r="E22" s="191"/>
      <c r="F22" s="191"/>
      <c r="G22" s="192" t="s">
        <v>64</v>
      </c>
      <c r="H22" s="193" t="s">
        <v>64</v>
      </c>
      <c r="I22" s="193" t="s">
        <v>64</v>
      </c>
      <c r="J22" s="193" t="s">
        <v>64</v>
      </c>
      <c r="K22" s="193" t="s">
        <v>64</v>
      </c>
      <c r="L22" s="193" t="s">
        <v>64</v>
      </c>
      <c r="M22" s="193" t="s">
        <v>64</v>
      </c>
      <c r="N22" s="193" t="s">
        <v>64</v>
      </c>
      <c r="O22" s="193" t="s">
        <v>64</v>
      </c>
      <c r="P22" s="194" t="s">
        <v>64</v>
      </c>
      <c r="Q22" s="195"/>
      <c r="R22" s="195"/>
      <c r="S22" s="195"/>
      <c r="T22" s="195"/>
      <c r="U22" s="195"/>
      <c r="V22" s="195"/>
      <c r="W22" s="195"/>
      <c r="X22" s="195"/>
      <c r="Y22" s="195"/>
      <c r="Z22" s="195"/>
      <c r="AA22" s="195"/>
      <c r="AB22" s="195"/>
      <c r="AC22" s="195"/>
      <c r="AD22" s="195"/>
      <c r="AE22" s="195"/>
      <c r="AF22" s="195"/>
      <c r="AG22" s="195"/>
      <c r="AH22" s="195"/>
      <c r="AI22" s="195"/>
      <c r="AJ22" s="195"/>
      <c r="AK22" s="195"/>
      <c r="AL22" s="195"/>
      <c r="AM22" s="195"/>
      <c r="AN22" s="195"/>
      <c r="AO22" s="195"/>
      <c r="AP22" s="195"/>
      <c r="AQ22" s="195"/>
      <c r="AR22" s="195"/>
      <c r="AS22" s="195"/>
      <c r="AT22" s="195"/>
      <c r="AU22" s="195"/>
    </row>
    <row r="23" spans="1:47" customFormat="1"/>
    <row r="24" spans="1:47" customFormat="1">
      <c r="C24" t="s">
        <v>65</v>
      </c>
    </row>
    <row r="25" spans="1:47" customFormat="1">
      <c r="C25" t="s">
        <v>66</v>
      </c>
    </row>
    <row r="26" spans="1:47" customFormat="1">
      <c r="C26" t="s">
        <v>67</v>
      </c>
    </row>
    <row r="27" spans="1:47" customFormat="1">
      <c r="C27" t="s">
        <v>68</v>
      </c>
    </row>
    <row r="28" spans="1:47" customFormat="1">
      <c r="C28" t="s">
        <v>69</v>
      </c>
    </row>
    <row r="29" spans="1:47" customFormat="1">
      <c r="C29" t="s">
        <v>70</v>
      </c>
    </row>
    <row r="30" spans="1:47" customFormat="1"/>
    <row r="31" spans="1:47" customFormat="1">
      <c r="A31" s="21"/>
      <c r="B31" t="s">
        <v>71</v>
      </c>
      <c r="AI31" s="32" t="s">
        <v>72</v>
      </c>
    </row>
    <row r="32" spans="1:47" customFormat="1"/>
    <row r="33" spans="3:96" customFormat="1">
      <c r="C33" t="s">
        <v>73</v>
      </c>
      <c r="AI33" s="195" t="s">
        <v>74</v>
      </c>
      <c r="AJ33" s="195"/>
      <c r="AK33" s="195"/>
      <c r="AL33" s="195"/>
      <c r="AM33" s="195"/>
      <c r="AN33" s="195"/>
      <c r="AO33" s="195"/>
      <c r="AP33" s="195"/>
      <c r="AQ33" s="195"/>
      <c r="AR33" s="195"/>
      <c r="AS33" s="195"/>
      <c r="AT33" s="195"/>
      <c r="AU33" s="195"/>
      <c r="AV33" s="195"/>
      <c r="AW33" s="195"/>
      <c r="AX33" s="195"/>
      <c r="AY33" s="195"/>
      <c r="AZ33" s="195"/>
      <c r="BA33" s="195"/>
      <c r="BB33" s="195"/>
      <c r="BC33" s="195"/>
      <c r="BD33" s="195"/>
      <c r="BE33" s="195"/>
      <c r="BF33" s="195"/>
      <c r="BJ33" t="s">
        <v>75</v>
      </c>
    </row>
    <row r="34" spans="3:96" customFormat="1">
      <c r="D34" s="211" t="s">
        <v>76</v>
      </c>
      <c r="E34" s="212"/>
      <c r="F34" s="212"/>
      <c r="G34" s="213"/>
      <c r="H34" s="214" t="s">
        <v>77</v>
      </c>
      <c r="I34" s="214"/>
      <c r="J34" s="214"/>
      <c r="K34" s="214"/>
      <c r="L34" s="214"/>
      <c r="M34" s="214"/>
      <c r="N34" s="214"/>
      <c r="O34" s="214"/>
      <c r="P34" s="214"/>
      <c r="Q34" s="214" t="s">
        <v>78</v>
      </c>
      <c r="R34" s="214"/>
      <c r="S34" s="214"/>
      <c r="T34" s="214"/>
      <c r="U34" s="214"/>
      <c r="V34" s="214"/>
      <c r="W34" s="214"/>
      <c r="X34" s="214"/>
      <c r="Y34" s="214"/>
      <c r="Z34" s="214"/>
      <c r="AA34" s="214" t="s">
        <v>79</v>
      </c>
      <c r="AB34" s="214"/>
      <c r="AC34" s="214"/>
      <c r="AD34" s="214"/>
      <c r="AE34" s="214"/>
      <c r="AF34" s="214"/>
      <c r="AG34" s="214"/>
      <c r="AH34" s="214"/>
      <c r="AI34" s="214" t="s">
        <v>80</v>
      </c>
      <c r="AJ34" s="214"/>
      <c r="AK34" s="214"/>
      <c r="AL34" s="214"/>
      <c r="AM34" s="214"/>
      <c r="AN34" s="214"/>
      <c r="AO34" s="214" t="s">
        <v>81</v>
      </c>
      <c r="AP34" s="214"/>
      <c r="AQ34" s="214"/>
      <c r="AR34" s="214"/>
      <c r="AS34" s="214"/>
      <c r="AT34" s="214"/>
      <c r="AU34" s="214" t="s">
        <v>82</v>
      </c>
      <c r="AV34" s="214"/>
      <c r="AW34" s="214"/>
      <c r="AX34" s="214"/>
      <c r="AY34" s="214"/>
      <c r="AZ34" s="214"/>
      <c r="BA34" s="214" t="s">
        <v>83</v>
      </c>
      <c r="BB34" s="214"/>
      <c r="BC34" s="214"/>
      <c r="BD34" s="214"/>
      <c r="BE34" s="214"/>
      <c r="BF34" s="214"/>
      <c r="BJ34" s="214" t="s">
        <v>78</v>
      </c>
      <c r="BK34" s="214"/>
      <c r="BL34" s="214"/>
      <c r="BM34" s="214"/>
      <c r="BN34" s="214"/>
      <c r="BO34" s="214"/>
      <c r="BP34" s="214"/>
      <c r="BQ34" s="214"/>
      <c r="BR34" s="214"/>
      <c r="BS34" s="214"/>
      <c r="BT34" s="214" t="s">
        <v>80</v>
      </c>
      <c r="BU34" s="214"/>
      <c r="BV34" s="214"/>
      <c r="BW34" s="214"/>
      <c r="BX34" s="214"/>
      <c r="BY34" s="214"/>
      <c r="BZ34" s="214" t="s">
        <v>84</v>
      </c>
      <c r="CA34" s="214"/>
      <c r="CB34" s="214"/>
      <c r="CC34" s="214"/>
      <c r="CD34" s="214"/>
      <c r="CE34" s="214"/>
      <c r="CH34" t="s">
        <v>85</v>
      </c>
    </row>
    <row r="35" spans="3:96" customFormat="1">
      <c r="D35" s="235" t="s">
        <v>86</v>
      </c>
      <c r="E35" s="236" t="s">
        <v>87</v>
      </c>
      <c r="F35" s="236" t="s">
        <v>88</v>
      </c>
      <c r="G35" s="237">
        <v>1000</v>
      </c>
      <c r="H35" s="215" t="s">
        <v>89</v>
      </c>
      <c r="I35" s="216"/>
      <c r="J35" s="216"/>
      <c r="K35" s="216"/>
      <c r="L35" s="216"/>
      <c r="M35" s="216"/>
      <c r="N35" s="216"/>
      <c r="O35" s="216"/>
      <c r="P35" s="216"/>
      <c r="Q35" s="217" t="s">
        <v>90</v>
      </c>
      <c r="R35" s="218"/>
      <c r="S35" s="218"/>
      <c r="T35" s="218"/>
      <c r="U35" s="218"/>
      <c r="V35" s="218"/>
      <c r="W35" s="218"/>
      <c r="X35" s="218"/>
      <c r="Y35" s="218"/>
      <c r="Z35" s="219"/>
      <c r="AA35" s="298"/>
      <c r="AB35" s="298"/>
      <c r="AC35" s="298"/>
      <c r="AD35" s="298"/>
      <c r="AE35" s="298"/>
      <c r="AF35" s="298"/>
      <c r="AG35" s="298"/>
      <c r="AH35" s="298"/>
      <c r="AI35" s="299">
        <f t="shared" ref="AI35:AI42" si="0">VLOOKUP(Q35,BJ:CE,11,FALSE)</f>
        <v>360000</v>
      </c>
      <c r="AJ35" s="300"/>
      <c r="AK35" s="300"/>
      <c r="AL35" s="300"/>
      <c r="AM35" s="300"/>
      <c r="AN35" s="301"/>
      <c r="AO35" s="302">
        <f>AA35*AI35</f>
        <v>0</v>
      </c>
      <c r="AP35" s="302"/>
      <c r="AQ35" s="302"/>
      <c r="AR35" s="302"/>
      <c r="AS35" s="302"/>
      <c r="AT35" s="302"/>
      <c r="AU35" s="302">
        <f t="shared" ref="AU35:AU42" si="1">VLOOKUP(Q35,BJ:CE,17,FALSE)</f>
        <v>120000</v>
      </c>
      <c r="AV35" s="302"/>
      <c r="AW35" s="302"/>
      <c r="AX35" s="302"/>
      <c r="AY35" s="302"/>
      <c r="AZ35" s="302"/>
      <c r="BA35" s="302">
        <f>AA35*AU35</f>
        <v>0</v>
      </c>
      <c r="BB35" s="302"/>
      <c r="BC35" s="302"/>
      <c r="BD35" s="302"/>
      <c r="BE35" s="302"/>
      <c r="BF35" s="302"/>
      <c r="BJ35" s="220" t="s">
        <v>90</v>
      </c>
      <c r="BK35" s="220" t="s">
        <v>91</v>
      </c>
      <c r="BL35" s="220" t="s">
        <v>91</v>
      </c>
      <c r="BM35" s="220" t="s">
        <v>91</v>
      </c>
      <c r="BN35" s="220" t="s">
        <v>91</v>
      </c>
      <c r="BO35" s="220" t="s">
        <v>91</v>
      </c>
      <c r="BP35" s="220" t="s">
        <v>91</v>
      </c>
      <c r="BQ35" s="220" t="s">
        <v>91</v>
      </c>
      <c r="BR35" s="220" t="s">
        <v>91</v>
      </c>
      <c r="BS35" s="220" t="s">
        <v>91</v>
      </c>
      <c r="BT35" s="303">
        <f>BZ35*3</f>
        <v>360000</v>
      </c>
      <c r="BU35" s="303">
        <v>4000</v>
      </c>
      <c r="BV35" s="303">
        <v>4000</v>
      </c>
      <c r="BW35" s="303">
        <v>4000</v>
      </c>
      <c r="BX35" s="303">
        <v>4000</v>
      </c>
      <c r="BY35" s="303">
        <v>4000</v>
      </c>
      <c r="BZ35" s="304">
        <v>120000</v>
      </c>
      <c r="CA35" s="304">
        <v>20000</v>
      </c>
      <c r="CB35" s="304">
        <v>20000</v>
      </c>
      <c r="CC35" s="304">
        <v>20000</v>
      </c>
      <c r="CD35" s="304">
        <v>20000</v>
      </c>
      <c r="CE35" s="304">
        <v>20000</v>
      </c>
      <c r="CI35" t="s">
        <v>90</v>
      </c>
      <c r="CM35" t="s">
        <v>92</v>
      </c>
      <c r="CO35" s="21"/>
      <c r="CQ35" t="s">
        <v>93</v>
      </c>
    </row>
    <row r="36" spans="3:96" customFormat="1">
      <c r="D36" s="235" t="s">
        <v>86</v>
      </c>
      <c r="E36" s="236" t="s">
        <v>94</v>
      </c>
      <c r="F36" s="236" t="s">
        <v>88</v>
      </c>
      <c r="G36" s="237">
        <v>1000</v>
      </c>
      <c r="H36" s="221" t="s">
        <v>95</v>
      </c>
      <c r="I36" s="221"/>
      <c r="J36" s="221"/>
      <c r="K36" s="221"/>
      <c r="L36" s="221"/>
      <c r="M36" s="221"/>
      <c r="N36" s="221"/>
      <c r="O36" s="221"/>
      <c r="P36" s="221"/>
      <c r="Q36" s="217" t="s">
        <v>96</v>
      </c>
      <c r="R36" s="218"/>
      <c r="S36" s="218"/>
      <c r="T36" s="218"/>
      <c r="U36" s="218"/>
      <c r="V36" s="218"/>
      <c r="W36" s="218"/>
      <c r="X36" s="218"/>
      <c r="Y36" s="218"/>
      <c r="Z36" s="219"/>
      <c r="AA36" s="298"/>
      <c r="AB36" s="298"/>
      <c r="AC36" s="298"/>
      <c r="AD36" s="298"/>
      <c r="AE36" s="298"/>
      <c r="AF36" s="298"/>
      <c r="AG36" s="298"/>
      <c r="AH36" s="298"/>
      <c r="AI36" s="302">
        <f t="shared" si="0"/>
        <v>30000</v>
      </c>
      <c r="AJ36" s="302"/>
      <c r="AK36" s="302"/>
      <c r="AL36" s="302"/>
      <c r="AM36" s="302"/>
      <c r="AN36" s="302"/>
      <c r="AO36" s="302">
        <f t="shared" ref="AO36:AO42" si="2">AA36*AI36</f>
        <v>0</v>
      </c>
      <c r="AP36" s="302"/>
      <c r="AQ36" s="302"/>
      <c r="AR36" s="302"/>
      <c r="AS36" s="302"/>
      <c r="AT36" s="302"/>
      <c r="AU36" s="302">
        <f t="shared" si="1"/>
        <v>10000</v>
      </c>
      <c r="AV36" s="302"/>
      <c r="AW36" s="302"/>
      <c r="AX36" s="302"/>
      <c r="AY36" s="302"/>
      <c r="AZ36" s="302"/>
      <c r="BA36" s="302">
        <f t="shared" ref="BA36:BA42" si="3">AA36*AU36</f>
        <v>0</v>
      </c>
      <c r="BB36" s="302"/>
      <c r="BC36" s="302"/>
      <c r="BD36" s="302"/>
      <c r="BE36" s="302"/>
      <c r="BF36" s="302"/>
      <c r="BJ36" s="220" t="s">
        <v>96</v>
      </c>
      <c r="BK36" s="220" t="s">
        <v>97</v>
      </c>
      <c r="BL36" s="220" t="s">
        <v>97</v>
      </c>
      <c r="BM36" s="220" t="s">
        <v>97</v>
      </c>
      <c r="BN36" s="220" t="s">
        <v>97</v>
      </c>
      <c r="BO36" s="220" t="s">
        <v>97</v>
      </c>
      <c r="BP36" s="220" t="s">
        <v>97</v>
      </c>
      <c r="BQ36" s="220" t="s">
        <v>97</v>
      </c>
      <c r="BR36" s="220" t="s">
        <v>97</v>
      </c>
      <c r="BS36" s="220" t="s">
        <v>97</v>
      </c>
      <c r="BT36" s="303">
        <f>BZ36*3</f>
        <v>30000</v>
      </c>
      <c r="BU36" s="303">
        <v>4000</v>
      </c>
      <c r="BV36" s="303">
        <v>4000</v>
      </c>
      <c r="BW36" s="303">
        <v>4000</v>
      </c>
      <c r="BX36" s="303">
        <v>4000</v>
      </c>
      <c r="BY36" s="303">
        <v>4000</v>
      </c>
      <c r="BZ36" s="304">
        <v>10000</v>
      </c>
      <c r="CA36" s="304">
        <v>20000</v>
      </c>
      <c r="CB36" s="304">
        <v>20000</v>
      </c>
      <c r="CC36" s="304">
        <v>20000</v>
      </c>
      <c r="CD36" s="304">
        <v>20000</v>
      </c>
      <c r="CE36" s="304">
        <v>20000</v>
      </c>
      <c r="CI36" t="s">
        <v>96</v>
      </c>
      <c r="CM36" t="s">
        <v>92</v>
      </c>
      <c r="CO36" s="21"/>
      <c r="CQ36" t="s">
        <v>98</v>
      </c>
    </row>
    <row r="37" spans="3:96" customFormat="1">
      <c r="D37" s="235" t="s">
        <v>86</v>
      </c>
      <c r="E37" s="236" t="s">
        <v>99</v>
      </c>
      <c r="F37" s="236" t="s">
        <v>100</v>
      </c>
      <c r="G37" s="237">
        <v>3000</v>
      </c>
      <c r="H37" s="221" t="s">
        <v>101</v>
      </c>
      <c r="I37" s="221" t="s">
        <v>102</v>
      </c>
      <c r="J37" s="221" t="s">
        <v>102</v>
      </c>
      <c r="K37" s="221" t="s">
        <v>102</v>
      </c>
      <c r="L37" s="221" t="s">
        <v>102</v>
      </c>
      <c r="M37" s="221" t="s">
        <v>102</v>
      </c>
      <c r="N37" s="221" t="s">
        <v>102</v>
      </c>
      <c r="O37" s="221" t="s">
        <v>102</v>
      </c>
      <c r="P37" s="221" t="s">
        <v>102</v>
      </c>
      <c r="Q37" s="217" t="s">
        <v>103</v>
      </c>
      <c r="R37" s="218"/>
      <c r="S37" s="218"/>
      <c r="T37" s="218"/>
      <c r="U37" s="218"/>
      <c r="V37" s="218"/>
      <c r="W37" s="218"/>
      <c r="X37" s="218"/>
      <c r="Y37" s="218"/>
      <c r="Z37" s="219"/>
      <c r="AA37" s="298"/>
      <c r="AB37" s="298"/>
      <c r="AC37" s="298"/>
      <c r="AD37" s="298"/>
      <c r="AE37" s="298"/>
      <c r="AF37" s="298"/>
      <c r="AG37" s="298"/>
      <c r="AH37" s="298"/>
      <c r="AI37" s="302">
        <f t="shared" si="0"/>
        <v>120000</v>
      </c>
      <c r="AJ37" s="302"/>
      <c r="AK37" s="302"/>
      <c r="AL37" s="302"/>
      <c r="AM37" s="302"/>
      <c r="AN37" s="302"/>
      <c r="AO37" s="302">
        <f t="shared" si="2"/>
        <v>0</v>
      </c>
      <c r="AP37" s="302"/>
      <c r="AQ37" s="302"/>
      <c r="AR37" s="302"/>
      <c r="AS37" s="302"/>
      <c r="AT37" s="302"/>
      <c r="AU37" s="302">
        <f t="shared" si="1"/>
        <v>40000</v>
      </c>
      <c r="AV37" s="302"/>
      <c r="AW37" s="302"/>
      <c r="AX37" s="302"/>
      <c r="AY37" s="302"/>
      <c r="AZ37" s="302"/>
      <c r="BA37" s="302">
        <f t="shared" si="3"/>
        <v>0</v>
      </c>
      <c r="BB37" s="302"/>
      <c r="BC37" s="302"/>
      <c r="BD37" s="302"/>
      <c r="BE37" s="302"/>
      <c r="BF37" s="302"/>
      <c r="BJ37" s="220" t="s">
        <v>103</v>
      </c>
      <c r="BK37" s="220" t="s">
        <v>104</v>
      </c>
      <c r="BL37" s="220" t="s">
        <v>104</v>
      </c>
      <c r="BM37" s="220" t="s">
        <v>104</v>
      </c>
      <c r="BN37" s="220" t="s">
        <v>104</v>
      </c>
      <c r="BO37" s="220" t="s">
        <v>104</v>
      </c>
      <c r="BP37" s="220" t="s">
        <v>104</v>
      </c>
      <c r="BQ37" s="220" t="s">
        <v>104</v>
      </c>
      <c r="BR37" s="220" t="s">
        <v>104</v>
      </c>
      <c r="BS37" s="220" t="s">
        <v>104</v>
      </c>
      <c r="BT37" s="303">
        <f t="shared" ref="BT37:BT40" si="4">BZ37*3</f>
        <v>120000</v>
      </c>
      <c r="BU37" s="303">
        <v>4000</v>
      </c>
      <c r="BV37" s="303">
        <v>4000</v>
      </c>
      <c r="BW37" s="303">
        <v>4000</v>
      </c>
      <c r="BX37" s="303">
        <v>4000</v>
      </c>
      <c r="BY37" s="303">
        <v>4000</v>
      </c>
      <c r="BZ37" s="305">
        <v>40000</v>
      </c>
      <c r="CA37" s="305">
        <v>40000</v>
      </c>
      <c r="CB37" s="305">
        <v>40000</v>
      </c>
      <c r="CC37" s="305">
        <v>40000</v>
      </c>
      <c r="CD37" s="305">
        <v>40000</v>
      </c>
      <c r="CE37" s="305">
        <v>40000</v>
      </c>
      <c r="CO37" s="21"/>
    </row>
    <row r="38" spans="3:96" customFormat="1">
      <c r="D38" s="235" t="s">
        <v>86</v>
      </c>
      <c r="E38" s="236" t="s">
        <v>102</v>
      </c>
      <c r="F38" s="236" t="s">
        <v>100</v>
      </c>
      <c r="G38" s="237">
        <v>3000</v>
      </c>
      <c r="H38" s="221" t="s">
        <v>101</v>
      </c>
      <c r="I38" s="221" t="s">
        <v>102</v>
      </c>
      <c r="J38" s="221" t="s">
        <v>102</v>
      </c>
      <c r="K38" s="221" t="s">
        <v>102</v>
      </c>
      <c r="L38" s="221" t="s">
        <v>102</v>
      </c>
      <c r="M38" s="221" t="s">
        <v>102</v>
      </c>
      <c r="N38" s="221" t="s">
        <v>102</v>
      </c>
      <c r="O38" s="221" t="s">
        <v>102</v>
      </c>
      <c r="P38" s="221" t="s">
        <v>102</v>
      </c>
      <c r="Q38" s="217" t="s">
        <v>105</v>
      </c>
      <c r="R38" s="218"/>
      <c r="S38" s="218"/>
      <c r="T38" s="218"/>
      <c r="U38" s="218"/>
      <c r="V38" s="218"/>
      <c r="W38" s="218"/>
      <c r="X38" s="218"/>
      <c r="Y38" s="218"/>
      <c r="Z38" s="219"/>
      <c r="AA38" s="298"/>
      <c r="AB38" s="298"/>
      <c r="AC38" s="298"/>
      <c r="AD38" s="298"/>
      <c r="AE38" s="298"/>
      <c r="AF38" s="298"/>
      <c r="AG38" s="298"/>
      <c r="AH38" s="298"/>
      <c r="AI38" s="302">
        <f t="shared" si="0"/>
        <v>1950000</v>
      </c>
      <c r="AJ38" s="302"/>
      <c r="AK38" s="302"/>
      <c r="AL38" s="302"/>
      <c r="AM38" s="302"/>
      <c r="AN38" s="302"/>
      <c r="AO38" s="302">
        <f t="shared" si="2"/>
        <v>0</v>
      </c>
      <c r="AP38" s="302"/>
      <c r="AQ38" s="302"/>
      <c r="AR38" s="302"/>
      <c r="AS38" s="302"/>
      <c r="AT38" s="302"/>
      <c r="AU38" s="302">
        <f t="shared" si="1"/>
        <v>650000</v>
      </c>
      <c r="AV38" s="302"/>
      <c r="AW38" s="302"/>
      <c r="AX38" s="302"/>
      <c r="AY38" s="302"/>
      <c r="AZ38" s="302"/>
      <c r="BA38" s="302">
        <f t="shared" si="3"/>
        <v>0</v>
      </c>
      <c r="BB38" s="302"/>
      <c r="BC38" s="302"/>
      <c r="BD38" s="302"/>
      <c r="BE38" s="302"/>
      <c r="BF38" s="302"/>
      <c r="BJ38" s="220" t="s">
        <v>105</v>
      </c>
      <c r="BK38" s="220" t="s">
        <v>106</v>
      </c>
      <c r="BL38" s="220" t="s">
        <v>106</v>
      </c>
      <c r="BM38" s="220" t="s">
        <v>106</v>
      </c>
      <c r="BN38" s="220" t="s">
        <v>106</v>
      </c>
      <c r="BO38" s="220" t="s">
        <v>106</v>
      </c>
      <c r="BP38" s="220" t="s">
        <v>106</v>
      </c>
      <c r="BQ38" s="220" t="s">
        <v>106</v>
      </c>
      <c r="BR38" s="220" t="s">
        <v>106</v>
      </c>
      <c r="BS38" s="220" t="s">
        <v>106</v>
      </c>
      <c r="BT38" s="303">
        <f t="shared" si="4"/>
        <v>1950000</v>
      </c>
      <c r="BU38" s="303">
        <v>4000</v>
      </c>
      <c r="BV38" s="303">
        <v>4000</v>
      </c>
      <c r="BW38" s="303">
        <v>4000</v>
      </c>
      <c r="BX38" s="303">
        <v>4000</v>
      </c>
      <c r="BY38" s="303">
        <v>4000</v>
      </c>
      <c r="BZ38" s="304">
        <v>650000</v>
      </c>
      <c r="CA38" s="304">
        <v>40000</v>
      </c>
      <c r="CB38" s="304">
        <v>40000</v>
      </c>
      <c r="CC38" s="304">
        <v>40000</v>
      </c>
      <c r="CD38" s="304">
        <v>40000</v>
      </c>
      <c r="CE38" s="304">
        <v>40000</v>
      </c>
      <c r="CI38" t="s">
        <v>107</v>
      </c>
      <c r="CM38" t="s">
        <v>92</v>
      </c>
      <c r="CO38" s="21"/>
      <c r="CQ38" t="s">
        <v>108</v>
      </c>
    </row>
    <row r="39" spans="3:96" customFormat="1">
      <c r="D39" s="235" t="s">
        <v>86</v>
      </c>
      <c r="E39" s="236" t="s">
        <v>109</v>
      </c>
      <c r="F39" s="236" t="s">
        <v>110</v>
      </c>
      <c r="G39" s="237">
        <v>4000</v>
      </c>
      <c r="H39" s="221" t="s">
        <v>111</v>
      </c>
      <c r="I39" s="221" t="s">
        <v>109</v>
      </c>
      <c r="J39" s="221" t="s">
        <v>109</v>
      </c>
      <c r="K39" s="221" t="s">
        <v>109</v>
      </c>
      <c r="L39" s="221" t="s">
        <v>109</v>
      </c>
      <c r="M39" s="221" t="s">
        <v>109</v>
      </c>
      <c r="N39" s="221" t="s">
        <v>109</v>
      </c>
      <c r="O39" s="221" t="s">
        <v>109</v>
      </c>
      <c r="P39" s="221" t="s">
        <v>109</v>
      </c>
      <c r="Q39" s="217" t="s">
        <v>112</v>
      </c>
      <c r="R39" s="218"/>
      <c r="S39" s="218"/>
      <c r="T39" s="218"/>
      <c r="U39" s="218"/>
      <c r="V39" s="218"/>
      <c r="W39" s="218"/>
      <c r="X39" s="218"/>
      <c r="Y39" s="218"/>
      <c r="Z39" s="219"/>
      <c r="AA39" s="298"/>
      <c r="AB39" s="298"/>
      <c r="AC39" s="298"/>
      <c r="AD39" s="298"/>
      <c r="AE39" s="298"/>
      <c r="AF39" s="298"/>
      <c r="AG39" s="298"/>
      <c r="AH39" s="298"/>
      <c r="AI39" s="302">
        <f t="shared" si="0"/>
        <v>0</v>
      </c>
      <c r="AJ39" s="302"/>
      <c r="AK39" s="302"/>
      <c r="AL39" s="302"/>
      <c r="AM39" s="302"/>
      <c r="AN39" s="302"/>
      <c r="AO39" s="302">
        <f t="shared" si="2"/>
        <v>0</v>
      </c>
      <c r="AP39" s="302"/>
      <c r="AQ39" s="302"/>
      <c r="AR39" s="302"/>
      <c r="AS39" s="302"/>
      <c r="AT39" s="302"/>
      <c r="AU39" s="302">
        <f t="shared" si="1"/>
        <v>0</v>
      </c>
      <c r="AV39" s="302"/>
      <c r="AW39" s="302"/>
      <c r="AX39" s="302"/>
      <c r="AY39" s="302"/>
      <c r="AZ39" s="302"/>
      <c r="BA39" s="302">
        <f t="shared" si="3"/>
        <v>0</v>
      </c>
      <c r="BB39" s="302"/>
      <c r="BC39" s="302"/>
      <c r="BD39" s="302"/>
      <c r="BE39" s="302"/>
      <c r="BF39" s="302"/>
      <c r="BJ39" s="220" t="s">
        <v>112</v>
      </c>
      <c r="BK39" s="220" t="s">
        <v>88</v>
      </c>
      <c r="BL39" s="220" t="s">
        <v>88</v>
      </c>
      <c r="BM39" s="220" t="s">
        <v>88</v>
      </c>
      <c r="BN39" s="220" t="s">
        <v>88</v>
      </c>
      <c r="BO39" s="220" t="s">
        <v>88</v>
      </c>
      <c r="BP39" s="220" t="s">
        <v>88</v>
      </c>
      <c r="BQ39" s="220" t="s">
        <v>88</v>
      </c>
      <c r="BR39" s="220" t="s">
        <v>88</v>
      </c>
      <c r="BS39" s="220" t="s">
        <v>88</v>
      </c>
      <c r="BT39" s="303">
        <f t="shared" si="4"/>
        <v>0</v>
      </c>
      <c r="BU39" s="303">
        <v>4000</v>
      </c>
      <c r="BV39" s="303">
        <v>4000</v>
      </c>
      <c r="BW39" s="303">
        <v>4000</v>
      </c>
      <c r="BX39" s="303">
        <v>4000</v>
      </c>
      <c r="BY39" s="303">
        <v>4000</v>
      </c>
      <c r="BZ39" s="304"/>
      <c r="CA39" s="304"/>
      <c r="CB39" s="304"/>
      <c r="CC39" s="304"/>
      <c r="CD39" s="304"/>
      <c r="CE39" s="304"/>
    </row>
    <row r="40" spans="3:96" customFormat="1">
      <c r="D40" s="235" t="s">
        <v>86</v>
      </c>
      <c r="E40" s="236" t="s">
        <v>109</v>
      </c>
      <c r="F40" s="236" t="s">
        <v>110</v>
      </c>
      <c r="G40" s="237">
        <v>4000</v>
      </c>
      <c r="H40" s="221" t="s">
        <v>113</v>
      </c>
      <c r="I40" s="221" t="s">
        <v>109</v>
      </c>
      <c r="J40" s="221" t="s">
        <v>109</v>
      </c>
      <c r="K40" s="221" t="s">
        <v>109</v>
      </c>
      <c r="L40" s="221" t="s">
        <v>109</v>
      </c>
      <c r="M40" s="221" t="s">
        <v>109</v>
      </c>
      <c r="N40" s="221" t="s">
        <v>109</v>
      </c>
      <c r="O40" s="221" t="s">
        <v>109</v>
      </c>
      <c r="P40" s="221" t="s">
        <v>109</v>
      </c>
      <c r="Q40" s="217" t="s">
        <v>114</v>
      </c>
      <c r="R40" s="218"/>
      <c r="S40" s="218"/>
      <c r="T40" s="218"/>
      <c r="U40" s="218"/>
      <c r="V40" s="218"/>
      <c r="W40" s="218"/>
      <c r="X40" s="218"/>
      <c r="Y40" s="218"/>
      <c r="Z40" s="219"/>
      <c r="AA40" s="298"/>
      <c r="AB40" s="298"/>
      <c r="AC40" s="298"/>
      <c r="AD40" s="298"/>
      <c r="AE40" s="298"/>
      <c r="AF40" s="298"/>
      <c r="AG40" s="298"/>
      <c r="AH40" s="298"/>
      <c r="AI40" s="302">
        <f t="shared" si="0"/>
        <v>0</v>
      </c>
      <c r="AJ40" s="302"/>
      <c r="AK40" s="302"/>
      <c r="AL40" s="302"/>
      <c r="AM40" s="302"/>
      <c r="AN40" s="302"/>
      <c r="AO40" s="302">
        <f t="shared" ref="AO40" si="5">AA40*AI40</f>
        <v>0</v>
      </c>
      <c r="AP40" s="302"/>
      <c r="AQ40" s="302"/>
      <c r="AR40" s="302"/>
      <c r="AS40" s="302"/>
      <c r="AT40" s="302"/>
      <c r="AU40" s="302">
        <f t="shared" si="1"/>
        <v>0</v>
      </c>
      <c r="AV40" s="302"/>
      <c r="AW40" s="302"/>
      <c r="AX40" s="302"/>
      <c r="AY40" s="302"/>
      <c r="AZ40" s="302"/>
      <c r="BA40" s="302">
        <f t="shared" ref="BA40" si="6">AA40*AU40</f>
        <v>0</v>
      </c>
      <c r="BB40" s="302"/>
      <c r="BC40" s="302"/>
      <c r="BD40" s="302"/>
      <c r="BE40" s="302"/>
      <c r="BF40" s="302"/>
      <c r="BJ40" s="220" t="s">
        <v>114</v>
      </c>
      <c r="BK40" s="220" t="s">
        <v>88</v>
      </c>
      <c r="BL40" s="220" t="s">
        <v>88</v>
      </c>
      <c r="BM40" s="220" t="s">
        <v>88</v>
      </c>
      <c r="BN40" s="220" t="s">
        <v>88</v>
      </c>
      <c r="BO40" s="220" t="s">
        <v>88</v>
      </c>
      <c r="BP40" s="220" t="s">
        <v>88</v>
      </c>
      <c r="BQ40" s="220" t="s">
        <v>88</v>
      </c>
      <c r="BR40" s="220" t="s">
        <v>88</v>
      </c>
      <c r="BS40" s="220" t="s">
        <v>88</v>
      </c>
      <c r="BT40" s="303">
        <f t="shared" si="4"/>
        <v>0</v>
      </c>
      <c r="BU40" s="303">
        <v>4000</v>
      </c>
      <c r="BV40" s="303">
        <v>4000</v>
      </c>
      <c r="BW40" s="303">
        <v>4000</v>
      </c>
      <c r="BX40" s="303">
        <v>4000</v>
      </c>
      <c r="BY40" s="303">
        <v>4000</v>
      </c>
      <c r="BZ40" s="304"/>
      <c r="CA40" s="304"/>
      <c r="CB40" s="304"/>
      <c r="CC40" s="304"/>
      <c r="CD40" s="304"/>
      <c r="CE40" s="304"/>
    </row>
    <row r="41" spans="3:96" customFormat="1">
      <c r="D41" s="235" t="s">
        <v>86</v>
      </c>
      <c r="E41" s="236" t="s">
        <v>115</v>
      </c>
      <c r="F41" s="236" t="s">
        <v>110</v>
      </c>
      <c r="G41" s="237">
        <v>5000</v>
      </c>
      <c r="H41" s="221" t="s">
        <v>116</v>
      </c>
      <c r="I41" s="221" t="s">
        <v>115</v>
      </c>
      <c r="J41" s="221" t="s">
        <v>115</v>
      </c>
      <c r="K41" s="221" t="s">
        <v>115</v>
      </c>
      <c r="L41" s="221" t="s">
        <v>115</v>
      </c>
      <c r="M41" s="221" t="s">
        <v>115</v>
      </c>
      <c r="N41" s="221" t="s">
        <v>115</v>
      </c>
      <c r="O41" s="221" t="s">
        <v>115</v>
      </c>
      <c r="P41" s="221" t="s">
        <v>115</v>
      </c>
      <c r="Q41" s="217" t="s">
        <v>117</v>
      </c>
      <c r="R41" s="218"/>
      <c r="S41" s="218"/>
      <c r="T41" s="218"/>
      <c r="U41" s="218"/>
      <c r="V41" s="218"/>
      <c r="W41" s="218"/>
      <c r="X41" s="218"/>
      <c r="Y41" s="218"/>
      <c r="Z41" s="219"/>
      <c r="AA41" s="298"/>
      <c r="AB41" s="298"/>
      <c r="AC41" s="298"/>
      <c r="AD41" s="298"/>
      <c r="AE41" s="298"/>
      <c r="AF41" s="298"/>
      <c r="AG41" s="298"/>
      <c r="AH41" s="298"/>
      <c r="AI41" s="302">
        <f t="shared" si="0"/>
        <v>65000</v>
      </c>
      <c r="AJ41" s="302"/>
      <c r="AK41" s="302"/>
      <c r="AL41" s="302"/>
      <c r="AM41" s="302"/>
      <c r="AN41" s="302"/>
      <c r="AO41" s="302">
        <f t="shared" si="2"/>
        <v>0</v>
      </c>
      <c r="AP41" s="302"/>
      <c r="AQ41" s="302"/>
      <c r="AR41" s="302"/>
      <c r="AS41" s="302"/>
      <c r="AT41" s="302"/>
      <c r="AU41" s="302">
        <f t="shared" si="1"/>
        <v>433</v>
      </c>
      <c r="AV41" s="302"/>
      <c r="AW41" s="302"/>
      <c r="AX41" s="302"/>
      <c r="AY41" s="302"/>
      <c r="AZ41" s="302"/>
      <c r="BA41" s="302">
        <f t="shared" si="3"/>
        <v>0</v>
      </c>
      <c r="BB41" s="302"/>
      <c r="BC41" s="302"/>
      <c r="BD41" s="302"/>
      <c r="BE41" s="302"/>
      <c r="BF41" s="302"/>
      <c r="BJ41" s="220" t="s">
        <v>117</v>
      </c>
      <c r="BK41" s="220" t="s">
        <v>100</v>
      </c>
      <c r="BL41" s="220" t="s">
        <v>100</v>
      </c>
      <c r="BM41" s="220" t="s">
        <v>100</v>
      </c>
      <c r="BN41" s="220" t="s">
        <v>100</v>
      </c>
      <c r="BO41" s="220" t="s">
        <v>100</v>
      </c>
      <c r="BP41" s="220" t="s">
        <v>100</v>
      </c>
      <c r="BQ41" s="220" t="s">
        <v>100</v>
      </c>
      <c r="BR41" s="220" t="s">
        <v>100</v>
      </c>
      <c r="BS41" s="220" t="s">
        <v>100</v>
      </c>
      <c r="BT41" s="303">
        <v>65000</v>
      </c>
      <c r="BU41" s="303">
        <v>4000</v>
      </c>
      <c r="BV41" s="303">
        <v>4000</v>
      </c>
      <c r="BW41" s="303">
        <v>4000</v>
      </c>
      <c r="BX41" s="303">
        <v>4000</v>
      </c>
      <c r="BY41" s="303">
        <v>4000</v>
      </c>
      <c r="BZ41" s="304">
        <v>433</v>
      </c>
      <c r="CA41" s="304">
        <f t="shared" ref="CA41:CE41" si="7">CA39*50</f>
        <v>0</v>
      </c>
      <c r="CB41" s="304">
        <f t="shared" si="7"/>
        <v>0</v>
      </c>
      <c r="CC41" s="304">
        <f t="shared" si="7"/>
        <v>0</v>
      </c>
      <c r="CD41" s="304">
        <f t="shared" si="7"/>
        <v>0</v>
      </c>
      <c r="CE41" s="304">
        <f t="shared" si="7"/>
        <v>0</v>
      </c>
      <c r="CI41" t="s">
        <v>118</v>
      </c>
      <c r="CR41" t="s">
        <v>119</v>
      </c>
    </row>
    <row r="42" spans="3:96" customFormat="1">
      <c r="D42" s="235" t="s">
        <v>86</v>
      </c>
      <c r="E42" s="236" t="s">
        <v>120</v>
      </c>
      <c r="F42" s="236" t="s">
        <v>110</v>
      </c>
      <c r="G42" s="237">
        <v>6000</v>
      </c>
      <c r="H42" s="221" t="s">
        <v>121</v>
      </c>
      <c r="I42" s="221" t="s">
        <v>120</v>
      </c>
      <c r="J42" s="221" t="s">
        <v>120</v>
      </c>
      <c r="K42" s="221" t="s">
        <v>120</v>
      </c>
      <c r="L42" s="221" t="s">
        <v>120</v>
      </c>
      <c r="M42" s="221" t="s">
        <v>120</v>
      </c>
      <c r="N42" s="221" t="s">
        <v>120</v>
      </c>
      <c r="O42" s="221" t="s">
        <v>120</v>
      </c>
      <c r="P42" s="221" t="s">
        <v>120</v>
      </c>
      <c r="Q42" s="217" t="s">
        <v>122</v>
      </c>
      <c r="R42" s="218"/>
      <c r="S42" s="218"/>
      <c r="T42" s="218"/>
      <c r="U42" s="218"/>
      <c r="V42" s="218"/>
      <c r="W42" s="218"/>
      <c r="X42" s="218"/>
      <c r="Y42" s="218"/>
      <c r="Z42" s="219"/>
      <c r="AA42" s="298"/>
      <c r="AB42" s="298"/>
      <c r="AC42" s="298"/>
      <c r="AD42" s="298"/>
      <c r="AE42" s="298"/>
      <c r="AF42" s="298"/>
      <c r="AG42" s="298"/>
      <c r="AH42" s="298"/>
      <c r="AI42" s="302">
        <f t="shared" si="0"/>
        <v>35000</v>
      </c>
      <c r="AJ42" s="302"/>
      <c r="AK42" s="302"/>
      <c r="AL42" s="302"/>
      <c r="AM42" s="302"/>
      <c r="AN42" s="302"/>
      <c r="AO42" s="302">
        <f t="shared" si="2"/>
        <v>0</v>
      </c>
      <c r="AP42" s="302"/>
      <c r="AQ42" s="302"/>
      <c r="AR42" s="302"/>
      <c r="AS42" s="302"/>
      <c r="AT42" s="302"/>
      <c r="AU42" s="302">
        <f t="shared" si="1"/>
        <v>146</v>
      </c>
      <c r="AV42" s="302"/>
      <c r="AW42" s="302"/>
      <c r="AX42" s="302"/>
      <c r="AY42" s="302"/>
      <c r="AZ42" s="302"/>
      <c r="BA42" s="302">
        <f t="shared" si="3"/>
        <v>0</v>
      </c>
      <c r="BB42" s="302"/>
      <c r="BC42" s="302"/>
      <c r="BD42" s="302"/>
      <c r="BE42" s="302"/>
      <c r="BF42" s="302"/>
      <c r="BJ42" s="220" t="s">
        <v>122</v>
      </c>
      <c r="BK42" s="220" t="s">
        <v>110</v>
      </c>
      <c r="BL42" s="220" t="s">
        <v>110</v>
      </c>
      <c r="BM42" s="220" t="s">
        <v>110</v>
      </c>
      <c r="BN42" s="220" t="s">
        <v>110</v>
      </c>
      <c r="BO42" s="220" t="s">
        <v>110</v>
      </c>
      <c r="BP42" s="220" t="s">
        <v>110</v>
      </c>
      <c r="BQ42" s="220" t="s">
        <v>110</v>
      </c>
      <c r="BR42" s="220" t="s">
        <v>110</v>
      </c>
      <c r="BS42" s="220" t="s">
        <v>110</v>
      </c>
      <c r="BT42" s="303">
        <v>35000</v>
      </c>
      <c r="BU42" s="303">
        <v>4000</v>
      </c>
      <c r="BV42" s="303">
        <v>4000</v>
      </c>
      <c r="BW42" s="303">
        <v>4000</v>
      </c>
      <c r="BX42" s="303">
        <v>4000</v>
      </c>
      <c r="BY42" s="303">
        <v>4000</v>
      </c>
      <c r="BZ42" s="304">
        <v>146</v>
      </c>
      <c r="CA42" s="304">
        <v>5000</v>
      </c>
      <c r="CB42" s="304">
        <v>5000</v>
      </c>
      <c r="CC42" s="304">
        <v>5000</v>
      </c>
      <c r="CD42" s="304">
        <v>5000</v>
      </c>
      <c r="CE42" s="304">
        <v>5000</v>
      </c>
      <c r="CI42" t="s">
        <v>122</v>
      </c>
      <c r="CR42" t="s">
        <v>123</v>
      </c>
    </row>
    <row r="43" spans="3:96" customFormat="1">
      <c r="D43" s="179" t="s">
        <v>124</v>
      </c>
      <c r="E43" s="180"/>
      <c r="F43" s="180"/>
      <c r="G43" s="181"/>
      <c r="H43" s="183" t="s">
        <v>125</v>
      </c>
      <c r="I43" s="183"/>
      <c r="J43" s="183"/>
      <c r="K43" s="183"/>
      <c r="L43" s="183"/>
      <c r="M43" s="183"/>
      <c r="N43" s="183"/>
      <c r="O43" s="183"/>
      <c r="P43" s="183"/>
      <c r="Q43" s="176" t="s">
        <v>126</v>
      </c>
      <c r="R43" s="177"/>
      <c r="S43" s="177"/>
      <c r="T43" s="177"/>
      <c r="U43" s="177"/>
      <c r="V43" s="177"/>
      <c r="W43" s="177"/>
      <c r="X43" s="177"/>
      <c r="Y43" s="177"/>
      <c r="Z43" s="178"/>
      <c r="AA43" s="306"/>
      <c r="AB43" s="306"/>
      <c r="AC43" s="306"/>
      <c r="AD43" s="306"/>
      <c r="AE43" s="306"/>
      <c r="AF43" s="306"/>
      <c r="AG43" s="306"/>
      <c r="AH43" s="306"/>
      <c r="AI43" s="307">
        <f t="shared" ref="AI43" si="8">VLOOKUP(Q43,BJ:CE,11,FALSE)</f>
        <v>0</v>
      </c>
      <c r="AJ43" s="307"/>
      <c r="AK43" s="307"/>
      <c r="AL43" s="307"/>
      <c r="AM43" s="307"/>
      <c r="AN43" s="307"/>
      <c r="AO43" s="307">
        <f t="shared" ref="AO43" si="9">AA43*AI43</f>
        <v>0</v>
      </c>
      <c r="AP43" s="307"/>
      <c r="AQ43" s="307"/>
      <c r="AR43" s="307"/>
      <c r="AS43" s="307"/>
      <c r="AT43" s="307"/>
      <c r="AU43" s="307">
        <f t="shared" ref="AU43" si="10">VLOOKUP(Q43,BJ:CE,17,FALSE)</f>
        <v>0</v>
      </c>
      <c r="AV43" s="307"/>
      <c r="AW43" s="307"/>
      <c r="AX43" s="307"/>
      <c r="AY43" s="307"/>
      <c r="AZ43" s="307"/>
      <c r="BA43" s="307">
        <f t="shared" ref="BA43" si="11">AA43*AU43</f>
        <v>0</v>
      </c>
      <c r="BB43" s="307"/>
      <c r="BC43" s="307"/>
      <c r="BD43" s="307"/>
      <c r="BE43" s="307"/>
      <c r="BF43" s="307"/>
      <c r="BG43" s="31"/>
      <c r="BH43" s="31"/>
      <c r="BI43" s="31"/>
      <c r="BJ43" s="176" t="s">
        <v>126</v>
      </c>
      <c r="BK43" s="177"/>
      <c r="BL43" s="177"/>
      <c r="BM43" s="177"/>
      <c r="BN43" s="177"/>
      <c r="BO43" s="177"/>
      <c r="BP43" s="177"/>
      <c r="BQ43" s="177"/>
      <c r="BR43" s="177"/>
      <c r="BS43" s="178"/>
      <c r="BT43" s="303"/>
      <c r="BU43" s="303"/>
      <c r="BV43" s="303"/>
      <c r="BW43" s="303"/>
      <c r="BX43" s="303"/>
      <c r="BY43" s="303"/>
      <c r="BZ43" s="303"/>
      <c r="CA43" s="303"/>
      <c r="CB43" s="303"/>
      <c r="CC43" s="303"/>
      <c r="CD43" s="303"/>
      <c r="CE43" s="303"/>
    </row>
    <row r="44" spans="3:96" customFormat="1">
      <c r="D44" s="179" t="s">
        <v>124</v>
      </c>
      <c r="E44" s="180"/>
      <c r="F44" s="180"/>
      <c r="G44" s="181"/>
      <c r="H44" s="183" t="s">
        <v>127</v>
      </c>
      <c r="I44" s="183"/>
      <c r="J44" s="183"/>
      <c r="K44" s="183"/>
      <c r="L44" s="183"/>
      <c r="M44" s="183"/>
      <c r="N44" s="183"/>
      <c r="O44" s="183"/>
      <c r="P44" s="183"/>
      <c r="Q44" s="176" t="s">
        <v>128</v>
      </c>
      <c r="R44" s="177"/>
      <c r="S44" s="177"/>
      <c r="T44" s="177"/>
      <c r="U44" s="177"/>
      <c r="V44" s="177"/>
      <c r="W44" s="177"/>
      <c r="X44" s="177"/>
      <c r="Y44" s="177"/>
      <c r="Z44" s="178"/>
      <c r="AA44" s="306"/>
      <c r="AB44" s="306"/>
      <c r="AC44" s="306"/>
      <c r="AD44" s="306"/>
      <c r="AE44" s="306"/>
      <c r="AF44" s="306"/>
      <c r="AG44" s="306"/>
      <c r="AH44" s="306"/>
      <c r="AI44" s="307">
        <f t="shared" ref="AI44" si="12">VLOOKUP(Q44,BJ:CE,11,FALSE)</f>
        <v>0</v>
      </c>
      <c r="AJ44" s="307"/>
      <c r="AK44" s="307"/>
      <c r="AL44" s="307"/>
      <c r="AM44" s="307"/>
      <c r="AN44" s="307"/>
      <c r="AO44" s="307">
        <f t="shared" ref="AO44" si="13">AA44*AI44</f>
        <v>0</v>
      </c>
      <c r="AP44" s="307"/>
      <c r="AQ44" s="307"/>
      <c r="AR44" s="307"/>
      <c r="AS44" s="307"/>
      <c r="AT44" s="307"/>
      <c r="AU44" s="307">
        <f t="shared" ref="AU44" si="14">VLOOKUP(Q44,BJ:CE,17,FALSE)</f>
        <v>0</v>
      </c>
      <c r="AV44" s="307"/>
      <c r="AW44" s="307"/>
      <c r="AX44" s="307"/>
      <c r="AY44" s="307"/>
      <c r="AZ44" s="307"/>
      <c r="BA44" s="307">
        <f t="shared" ref="BA44" si="15">AA44*AU44</f>
        <v>0</v>
      </c>
      <c r="BB44" s="307"/>
      <c r="BC44" s="307"/>
      <c r="BD44" s="307"/>
      <c r="BE44" s="307"/>
      <c r="BF44" s="307"/>
      <c r="BG44" s="31"/>
      <c r="BH44" s="31"/>
      <c r="BI44" s="31"/>
      <c r="BJ44" s="176" t="s">
        <v>128</v>
      </c>
      <c r="BK44" s="177"/>
      <c r="BL44" s="177"/>
      <c r="BM44" s="177"/>
      <c r="BN44" s="177"/>
      <c r="BO44" s="177"/>
      <c r="BP44" s="177"/>
      <c r="BQ44" s="177"/>
      <c r="BR44" s="177"/>
      <c r="BS44" s="178"/>
      <c r="BT44" s="303"/>
      <c r="BU44" s="303"/>
      <c r="BV44" s="303"/>
      <c r="BW44" s="303"/>
      <c r="BX44" s="303"/>
      <c r="BY44" s="303"/>
      <c r="BZ44" s="303"/>
      <c r="CA44" s="303"/>
      <c r="CB44" s="303"/>
      <c r="CC44" s="303"/>
      <c r="CD44" s="303"/>
      <c r="CE44" s="303"/>
      <c r="CH44" s="21"/>
      <c r="CI44" s="21"/>
      <c r="CJ44" s="21"/>
      <c r="CK44" s="21"/>
      <c r="CL44" s="21"/>
      <c r="CM44" s="21"/>
      <c r="CN44" s="21"/>
      <c r="CO44" s="21"/>
      <c r="CP44" s="21"/>
    </row>
    <row r="45" spans="3:96" customFormat="1">
      <c r="D45" s="179" t="s">
        <v>124</v>
      </c>
      <c r="E45" s="180"/>
      <c r="F45" s="180"/>
      <c r="G45" s="181"/>
      <c r="H45" s="183" t="s">
        <v>129</v>
      </c>
      <c r="I45" s="183"/>
      <c r="J45" s="183"/>
      <c r="K45" s="183"/>
      <c r="L45" s="183"/>
      <c r="M45" s="183"/>
      <c r="N45" s="183"/>
      <c r="O45" s="183"/>
      <c r="P45" s="183"/>
      <c r="Q45" s="176" t="s">
        <v>130</v>
      </c>
      <c r="R45" s="177"/>
      <c r="S45" s="177"/>
      <c r="T45" s="177"/>
      <c r="U45" s="177"/>
      <c r="V45" s="177"/>
      <c r="W45" s="177"/>
      <c r="X45" s="177"/>
      <c r="Y45" s="177"/>
      <c r="Z45" s="178"/>
      <c r="AA45" s="306"/>
      <c r="AB45" s="306"/>
      <c r="AC45" s="306"/>
      <c r="AD45" s="306"/>
      <c r="AE45" s="306"/>
      <c r="AF45" s="306"/>
      <c r="AG45" s="306"/>
      <c r="AH45" s="306"/>
      <c r="AI45" s="307">
        <f t="shared" ref="AI45:AI49" si="16">VLOOKUP(Q45,BJ:CE,11,FALSE)</f>
        <v>47000</v>
      </c>
      <c r="AJ45" s="307"/>
      <c r="AK45" s="307"/>
      <c r="AL45" s="307"/>
      <c r="AM45" s="307"/>
      <c r="AN45" s="307"/>
      <c r="AO45" s="307">
        <f t="shared" ref="AO45:AO49" si="17">AA45*AI45</f>
        <v>0</v>
      </c>
      <c r="AP45" s="307"/>
      <c r="AQ45" s="307"/>
      <c r="AR45" s="307"/>
      <c r="AS45" s="307"/>
      <c r="AT45" s="307"/>
      <c r="AU45" s="307">
        <f t="shared" ref="AU45:AU49" si="18">VLOOKUP(Q45,BJ:CE,17,FALSE)</f>
        <v>100</v>
      </c>
      <c r="AV45" s="307"/>
      <c r="AW45" s="307"/>
      <c r="AX45" s="307"/>
      <c r="AY45" s="307"/>
      <c r="AZ45" s="307"/>
      <c r="BA45" s="307">
        <f t="shared" ref="BA45:BA49" si="19">AA45*AU45</f>
        <v>0</v>
      </c>
      <c r="BB45" s="307"/>
      <c r="BC45" s="307"/>
      <c r="BD45" s="307"/>
      <c r="BE45" s="307"/>
      <c r="BF45" s="307"/>
      <c r="BG45" s="31"/>
      <c r="BH45" s="31"/>
      <c r="BI45" s="31"/>
      <c r="BJ45" s="176" t="s">
        <v>130</v>
      </c>
      <c r="BK45" s="177"/>
      <c r="BL45" s="177"/>
      <c r="BM45" s="177"/>
      <c r="BN45" s="177"/>
      <c r="BO45" s="177"/>
      <c r="BP45" s="177"/>
      <c r="BQ45" s="177"/>
      <c r="BR45" s="177"/>
      <c r="BS45" s="178"/>
      <c r="BT45" s="303">
        <v>47000</v>
      </c>
      <c r="BU45" s="303"/>
      <c r="BV45" s="303"/>
      <c r="BW45" s="303"/>
      <c r="BX45" s="303"/>
      <c r="BY45" s="303"/>
      <c r="BZ45" s="303">
        <v>100</v>
      </c>
      <c r="CA45" s="303"/>
      <c r="CB45" s="303"/>
      <c r="CC45" s="303"/>
      <c r="CD45" s="303"/>
      <c r="CE45" s="303"/>
      <c r="CH45" s="21"/>
      <c r="CI45" s="21" t="s">
        <v>131</v>
      </c>
      <c r="CJ45" s="21"/>
      <c r="CK45" s="21"/>
      <c r="CL45" s="21"/>
      <c r="CN45" s="21"/>
      <c r="CO45" s="21"/>
      <c r="CP45" s="21"/>
      <c r="CR45" t="s">
        <v>132</v>
      </c>
    </row>
    <row r="46" spans="3:96" customFormat="1">
      <c r="D46" s="179" t="s">
        <v>124</v>
      </c>
      <c r="E46" s="180"/>
      <c r="F46" s="180"/>
      <c r="G46" s="181"/>
      <c r="H46" s="183" t="s">
        <v>133</v>
      </c>
      <c r="I46" s="183"/>
      <c r="J46" s="183"/>
      <c r="K46" s="183"/>
      <c r="L46" s="183"/>
      <c r="M46" s="183"/>
      <c r="N46" s="183"/>
      <c r="O46" s="183"/>
      <c r="P46" s="183"/>
      <c r="Q46" s="39" t="s">
        <v>134</v>
      </c>
      <c r="R46" s="40"/>
      <c r="S46" s="40"/>
      <c r="T46" s="40"/>
      <c r="U46" s="40"/>
      <c r="V46" s="40"/>
      <c r="W46" s="40"/>
      <c r="X46" s="40"/>
      <c r="Y46" s="40"/>
      <c r="Z46" s="41"/>
      <c r="AA46" s="306"/>
      <c r="AB46" s="306"/>
      <c r="AC46" s="306"/>
      <c r="AD46" s="306"/>
      <c r="AE46" s="306"/>
      <c r="AF46" s="306"/>
      <c r="AG46" s="306"/>
      <c r="AH46" s="306"/>
      <c r="AI46" s="307">
        <f t="shared" si="16"/>
        <v>47000</v>
      </c>
      <c r="AJ46" s="307"/>
      <c r="AK46" s="307"/>
      <c r="AL46" s="307"/>
      <c r="AM46" s="307"/>
      <c r="AN46" s="307"/>
      <c r="AO46" s="307">
        <f t="shared" si="17"/>
        <v>0</v>
      </c>
      <c r="AP46" s="307"/>
      <c r="AQ46" s="307"/>
      <c r="AR46" s="307"/>
      <c r="AS46" s="307"/>
      <c r="AT46" s="307"/>
      <c r="AU46" s="307">
        <f t="shared" si="18"/>
        <v>100</v>
      </c>
      <c r="AV46" s="307"/>
      <c r="AW46" s="307"/>
      <c r="AX46" s="307"/>
      <c r="AY46" s="307"/>
      <c r="AZ46" s="307"/>
      <c r="BA46" s="307">
        <f t="shared" si="19"/>
        <v>0</v>
      </c>
      <c r="BB46" s="307"/>
      <c r="BC46" s="307"/>
      <c r="BD46" s="307"/>
      <c r="BE46" s="307"/>
      <c r="BF46" s="307"/>
      <c r="BG46" s="31"/>
      <c r="BH46" s="31"/>
      <c r="BI46" s="31"/>
      <c r="BJ46" s="39" t="s">
        <v>134</v>
      </c>
      <c r="BK46" s="40"/>
      <c r="BL46" s="40"/>
      <c r="BM46" s="40"/>
      <c r="BN46" s="40"/>
      <c r="BO46" s="40"/>
      <c r="BP46" s="40"/>
      <c r="BQ46" s="40"/>
      <c r="BR46" s="40"/>
      <c r="BS46" s="41"/>
      <c r="BT46" s="303">
        <v>47000</v>
      </c>
      <c r="BU46" s="303"/>
      <c r="BV46" s="303"/>
      <c r="BW46" s="303"/>
      <c r="BX46" s="303"/>
      <c r="BY46" s="303"/>
      <c r="BZ46" s="303">
        <v>100</v>
      </c>
      <c r="CA46" s="303"/>
      <c r="CB46" s="303"/>
      <c r="CC46" s="303"/>
      <c r="CD46" s="303"/>
      <c r="CE46" s="303"/>
    </row>
    <row r="47" spans="3:96" customFormat="1">
      <c r="D47" s="179" t="s">
        <v>124</v>
      </c>
      <c r="E47" s="180"/>
      <c r="F47" s="180"/>
      <c r="G47" s="181"/>
      <c r="H47" s="183" t="s">
        <v>135</v>
      </c>
      <c r="I47" s="183"/>
      <c r="J47" s="183"/>
      <c r="K47" s="183"/>
      <c r="L47" s="183"/>
      <c r="M47" s="183"/>
      <c r="N47" s="183"/>
      <c r="O47" s="183"/>
      <c r="P47" s="183"/>
      <c r="Q47" s="176" t="s">
        <v>136</v>
      </c>
      <c r="R47" s="177"/>
      <c r="S47" s="177"/>
      <c r="T47" s="177"/>
      <c r="U47" s="177"/>
      <c r="V47" s="177"/>
      <c r="W47" s="177"/>
      <c r="X47" s="177"/>
      <c r="Y47" s="177"/>
      <c r="Z47" s="178"/>
      <c r="AA47" s="306"/>
      <c r="AB47" s="306"/>
      <c r="AC47" s="306"/>
      <c r="AD47" s="306"/>
      <c r="AE47" s="306"/>
      <c r="AF47" s="306"/>
      <c r="AG47" s="306"/>
      <c r="AH47" s="306"/>
      <c r="AI47" s="307">
        <f t="shared" si="16"/>
        <v>360000</v>
      </c>
      <c r="AJ47" s="307"/>
      <c r="AK47" s="307"/>
      <c r="AL47" s="307"/>
      <c r="AM47" s="307"/>
      <c r="AN47" s="307"/>
      <c r="AO47" s="307">
        <f t="shared" si="17"/>
        <v>0</v>
      </c>
      <c r="AP47" s="307"/>
      <c r="AQ47" s="307"/>
      <c r="AR47" s="307"/>
      <c r="AS47" s="307"/>
      <c r="AT47" s="307"/>
      <c r="AU47" s="307">
        <f t="shared" si="18"/>
        <v>120000</v>
      </c>
      <c r="AV47" s="307"/>
      <c r="AW47" s="307"/>
      <c r="AX47" s="307"/>
      <c r="AY47" s="307"/>
      <c r="AZ47" s="307"/>
      <c r="BA47" s="307">
        <f t="shared" si="19"/>
        <v>0</v>
      </c>
      <c r="BB47" s="307"/>
      <c r="BC47" s="307"/>
      <c r="BD47" s="307"/>
      <c r="BE47" s="307"/>
      <c r="BF47" s="307"/>
      <c r="BG47" s="31"/>
      <c r="BH47" s="31"/>
      <c r="BI47" s="31"/>
      <c r="BJ47" s="176" t="s">
        <v>136</v>
      </c>
      <c r="BK47" s="177"/>
      <c r="BL47" s="177"/>
      <c r="BM47" s="177"/>
      <c r="BN47" s="177"/>
      <c r="BO47" s="177"/>
      <c r="BP47" s="177"/>
      <c r="BQ47" s="177"/>
      <c r="BR47" s="177"/>
      <c r="BS47" s="178"/>
      <c r="BT47" s="303">
        <f t="shared" ref="BT47:BT49" si="20">BZ47*3</f>
        <v>360000</v>
      </c>
      <c r="BU47" s="303">
        <v>4000</v>
      </c>
      <c r="BV47" s="303">
        <v>4000</v>
      </c>
      <c r="BW47" s="303">
        <v>4000</v>
      </c>
      <c r="BX47" s="303">
        <v>4000</v>
      </c>
      <c r="BY47" s="303">
        <v>4000</v>
      </c>
      <c r="BZ47" s="303">
        <v>120000</v>
      </c>
      <c r="CA47" s="303"/>
      <c r="CB47" s="303"/>
      <c r="CC47" s="303"/>
      <c r="CD47" s="303"/>
      <c r="CE47" s="303"/>
      <c r="CH47" s="21"/>
      <c r="CI47" t="s">
        <v>137</v>
      </c>
      <c r="CM47" s="21"/>
      <c r="CO47" s="21"/>
      <c r="CP47" t="s">
        <v>138</v>
      </c>
    </row>
    <row r="48" spans="3:96" customFormat="1">
      <c r="D48" s="179" t="s">
        <v>124</v>
      </c>
      <c r="E48" s="180"/>
      <c r="F48" s="180"/>
      <c r="G48" s="181"/>
      <c r="H48" s="183" t="s">
        <v>139</v>
      </c>
      <c r="I48" s="183"/>
      <c r="J48" s="183"/>
      <c r="K48" s="183"/>
      <c r="L48" s="183"/>
      <c r="M48" s="183"/>
      <c r="N48" s="183"/>
      <c r="O48" s="183"/>
      <c r="P48" s="183"/>
      <c r="Q48" s="176" t="s">
        <v>140</v>
      </c>
      <c r="R48" s="177"/>
      <c r="S48" s="177"/>
      <c r="T48" s="177"/>
      <c r="U48" s="177"/>
      <c r="V48" s="177"/>
      <c r="W48" s="177"/>
      <c r="X48" s="177"/>
      <c r="Y48" s="177"/>
      <c r="Z48" s="178"/>
      <c r="AA48" s="306"/>
      <c r="AB48" s="306"/>
      <c r="AC48" s="306"/>
      <c r="AD48" s="306"/>
      <c r="AE48" s="306"/>
      <c r="AF48" s="306"/>
      <c r="AG48" s="306"/>
      <c r="AH48" s="306"/>
      <c r="AI48" s="307">
        <f t="shared" si="16"/>
        <v>360000</v>
      </c>
      <c r="AJ48" s="307"/>
      <c r="AK48" s="307"/>
      <c r="AL48" s="307"/>
      <c r="AM48" s="307"/>
      <c r="AN48" s="307"/>
      <c r="AO48" s="307">
        <f t="shared" si="17"/>
        <v>0</v>
      </c>
      <c r="AP48" s="307"/>
      <c r="AQ48" s="307"/>
      <c r="AR48" s="307"/>
      <c r="AS48" s="307"/>
      <c r="AT48" s="307"/>
      <c r="AU48" s="307">
        <f t="shared" si="18"/>
        <v>120000</v>
      </c>
      <c r="AV48" s="307"/>
      <c r="AW48" s="307"/>
      <c r="AX48" s="307"/>
      <c r="AY48" s="307"/>
      <c r="AZ48" s="307"/>
      <c r="BA48" s="307">
        <f t="shared" si="19"/>
        <v>0</v>
      </c>
      <c r="BB48" s="307"/>
      <c r="BC48" s="307"/>
      <c r="BD48" s="307"/>
      <c r="BE48" s="307"/>
      <c r="BF48" s="307"/>
      <c r="BG48" s="31"/>
      <c r="BH48" s="31"/>
      <c r="BI48" s="31"/>
      <c r="BJ48" s="176" t="s">
        <v>140</v>
      </c>
      <c r="BK48" s="177"/>
      <c r="BL48" s="177"/>
      <c r="BM48" s="177"/>
      <c r="BN48" s="177"/>
      <c r="BO48" s="177"/>
      <c r="BP48" s="177"/>
      <c r="BQ48" s="177"/>
      <c r="BR48" s="177"/>
      <c r="BS48" s="178"/>
      <c r="BT48" s="303">
        <f t="shared" si="20"/>
        <v>360000</v>
      </c>
      <c r="BU48" s="303">
        <v>4000</v>
      </c>
      <c r="BV48" s="303">
        <v>4000</v>
      </c>
      <c r="BW48" s="303">
        <v>4000</v>
      </c>
      <c r="BX48" s="303">
        <v>4000</v>
      </c>
      <c r="BY48" s="303">
        <v>4000</v>
      </c>
      <c r="BZ48" s="303">
        <v>120000</v>
      </c>
      <c r="CA48" s="303"/>
      <c r="CB48" s="303"/>
      <c r="CC48" s="303"/>
      <c r="CD48" s="303"/>
      <c r="CE48" s="303"/>
      <c r="CH48" s="21"/>
      <c r="CM48" s="21"/>
      <c r="CO48" s="21"/>
      <c r="CP48" t="s">
        <v>141</v>
      </c>
    </row>
    <row r="49" spans="3:94" customFormat="1">
      <c r="D49" s="179" t="s">
        <v>124</v>
      </c>
      <c r="E49" s="180"/>
      <c r="F49" s="180"/>
      <c r="G49" s="181"/>
      <c r="H49" s="182" t="s">
        <v>142</v>
      </c>
      <c r="I49" s="182"/>
      <c r="J49" s="182"/>
      <c r="K49" s="182"/>
      <c r="L49" s="182"/>
      <c r="M49" s="182"/>
      <c r="N49" s="182"/>
      <c r="O49" s="182"/>
      <c r="P49" s="182"/>
      <c r="Q49" s="176" t="s">
        <v>143</v>
      </c>
      <c r="R49" s="177"/>
      <c r="S49" s="177"/>
      <c r="T49" s="177"/>
      <c r="U49" s="177"/>
      <c r="V49" s="177"/>
      <c r="W49" s="177"/>
      <c r="X49" s="177"/>
      <c r="Y49" s="177"/>
      <c r="Z49" s="178"/>
      <c r="AA49" s="306"/>
      <c r="AB49" s="306"/>
      <c r="AC49" s="306"/>
      <c r="AD49" s="306"/>
      <c r="AE49" s="306"/>
      <c r="AF49" s="306"/>
      <c r="AG49" s="306"/>
      <c r="AH49" s="306"/>
      <c r="AI49" s="307">
        <f t="shared" si="16"/>
        <v>360000</v>
      </c>
      <c r="AJ49" s="307"/>
      <c r="AK49" s="307"/>
      <c r="AL49" s="307"/>
      <c r="AM49" s="307"/>
      <c r="AN49" s="307"/>
      <c r="AO49" s="307">
        <f t="shared" si="17"/>
        <v>0</v>
      </c>
      <c r="AP49" s="307"/>
      <c r="AQ49" s="307"/>
      <c r="AR49" s="307"/>
      <c r="AS49" s="307"/>
      <c r="AT49" s="307"/>
      <c r="AU49" s="307">
        <f t="shared" si="18"/>
        <v>120000</v>
      </c>
      <c r="AV49" s="307"/>
      <c r="AW49" s="307"/>
      <c r="AX49" s="307"/>
      <c r="AY49" s="307"/>
      <c r="AZ49" s="307"/>
      <c r="BA49" s="307">
        <f t="shared" si="19"/>
        <v>0</v>
      </c>
      <c r="BB49" s="307"/>
      <c r="BC49" s="307"/>
      <c r="BD49" s="307"/>
      <c r="BE49" s="307"/>
      <c r="BF49" s="307"/>
      <c r="BG49" s="31"/>
      <c r="BH49" s="31"/>
      <c r="BI49" s="31"/>
      <c r="BJ49" s="176" t="s">
        <v>143</v>
      </c>
      <c r="BK49" s="177"/>
      <c r="BL49" s="177"/>
      <c r="BM49" s="177"/>
      <c r="BN49" s="177"/>
      <c r="BO49" s="177"/>
      <c r="BP49" s="177"/>
      <c r="BQ49" s="177"/>
      <c r="BR49" s="177"/>
      <c r="BS49" s="178"/>
      <c r="BT49" s="303">
        <f t="shared" si="20"/>
        <v>360000</v>
      </c>
      <c r="BU49" s="303">
        <v>4000</v>
      </c>
      <c r="BV49" s="303">
        <v>4000</v>
      </c>
      <c r="BW49" s="303">
        <v>4000</v>
      </c>
      <c r="BX49" s="303">
        <v>4000</v>
      </c>
      <c r="BY49" s="303">
        <v>4000</v>
      </c>
      <c r="BZ49" s="303">
        <v>120000</v>
      </c>
      <c r="CA49" s="303"/>
      <c r="CB49" s="303"/>
      <c r="CC49" s="303"/>
      <c r="CD49" s="303"/>
      <c r="CE49" s="303"/>
      <c r="CI49" t="s">
        <v>144</v>
      </c>
      <c r="CM49" t="s">
        <v>92</v>
      </c>
      <c r="CP49" t="s">
        <v>145</v>
      </c>
    </row>
    <row r="50" spans="3:94" customFormat="1">
      <c r="D50" t="s">
        <v>146</v>
      </c>
    </row>
    <row r="51" spans="3:94" customFormat="1"/>
    <row r="52" spans="3:94" customFormat="1">
      <c r="C52" t="s">
        <v>147</v>
      </c>
    </row>
    <row r="53" spans="3:94" customFormat="1">
      <c r="D53" s="232" t="s">
        <v>148</v>
      </c>
      <c r="E53" s="233"/>
      <c r="F53" s="233"/>
      <c r="G53" s="234"/>
      <c r="H53" s="232" t="s">
        <v>149</v>
      </c>
      <c r="I53" s="233"/>
      <c r="J53" s="233"/>
      <c r="K53" s="233"/>
      <c r="L53" s="233"/>
      <c r="M53" s="233"/>
      <c r="N53" s="233"/>
      <c r="O53" s="233"/>
      <c r="P53" s="233"/>
      <c r="Q53" s="233"/>
      <c r="R53" s="234"/>
      <c r="S53" s="232" t="s">
        <v>150</v>
      </c>
      <c r="T53" s="233"/>
      <c r="U53" s="233"/>
      <c r="V53" s="233"/>
      <c r="W53" s="233"/>
      <c r="X53" s="233"/>
      <c r="Y53" s="233"/>
      <c r="Z53" s="233"/>
      <c r="AA53" s="233"/>
      <c r="AB53" s="233"/>
      <c r="AC53" s="233"/>
      <c r="AD53" s="233"/>
      <c r="AE53" s="233"/>
      <c r="AF53" s="233"/>
      <c r="AG53" s="233"/>
      <c r="AH53" s="234"/>
    </row>
    <row r="54" spans="3:94" customFormat="1">
      <c r="D54" s="192" t="s">
        <v>124</v>
      </c>
      <c r="E54" s="193"/>
      <c r="F54" s="193"/>
      <c r="G54" s="194"/>
      <c r="H54" s="229">
        <f>SUMIF(D35:G42,"FO",AO35:AT49)</f>
        <v>0</v>
      </c>
      <c r="I54" s="230"/>
      <c r="J54" s="230"/>
      <c r="K54" s="230"/>
      <c r="L54" s="230"/>
      <c r="M54" s="230"/>
      <c r="N54" s="230"/>
      <c r="O54" s="230"/>
      <c r="P54" s="230"/>
      <c r="Q54" s="230"/>
      <c r="R54" s="231"/>
      <c r="S54" s="229">
        <f>SUMIF(D35:G42,"FO",BA35:BF49)</f>
        <v>0</v>
      </c>
      <c r="T54" s="230"/>
      <c r="U54" s="230"/>
      <c r="V54" s="230"/>
      <c r="W54" s="230"/>
      <c r="X54" s="230"/>
      <c r="Y54" s="230"/>
      <c r="Z54" s="230"/>
      <c r="AA54" s="230"/>
      <c r="AB54" s="230"/>
      <c r="AC54" s="230"/>
      <c r="AD54" s="230"/>
      <c r="AE54" s="230"/>
      <c r="AF54" s="230"/>
      <c r="AG54" s="230"/>
      <c r="AH54" s="231"/>
    </row>
    <row r="55" spans="3:94" customFormat="1">
      <c r="D55" s="223" t="s">
        <v>151</v>
      </c>
      <c r="E55" s="224"/>
      <c r="F55" s="224"/>
      <c r="G55" s="225"/>
      <c r="H55" s="226">
        <f>SUM(H54:R54)</f>
        <v>0</v>
      </c>
      <c r="I55" s="227"/>
      <c r="J55" s="227"/>
      <c r="K55" s="227"/>
      <c r="L55" s="227"/>
      <c r="M55" s="227"/>
      <c r="N55" s="227"/>
      <c r="O55" s="227"/>
      <c r="P55" s="227"/>
      <c r="Q55" s="227"/>
      <c r="R55" s="228"/>
      <c r="S55" s="226">
        <f>SUM(S54:AH54)</f>
        <v>0</v>
      </c>
      <c r="T55" s="227"/>
      <c r="U55" s="227"/>
      <c r="V55" s="227"/>
      <c r="W55" s="227"/>
      <c r="X55" s="227"/>
      <c r="Y55" s="227"/>
      <c r="Z55" s="227"/>
      <c r="AA55" s="227"/>
      <c r="AB55" s="227"/>
      <c r="AC55" s="227"/>
      <c r="AD55" s="227"/>
      <c r="AE55" s="227"/>
      <c r="AF55" s="227"/>
      <c r="AG55" s="227"/>
      <c r="AH55" s="228"/>
    </row>
    <row r="56" spans="3:94" customFormat="1"/>
    <row r="57" spans="3:94" customFormat="1">
      <c r="C57" t="s">
        <v>152</v>
      </c>
    </row>
    <row r="58" spans="3:94" customFormat="1">
      <c r="D58" s="214"/>
      <c r="E58" s="214"/>
      <c r="F58" s="214"/>
      <c r="G58" s="214"/>
      <c r="H58" s="214" t="s">
        <v>153</v>
      </c>
      <c r="I58" s="214"/>
      <c r="J58" s="214"/>
      <c r="K58" s="214"/>
      <c r="L58" s="214"/>
      <c r="M58" s="214"/>
      <c r="N58" s="214"/>
      <c r="O58" s="214"/>
      <c r="P58" s="214"/>
      <c r="Q58" s="214"/>
      <c r="R58" s="214"/>
      <c r="S58" s="214" t="s">
        <v>154</v>
      </c>
      <c r="T58" s="214"/>
      <c r="U58" s="214"/>
      <c r="V58" s="214"/>
      <c r="W58" s="214"/>
      <c r="X58" s="214"/>
      <c r="Y58" s="214"/>
      <c r="Z58" s="214"/>
      <c r="AA58" s="214"/>
      <c r="AB58" s="214"/>
      <c r="AC58" s="214"/>
      <c r="AD58" s="214"/>
      <c r="AE58" s="214"/>
      <c r="AF58" s="214"/>
      <c r="AG58" s="214"/>
      <c r="AH58" s="214"/>
      <c r="AI58" s="214" t="s">
        <v>155</v>
      </c>
      <c r="AJ58" s="214"/>
      <c r="AK58" s="214"/>
      <c r="AL58" s="214"/>
      <c r="AM58" s="214"/>
      <c r="AN58" s="214"/>
      <c r="AO58" s="214"/>
      <c r="AP58" s="214"/>
      <c r="AQ58" s="214"/>
      <c r="AR58" s="214"/>
      <c r="AS58" s="214"/>
      <c r="AT58" s="214"/>
      <c r="AU58" s="214"/>
      <c r="AV58" s="214"/>
      <c r="AW58" s="214"/>
      <c r="AX58" s="214"/>
    </row>
    <row r="59" spans="3:94" customFormat="1">
      <c r="D59" s="191" t="s">
        <v>124</v>
      </c>
      <c r="E59" s="191"/>
      <c r="F59" s="191"/>
      <c r="G59" s="191"/>
      <c r="H59" s="222">
        <f>H54</f>
        <v>0</v>
      </c>
      <c r="I59" s="222"/>
      <c r="J59" s="222"/>
      <c r="K59" s="222"/>
      <c r="L59" s="222"/>
      <c r="M59" s="222"/>
      <c r="N59" s="222"/>
      <c r="O59" s="222"/>
      <c r="P59" s="222"/>
      <c r="Q59" s="222"/>
      <c r="R59" s="222"/>
      <c r="S59" s="222">
        <f>H54+(S54*12)</f>
        <v>0</v>
      </c>
      <c r="T59" s="222"/>
      <c r="U59" s="222"/>
      <c r="V59" s="222"/>
      <c r="W59" s="222"/>
      <c r="X59" s="222"/>
      <c r="Y59" s="222"/>
      <c r="Z59" s="222"/>
      <c r="AA59" s="222"/>
      <c r="AB59" s="222"/>
      <c r="AC59" s="222"/>
      <c r="AD59" s="222"/>
      <c r="AE59" s="222"/>
      <c r="AF59" s="222"/>
      <c r="AG59" s="222"/>
      <c r="AH59" s="222"/>
      <c r="AI59" s="222">
        <f>H54+((S54*12)*5)</f>
        <v>0</v>
      </c>
      <c r="AJ59" s="222"/>
      <c r="AK59" s="222"/>
      <c r="AL59" s="222"/>
      <c r="AM59" s="222"/>
      <c r="AN59" s="222"/>
      <c r="AO59" s="222"/>
      <c r="AP59" s="222"/>
      <c r="AQ59" s="222"/>
      <c r="AR59" s="222"/>
      <c r="AS59" s="222"/>
      <c r="AT59" s="222"/>
      <c r="AU59" s="222"/>
      <c r="AV59" s="222"/>
      <c r="AW59" s="222"/>
      <c r="AX59" s="222"/>
    </row>
    <row r="60" spans="3:94" customFormat="1"/>
    <row r="61" spans="3:94" customFormat="1"/>
    <row r="62" spans="3:94" customFormat="1"/>
    <row r="63" spans="3:94" customFormat="1"/>
  </sheetData>
  <mergeCells count="224">
    <mergeCell ref="D35:G35"/>
    <mergeCell ref="D37:G37"/>
    <mergeCell ref="D38:G38"/>
    <mergeCell ref="D40:G40"/>
    <mergeCell ref="D39:G39"/>
    <mergeCell ref="D41:G41"/>
    <mergeCell ref="D42:G42"/>
    <mergeCell ref="Q40:Z40"/>
    <mergeCell ref="AA40:AH40"/>
    <mergeCell ref="D36:G36"/>
    <mergeCell ref="Q39:Z39"/>
    <mergeCell ref="AA39:AH39"/>
    <mergeCell ref="BA40:BF40"/>
    <mergeCell ref="BJ40:BS40"/>
    <mergeCell ref="BT40:BY40"/>
    <mergeCell ref="BZ40:CE40"/>
    <mergeCell ref="D59:G59"/>
    <mergeCell ref="H59:R59"/>
    <mergeCell ref="S59:AH59"/>
    <mergeCell ref="AI59:AX59"/>
    <mergeCell ref="AI58:AX58"/>
    <mergeCell ref="D55:G55"/>
    <mergeCell ref="H55:R55"/>
    <mergeCell ref="S55:AH55"/>
    <mergeCell ref="D58:G58"/>
    <mergeCell ref="H58:R58"/>
    <mergeCell ref="S58:AH58"/>
    <mergeCell ref="D54:G54"/>
    <mergeCell ref="H54:R54"/>
    <mergeCell ref="S54:AH54"/>
    <mergeCell ref="D53:G53"/>
    <mergeCell ref="H53:R53"/>
    <mergeCell ref="S53:AH53"/>
    <mergeCell ref="BZ42:CE42"/>
    <mergeCell ref="AO42:AT42"/>
    <mergeCell ref="AU42:AZ42"/>
    <mergeCell ref="BA42:BF42"/>
    <mergeCell ref="BJ42:BS42"/>
    <mergeCell ref="BT42:BY42"/>
    <mergeCell ref="H42:P42"/>
    <mergeCell ref="Q42:Z42"/>
    <mergeCell ref="AA42:AH42"/>
    <mergeCell ref="AI42:AN42"/>
    <mergeCell ref="BZ39:CE39"/>
    <mergeCell ref="H41:P41"/>
    <mergeCell ref="Q41:Z41"/>
    <mergeCell ref="AA41:AH41"/>
    <mergeCell ref="AI41:AN41"/>
    <mergeCell ref="AO41:AT41"/>
    <mergeCell ref="AU41:AZ41"/>
    <mergeCell ref="BA41:BF41"/>
    <mergeCell ref="BJ41:BS41"/>
    <mergeCell ref="BT41:BY41"/>
    <mergeCell ref="BZ41:CE41"/>
    <mergeCell ref="AO39:AT39"/>
    <mergeCell ref="AU39:AZ39"/>
    <mergeCell ref="BA39:BF39"/>
    <mergeCell ref="BJ39:BS39"/>
    <mergeCell ref="BT39:BY39"/>
    <mergeCell ref="H39:P39"/>
    <mergeCell ref="AI39:AN39"/>
    <mergeCell ref="H40:P40"/>
    <mergeCell ref="AI40:AN40"/>
    <mergeCell ref="AO40:AT40"/>
    <mergeCell ref="AU40:AZ40"/>
    <mergeCell ref="BZ37:CE37"/>
    <mergeCell ref="H38:P38"/>
    <mergeCell ref="Q38:Z38"/>
    <mergeCell ref="AA38:AH38"/>
    <mergeCell ref="AI38:AN38"/>
    <mergeCell ref="AO38:AT38"/>
    <mergeCell ref="AU38:AZ38"/>
    <mergeCell ref="BA38:BF38"/>
    <mergeCell ref="BJ38:BS38"/>
    <mergeCell ref="BT38:BY38"/>
    <mergeCell ref="BZ38:CE38"/>
    <mergeCell ref="AO37:AT37"/>
    <mergeCell ref="AU37:AZ37"/>
    <mergeCell ref="BA37:BF37"/>
    <mergeCell ref="BJ37:BS37"/>
    <mergeCell ref="BT37:BY37"/>
    <mergeCell ref="H37:P37"/>
    <mergeCell ref="Q37:Z37"/>
    <mergeCell ref="AA37:AH37"/>
    <mergeCell ref="AI37:AN37"/>
    <mergeCell ref="AU36:AZ36"/>
    <mergeCell ref="BA36:BF36"/>
    <mergeCell ref="BJ36:BS36"/>
    <mergeCell ref="BT36:BY36"/>
    <mergeCell ref="BZ36:CE36"/>
    <mergeCell ref="H36:P36"/>
    <mergeCell ref="Q36:Z36"/>
    <mergeCell ref="AA36:AH36"/>
    <mergeCell ref="AI36:AN36"/>
    <mergeCell ref="AO36:AT36"/>
    <mergeCell ref="BJ34:BS34"/>
    <mergeCell ref="BT34:BY34"/>
    <mergeCell ref="BZ34:CE34"/>
    <mergeCell ref="H35:P35"/>
    <mergeCell ref="Q35:Z35"/>
    <mergeCell ref="AA35:AH35"/>
    <mergeCell ref="AI35:AN35"/>
    <mergeCell ref="AO35:AT35"/>
    <mergeCell ref="AU35:AZ35"/>
    <mergeCell ref="BA35:BF35"/>
    <mergeCell ref="BJ35:BS35"/>
    <mergeCell ref="BT35:BY35"/>
    <mergeCell ref="BZ35:CE35"/>
    <mergeCell ref="D22:F22"/>
    <mergeCell ref="G22:P22"/>
    <mergeCell ref="Q22:AU22"/>
    <mergeCell ref="AI33:BF33"/>
    <mergeCell ref="D34:G34"/>
    <mergeCell ref="H34:P34"/>
    <mergeCell ref="Q34:Z34"/>
    <mergeCell ref="AA34:AH34"/>
    <mergeCell ref="AI34:AN34"/>
    <mergeCell ref="AO34:AT34"/>
    <mergeCell ref="AU34:AZ34"/>
    <mergeCell ref="BA34:BF34"/>
    <mergeCell ref="D21:F21"/>
    <mergeCell ref="G21:P21"/>
    <mergeCell ref="Q21:AU21"/>
    <mergeCell ref="D18:F18"/>
    <mergeCell ref="G18:P18"/>
    <mergeCell ref="Q18:AU18"/>
    <mergeCell ref="D19:F19"/>
    <mergeCell ref="G19:P19"/>
    <mergeCell ref="Q19:AU19"/>
    <mergeCell ref="B2:F2"/>
    <mergeCell ref="G2:T2"/>
    <mergeCell ref="U2:AR2"/>
    <mergeCell ref="AS2:AZ2"/>
    <mergeCell ref="BA2:BG2"/>
    <mergeCell ref="B3:F4"/>
    <mergeCell ref="G3:T4"/>
    <mergeCell ref="U3:AR4"/>
    <mergeCell ref="AS3:AT3"/>
    <mergeCell ref="AU3:AZ3"/>
    <mergeCell ref="D17:F17"/>
    <mergeCell ref="G17:P17"/>
    <mergeCell ref="Q17:AU17"/>
    <mergeCell ref="BA3:BG3"/>
    <mergeCell ref="AS4:AT4"/>
    <mergeCell ref="AU4:AZ4"/>
    <mergeCell ref="BA4:BG4"/>
    <mergeCell ref="D20:F20"/>
    <mergeCell ref="G20:P20"/>
    <mergeCell ref="Q20:AU20"/>
    <mergeCell ref="D43:G43"/>
    <mergeCell ref="H43:P43"/>
    <mergeCell ref="Q43:Z43"/>
    <mergeCell ref="AA43:AH43"/>
    <mergeCell ref="AI43:AN43"/>
    <mergeCell ref="AO43:AT43"/>
    <mergeCell ref="AU43:AZ43"/>
    <mergeCell ref="BA43:BF43"/>
    <mergeCell ref="D44:G44"/>
    <mergeCell ref="H44:P44"/>
    <mergeCell ref="Q44:Z44"/>
    <mergeCell ref="AA44:AH44"/>
    <mergeCell ref="AI44:AN44"/>
    <mergeCell ref="AO44:AT44"/>
    <mergeCell ref="AU44:AZ44"/>
    <mergeCell ref="BA44:BF44"/>
    <mergeCell ref="AU48:AZ48"/>
    <mergeCell ref="BA48:BF48"/>
    <mergeCell ref="D45:G45"/>
    <mergeCell ref="H45:P45"/>
    <mergeCell ref="Q45:Z45"/>
    <mergeCell ref="AA45:AH45"/>
    <mergeCell ref="AI45:AN45"/>
    <mergeCell ref="AO45:AT45"/>
    <mergeCell ref="AU45:AZ45"/>
    <mergeCell ref="BA45:BF45"/>
    <mergeCell ref="D46:G46"/>
    <mergeCell ref="H46:P46"/>
    <mergeCell ref="AA46:AH46"/>
    <mergeCell ref="AI46:AN46"/>
    <mergeCell ref="AO46:AT46"/>
    <mergeCell ref="AU46:AZ46"/>
    <mergeCell ref="BA46:BF46"/>
    <mergeCell ref="D49:G49"/>
    <mergeCell ref="H49:P49"/>
    <mergeCell ref="Q49:Z49"/>
    <mergeCell ref="AA49:AH49"/>
    <mergeCell ref="AI49:AN49"/>
    <mergeCell ref="AO49:AT49"/>
    <mergeCell ref="AU49:AZ49"/>
    <mergeCell ref="BA49:BF49"/>
    <mergeCell ref="BJ43:BS43"/>
    <mergeCell ref="BJ47:BS47"/>
    <mergeCell ref="D47:G47"/>
    <mergeCell ref="H47:P47"/>
    <mergeCell ref="Q47:Z47"/>
    <mergeCell ref="AA47:AH47"/>
    <mergeCell ref="AI47:AN47"/>
    <mergeCell ref="AO47:AT47"/>
    <mergeCell ref="AU47:AZ47"/>
    <mergeCell ref="BA47:BF47"/>
    <mergeCell ref="D48:G48"/>
    <mergeCell ref="H48:P48"/>
    <mergeCell ref="Q48:Z48"/>
    <mergeCell ref="AA48:AH48"/>
    <mergeCell ref="AI48:AN48"/>
    <mergeCell ref="AO48:AT48"/>
    <mergeCell ref="BT47:BY47"/>
    <mergeCell ref="BZ47:CE47"/>
    <mergeCell ref="BJ48:BS48"/>
    <mergeCell ref="BT48:BY48"/>
    <mergeCell ref="BZ48:CE48"/>
    <mergeCell ref="BJ49:BS49"/>
    <mergeCell ref="BT49:BY49"/>
    <mergeCell ref="BZ49:CE49"/>
    <mergeCell ref="BT43:BY43"/>
    <mergeCell ref="BZ43:CE43"/>
    <mergeCell ref="BJ44:BS44"/>
    <mergeCell ref="BT44:BY44"/>
    <mergeCell ref="BZ44:CE44"/>
    <mergeCell ref="BJ45:BS45"/>
    <mergeCell ref="BT45:BY45"/>
    <mergeCell ref="BZ45:CE45"/>
    <mergeCell ref="BT46:BY46"/>
    <mergeCell ref="BZ46:CE46"/>
  </mergeCells>
  <phoneticPr fontId="1"/>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55DEC-E32E-4545-8B7D-7F59B134A35B}">
  <dimension ref="B2:BG33"/>
  <sheetViews>
    <sheetView showGridLines="0" zoomScale="80" zoomScaleNormal="80" workbookViewId="0"/>
  </sheetViews>
  <sheetFormatPr defaultColWidth="2.21875" defaultRowHeight="15" customHeight="1"/>
  <cols>
    <col min="1" max="16384" width="2.21875" style="21"/>
  </cols>
  <sheetData>
    <row r="2" spans="2:59" ht="15" customHeight="1">
      <c r="B2" s="188" t="s">
        <v>30</v>
      </c>
      <c r="C2" s="188"/>
      <c r="D2" s="188"/>
      <c r="E2" s="188"/>
      <c r="F2" s="188"/>
      <c r="G2" s="196" t="str">
        <f>表紙!V6</f>
        <v>会計システム刷新プロジェクト</v>
      </c>
      <c r="H2" s="196"/>
      <c r="I2" s="196"/>
      <c r="J2" s="196"/>
      <c r="K2" s="196"/>
      <c r="L2" s="196"/>
      <c r="M2" s="196"/>
      <c r="N2" s="196"/>
      <c r="O2" s="196"/>
      <c r="P2" s="196"/>
      <c r="Q2" s="196"/>
      <c r="R2" s="196"/>
      <c r="S2" s="196"/>
      <c r="T2" s="196"/>
      <c r="U2" s="197" t="s">
        <v>31</v>
      </c>
      <c r="V2" s="198"/>
      <c r="W2" s="198"/>
      <c r="X2" s="198"/>
      <c r="Y2" s="198"/>
      <c r="Z2" s="198"/>
      <c r="AA2" s="198"/>
      <c r="AB2" s="198"/>
      <c r="AC2" s="198"/>
      <c r="AD2" s="198"/>
      <c r="AE2" s="198"/>
      <c r="AF2" s="198"/>
      <c r="AG2" s="198"/>
      <c r="AH2" s="198"/>
      <c r="AI2" s="198"/>
      <c r="AJ2" s="198"/>
      <c r="AK2" s="198"/>
      <c r="AL2" s="198"/>
      <c r="AM2" s="198"/>
      <c r="AN2" s="198"/>
      <c r="AO2" s="198"/>
      <c r="AP2" s="198"/>
      <c r="AQ2" s="198"/>
      <c r="AR2" s="199"/>
      <c r="AS2" s="200" t="s">
        <v>9</v>
      </c>
      <c r="AT2" s="200"/>
      <c r="AU2" s="200"/>
      <c r="AV2" s="200"/>
      <c r="AW2" s="200"/>
      <c r="AX2" s="200"/>
      <c r="AY2" s="200"/>
      <c r="AZ2" s="200"/>
      <c r="BA2" s="200" t="s">
        <v>10</v>
      </c>
      <c r="BB2" s="200"/>
      <c r="BC2" s="200"/>
      <c r="BD2" s="200"/>
      <c r="BE2" s="200"/>
      <c r="BF2" s="200"/>
      <c r="BG2" s="200"/>
    </row>
    <row r="3" spans="2:59" ht="15" customHeight="1">
      <c r="B3" s="188" t="s">
        <v>32</v>
      </c>
      <c r="C3" s="188"/>
      <c r="D3" s="188"/>
      <c r="E3" s="188"/>
      <c r="F3" s="188"/>
      <c r="G3" s="196" t="str">
        <f>表紙!V10</f>
        <v>非機能要件定義書_データ容量・パフォーマンス</v>
      </c>
      <c r="H3" s="196"/>
      <c r="I3" s="196"/>
      <c r="J3" s="196"/>
      <c r="K3" s="196"/>
      <c r="L3" s="196"/>
      <c r="M3" s="196"/>
      <c r="N3" s="196"/>
      <c r="O3" s="196"/>
      <c r="P3" s="196"/>
      <c r="Q3" s="196"/>
      <c r="R3" s="196"/>
      <c r="S3" s="196"/>
      <c r="T3" s="196"/>
      <c r="U3" s="202" t="s">
        <v>33</v>
      </c>
      <c r="V3" s="203"/>
      <c r="W3" s="203"/>
      <c r="X3" s="203"/>
      <c r="Y3" s="203"/>
      <c r="Z3" s="203"/>
      <c r="AA3" s="203"/>
      <c r="AB3" s="203"/>
      <c r="AC3" s="203"/>
      <c r="AD3" s="203"/>
      <c r="AE3" s="203"/>
      <c r="AF3" s="203"/>
      <c r="AG3" s="203"/>
      <c r="AH3" s="203"/>
      <c r="AI3" s="203"/>
      <c r="AJ3" s="203"/>
      <c r="AK3" s="203"/>
      <c r="AL3" s="203"/>
      <c r="AM3" s="203"/>
      <c r="AN3" s="203"/>
      <c r="AO3" s="203"/>
      <c r="AP3" s="203"/>
      <c r="AQ3" s="203"/>
      <c r="AR3" s="204"/>
      <c r="AS3" s="188" t="s">
        <v>14</v>
      </c>
      <c r="AT3" s="188"/>
      <c r="AU3" s="173">
        <v>45435</v>
      </c>
      <c r="AV3" s="174"/>
      <c r="AW3" s="174"/>
      <c r="AX3" s="174"/>
      <c r="AY3" s="174"/>
      <c r="AZ3" s="175"/>
      <c r="BA3" s="155" t="s">
        <v>34</v>
      </c>
      <c r="BB3" s="156"/>
      <c r="BC3" s="156"/>
      <c r="BD3" s="156"/>
      <c r="BE3" s="156"/>
      <c r="BF3" s="156"/>
      <c r="BG3" s="157"/>
    </row>
    <row r="4" spans="2:59" ht="15" customHeight="1">
      <c r="B4" s="188"/>
      <c r="C4" s="188"/>
      <c r="D4" s="188"/>
      <c r="E4" s="188"/>
      <c r="F4" s="188"/>
      <c r="G4" s="201"/>
      <c r="H4" s="201"/>
      <c r="I4" s="201"/>
      <c r="J4" s="201"/>
      <c r="K4" s="201"/>
      <c r="L4" s="201"/>
      <c r="M4" s="201"/>
      <c r="N4" s="201"/>
      <c r="O4" s="201"/>
      <c r="P4" s="201"/>
      <c r="Q4" s="201"/>
      <c r="R4" s="201"/>
      <c r="S4" s="201"/>
      <c r="T4" s="201"/>
      <c r="U4" s="205"/>
      <c r="V4" s="206"/>
      <c r="W4" s="206"/>
      <c r="X4" s="206"/>
      <c r="Y4" s="206"/>
      <c r="Z4" s="206"/>
      <c r="AA4" s="206"/>
      <c r="AB4" s="206"/>
      <c r="AC4" s="206"/>
      <c r="AD4" s="206"/>
      <c r="AE4" s="206"/>
      <c r="AF4" s="206"/>
      <c r="AG4" s="206"/>
      <c r="AH4" s="206"/>
      <c r="AI4" s="206"/>
      <c r="AJ4" s="206"/>
      <c r="AK4" s="206"/>
      <c r="AL4" s="206"/>
      <c r="AM4" s="206"/>
      <c r="AN4" s="206"/>
      <c r="AO4" s="206"/>
      <c r="AP4" s="206"/>
      <c r="AQ4" s="206"/>
      <c r="AR4" s="207"/>
      <c r="AS4" s="188" t="s">
        <v>15</v>
      </c>
      <c r="AT4" s="188"/>
      <c r="AU4" s="189"/>
      <c r="AV4" s="189"/>
      <c r="AW4" s="189"/>
      <c r="AX4" s="189"/>
      <c r="AY4" s="189"/>
      <c r="AZ4" s="189"/>
      <c r="BA4" s="190"/>
      <c r="BB4" s="190"/>
      <c r="BC4" s="190"/>
      <c r="BD4" s="190"/>
      <c r="BE4" s="190"/>
      <c r="BF4" s="190"/>
      <c r="BG4" s="190"/>
    </row>
    <row r="6" spans="2:59" ht="15" customHeight="1">
      <c r="B6" s="21" t="s">
        <v>35</v>
      </c>
      <c r="C6" s="21" t="s">
        <v>156</v>
      </c>
    </row>
    <row r="7" spans="2:59" ht="15" customHeight="1">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row>
    <row r="8" spans="2:59" ht="15" customHeight="1">
      <c r="C8" s="21" t="s">
        <v>157</v>
      </c>
    </row>
    <row r="9" spans="2:59" ht="15" customHeight="1">
      <c r="C9" s="22"/>
      <c r="D9" s="184"/>
      <c r="E9" s="184"/>
      <c r="F9" s="184"/>
      <c r="G9" s="184"/>
      <c r="H9" s="184" t="s">
        <v>158</v>
      </c>
      <c r="I9" s="184"/>
      <c r="J9" s="184" t="s">
        <v>158</v>
      </c>
      <c r="K9" s="184"/>
      <c r="L9" s="184" t="s">
        <v>158</v>
      </c>
      <c r="M9" s="184"/>
      <c r="N9" s="184" t="s">
        <v>158</v>
      </c>
      <c r="O9" s="184"/>
      <c r="P9" s="184" t="s">
        <v>158</v>
      </c>
      <c r="Q9" s="184"/>
      <c r="R9" s="184" t="s">
        <v>158</v>
      </c>
      <c r="S9" s="184"/>
      <c r="T9" s="184" t="s">
        <v>158</v>
      </c>
      <c r="U9" s="184"/>
      <c r="V9" s="184" t="s">
        <v>158</v>
      </c>
      <c r="W9" s="184"/>
      <c r="X9" s="184" t="s">
        <v>158</v>
      </c>
      <c r="Y9" s="184"/>
      <c r="Z9" s="184" t="s">
        <v>158</v>
      </c>
      <c r="AA9" s="184"/>
      <c r="AB9" s="184" t="s">
        <v>158</v>
      </c>
      <c r="AC9" s="184"/>
      <c r="AD9" s="184" t="s">
        <v>158</v>
      </c>
      <c r="AE9" s="184"/>
      <c r="AF9" s="184" t="s">
        <v>159</v>
      </c>
      <c r="AG9" s="184" t="s">
        <v>159</v>
      </c>
      <c r="AH9" s="184" t="s">
        <v>159</v>
      </c>
      <c r="AI9" s="184" t="s">
        <v>159</v>
      </c>
      <c r="AJ9" s="184" t="s">
        <v>159</v>
      </c>
      <c r="AK9" s="184" t="s">
        <v>159</v>
      </c>
      <c r="AL9" s="184" t="s">
        <v>159</v>
      </c>
      <c r="AM9" s="184" t="s">
        <v>160</v>
      </c>
      <c r="AN9" s="184" t="s">
        <v>160</v>
      </c>
      <c r="AO9" s="184" t="s">
        <v>160</v>
      </c>
      <c r="AP9" s="184" t="s">
        <v>160</v>
      </c>
      <c r="AQ9" s="184" t="s">
        <v>160</v>
      </c>
      <c r="AR9" s="184" t="s">
        <v>160</v>
      </c>
      <c r="AS9" s="184" t="s">
        <v>160</v>
      </c>
    </row>
    <row r="10" spans="2:59" ht="15" customHeight="1">
      <c r="C10" s="22"/>
      <c r="D10" s="208" t="s">
        <v>161</v>
      </c>
      <c r="E10" s="209" t="s">
        <v>161</v>
      </c>
      <c r="F10" s="209" t="s">
        <v>161</v>
      </c>
      <c r="G10" s="210" t="s">
        <v>161</v>
      </c>
      <c r="H10" s="191" t="s">
        <v>162</v>
      </c>
      <c r="I10" s="191" t="s">
        <v>162</v>
      </c>
      <c r="J10" s="191" t="s">
        <v>162</v>
      </c>
      <c r="K10" s="191" t="s">
        <v>162</v>
      </c>
      <c r="L10" s="191" t="s">
        <v>162</v>
      </c>
      <c r="M10" s="191" t="s">
        <v>162</v>
      </c>
      <c r="N10" s="191" t="s">
        <v>162</v>
      </c>
      <c r="O10" s="191" t="s">
        <v>162</v>
      </c>
      <c r="P10" s="191" t="s">
        <v>162</v>
      </c>
      <c r="Q10" s="191" t="s">
        <v>162</v>
      </c>
      <c r="R10" s="191" t="s">
        <v>162</v>
      </c>
      <c r="S10" s="191" t="s">
        <v>162</v>
      </c>
      <c r="T10" s="191" t="s">
        <v>162</v>
      </c>
      <c r="U10" s="191" t="s">
        <v>162</v>
      </c>
      <c r="V10" s="191" t="s">
        <v>162</v>
      </c>
      <c r="W10" s="191" t="s">
        <v>162</v>
      </c>
      <c r="X10" s="191" t="s">
        <v>162</v>
      </c>
      <c r="Y10" s="191" t="s">
        <v>162</v>
      </c>
      <c r="Z10" s="191" t="s">
        <v>162</v>
      </c>
      <c r="AA10" s="191" t="s">
        <v>162</v>
      </c>
      <c r="AB10" s="191" t="s">
        <v>162</v>
      </c>
      <c r="AC10" s="191" t="s">
        <v>162</v>
      </c>
      <c r="AD10" s="191" t="s">
        <v>162</v>
      </c>
      <c r="AE10" s="191" t="s">
        <v>162</v>
      </c>
      <c r="AF10" s="253">
        <v>5000</v>
      </c>
      <c r="AG10" s="253">
        <v>5000</v>
      </c>
      <c r="AH10" s="253">
        <v>5000</v>
      </c>
      <c r="AI10" s="253">
        <v>5000</v>
      </c>
      <c r="AJ10" s="253">
        <v>5000</v>
      </c>
      <c r="AK10" s="253">
        <v>5000</v>
      </c>
      <c r="AL10" s="253">
        <v>5000</v>
      </c>
      <c r="AM10" s="253">
        <f t="shared" ref="AM10:AS11" si="0">AL10*100</f>
        <v>500000</v>
      </c>
      <c r="AN10" s="253">
        <f t="shared" si="0"/>
        <v>50000000</v>
      </c>
      <c r="AO10" s="253">
        <f t="shared" si="0"/>
        <v>5000000000</v>
      </c>
      <c r="AP10" s="253">
        <f t="shared" si="0"/>
        <v>500000000000</v>
      </c>
      <c r="AQ10" s="253">
        <f t="shared" si="0"/>
        <v>50000000000000</v>
      </c>
      <c r="AR10" s="253">
        <f t="shared" si="0"/>
        <v>5000000000000000</v>
      </c>
      <c r="AS10" s="253">
        <f t="shared" si="0"/>
        <v>5E+17</v>
      </c>
    </row>
    <row r="11" spans="2:59" ht="15" customHeight="1">
      <c r="C11" s="22"/>
      <c r="D11" s="208" t="s">
        <v>163</v>
      </c>
      <c r="E11" s="209" t="s">
        <v>163</v>
      </c>
      <c r="F11" s="209" t="s">
        <v>163</v>
      </c>
      <c r="G11" s="210" t="s">
        <v>163</v>
      </c>
      <c r="H11" s="191" t="s">
        <v>164</v>
      </c>
      <c r="I11" s="191" t="s">
        <v>164</v>
      </c>
      <c r="J11" s="191" t="s">
        <v>164</v>
      </c>
      <c r="K11" s="191" t="s">
        <v>164</v>
      </c>
      <c r="L11" s="191" t="s">
        <v>164</v>
      </c>
      <c r="M11" s="191" t="s">
        <v>164</v>
      </c>
      <c r="N11" s="191" t="s">
        <v>164</v>
      </c>
      <c r="O11" s="191" t="s">
        <v>164</v>
      </c>
      <c r="P11" s="191" t="s">
        <v>164</v>
      </c>
      <c r="Q11" s="191" t="s">
        <v>164</v>
      </c>
      <c r="R11" s="191" t="s">
        <v>164</v>
      </c>
      <c r="S11" s="191" t="s">
        <v>164</v>
      </c>
      <c r="T11" s="191" t="s">
        <v>164</v>
      </c>
      <c r="U11" s="191" t="s">
        <v>164</v>
      </c>
      <c r="V11" s="191" t="s">
        <v>164</v>
      </c>
      <c r="W11" s="191" t="s">
        <v>164</v>
      </c>
      <c r="X11" s="191" t="s">
        <v>164</v>
      </c>
      <c r="Y11" s="191" t="s">
        <v>164</v>
      </c>
      <c r="Z11" s="191" t="s">
        <v>164</v>
      </c>
      <c r="AA11" s="191" t="s">
        <v>164</v>
      </c>
      <c r="AB11" s="191" t="s">
        <v>164</v>
      </c>
      <c r="AC11" s="191" t="s">
        <v>164</v>
      </c>
      <c r="AD11" s="191" t="s">
        <v>164</v>
      </c>
      <c r="AE11" s="191" t="s">
        <v>164</v>
      </c>
      <c r="AF11" s="253">
        <v>300</v>
      </c>
      <c r="AG11" s="253">
        <v>300</v>
      </c>
      <c r="AH11" s="253">
        <v>300</v>
      </c>
      <c r="AI11" s="253">
        <v>300</v>
      </c>
      <c r="AJ11" s="253">
        <v>300</v>
      </c>
      <c r="AK11" s="253">
        <v>300</v>
      </c>
      <c r="AL11" s="253">
        <v>300</v>
      </c>
      <c r="AM11" s="253">
        <f t="shared" si="0"/>
        <v>30000</v>
      </c>
      <c r="AN11" s="253">
        <f t="shared" si="0"/>
        <v>3000000</v>
      </c>
      <c r="AO11" s="253">
        <f t="shared" si="0"/>
        <v>300000000</v>
      </c>
      <c r="AP11" s="253">
        <f t="shared" si="0"/>
        <v>30000000000</v>
      </c>
      <c r="AQ11" s="253">
        <f t="shared" si="0"/>
        <v>3000000000000</v>
      </c>
      <c r="AR11" s="253">
        <f t="shared" si="0"/>
        <v>300000000000000</v>
      </c>
      <c r="AS11" s="253">
        <f t="shared" si="0"/>
        <v>3E+16</v>
      </c>
    </row>
    <row r="12" spans="2:59" ht="15" customHeight="1">
      <c r="C12" s="22"/>
      <c r="D12" s="21" t="s">
        <v>165</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row>
    <row r="13" spans="2:59" ht="15" customHeight="1">
      <c r="C13" s="22"/>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row>
    <row r="15" spans="2:59" ht="15" customHeight="1">
      <c r="B15" s="21" t="s">
        <v>35</v>
      </c>
      <c r="C15" s="21" t="s">
        <v>166</v>
      </c>
    </row>
    <row r="16" spans="2:59" ht="15" customHeight="1">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row>
    <row r="17" spans="3:52" ht="15" customHeight="1">
      <c r="C17" s="21" t="s">
        <v>167</v>
      </c>
    </row>
    <row r="18" spans="3:52" ht="15" customHeight="1">
      <c r="D18" s="21" t="s">
        <v>168</v>
      </c>
    </row>
    <row r="19" spans="3:52" ht="15" customHeight="1">
      <c r="D19" s="252" t="s">
        <v>169</v>
      </c>
      <c r="E19" s="252"/>
      <c r="F19" s="252"/>
      <c r="G19" s="252"/>
      <c r="H19" s="252"/>
      <c r="I19" s="252" t="s">
        <v>170</v>
      </c>
      <c r="J19" s="252"/>
      <c r="K19" s="252"/>
      <c r="L19" s="252"/>
      <c r="M19" s="252"/>
      <c r="N19" s="252"/>
      <c r="O19" s="252"/>
      <c r="P19" s="252"/>
      <c r="Q19" s="252"/>
      <c r="R19" s="252"/>
      <c r="S19" s="252"/>
      <c r="T19" s="252" t="s">
        <v>171</v>
      </c>
      <c r="U19" s="252"/>
      <c r="V19" s="252"/>
      <c r="W19" s="252"/>
      <c r="X19" s="252"/>
      <c r="Y19" s="252"/>
      <c r="Z19" s="252"/>
      <c r="AA19" s="252"/>
      <c r="AB19" s="252"/>
      <c r="AC19" s="252"/>
      <c r="AD19" s="252"/>
      <c r="AE19" s="252" t="s">
        <v>172</v>
      </c>
      <c r="AF19" s="252"/>
      <c r="AG19" s="252"/>
      <c r="AH19" s="252"/>
      <c r="AI19" s="252"/>
      <c r="AJ19" s="252"/>
      <c r="AK19" s="252"/>
      <c r="AL19" s="252"/>
      <c r="AM19" s="252"/>
      <c r="AN19" s="252"/>
      <c r="AO19" s="252"/>
      <c r="AP19" s="252" t="s">
        <v>173</v>
      </c>
      <c r="AQ19" s="252"/>
      <c r="AR19" s="252"/>
      <c r="AS19" s="252"/>
      <c r="AT19" s="252"/>
      <c r="AU19" s="252"/>
      <c r="AV19" s="252"/>
      <c r="AW19" s="252"/>
      <c r="AX19" s="252"/>
      <c r="AY19" s="252"/>
      <c r="AZ19" s="252"/>
    </row>
    <row r="20" spans="3:52" ht="15" customHeight="1">
      <c r="D20" s="238" t="s">
        <v>174</v>
      </c>
      <c r="E20" s="238"/>
      <c r="F20" s="238"/>
      <c r="G20" s="238"/>
      <c r="H20" s="238"/>
      <c r="I20" s="239" t="s">
        <v>175</v>
      </c>
      <c r="J20" s="239"/>
      <c r="K20" s="239"/>
      <c r="L20" s="239"/>
      <c r="M20" s="239"/>
      <c r="N20" s="239"/>
      <c r="O20" s="239"/>
      <c r="P20" s="239"/>
      <c r="Q20" s="239"/>
      <c r="R20" s="239"/>
      <c r="S20" s="239"/>
      <c r="T20" s="238" t="s">
        <v>176</v>
      </c>
      <c r="U20" s="238"/>
      <c r="V20" s="238"/>
      <c r="W20" s="238"/>
      <c r="X20" s="238"/>
      <c r="Y20" s="238"/>
      <c r="Z20" s="238"/>
      <c r="AA20" s="238"/>
      <c r="AB20" s="238"/>
      <c r="AC20" s="238"/>
      <c r="AD20" s="238"/>
      <c r="AE20" s="239" t="s">
        <v>177</v>
      </c>
      <c r="AF20" s="239"/>
      <c r="AG20" s="239"/>
      <c r="AH20" s="239"/>
      <c r="AI20" s="239"/>
      <c r="AJ20" s="239"/>
      <c r="AK20" s="239"/>
      <c r="AL20" s="239"/>
      <c r="AM20" s="239"/>
      <c r="AN20" s="239"/>
      <c r="AO20" s="239"/>
      <c r="AP20" s="238" t="s">
        <v>178</v>
      </c>
      <c r="AQ20" s="239"/>
      <c r="AR20" s="239"/>
      <c r="AS20" s="239"/>
      <c r="AT20" s="239"/>
      <c r="AU20" s="239"/>
      <c r="AV20" s="239"/>
      <c r="AW20" s="239"/>
      <c r="AX20" s="239"/>
      <c r="AY20" s="239"/>
      <c r="AZ20" s="239"/>
    </row>
    <row r="21" spans="3:52" ht="15" customHeight="1">
      <c r="D21" s="238"/>
      <c r="E21" s="238"/>
      <c r="F21" s="238"/>
      <c r="G21" s="238"/>
      <c r="H21" s="238"/>
      <c r="I21" s="239"/>
      <c r="J21" s="239"/>
      <c r="K21" s="239"/>
      <c r="L21" s="239"/>
      <c r="M21" s="239"/>
      <c r="N21" s="239"/>
      <c r="O21" s="239"/>
      <c r="P21" s="239"/>
      <c r="Q21" s="239"/>
      <c r="R21" s="239"/>
      <c r="S21" s="239"/>
      <c r="T21" s="238"/>
      <c r="U21" s="238"/>
      <c r="V21" s="238"/>
      <c r="W21" s="238"/>
      <c r="X21" s="238"/>
      <c r="Y21" s="238"/>
      <c r="Z21" s="238"/>
      <c r="AA21" s="238"/>
      <c r="AB21" s="238"/>
      <c r="AC21" s="238"/>
      <c r="AD21" s="238"/>
      <c r="AE21" s="239"/>
      <c r="AF21" s="239"/>
      <c r="AG21" s="239"/>
      <c r="AH21" s="239"/>
      <c r="AI21" s="239"/>
      <c r="AJ21" s="239"/>
      <c r="AK21" s="239"/>
      <c r="AL21" s="239"/>
      <c r="AM21" s="239"/>
      <c r="AN21" s="239"/>
      <c r="AO21" s="239"/>
      <c r="AP21" s="239"/>
      <c r="AQ21" s="239"/>
      <c r="AR21" s="239"/>
      <c r="AS21" s="239"/>
      <c r="AT21" s="239"/>
      <c r="AU21" s="239"/>
      <c r="AV21" s="239"/>
      <c r="AW21" s="239"/>
      <c r="AX21" s="239"/>
      <c r="AY21" s="239"/>
      <c r="AZ21" s="239"/>
    </row>
    <row r="22" spans="3:52" ht="15" customHeight="1">
      <c r="D22" s="238"/>
      <c r="E22" s="238"/>
      <c r="F22" s="238"/>
      <c r="G22" s="238"/>
      <c r="H22" s="238"/>
      <c r="I22" s="239" t="s">
        <v>179</v>
      </c>
      <c r="J22" s="239"/>
      <c r="K22" s="239"/>
      <c r="L22" s="239"/>
      <c r="M22" s="239"/>
      <c r="N22" s="239"/>
      <c r="O22" s="239"/>
      <c r="P22" s="239"/>
      <c r="Q22" s="239"/>
      <c r="R22" s="239"/>
      <c r="S22" s="239"/>
      <c r="T22" s="238" t="s">
        <v>176</v>
      </c>
      <c r="U22" s="238"/>
      <c r="V22" s="238"/>
      <c r="W22" s="238"/>
      <c r="X22" s="238"/>
      <c r="Y22" s="238"/>
      <c r="Z22" s="238"/>
      <c r="AA22" s="238"/>
      <c r="AB22" s="238"/>
      <c r="AC22" s="238"/>
      <c r="AD22" s="238"/>
      <c r="AE22" s="239" t="s">
        <v>180</v>
      </c>
      <c r="AF22" s="239"/>
      <c r="AG22" s="239"/>
      <c r="AH22" s="239"/>
      <c r="AI22" s="239"/>
      <c r="AJ22" s="239"/>
      <c r="AK22" s="239"/>
      <c r="AL22" s="239"/>
      <c r="AM22" s="239"/>
      <c r="AN22" s="239"/>
      <c r="AO22" s="239"/>
      <c r="AP22" s="240" t="s">
        <v>181</v>
      </c>
      <c r="AQ22" s="241"/>
      <c r="AR22" s="241"/>
      <c r="AS22" s="241"/>
      <c r="AT22" s="241"/>
      <c r="AU22" s="241"/>
      <c r="AV22" s="241"/>
      <c r="AW22" s="241"/>
      <c r="AX22" s="241"/>
      <c r="AY22" s="241"/>
      <c r="AZ22" s="242"/>
    </row>
    <row r="23" spans="3:52" ht="15" customHeight="1">
      <c r="D23" s="238"/>
      <c r="E23" s="238"/>
      <c r="F23" s="238"/>
      <c r="G23" s="238"/>
      <c r="H23" s="238"/>
      <c r="I23" s="239"/>
      <c r="J23" s="239"/>
      <c r="K23" s="239"/>
      <c r="L23" s="239"/>
      <c r="M23" s="239"/>
      <c r="N23" s="239"/>
      <c r="O23" s="239"/>
      <c r="P23" s="239"/>
      <c r="Q23" s="239"/>
      <c r="R23" s="239"/>
      <c r="S23" s="239"/>
      <c r="T23" s="238"/>
      <c r="U23" s="238"/>
      <c r="V23" s="238"/>
      <c r="W23" s="238"/>
      <c r="X23" s="238"/>
      <c r="Y23" s="238"/>
      <c r="Z23" s="238"/>
      <c r="AA23" s="238"/>
      <c r="AB23" s="238"/>
      <c r="AC23" s="238"/>
      <c r="AD23" s="238"/>
      <c r="AE23" s="239"/>
      <c r="AF23" s="239"/>
      <c r="AG23" s="239"/>
      <c r="AH23" s="239"/>
      <c r="AI23" s="239"/>
      <c r="AJ23" s="239"/>
      <c r="AK23" s="239"/>
      <c r="AL23" s="239"/>
      <c r="AM23" s="239"/>
      <c r="AN23" s="239"/>
      <c r="AO23" s="239"/>
      <c r="AP23" s="243"/>
      <c r="AQ23" s="244"/>
      <c r="AR23" s="244"/>
      <c r="AS23" s="244"/>
      <c r="AT23" s="244"/>
      <c r="AU23" s="244"/>
      <c r="AV23" s="244"/>
      <c r="AW23" s="244"/>
      <c r="AX23" s="244"/>
      <c r="AY23" s="244"/>
      <c r="AZ23" s="245"/>
    </row>
    <row r="24" spans="3:52" ht="15" customHeight="1">
      <c r="D24" s="238"/>
      <c r="E24" s="238"/>
      <c r="F24" s="238"/>
      <c r="G24" s="238"/>
      <c r="H24" s="238"/>
      <c r="I24" s="239" t="s">
        <v>182</v>
      </c>
      <c r="J24" s="239"/>
      <c r="K24" s="239"/>
      <c r="L24" s="239"/>
      <c r="M24" s="239"/>
      <c r="N24" s="239"/>
      <c r="O24" s="239"/>
      <c r="P24" s="239"/>
      <c r="Q24" s="239"/>
      <c r="R24" s="239"/>
      <c r="S24" s="239"/>
      <c r="T24" s="238" t="s">
        <v>176</v>
      </c>
      <c r="U24" s="238"/>
      <c r="V24" s="238"/>
      <c r="W24" s="238"/>
      <c r="X24" s="238"/>
      <c r="Y24" s="238"/>
      <c r="Z24" s="238"/>
      <c r="AA24" s="238"/>
      <c r="AB24" s="238"/>
      <c r="AC24" s="238"/>
      <c r="AD24" s="238"/>
      <c r="AE24" s="239" t="s">
        <v>177</v>
      </c>
      <c r="AF24" s="239"/>
      <c r="AG24" s="239"/>
      <c r="AH24" s="239"/>
      <c r="AI24" s="239"/>
      <c r="AJ24" s="239"/>
      <c r="AK24" s="239"/>
      <c r="AL24" s="239"/>
      <c r="AM24" s="239"/>
      <c r="AN24" s="239"/>
      <c r="AO24" s="239"/>
      <c r="AP24" s="246" t="s">
        <v>183</v>
      </c>
      <c r="AQ24" s="247"/>
      <c r="AR24" s="247"/>
      <c r="AS24" s="247"/>
      <c r="AT24" s="247"/>
      <c r="AU24" s="247"/>
      <c r="AV24" s="247"/>
      <c r="AW24" s="247"/>
      <c r="AX24" s="247"/>
      <c r="AY24" s="247"/>
      <c r="AZ24" s="248"/>
    </row>
    <row r="25" spans="3:52" ht="15" customHeight="1">
      <c r="D25" s="238"/>
      <c r="E25" s="238"/>
      <c r="F25" s="238"/>
      <c r="G25" s="238"/>
      <c r="H25" s="238"/>
      <c r="I25" s="239"/>
      <c r="J25" s="239"/>
      <c r="K25" s="239"/>
      <c r="L25" s="239"/>
      <c r="M25" s="239"/>
      <c r="N25" s="239"/>
      <c r="O25" s="239"/>
      <c r="P25" s="239"/>
      <c r="Q25" s="239"/>
      <c r="R25" s="239"/>
      <c r="S25" s="239"/>
      <c r="T25" s="238"/>
      <c r="U25" s="238"/>
      <c r="V25" s="238"/>
      <c r="W25" s="238"/>
      <c r="X25" s="238"/>
      <c r="Y25" s="238"/>
      <c r="Z25" s="238"/>
      <c r="AA25" s="238"/>
      <c r="AB25" s="238"/>
      <c r="AC25" s="238"/>
      <c r="AD25" s="238"/>
      <c r="AE25" s="239"/>
      <c r="AF25" s="239"/>
      <c r="AG25" s="239"/>
      <c r="AH25" s="239"/>
      <c r="AI25" s="239"/>
      <c r="AJ25" s="239"/>
      <c r="AK25" s="239"/>
      <c r="AL25" s="239"/>
      <c r="AM25" s="239"/>
      <c r="AN25" s="239"/>
      <c r="AO25" s="239"/>
      <c r="AP25" s="249"/>
      <c r="AQ25" s="250"/>
      <c r="AR25" s="250"/>
      <c r="AS25" s="250"/>
      <c r="AT25" s="250"/>
      <c r="AU25" s="250"/>
      <c r="AV25" s="250"/>
      <c r="AW25" s="250"/>
      <c r="AX25" s="250"/>
      <c r="AY25" s="250"/>
      <c r="AZ25" s="251"/>
    </row>
    <row r="26" spans="3:52" ht="15" customHeight="1">
      <c r="D26" s="21" t="s">
        <v>184</v>
      </c>
      <c r="F26" s="21" t="s">
        <v>185</v>
      </c>
    </row>
    <row r="27" spans="3:52" ht="15" customHeight="1">
      <c r="E27" s="22" t="s">
        <v>186</v>
      </c>
    </row>
    <row r="28" spans="3:52" ht="15" customHeight="1">
      <c r="E28" s="22"/>
    </row>
    <row r="29" spans="3:52" ht="15" customHeight="1">
      <c r="D29" s="21" t="s">
        <v>187</v>
      </c>
      <c r="F29" s="21" t="s">
        <v>188</v>
      </c>
    </row>
    <row r="30" spans="3:52" ht="15" customHeight="1">
      <c r="F30" s="21" t="s">
        <v>189</v>
      </c>
    </row>
    <row r="32" spans="3:52" ht="15" customHeight="1">
      <c r="F32" s="22"/>
    </row>
    <row r="33" spans="6:6" ht="15" customHeight="1">
      <c r="F33" s="22"/>
    </row>
  </sheetData>
  <mergeCells count="44">
    <mergeCell ref="AM10:AS10"/>
    <mergeCell ref="D11:G11"/>
    <mergeCell ref="H11:AE11"/>
    <mergeCell ref="AF11:AL11"/>
    <mergeCell ref="AM11:AS11"/>
    <mergeCell ref="D19:H19"/>
    <mergeCell ref="I19:S19"/>
    <mergeCell ref="D10:G10"/>
    <mergeCell ref="H10:AE10"/>
    <mergeCell ref="AF10:AL10"/>
    <mergeCell ref="T20:AD21"/>
    <mergeCell ref="AE20:AO21"/>
    <mergeCell ref="I22:S23"/>
    <mergeCell ref="T22:AD23"/>
    <mergeCell ref="AE22:AO23"/>
    <mergeCell ref="BA3:BG3"/>
    <mergeCell ref="AS4:AT4"/>
    <mergeCell ref="AU4:AZ4"/>
    <mergeCell ref="BA4:BG4"/>
    <mergeCell ref="D9:G9"/>
    <mergeCell ref="H9:AE9"/>
    <mergeCell ref="AF9:AL9"/>
    <mergeCell ref="AM9:AS9"/>
    <mergeCell ref="B2:F2"/>
    <mergeCell ref="G2:T2"/>
    <mergeCell ref="U2:AR2"/>
    <mergeCell ref="AS2:AZ2"/>
    <mergeCell ref="BA2:BG2"/>
    <mergeCell ref="AP20:AZ21"/>
    <mergeCell ref="AP22:AZ23"/>
    <mergeCell ref="AP24:AZ25"/>
    <mergeCell ref="AP19:AZ19"/>
    <mergeCell ref="B3:F4"/>
    <mergeCell ref="G3:T4"/>
    <mergeCell ref="U3:AR4"/>
    <mergeCell ref="AS3:AT3"/>
    <mergeCell ref="AU3:AZ3"/>
    <mergeCell ref="T19:AD19"/>
    <mergeCell ref="AE19:AO19"/>
    <mergeCell ref="D20:H25"/>
    <mergeCell ref="I24:S25"/>
    <mergeCell ref="T24:AD25"/>
    <mergeCell ref="AE24:AO25"/>
    <mergeCell ref="I20:S21"/>
  </mergeCells>
  <phoneticPr fontId="20"/>
  <hyperlinks>
    <hyperlink ref="E27" r:id="rId1" xr:uid="{E9BE4360-A6D1-4DEE-8A8F-773980A001A3}"/>
  </hyperlinks>
  <pageMargins left="0.7" right="0.7" top="0.75" bottom="0.75" header="0.3" footer="0.3"/>
  <pageSetup paperSize="9" orientation="portrait" verticalDpi="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FB4D9-2558-4C30-856D-E04BDDB6F1A7}">
  <dimension ref="B2:BG24"/>
  <sheetViews>
    <sheetView showGridLines="0" zoomScale="80" zoomScaleNormal="80" workbookViewId="0"/>
  </sheetViews>
  <sheetFormatPr defaultColWidth="2.21875" defaultRowHeight="15" customHeight="1"/>
  <cols>
    <col min="1" max="16384" width="2.21875" style="21"/>
  </cols>
  <sheetData>
    <row r="2" spans="2:59" ht="15" customHeight="1">
      <c r="B2" s="188" t="s">
        <v>30</v>
      </c>
      <c r="C2" s="188"/>
      <c r="D2" s="188"/>
      <c r="E2" s="188"/>
      <c r="F2" s="188"/>
      <c r="G2" s="196" t="str">
        <f>表紙!V6</f>
        <v>会計システム刷新プロジェクト</v>
      </c>
      <c r="H2" s="196"/>
      <c r="I2" s="196"/>
      <c r="J2" s="196"/>
      <c r="K2" s="196"/>
      <c r="L2" s="196"/>
      <c r="M2" s="196"/>
      <c r="N2" s="196"/>
      <c r="O2" s="196"/>
      <c r="P2" s="196"/>
      <c r="Q2" s="196"/>
      <c r="R2" s="196"/>
      <c r="S2" s="196"/>
      <c r="T2" s="196"/>
      <c r="U2" s="197" t="s">
        <v>31</v>
      </c>
      <c r="V2" s="198"/>
      <c r="W2" s="198"/>
      <c r="X2" s="198"/>
      <c r="Y2" s="198"/>
      <c r="Z2" s="198"/>
      <c r="AA2" s="198"/>
      <c r="AB2" s="198"/>
      <c r="AC2" s="198"/>
      <c r="AD2" s="198"/>
      <c r="AE2" s="198"/>
      <c r="AF2" s="198"/>
      <c r="AG2" s="198"/>
      <c r="AH2" s="198"/>
      <c r="AI2" s="198"/>
      <c r="AJ2" s="198"/>
      <c r="AK2" s="198"/>
      <c r="AL2" s="198"/>
      <c r="AM2" s="198"/>
      <c r="AN2" s="198"/>
      <c r="AO2" s="198"/>
      <c r="AP2" s="198"/>
      <c r="AQ2" s="198"/>
      <c r="AR2" s="199"/>
      <c r="AS2" s="200" t="s">
        <v>9</v>
      </c>
      <c r="AT2" s="200"/>
      <c r="AU2" s="200"/>
      <c r="AV2" s="200"/>
      <c r="AW2" s="200"/>
      <c r="AX2" s="200"/>
      <c r="AY2" s="200"/>
      <c r="AZ2" s="200"/>
      <c r="BA2" s="200" t="s">
        <v>10</v>
      </c>
      <c r="BB2" s="200"/>
      <c r="BC2" s="200"/>
      <c r="BD2" s="200"/>
      <c r="BE2" s="200"/>
      <c r="BF2" s="200"/>
      <c r="BG2" s="200"/>
    </row>
    <row r="3" spans="2:59" ht="15" customHeight="1">
      <c r="B3" s="188" t="s">
        <v>32</v>
      </c>
      <c r="C3" s="188"/>
      <c r="D3" s="188"/>
      <c r="E3" s="188"/>
      <c r="F3" s="188"/>
      <c r="G3" s="196" t="str">
        <f>表紙!V10</f>
        <v>非機能要件定義書_データ容量・パフォーマンス</v>
      </c>
      <c r="H3" s="196"/>
      <c r="I3" s="196"/>
      <c r="J3" s="196"/>
      <c r="K3" s="196"/>
      <c r="L3" s="196"/>
      <c r="M3" s="196"/>
      <c r="N3" s="196"/>
      <c r="O3" s="196"/>
      <c r="P3" s="196"/>
      <c r="Q3" s="196"/>
      <c r="R3" s="196"/>
      <c r="S3" s="196"/>
      <c r="T3" s="196"/>
      <c r="U3" s="202" t="s">
        <v>33</v>
      </c>
      <c r="V3" s="203"/>
      <c r="W3" s="203"/>
      <c r="X3" s="203"/>
      <c r="Y3" s="203"/>
      <c r="Z3" s="203"/>
      <c r="AA3" s="203"/>
      <c r="AB3" s="203"/>
      <c r="AC3" s="203"/>
      <c r="AD3" s="203"/>
      <c r="AE3" s="203"/>
      <c r="AF3" s="203"/>
      <c r="AG3" s="203"/>
      <c r="AH3" s="203"/>
      <c r="AI3" s="203"/>
      <c r="AJ3" s="203"/>
      <c r="AK3" s="203"/>
      <c r="AL3" s="203"/>
      <c r="AM3" s="203"/>
      <c r="AN3" s="203"/>
      <c r="AO3" s="203"/>
      <c r="AP3" s="203"/>
      <c r="AQ3" s="203"/>
      <c r="AR3" s="204"/>
      <c r="AS3" s="188" t="s">
        <v>14</v>
      </c>
      <c r="AT3" s="188"/>
      <c r="AU3" s="173">
        <v>45435</v>
      </c>
      <c r="AV3" s="174"/>
      <c r="AW3" s="174"/>
      <c r="AX3" s="174"/>
      <c r="AY3" s="174"/>
      <c r="AZ3" s="175"/>
      <c r="BA3" s="155" t="s">
        <v>34</v>
      </c>
      <c r="BB3" s="156"/>
      <c r="BC3" s="156"/>
      <c r="BD3" s="156"/>
      <c r="BE3" s="156"/>
      <c r="BF3" s="156"/>
      <c r="BG3" s="157"/>
    </row>
    <row r="4" spans="2:59" ht="15" customHeight="1">
      <c r="B4" s="188"/>
      <c r="C4" s="188"/>
      <c r="D4" s="188"/>
      <c r="E4" s="188"/>
      <c r="F4" s="188"/>
      <c r="G4" s="201"/>
      <c r="H4" s="201"/>
      <c r="I4" s="201"/>
      <c r="J4" s="201"/>
      <c r="K4" s="201"/>
      <c r="L4" s="201"/>
      <c r="M4" s="201"/>
      <c r="N4" s="201"/>
      <c r="O4" s="201"/>
      <c r="P4" s="201"/>
      <c r="Q4" s="201"/>
      <c r="R4" s="201"/>
      <c r="S4" s="201"/>
      <c r="T4" s="201"/>
      <c r="U4" s="205"/>
      <c r="V4" s="206"/>
      <c r="W4" s="206"/>
      <c r="X4" s="206"/>
      <c r="Y4" s="206"/>
      <c r="Z4" s="206"/>
      <c r="AA4" s="206"/>
      <c r="AB4" s="206"/>
      <c r="AC4" s="206"/>
      <c r="AD4" s="206"/>
      <c r="AE4" s="206"/>
      <c r="AF4" s="206"/>
      <c r="AG4" s="206"/>
      <c r="AH4" s="206"/>
      <c r="AI4" s="206"/>
      <c r="AJ4" s="206"/>
      <c r="AK4" s="206"/>
      <c r="AL4" s="206"/>
      <c r="AM4" s="206"/>
      <c r="AN4" s="206"/>
      <c r="AO4" s="206"/>
      <c r="AP4" s="206"/>
      <c r="AQ4" s="206"/>
      <c r="AR4" s="207"/>
      <c r="AS4" s="188" t="s">
        <v>15</v>
      </c>
      <c r="AT4" s="188"/>
      <c r="AU4" s="189"/>
      <c r="AV4" s="189"/>
      <c r="AW4" s="189"/>
      <c r="AX4" s="189"/>
      <c r="AY4" s="189"/>
      <c r="AZ4" s="189"/>
      <c r="BA4" s="190"/>
      <c r="BB4" s="190"/>
      <c r="BC4" s="190"/>
      <c r="BD4" s="190"/>
      <c r="BE4" s="190"/>
      <c r="BF4" s="190"/>
      <c r="BG4" s="190"/>
    </row>
    <row r="6" spans="2:59" ht="15" customHeight="1">
      <c r="B6" s="21" t="s">
        <v>35</v>
      </c>
      <c r="C6" s="21" t="s">
        <v>190</v>
      </c>
    </row>
    <row r="7" spans="2:59" ht="15" customHeight="1">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row>
    <row r="8" spans="2:59" ht="15" customHeight="1">
      <c r="C8" s="21" t="s">
        <v>191</v>
      </c>
    </row>
    <row r="9" spans="2:59" ht="15" customHeight="1">
      <c r="C9" s="21" t="s">
        <v>192</v>
      </c>
    </row>
    <row r="10" spans="2:59" ht="15" customHeight="1">
      <c r="D10" s="21" t="s">
        <v>193</v>
      </c>
    </row>
    <row r="12" spans="2:59" ht="15" customHeight="1">
      <c r="B12" s="21" t="s">
        <v>35</v>
      </c>
      <c r="C12" s="21" t="s">
        <v>194</v>
      </c>
    </row>
    <row r="13" spans="2:59" ht="15" customHeight="1">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row>
    <row r="14" spans="2:59" ht="15" customHeight="1">
      <c r="C14" s="27" t="s">
        <v>35</v>
      </c>
      <c r="D14" s="21" t="s">
        <v>195</v>
      </c>
    </row>
    <row r="15" spans="2:59" ht="15" customHeight="1">
      <c r="E15" s="21" t="s">
        <v>196</v>
      </c>
    </row>
    <row r="17" spans="3:8" ht="15" customHeight="1">
      <c r="C17" s="27" t="s">
        <v>35</v>
      </c>
      <c r="D17" s="21" t="s">
        <v>197</v>
      </c>
    </row>
    <row r="18" spans="3:8" ht="15" customHeight="1">
      <c r="E18" s="21" t="s">
        <v>198</v>
      </c>
    </row>
    <row r="19" spans="3:8" ht="15" customHeight="1">
      <c r="E19" s="21" t="s">
        <v>199</v>
      </c>
    </row>
    <row r="21" spans="3:8" ht="15" customHeight="1">
      <c r="E21" s="21" t="s">
        <v>200</v>
      </c>
    </row>
    <row r="22" spans="3:8" ht="15" customHeight="1">
      <c r="E22" s="21" t="s">
        <v>201</v>
      </c>
    </row>
    <row r="24" spans="3:8" ht="15" customHeight="1">
      <c r="C24" s="22"/>
      <c r="E24" s="21" t="s">
        <v>202</v>
      </c>
      <c r="H24" s="22" t="s">
        <v>203</v>
      </c>
    </row>
  </sheetData>
  <mergeCells count="14">
    <mergeCell ref="BA3:BG3"/>
    <mergeCell ref="AS4:AT4"/>
    <mergeCell ref="AU4:AZ4"/>
    <mergeCell ref="BA4:BG4"/>
    <mergeCell ref="B2:F2"/>
    <mergeCell ref="G2:T2"/>
    <mergeCell ref="U2:AR2"/>
    <mergeCell ref="AS2:AZ2"/>
    <mergeCell ref="BA2:BG2"/>
    <mergeCell ref="B3:F4"/>
    <mergeCell ref="G3:T4"/>
    <mergeCell ref="U3:AR4"/>
    <mergeCell ref="AS3:AT3"/>
    <mergeCell ref="AU3:AZ3"/>
  </mergeCells>
  <phoneticPr fontId="1"/>
  <hyperlinks>
    <hyperlink ref="H24" r:id="rId1" location="maximum-limit-50-gb-on-exported-bacpacs" xr:uid="{248D9EDE-A19E-4260-A23B-6F5E568A7C19}"/>
  </hyperlinks>
  <pageMargins left="0.7" right="0.7" top="0.75" bottom="0.75" header="0.3" footer="0.3"/>
  <pageSetup paperSize="9" orientation="portrait" verticalDpi="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C02A7-147E-4C21-8440-E4A732C6F014}">
  <dimension ref="B2:BM84"/>
  <sheetViews>
    <sheetView showGridLines="0" zoomScale="80" zoomScaleNormal="80" workbookViewId="0"/>
  </sheetViews>
  <sheetFormatPr defaultColWidth="2.21875" defaultRowHeight="15" customHeight="1"/>
  <cols>
    <col min="1" max="16384" width="2.21875" style="21"/>
  </cols>
  <sheetData>
    <row r="2" spans="2:59" ht="15" customHeight="1">
      <c r="B2" s="188" t="s">
        <v>30</v>
      </c>
      <c r="C2" s="188"/>
      <c r="D2" s="188"/>
      <c r="E2" s="188"/>
      <c r="F2" s="188"/>
      <c r="G2" s="196" t="str">
        <f>表紙!V6</f>
        <v>会計システム刷新プロジェクト</v>
      </c>
      <c r="H2" s="196"/>
      <c r="I2" s="196"/>
      <c r="J2" s="196"/>
      <c r="K2" s="196"/>
      <c r="L2" s="196"/>
      <c r="M2" s="196"/>
      <c r="N2" s="196"/>
      <c r="O2" s="196"/>
      <c r="P2" s="196"/>
      <c r="Q2" s="196"/>
      <c r="R2" s="196"/>
      <c r="S2" s="196"/>
      <c r="T2" s="196"/>
      <c r="U2" s="197" t="s">
        <v>31</v>
      </c>
      <c r="V2" s="198"/>
      <c r="W2" s="198"/>
      <c r="X2" s="198"/>
      <c r="Y2" s="198"/>
      <c r="Z2" s="198"/>
      <c r="AA2" s="198"/>
      <c r="AB2" s="198"/>
      <c r="AC2" s="198"/>
      <c r="AD2" s="198"/>
      <c r="AE2" s="198"/>
      <c r="AF2" s="198"/>
      <c r="AG2" s="198"/>
      <c r="AH2" s="198"/>
      <c r="AI2" s="198"/>
      <c r="AJ2" s="198"/>
      <c r="AK2" s="198"/>
      <c r="AL2" s="198"/>
      <c r="AM2" s="198"/>
      <c r="AN2" s="198"/>
      <c r="AO2" s="198"/>
      <c r="AP2" s="198"/>
      <c r="AQ2" s="198"/>
      <c r="AR2" s="199"/>
      <c r="AS2" s="200" t="s">
        <v>9</v>
      </c>
      <c r="AT2" s="200"/>
      <c r="AU2" s="200"/>
      <c r="AV2" s="200"/>
      <c r="AW2" s="200"/>
      <c r="AX2" s="200"/>
      <c r="AY2" s="200"/>
      <c r="AZ2" s="200"/>
      <c r="BA2" s="200" t="s">
        <v>10</v>
      </c>
      <c r="BB2" s="200"/>
      <c r="BC2" s="200"/>
      <c r="BD2" s="200"/>
      <c r="BE2" s="200"/>
      <c r="BF2" s="200"/>
      <c r="BG2" s="200"/>
    </row>
    <row r="3" spans="2:59" ht="15" customHeight="1">
      <c r="B3" s="188" t="s">
        <v>32</v>
      </c>
      <c r="C3" s="188"/>
      <c r="D3" s="188"/>
      <c r="E3" s="188"/>
      <c r="F3" s="188"/>
      <c r="G3" s="196" t="str">
        <f>表紙!V10</f>
        <v>非機能要件定義書_データ容量・パフォーマンス</v>
      </c>
      <c r="H3" s="196"/>
      <c r="I3" s="196"/>
      <c r="J3" s="196"/>
      <c r="K3" s="196"/>
      <c r="L3" s="196"/>
      <c r="M3" s="196"/>
      <c r="N3" s="196"/>
      <c r="O3" s="196"/>
      <c r="P3" s="196"/>
      <c r="Q3" s="196"/>
      <c r="R3" s="196"/>
      <c r="S3" s="196"/>
      <c r="T3" s="196"/>
      <c r="U3" s="202" t="s">
        <v>33</v>
      </c>
      <c r="V3" s="203"/>
      <c r="W3" s="203"/>
      <c r="X3" s="203"/>
      <c r="Y3" s="203"/>
      <c r="Z3" s="203"/>
      <c r="AA3" s="203"/>
      <c r="AB3" s="203"/>
      <c r="AC3" s="203"/>
      <c r="AD3" s="203"/>
      <c r="AE3" s="203"/>
      <c r="AF3" s="203"/>
      <c r="AG3" s="203"/>
      <c r="AH3" s="203"/>
      <c r="AI3" s="203"/>
      <c r="AJ3" s="203"/>
      <c r="AK3" s="203"/>
      <c r="AL3" s="203"/>
      <c r="AM3" s="203"/>
      <c r="AN3" s="203"/>
      <c r="AO3" s="203"/>
      <c r="AP3" s="203"/>
      <c r="AQ3" s="203"/>
      <c r="AR3" s="204"/>
      <c r="AS3" s="188" t="s">
        <v>14</v>
      </c>
      <c r="AT3" s="188"/>
      <c r="AU3" s="173">
        <v>45435</v>
      </c>
      <c r="AV3" s="174"/>
      <c r="AW3" s="174"/>
      <c r="AX3" s="174"/>
      <c r="AY3" s="174"/>
      <c r="AZ3" s="175"/>
      <c r="BA3" s="155" t="s">
        <v>34</v>
      </c>
      <c r="BB3" s="156"/>
      <c r="BC3" s="156"/>
      <c r="BD3" s="156"/>
      <c r="BE3" s="156"/>
      <c r="BF3" s="156"/>
      <c r="BG3" s="157"/>
    </row>
    <row r="4" spans="2:59" ht="15" customHeight="1">
      <c r="B4" s="188"/>
      <c r="C4" s="188"/>
      <c r="D4" s="188"/>
      <c r="E4" s="188"/>
      <c r="F4" s="188"/>
      <c r="G4" s="201"/>
      <c r="H4" s="201"/>
      <c r="I4" s="201"/>
      <c r="J4" s="201"/>
      <c r="K4" s="201"/>
      <c r="L4" s="201"/>
      <c r="M4" s="201"/>
      <c r="N4" s="201"/>
      <c r="O4" s="201"/>
      <c r="P4" s="201"/>
      <c r="Q4" s="201"/>
      <c r="R4" s="201"/>
      <c r="S4" s="201"/>
      <c r="T4" s="201"/>
      <c r="U4" s="205"/>
      <c r="V4" s="206"/>
      <c r="W4" s="206"/>
      <c r="X4" s="206"/>
      <c r="Y4" s="206"/>
      <c r="Z4" s="206"/>
      <c r="AA4" s="206"/>
      <c r="AB4" s="206"/>
      <c r="AC4" s="206"/>
      <c r="AD4" s="206"/>
      <c r="AE4" s="206"/>
      <c r="AF4" s="206"/>
      <c r="AG4" s="206"/>
      <c r="AH4" s="206"/>
      <c r="AI4" s="206"/>
      <c r="AJ4" s="206"/>
      <c r="AK4" s="206"/>
      <c r="AL4" s="206"/>
      <c r="AM4" s="206"/>
      <c r="AN4" s="206"/>
      <c r="AO4" s="206"/>
      <c r="AP4" s="206"/>
      <c r="AQ4" s="206"/>
      <c r="AR4" s="207"/>
      <c r="AS4" s="188" t="s">
        <v>15</v>
      </c>
      <c r="AT4" s="188"/>
      <c r="AU4" s="189"/>
      <c r="AV4" s="189"/>
      <c r="AW4" s="189"/>
      <c r="AX4" s="189"/>
      <c r="AY4" s="189"/>
      <c r="AZ4" s="189"/>
      <c r="BA4" s="190"/>
      <c r="BB4" s="190"/>
      <c r="BC4" s="190"/>
      <c r="BD4" s="190"/>
      <c r="BE4" s="190"/>
      <c r="BF4" s="190"/>
      <c r="BG4" s="190"/>
    </row>
    <row r="6" spans="2:59" ht="15" customHeight="1">
      <c r="B6" s="23" t="s">
        <v>35</v>
      </c>
      <c r="C6" s="23" t="s">
        <v>204</v>
      </c>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row>
    <row r="7" spans="2:59" ht="15" customHeight="1">
      <c r="B7" s="26"/>
      <c r="C7" s="26" t="s">
        <v>205</v>
      </c>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row>
    <row r="8" spans="2:59" ht="15" customHeight="1">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row>
    <row r="9" spans="2:59" ht="15" customHeight="1">
      <c r="B9" s="23"/>
      <c r="C9" s="28" t="s">
        <v>35</v>
      </c>
      <c r="D9" s="23" t="s">
        <v>206</v>
      </c>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row>
    <row r="10" spans="2:59" ht="15" customHeight="1">
      <c r="B10" s="23"/>
      <c r="C10" s="23"/>
      <c r="D10" s="23" t="s">
        <v>207</v>
      </c>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row>
    <row r="11" spans="2:59" ht="15" customHeight="1">
      <c r="B11" s="23"/>
      <c r="C11" s="23"/>
      <c r="D11" s="23" t="s">
        <v>208</v>
      </c>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row>
    <row r="12" spans="2:59" ht="15" customHeight="1">
      <c r="B12" s="23"/>
      <c r="C12" s="23"/>
      <c r="D12" s="23" t="s">
        <v>209</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row>
    <row r="13" spans="2:59" ht="15" customHeight="1">
      <c r="D13" s="23" t="s">
        <v>210</v>
      </c>
      <c r="F13" s="30"/>
    </row>
    <row r="14" spans="2:59" ht="15" customHeight="1">
      <c r="D14" s="23" t="s">
        <v>211</v>
      </c>
      <c r="F14" s="30"/>
    </row>
    <row r="15" spans="2:59" ht="15" customHeight="1">
      <c r="D15" s="23" t="s">
        <v>212</v>
      </c>
      <c r="F15" s="30"/>
    </row>
    <row r="16" spans="2:59" ht="15" customHeight="1">
      <c r="F16" s="24"/>
    </row>
    <row r="17" spans="2:55" ht="15" customHeight="1">
      <c r="B17" s="23" t="s">
        <v>35</v>
      </c>
      <c r="C17" s="23" t="s">
        <v>213</v>
      </c>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row>
    <row r="18" spans="2:55" ht="15" customHeight="1">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row>
    <row r="19" spans="2:55" ht="15" customHeight="1">
      <c r="B19" s="23"/>
      <c r="C19" s="21" t="s">
        <v>214</v>
      </c>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row>
    <row r="20" spans="2:55" ht="15" customHeight="1">
      <c r="C20" s="23"/>
      <c r="D20" s="23" t="s">
        <v>215</v>
      </c>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row>
    <row r="21" spans="2:55" ht="15" customHeight="1">
      <c r="D21" s="21" t="s">
        <v>216</v>
      </c>
      <c r="G21" s="24"/>
    </row>
    <row r="22" spans="2:55" ht="15" customHeight="1">
      <c r="G22" s="24"/>
    </row>
    <row r="23" spans="2:55" ht="15" customHeight="1">
      <c r="D23" s="282" t="s">
        <v>217</v>
      </c>
      <c r="E23" s="283"/>
      <c r="F23" s="283"/>
      <c r="G23" s="283"/>
      <c r="H23" s="283"/>
      <c r="I23" s="283"/>
      <c r="J23" s="283"/>
      <c r="K23" s="283"/>
      <c r="L23" s="283"/>
      <c r="M23" s="283"/>
      <c r="N23" s="284"/>
    </row>
    <row r="24" spans="2:55" ht="15" customHeight="1">
      <c r="D24" s="285" t="s">
        <v>218</v>
      </c>
      <c r="E24" s="286"/>
      <c r="F24" s="286"/>
      <c r="G24" s="286"/>
      <c r="H24" s="286"/>
      <c r="I24" s="286"/>
      <c r="J24" s="286"/>
      <c r="K24" s="286"/>
      <c r="L24" s="286"/>
      <c r="M24" s="286"/>
      <c r="N24" s="287"/>
    </row>
    <row r="25" spans="2:55" ht="15" customHeight="1">
      <c r="C25" s="23"/>
      <c r="D25" s="23"/>
      <c r="E25" s="23"/>
      <c r="F25" s="23"/>
      <c r="G25" s="23"/>
      <c r="H25" s="23"/>
      <c r="I25" s="23"/>
      <c r="J25" s="23"/>
      <c r="K25" s="23"/>
      <c r="L25" s="23"/>
      <c r="M25" s="23"/>
    </row>
    <row r="27" spans="2:55" ht="15" customHeight="1">
      <c r="B27" s="21" t="s">
        <v>35</v>
      </c>
      <c r="C27" s="21" t="s">
        <v>219</v>
      </c>
    </row>
    <row r="28" spans="2:55" ht="15" customHeight="1">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row>
    <row r="29" spans="2:55" ht="15" customHeight="1">
      <c r="B29" s="23"/>
      <c r="C29" s="23" t="s">
        <v>220</v>
      </c>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row>
    <row r="30" spans="2:55" ht="15" customHeight="1">
      <c r="D30" s="21" t="s">
        <v>221</v>
      </c>
    </row>
    <row r="33" spans="3:33" ht="15" customHeight="1">
      <c r="C33" s="23" t="s">
        <v>222</v>
      </c>
    </row>
    <row r="34" spans="3:33" ht="15" customHeight="1">
      <c r="D34" s="21" t="s">
        <v>223</v>
      </c>
    </row>
    <row r="35" spans="3:33" ht="15" customHeight="1">
      <c r="D35" s="21" t="s">
        <v>224</v>
      </c>
    </row>
    <row r="37" spans="3:33" ht="15" customHeight="1">
      <c r="D37" s="252" t="s">
        <v>225</v>
      </c>
      <c r="E37" s="252"/>
      <c r="F37" s="252"/>
      <c r="G37" s="252"/>
      <c r="H37" s="252"/>
      <c r="I37" s="252"/>
      <c r="J37" s="252"/>
      <c r="K37" s="252" t="s">
        <v>226</v>
      </c>
      <c r="L37" s="252"/>
      <c r="M37" s="252"/>
      <c r="N37" s="252"/>
      <c r="O37" s="252"/>
      <c r="P37" s="252"/>
      <c r="Q37" s="252"/>
      <c r="R37" s="252"/>
      <c r="S37" s="252"/>
      <c r="T37" s="252"/>
      <c r="U37" s="252"/>
      <c r="V37" s="252"/>
      <c r="W37" s="252"/>
      <c r="X37" s="252"/>
      <c r="Y37" s="252"/>
      <c r="Z37" s="252"/>
      <c r="AA37" s="252"/>
      <c r="AB37" s="252"/>
      <c r="AC37" s="252"/>
      <c r="AD37" s="252"/>
      <c r="AE37" s="252"/>
      <c r="AF37" s="252"/>
      <c r="AG37" s="252"/>
    </row>
    <row r="38" spans="3:33" ht="15" customHeight="1">
      <c r="D38" s="246" t="s">
        <v>227</v>
      </c>
      <c r="E38" s="247"/>
      <c r="F38" s="247"/>
      <c r="G38" s="247"/>
      <c r="H38" s="247"/>
      <c r="I38" s="247"/>
      <c r="J38" s="248"/>
      <c r="K38" s="288" t="s">
        <v>228</v>
      </c>
      <c r="L38" s="289"/>
      <c r="M38" s="289"/>
      <c r="N38" s="289"/>
      <c r="O38" s="289"/>
      <c r="P38" s="289"/>
      <c r="Q38" s="289"/>
      <c r="R38" s="289"/>
      <c r="S38" s="289"/>
      <c r="T38" s="289"/>
      <c r="U38" s="289"/>
      <c r="V38" s="289"/>
      <c r="W38" s="289"/>
      <c r="X38" s="289"/>
      <c r="Y38" s="289"/>
      <c r="Z38" s="289"/>
      <c r="AA38" s="289"/>
      <c r="AB38" s="289"/>
      <c r="AC38" s="289"/>
      <c r="AD38" s="289"/>
      <c r="AE38" s="289"/>
      <c r="AF38" s="289"/>
      <c r="AG38" s="290"/>
    </row>
    <row r="39" spans="3:33" ht="15" customHeight="1">
      <c r="D39" s="249"/>
      <c r="E39" s="250"/>
      <c r="F39" s="250"/>
      <c r="G39" s="250"/>
      <c r="H39" s="250"/>
      <c r="I39" s="250"/>
      <c r="J39" s="251"/>
      <c r="K39" s="291"/>
      <c r="L39" s="292"/>
      <c r="M39" s="292"/>
      <c r="N39" s="292"/>
      <c r="O39" s="292"/>
      <c r="P39" s="292"/>
      <c r="Q39" s="292"/>
      <c r="R39" s="292"/>
      <c r="S39" s="292"/>
      <c r="T39" s="292"/>
      <c r="U39" s="292"/>
      <c r="V39" s="292"/>
      <c r="W39" s="292"/>
      <c r="X39" s="292"/>
      <c r="Y39" s="292"/>
      <c r="Z39" s="292"/>
      <c r="AA39" s="292"/>
      <c r="AB39" s="292"/>
      <c r="AC39" s="292"/>
      <c r="AD39" s="292"/>
      <c r="AE39" s="292"/>
      <c r="AF39" s="292"/>
      <c r="AG39" s="293"/>
    </row>
    <row r="40" spans="3:33" ht="15" customHeight="1">
      <c r="D40" s="254" t="s">
        <v>229</v>
      </c>
      <c r="E40" s="254"/>
      <c r="F40" s="254"/>
      <c r="G40" s="254"/>
      <c r="H40" s="254"/>
      <c r="I40" s="254"/>
      <c r="J40" s="254"/>
      <c r="K40" s="277" t="s">
        <v>230</v>
      </c>
      <c r="L40" s="278"/>
      <c r="M40" s="278"/>
      <c r="N40" s="278"/>
      <c r="O40" s="278"/>
      <c r="P40" s="278"/>
      <c r="Q40" s="278"/>
      <c r="R40" s="278"/>
      <c r="S40" s="278"/>
      <c r="T40" s="278"/>
      <c r="U40" s="278"/>
      <c r="V40" s="278"/>
      <c r="W40" s="278"/>
      <c r="X40" s="278"/>
      <c r="Y40" s="278"/>
      <c r="Z40" s="278"/>
      <c r="AA40" s="278"/>
      <c r="AB40" s="278"/>
      <c r="AC40" s="278"/>
      <c r="AD40" s="278"/>
      <c r="AE40" s="278"/>
      <c r="AF40" s="278"/>
      <c r="AG40" s="278"/>
    </row>
    <row r="41" spans="3:33" ht="15" customHeight="1">
      <c r="D41" s="255"/>
      <c r="E41" s="255"/>
      <c r="F41" s="255"/>
      <c r="G41" s="255"/>
      <c r="H41" s="255"/>
      <c r="I41" s="255"/>
      <c r="J41" s="255"/>
      <c r="K41" s="279"/>
      <c r="L41" s="280"/>
      <c r="M41" s="280"/>
      <c r="N41" s="280"/>
      <c r="O41" s="280"/>
      <c r="P41" s="280"/>
      <c r="Q41" s="280"/>
      <c r="R41" s="280"/>
      <c r="S41" s="280"/>
      <c r="T41" s="280"/>
      <c r="U41" s="280"/>
      <c r="V41" s="280"/>
      <c r="W41" s="280"/>
      <c r="X41" s="280"/>
      <c r="Y41" s="280"/>
      <c r="Z41" s="280"/>
      <c r="AA41" s="280"/>
      <c r="AB41" s="280"/>
      <c r="AC41" s="280"/>
      <c r="AD41" s="280"/>
      <c r="AE41" s="280"/>
      <c r="AF41" s="280"/>
      <c r="AG41" s="280"/>
    </row>
    <row r="42" spans="3:33" ht="15" customHeight="1">
      <c r="D42" s="255"/>
      <c r="E42" s="255"/>
      <c r="F42" s="255"/>
      <c r="G42" s="255"/>
      <c r="H42" s="255"/>
      <c r="I42" s="255"/>
      <c r="J42" s="255"/>
      <c r="K42" s="279"/>
      <c r="L42" s="280"/>
      <c r="M42" s="280"/>
      <c r="N42" s="280"/>
      <c r="O42" s="280"/>
      <c r="P42" s="280"/>
      <c r="Q42" s="280"/>
      <c r="R42" s="280"/>
      <c r="S42" s="280"/>
      <c r="T42" s="280"/>
      <c r="U42" s="280"/>
      <c r="V42" s="280"/>
      <c r="W42" s="280"/>
      <c r="X42" s="280"/>
      <c r="Y42" s="280"/>
      <c r="Z42" s="280"/>
      <c r="AA42" s="280"/>
      <c r="AB42" s="280"/>
      <c r="AC42" s="280"/>
      <c r="AD42" s="280"/>
      <c r="AE42" s="280"/>
      <c r="AF42" s="280"/>
      <c r="AG42" s="280"/>
    </row>
    <row r="43" spans="3:33" ht="15" customHeight="1">
      <c r="D43" s="256"/>
      <c r="E43" s="256"/>
      <c r="F43" s="256"/>
      <c r="G43" s="256"/>
      <c r="H43" s="256"/>
      <c r="I43" s="256"/>
      <c r="J43" s="256"/>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row>
    <row r="46" spans="3:33" ht="15" customHeight="1">
      <c r="C46" s="23" t="s">
        <v>231</v>
      </c>
    </row>
    <row r="47" spans="3:33" ht="15" customHeight="1">
      <c r="D47" s="27" t="s">
        <v>35</v>
      </c>
      <c r="E47" s="21" t="s">
        <v>232</v>
      </c>
    </row>
    <row r="48" spans="3:33" ht="15" customHeight="1">
      <c r="D48" s="27" t="s">
        <v>35</v>
      </c>
      <c r="E48" s="21" t="s">
        <v>233</v>
      </c>
    </row>
    <row r="49" spans="2:65" ht="15" customHeight="1">
      <c r="E49" s="21" t="s">
        <v>234</v>
      </c>
    </row>
    <row r="53" spans="2:65" ht="15" customHeight="1">
      <c r="B53" s="21" t="s">
        <v>35</v>
      </c>
      <c r="C53" s="21" t="s">
        <v>235</v>
      </c>
    </row>
    <row r="54" spans="2:65" ht="15" customHeight="1">
      <c r="B54" s="25"/>
      <c r="C54" s="25"/>
      <c r="D54" s="25" t="s">
        <v>236</v>
      </c>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row>
    <row r="56" spans="2:65" ht="15" customHeight="1">
      <c r="D56" s="276" t="s">
        <v>237</v>
      </c>
      <c r="E56" s="276"/>
      <c r="F56" s="276" t="s">
        <v>238</v>
      </c>
      <c r="G56" s="276"/>
      <c r="H56" s="276"/>
      <c r="I56" s="276"/>
      <c r="J56" s="276"/>
      <c r="K56" s="276"/>
      <c r="L56" s="276"/>
      <c r="M56" s="276" t="s">
        <v>239</v>
      </c>
      <c r="N56" s="276"/>
      <c r="O56" s="276"/>
      <c r="P56" s="276"/>
      <c r="Q56" s="276"/>
      <c r="R56" s="276"/>
      <c r="S56" s="276"/>
      <c r="T56" s="276"/>
      <c r="U56" s="276"/>
      <c r="V56" s="276"/>
      <c r="W56" s="276"/>
      <c r="X56" s="276"/>
      <c r="Y56" s="276"/>
      <c r="Z56" s="276"/>
      <c r="AA56" s="276"/>
      <c r="AB56" s="276"/>
      <c r="AC56" s="276"/>
      <c r="AD56" s="276"/>
      <c r="AE56" s="276"/>
      <c r="AF56" s="276"/>
      <c r="AG56" s="276"/>
      <c r="AH56" s="276"/>
      <c r="AI56" s="276"/>
      <c r="AJ56" s="276" t="s">
        <v>124</v>
      </c>
      <c r="AK56" s="276"/>
      <c r="AL56" s="276"/>
      <c r="AM56" s="276"/>
      <c r="AN56" s="276"/>
      <c r="AO56" s="276"/>
      <c r="AP56" s="276"/>
      <c r="AQ56" s="276"/>
      <c r="AR56" s="276"/>
      <c r="AS56" s="276"/>
      <c r="AT56" s="276"/>
      <c r="AU56" s="276"/>
      <c r="AV56" s="276"/>
      <c r="AW56" s="276"/>
      <c r="AX56" s="276"/>
      <c r="AY56" s="276"/>
      <c r="AZ56" s="276"/>
      <c r="BA56" s="276"/>
      <c r="BB56" s="276"/>
      <c r="BC56" s="276"/>
      <c r="BD56" s="276"/>
      <c r="BE56" s="276"/>
      <c r="BF56" s="276"/>
      <c r="BG56" s="276" t="s">
        <v>240</v>
      </c>
      <c r="BH56" s="276"/>
      <c r="BI56" s="276"/>
      <c r="BJ56" s="276"/>
      <c r="BK56" s="276"/>
      <c r="BL56" s="276"/>
      <c r="BM56" s="276"/>
    </row>
    <row r="57" spans="2:65" ht="15" customHeight="1">
      <c r="D57" s="238">
        <v>1</v>
      </c>
      <c r="E57" s="238"/>
      <c r="F57" s="238" t="s">
        <v>241</v>
      </c>
      <c r="G57" s="238"/>
      <c r="H57" s="238"/>
      <c r="I57" s="238"/>
      <c r="J57" s="238"/>
      <c r="K57" s="238"/>
      <c r="L57" s="238"/>
      <c r="M57" s="275" t="s">
        <v>242</v>
      </c>
      <c r="N57" s="275"/>
      <c r="O57" s="275"/>
      <c r="P57" s="275"/>
      <c r="Q57" s="275"/>
      <c r="R57" s="275"/>
      <c r="S57" s="275"/>
      <c r="T57" s="275"/>
      <c r="U57" s="275"/>
      <c r="V57" s="275"/>
      <c r="W57" s="275"/>
      <c r="X57" s="275"/>
      <c r="Y57" s="275"/>
      <c r="Z57" s="275"/>
      <c r="AA57" s="275"/>
      <c r="AB57" s="275"/>
      <c r="AC57" s="275"/>
      <c r="AD57" s="275"/>
      <c r="AE57" s="275"/>
      <c r="AF57" s="275"/>
      <c r="AG57" s="275"/>
      <c r="AH57" s="275"/>
      <c r="AI57" s="275"/>
      <c r="AJ57" s="275"/>
      <c r="AK57" s="275"/>
      <c r="AL57" s="275"/>
      <c r="AM57" s="275"/>
      <c r="AN57" s="275"/>
      <c r="AO57" s="275"/>
      <c r="AP57" s="275"/>
      <c r="AQ57" s="275"/>
      <c r="AR57" s="275"/>
      <c r="AS57" s="275"/>
      <c r="AT57" s="275"/>
      <c r="AU57" s="275"/>
      <c r="AV57" s="275"/>
      <c r="AW57" s="275"/>
      <c r="AX57" s="275"/>
      <c r="AY57" s="275"/>
      <c r="AZ57" s="275"/>
      <c r="BA57" s="275"/>
      <c r="BB57" s="275"/>
      <c r="BC57" s="275"/>
      <c r="BD57" s="275"/>
      <c r="BE57" s="275"/>
      <c r="BF57" s="275"/>
      <c r="BG57" s="239" t="s">
        <v>243</v>
      </c>
      <c r="BH57" s="239"/>
      <c r="BI57" s="239"/>
      <c r="BJ57" s="239"/>
      <c r="BK57" s="239"/>
      <c r="BL57" s="239"/>
      <c r="BM57" s="239"/>
    </row>
    <row r="58" spans="2:65" ht="15" customHeight="1">
      <c r="D58" s="272">
        <v>2</v>
      </c>
      <c r="E58" s="273"/>
      <c r="F58" s="272" t="s">
        <v>244</v>
      </c>
      <c r="G58" s="274"/>
      <c r="H58" s="274"/>
      <c r="I58" s="274"/>
      <c r="J58" s="274"/>
      <c r="K58" s="274"/>
      <c r="L58" s="273"/>
      <c r="M58" s="267" t="s">
        <v>245</v>
      </c>
      <c r="N58" s="308"/>
      <c r="O58" s="308"/>
      <c r="P58" s="308"/>
      <c r="Q58" s="308"/>
      <c r="R58" s="308"/>
      <c r="S58" s="308"/>
      <c r="T58" s="308"/>
      <c r="U58" s="308"/>
      <c r="V58" s="308"/>
      <c r="W58" s="308"/>
      <c r="X58" s="308"/>
      <c r="Y58" s="308"/>
      <c r="Z58" s="308"/>
      <c r="AA58" s="308"/>
      <c r="AB58" s="308"/>
      <c r="AC58" s="308"/>
      <c r="AD58" s="308"/>
      <c r="AE58" s="308"/>
      <c r="AF58" s="308"/>
      <c r="AG58" s="308"/>
      <c r="AH58" s="308"/>
      <c r="AI58" s="308"/>
      <c r="AJ58" s="308"/>
      <c r="AK58" s="308"/>
      <c r="AL58" s="308"/>
      <c r="AM58" s="308"/>
      <c r="AN58" s="308"/>
      <c r="AO58" s="308"/>
      <c r="AP58" s="308"/>
      <c r="AQ58" s="308"/>
      <c r="AR58" s="308"/>
      <c r="AS58" s="308"/>
      <c r="AT58" s="308"/>
      <c r="AU58" s="308"/>
      <c r="AV58" s="308"/>
      <c r="AW58" s="308"/>
      <c r="AX58" s="308"/>
      <c r="AY58" s="308"/>
      <c r="AZ58" s="308"/>
      <c r="BA58" s="308"/>
      <c r="BB58" s="308"/>
      <c r="BC58" s="308"/>
      <c r="BD58" s="308"/>
      <c r="BE58" s="308"/>
      <c r="BF58" s="309"/>
      <c r="BG58" s="240" t="s">
        <v>243</v>
      </c>
      <c r="BH58" s="241"/>
      <c r="BI58" s="241"/>
      <c r="BJ58" s="241"/>
      <c r="BK58" s="241"/>
      <c r="BL58" s="241"/>
      <c r="BM58" s="242"/>
    </row>
    <row r="59" spans="2:65" ht="15" customHeight="1">
      <c r="D59" s="272"/>
      <c r="E59" s="273"/>
      <c r="F59" s="272"/>
      <c r="G59" s="274"/>
      <c r="H59" s="274"/>
      <c r="I59" s="274"/>
      <c r="J59" s="274"/>
      <c r="K59" s="274"/>
      <c r="L59" s="273"/>
      <c r="M59" s="268"/>
      <c r="N59" s="310"/>
      <c r="O59" s="310"/>
      <c r="P59" s="310"/>
      <c r="Q59" s="310"/>
      <c r="R59" s="310"/>
      <c r="S59" s="310"/>
      <c r="T59" s="310"/>
      <c r="U59" s="310"/>
      <c r="V59" s="310"/>
      <c r="W59" s="310"/>
      <c r="X59" s="310"/>
      <c r="Y59" s="310"/>
      <c r="Z59" s="310"/>
      <c r="AA59" s="310"/>
      <c r="AB59" s="310"/>
      <c r="AC59" s="310"/>
      <c r="AD59" s="310"/>
      <c r="AE59" s="310"/>
      <c r="AF59" s="310"/>
      <c r="AG59" s="310"/>
      <c r="AH59" s="310"/>
      <c r="AI59" s="310"/>
      <c r="AJ59" s="310"/>
      <c r="AK59" s="310"/>
      <c r="AL59" s="310"/>
      <c r="AM59" s="310"/>
      <c r="AN59" s="310"/>
      <c r="AO59" s="310"/>
      <c r="AP59" s="310"/>
      <c r="AQ59" s="310"/>
      <c r="AR59" s="310"/>
      <c r="AS59" s="310"/>
      <c r="AT59" s="310"/>
      <c r="AU59" s="310"/>
      <c r="AV59" s="310"/>
      <c r="AW59" s="310"/>
      <c r="AX59" s="310"/>
      <c r="AY59" s="310"/>
      <c r="AZ59" s="310"/>
      <c r="BA59" s="310"/>
      <c r="BB59" s="310"/>
      <c r="BC59" s="310"/>
      <c r="BD59" s="310"/>
      <c r="BE59" s="310"/>
      <c r="BF59" s="311"/>
      <c r="BG59" s="269"/>
      <c r="BH59" s="270"/>
      <c r="BI59" s="270"/>
      <c r="BJ59" s="270"/>
      <c r="BK59" s="270"/>
      <c r="BL59" s="270"/>
      <c r="BM59" s="271"/>
    </row>
    <row r="60" spans="2:65" ht="15" customHeight="1">
      <c r="D60" s="272"/>
      <c r="E60" s="273"/>
      <c r="F60" s="272"/>
      <c r="G60" s="274"/>
      <c r="H60" s="274"/>
      <c r="I60" s="274"/>
      <c r="J60" s="274"/>
      <c r="K60" s="274"/>
      <c r="L60" s="273"/>
      <c r="M60" s="312"/>
      <c r="N60" s="310"/>
      <c r="O60" s="310"/>
      <c r="P60" s="310"/>
      <c r="Q60" s="310"/>
      <c r="R60" s="310"/>
      <c r="S60" s="310"/>
      <c r="T60" s="310"/>
      <c r="U60" s="310"/>
      <c r="V60" s="310"/>
      <c r="W60" s="310"/>
      <c r="X60" s="310"/>
      <c r="Y60" s="310"/>
      <c r="Z60" s="310"/>
      <c r="AA60" s="310"/>
      <c r="AB60" s="310"/>
      <c r="AC60" s="310"/>
      <c r="AD60" s="310"/>
      <c r="AE60" s="310"/>
      <c r="AF60" s="310"/>
      <c r="AG60" s="310"/>
      <c r="AH60" s="310"/>
      <c r="AI60" s="310"/>
      <c r="AJ60" s="310"/>
      <c r="AK60" s="310"/>
      <c r="AL60" s="310"/>
      <c r="AM60" s="310"/>
      <c r="AN60" s="310"/>
      <c r="AO60" s="310"/>
      <c r="AP60" s="310"/>
      <c r="AQ60" s="310"/>
      <c r="AR60" s="310"/>
      <c r="AS60" s="310"/>
      <c r="AT60" s="310"/>
      <c r="AU60" s="310"/>
      <c r="AV60" s="310"/>
      <c r="AW60" s="310"/>
      <c r="AX60" s="310"/>
      <c r="AY60" s="310"/>
      <c r="AZ60" s="310"/>
      <c r="BA60" s="310"/>
      <c r="BB60" s="310"/>
      <c r="BC60" s="310"/>
      <c r="BD60" s="310"/>
      <c r="BE60" s="310"/>
      <c r="BF60" s="311"/>
      <c r="BG60" s="269"/>
      <c r="BH60" s="270"/>
      <c r="BI60" s="270"/>
      <c r="BJ60" s="270"/>
      <c r="BK60" s="270"/>
      <c r="BL60" s="270"/>
      <c r="BM60" s="271"/>
    </row>
    <row r="61" spans="2:65" ht="15" customHeight="1">
      <c r="D61" s="249"/>
      <c r="E61" s="251"/>
      <c r="F61" s="249"/>
      <c r="G61" s="250"/>
      <c r="H61" s="250"/>
      <c r="I61" s="250"/>
      <c r="J61" s="250"/>
      <c r="K61" s="250"/>
      <c r="L61" s="251"/>
      <c r="M61" s="313"/>
      <c r="N61" s="314"/>
      <c r="O61" s="314"/>
      <c r="P61" s="314"/>
      <c r="Q61" s="314"/>
      <c r="R61" s="314"/>
      <c r="S61" s="314"/>
      <c r="T61" s="314"/>
      <c r="U61" s="314"/>
      <c r="V61" s="314"/>
      <c r="W61" s="314"/>
      <c r="X61" s="314"/>
      <c r="Y61" s="314"/>
      <c r="Z61" s="314"/>
      <c r="AA61" s="314"/>
      <c r="AB61" s="314"/>
      <c r="AC61" s="314"/>
      <c r="AD61" s="314"/>
      <c r="AE61" s="314"/>
      <c r="AF61" s="314"/>
      <c r="AG61" s="314"/>
      <c r="AH61" s="314"/>
      <c r="AI61" s="314"/>
      <c r="AJ61" s="314"/>
      <c r="AK61" s="314"/>
      <c r="AL61" s="314"/>
      <c r="AM61" s="314"/>
      <c r="AN61" s="314"/>
      <c r="AO61" s="314"/>
      <c r="AP61" s="314"/>
      <c r="AQ61" s="314"/>
      <c r="AR61" s="314"/>
      <c r="AS61" s="314"/>
      <c r="AT61" s="314"/>
      <c r="AU61" s="314"/>
      <c r="AV61" s="314"/>
      <c r="AW61" s="314"/>
      <c r="AX61" s="314"/>
      <c r="AY61" s="314"/>
      <c r="AZ61" s="314"/>
      <c r="BA61" s="314"/>
      <c r="BB61" s="314"/>
      <c r="BC61" s="314"/>
      <c r="BD61" s="314"/>
      <c r="BE61" s="314"/>
      <c r="BF61" s="315"/>
      <c r="BG61" s="243"/>
      <c r="BH61" s="244"/>
      <c r="BI61" s="244"/>
      <c r="BJ61" s="244"/>
      <c r="BK61" s="244"/>
      <c r="BL61" s="244"/>
      <c r="BM61" s="245"/>
    </row>
    <row r="62" spans="2:65">
      <c r="D62" s="254">
        <v>3</v>
      </c>
      <c r="E62" s="254"/>
      <c r="F62" s="254" t="s">
        <v>246</v>
      </c>
      <c r="G62" s="254"/>
      <c r="H62" s="254"/>
      <c r="I62" s="254"/>
      <c r="J62" s="254"/>
      <c r="K62" s="254"/>
      <c r="L62" s="254"/>
      <c r="M62" s="316" t="s">
        <v>247</v>
      </c>
      <c r="N62" s="316"/>
      <c r="O62" s="316"/>
      <c r="P62" s="316"/>
      <c r="Q62" s="316"/>
      <c r="R62" s="316"/>
      <c r="S62" s="316"/>
      <c r="T62" s="316"/>
      <c r="U62" s="316"/>
      <c r="V62" s="316"/>
      <c r="W62" s="316"/>
      <c r="X62" s="316"/>
      <c r="Y62" s="316"/>
      <c r="Z62" s="316"/>
      <c r="AA62" s="316"/>
      <c r="AB62" s="316"/>
      <c r="AC62" s="316"/>
      <c r="AD62" s="316"/>
      <c r="AE62" s="316"/>
      <c r="AF62" s="316"/>
      <c r="AG62" s="316"/>
      <c r="AH62" s="316"/>
      <c r="AI62" s="316"/>
      <c r="AJ62" s="257" t="s">
        <v>248</v>
      </c>
      <c r="AK62" s="316"/>
      <c r="AL62" s="316"/>
      <c r="AM62" s="316"/>
      <c r="AN62" s="316"/>
      <c r="AO62" s="316"/>
      <c r="AP62" s="316"/>
      <c r="AQ62" s="316"/>
      <c r="AR62" s="316"/>
      <c r="AS62" s="316"/>
      <c r="AT62" s="316"/>
      <c r="AU62" s="316"/>
      <c r="AV62" s="316"/>
      <c r="AW62" s="316"/>
      <c r="AX62" s="316"/>
      <c r="AY62" s="316"/>
      <c r="AZ62" s="316"/>
      <c r="BA62" s="316"/>
      <c r="BB62" s="316"/>
      <c r="BC62" s="316"/>
      <c r="BD62" s="316"/>
      <c r="BE62" s="316"/>
      <c r="BF62" s="316"/>
      <c r="BG62" s="257" t="s">
        <v>249</v>
      </c>
      <c r="BH62" s="316"/>
      <c r="BI62" s="316"/>
      <c r="BJ62" s="316"/>
      <c r="BK62" s="316"/>
      <c r="BL62" s="316"/>
      <c r="BM62" s="316"/>
    </row>
    <row r="63" spans="2:65">
      <c r="D63" s="255"/>
      <c r="E63" s="255"/>
      <c r="F63" s="255"/>
      <c r="G63" s="255"/>
      <c r="H63" s="255"/>
      <c r="I63" s="255"/>
      <c r="J63" s="255"/>
      <c r="K63" s="255"/>
      <c r="L63" s="255"/>
      <c r="M63" s="317"/>
      <c r="N63" s="317"/>
      <c r="O63" s="317"/>
      <c r="P63" s="317"/>
      <c r="Q63" s="317"/>
      <c r="R63" s="317"/>
      <c r="S63" s="317"/>
      <c r="T63" s="317"/>
      <c r="U63" s="317"/>
      <c r="V63" s="317"/>
      <c r="W63" s="317"/>
      <c r="X63" s="317"/>
      <c r="Y63" s="317"/>
      <c r="Z63" s="317"/>
      <c r="AA63" s="317"/>
      <c r="AB63" s="317"/>
      <c r="AC63" s="317"/>
      <c r="AD63" s="317"/>
      <c r="AE63" s="317"/>
      <c r="AF63" s="317"/>
      <c r="AG63" s="317"/>
      <c r="AH63" s="317"/>
      <c r="AI63" s="317"/>
      <c r="AJ63" s="317"/>
      <c r="AK63" s="317"/>
      <c r="AL63" s="317"/>
      <c r="AM63" s="317"/>
      <c r="AN63" s="317"/>
      <c r="AO63" s="317"/>
      <c r="AP63" s="317"/>
      <c r="AQ63" s="317"/>
      <c r="AR63" s="317"/>
      <c r="AS63" s="317"/>
      <c r="AT63" s="317"/>
      <c r="AU63" s="317"/>
      <c r="AV63" s="317"/>
      <c r="AW63" s="317"/>
      <c r="AX63" s="317"/>
      <c r="AY63" s="317"/>
      <c r="AZ63" s="317"/>
      <c r="BA63" s="317"/>
      <c r="BB63" s="317"/>
      <c r="BC63" s="317"/>
      <c r="BD63" s="317"/>
      <c r="BE63" s="317"/>
      <c r="BF63" s="317"/>
      <c r="BG63" s="317"/>
      <c r="BH63" s="317"/>
      <c r="BI63" s="317"/>
      <c r="BJ63" s="317"/>
      <c r="BK63" s="317"/>
      <c r="BL63" s="317"/>
      <c r="BM63" s="317"/>
    </row>
    <row r="64" spans="2:65">
      <c r="D64" s="255"/>
      <c r="E64" s="255"/>
      <c r="F64" s="255"/>
      <c r="G64" s="255"/>
      <c r="H64" s="255"/>
      <c r="I64" s="255"/>
      <c r="J64" s="255"/>
      <c r="K64" s="255"/>
      <c r="L64" s="255"/>
      <c r="M64" s="317"/>
      <c r="N64" s="317"/>
      <c r="O64" s="317"/>
      <c r="P64" s="317"/>
      <c r="Q64" s="317"/>
      <c r="R64" s="317"/>
      <c r="S64" s="317"/>
      <c r="T64" s="317"/>
      <c r="U64" s="317"/>
      <c r="V64" s="317"/>
      <c r="W64" s="317"/>
      <c r="X64" s="317"/>
      <c r="Y64" s="317"/>
      <c r="Z64" s="317"/>
      <c r="AA64" s="317"/>
      <c r="AB64" s="317"/>
      <c r="AC64" s="317"/>
      <c r="AD64" s="317"/>
      <c r="AE64" s="317"/>
      <c r="AF64" s="317"/>
      <c r="AG64" s="317"/>
      <c r="AH64" s="317"/>
      <c r="AI64" s="317"/>
      <c r="AJ64" s="317"/>
      <c r="AK64" s="317"/>
      <c r="AL64" s="317"/>
      <c r="AM64" s="317"/>
      <c r="AN64" s="317"/>
      <c r="AO64" s="317"/>
      <c r="AP64" s="317"/>
      <c r="AQ64" s="317"/>
      <c r="AR64" s="317"/>
      <c r="AS64" s="317"/>
      <c r="AT64" s="317"/>
      <c r="AU64" s="317"/>
      <c r="AV64" s="317"/>
      <c r="AW64" s="317"/>
      <c r="AX64" s="317"/>
      <c r="AY64" s="317"/>
      <c r="AZ64" s="317"/>
      <c r="BA64" s="317"/>
      <c r="BB64" s="317"/>
      <c r="BC64" s="317"/>
      <c r="BD64" s="317"/>
      <c r="BE64" s="317"/>
      <c r="BF64" s="317"/>
      <c r="BG64" s="317"/>
      <c r="BH64" s="317"/>
      <c r="BI64" s="317"/>
      <c r="BJ64" s="317"/>
      <c r="BK64" s="317"/>
      <c r="BL64" s="317"/>
      <c r="BM64" s="317"/>
    </row>
    <row r="65" spans="4:65">
      <c r="D65" s="255"/>
      <c r="E65" s="255"/>
      <c r="F65" s="255"/>
      <c r="G65" s="255"/>
      <c r="H65" s="255"/>
      <c r="I65" s="255"/>
      <c r="J65" s="255"/>
      <c r="K65" s="255"/>
      <c r="L65" s="255"/>
      <c r="M65" s="317"/>
      <c r="N65" s="317"/>
      <c r="O65" s="317"/>
      <c r="P65" s="317"/>
      <c r="Q65" s="317"/>
      <c r="R65" s="317"/>
      <c r="S65" s="317"/>
      <c r="T65" s="317"/>
      <c r="U65" s="317"/>
      <c r="V65" s="317"/>
      <c r="W65" s="317"/>
      <c r="X65" s="317"/>
      <c r="Y65" s="317"/>
      <c r="Z65" s="317"/>
      <c r="AA65" s="317"/>
      <c r="AB65" s="317"/>
      <c r="AC65" s="317"/>
      <c r="AD65" s="317"/>
      <c r="AE65" s="317"/>
      <c r="AF65" s="317"/>
      <c r="AG65" s="317"/>
      <c r="AH65" s="317"/>
      <c r="AI65" s="317"/>
      <c r="AJ65" s="317"/>
      <c r="AK65" s="317"/>
      <c r="AL65" s="317"/>
      <c r="AM65" s="317"/>
      <c r="AN65" s="317"/>
      <c r="AO65" s="317"/>
      <c r="AP65" s="317"/>
      <c r="AQ65" s="317"/>
      <c r="AR65" s="317"/>
      <c r="AS65" s="317"/>
      <c r="AT65" s="317"/>
      <c r="AU65" s="317"/>
      <c r="AV65" s="317"/>
      <c r="AW65" s="317"/>
      <c r="AX65" s="317"/>
      <c r="AY65" s="317"/>
      <c r="AZ65" s="317"/>
      <c r="BA65" s="317"/>
      <c r="BB65" s="317"/>
      <c r="BC65" s="317"/>
      <c r="BD65" s="317"/>
      <c r="BE65" s="317"/>
      <c r="BF65" s="317"/>
      <c r="BG65" s="317"/>
      <c r="BH65" s="317"/>
      <c r="BI65" s="317"/>
      <c r="BJ65" s="317"/>
      <c r="BK65" s="317"/>
      <c r="BL65" s="317"/>
      <c r="BM65" s="317"/>
    </row>
    <row r="66" spans="4:65">
      <c r="D66" s="256"/>
      <c r="E66" s="256"/>
      <c r="F66" s="256"/>
      <c r="G66" s="256"/>
      <c r="H66" s="256"/>
      <c r="I66" s="256"/>
      <c r="J66" s="256"/>
      <c r="K66" s="256"/>
      <c r="L66" s="256"/>
      <c r="M66" s="318"/>
      <c r="N66" s="318"/>
      <c r="O66" s="318"/>
      <c r="P66" s="318"/>
      <c r="Q66" s="318"/>
      <c r="R66" s="318"/>
      <c r="S66" s="318"/>
      <c r="T66" s="318"/>
      <c r="U66" s="318"/>
      <c r="V66" s="318"/>
      <c r="W66" s="318"/>
      <c r="X66" s="318"/>
      <c r="Y66" s="318"/>
      <c r="Z66" s="318"/>
      <c r="AA66" s="318"/>
      <c r="AB66" s="318"/>
      <c r="AC66" s="318"/>
      <c r="AD66" s="318"/>
      <c r="AE66" s="318"/>
      <c r="AF66" s="318"/>
      <c r="AG66" s="318"/>
      <c r="AH66" s="318"/>
      <c r="AI66" s="318"/>
      <c r="AJ66" s="318"/>
      <c r="AK66" s="318"/>
      <c r="AL66" s="318"/>
      <c r="AM66" s="318"/>
      <c r="AN66" s="318"/>
      <c r="AO66" s="318"/>
      <c r="AP66" s="318"/>
      <c r="AQ66" s="318"/>
      <c r="AR66" s="318"/>
      <c r="AS66" s="318"/>
      <c r="AT66" s="318"/>
      <c r="AU66" s="318"/>
      <c r="AV66" s="318"/>
      <c r="AW66" s="318"/>
      <c r="AX66" s="318"/>
      <c r="AY66" s="318"/>
      <c r="AZ66" s="318"/>
      <c r="BA66" s="318"/>
      <c r="BB66" s="318"/>
      <c r="BC66" s="318"/>
      <c r="BD66" s="318"/>
      <c r="BE66" s="318"/>
      <c r="BF66" s="318"/>
      <c r="BG66" s="318"/>
      <c r="BH66" s="318"/>
      <c r="BI66" s="318"/>
      <c r="BJ66" s="318"/>
      <c r="BK66" s="318"/>
      <c r="BL66" s="318"/>
      <c r="BM66" s="318"/>
    </row>
    <row r="67" spans="4:65" ht="15" customHeight="1">
      <c r="D67" s="254">
        <v>4</v>
      </c>
      <c r="E67" s="254"/>
      <c r="F67" s="254" t="s">
        <v>250</v>
      </c>
      <c r="G67" s="254"/>
      <c r="H67" s="254"/>
      <c r="I67" s="254"/>
      <c r="J67" s="254"/>
      <c r="K67" s="254"/>
      <c r="L67" s="254"/>
      <c r="M67" s="254" t="s">
        <v>243</v>
      </c>
      <c r="N67" s="264"/>
      <c r="O67" s="264"/>
      <c r="P67" s="264"/>
      <c r="Q67" s="264"/>
      <c r="R67" s="264"/>
      <c r="S67" s="264"/>
      <c r="T67" s="264"/>
      <c r="U67" s="264"/>
      <c r="V67" s="264"/>
      <c r="W67" s="264"/>
      <c r="X67" s="264"/>
      <c r="Y67" s="264"/>
      <c r="Z67" s="264"/>
      <c r="AA67" s="264"/>
      <c r="AB67" s="264"/>
      <c r="AC67" s="264"/>
      <c r="AD67" s="264"/>
      <c r="AE67" s="264"/>
      <c r="AF67" s="264"/>
      <c r="AG67" s="264"/>
      <c r="AH67" s="264"/>
      <c r="AI67" s="264"/>
      <c r="AJ67" s="257" t="s">
        <v>251</v>
      </c>
      <c r="AK67" s="316"/>
      <c r="AL67" s="316"/>
      <c r="AM67" s="316"/>
      <c r="AN67" s="316"/>
      <c r="AO67" s="316"/>
      <c r="AP67" s="316"/>
      <c r="AQ67" s="316"/>
      <c r="AR67" s="316"/>
      <c r="AS67" s="316"/>
      <c r="AT67" s="316"/>
      <c r="AU67" s="316"/>
      <c r="AV67" s="316"/>
      <c r="AW67" s="316"/>
      <c r="AX67" s="316"/>
      <c r="AY67" s="316"/>
      <c r="AZ67" s="316"/>
      <c r="BA67" s="316"/>
      <c r="BB67" s="316"/>
      <c r="BC67" s="316"/>
      <c r="BD67" s="316"/>
      <c r="BE67" s="316"/>
      <c r="BF67" s="316"/>
      <c r="BG67" s="257" t="s">
        <v>252</v>
      </c>
      <c r="BH67" s="316"/>
      <c r="BI67" s="316"/>
      <c r="BJ67" s="316"/>
      <c r="BK67" s="316"/>
      <c r="BL67" s="316"/>
      <c r="BM67" s="316"/>
    </row>
    <row r="68" spans="4:65" ht="15" customHeight="1">
      <c r="D68" s="255"/>
      <c r="E68" s="255"/>
      <c r="F68" s="255"/>
      <c r="G68" s="255"/>
      <c r="H68" s="255"/>
      <c r="I68" s="255"/>
      <c r="J68" s="255"/>
      <c r="K68" s="255"/>
      <c r="L68" s="255"/>
      <c r="M68" s="266"/>
      <c r="N68" s="266"/>
      <c r="O68" s="266"/>
      <c r="P68" s="266"/>
      <c r="Q68" s="266"/>
      <c r="R68" s="266"/>
      <c r="S68" s="266"/>
      <c r="T68" s="266"/>
      <c r="U68" s="266"/>
      <c r="V68" s="266"/>
      <c r="W68" s="266"/>
      <c r="X68" s="266"/>
      <c r="Y68" s="266"/>
      <c r="Z68" s="266"/>
      <c r="AA68" s="266"/>
      <c r="AB68" s="266"/>
      <c r="AC68" s="266"/>
      <c r="AD68" s="266"/>
      <c r="AE68" s="266"/>
      <c r="AF68" s="266"/>
      <c r="AG68" s="266"/>
      <c r="AH68" s="266"/>
      <c r="AI68" s="266"/>
      <c r="AJ68" s="317"/>
      <c r="AK68" s="317"/>
      <c r="AL68" s="317"/>
      <c r="AM68" s="317"/>
      <c r="AN68" s="317"/>
      <c r="AO68" s="317"/>
      <c r="AP68" s="317"/>
      <c r="AQ68" s="317"/>
      <c r="AR68" s="317"/>
      <c r="AS68" s="317"/>
      <c r="AT68" s="317"/>
      <c r="AU68" s="317"/>
      <c r="AV68" s="317"/>
      <c r="AW68" s="317"/>
      <c r="AX68" s="317"/>
      <c r="AY68" s="317"/>
      <c r="AZ68" s="317"/>
      <c r="BA68" s="317"/>
      <c r="BB68" s="317"/>
      <c r="BC68" s="317"/>
      <c r="BD68" s="317"/>
      <c r="BE68" s="317"/>
      <c r="BF68" s="317"/>
      <c r="BG68" s="317"/>
      <c r="BH68" s="317"/>
      <c r="BI68" s="317"/>
      <c r="BJ68" s="317"/>
      <c r="BK68" s="317"/>
      <c r="BL68" s="317"/>
      <c r="BM68" s="317"/>
    </row>
    <row r="69" spans="4:65" ht="15" customHeight="1">
      <c r="D69" s="256"/>
      <c r="E69" s="256"/>
      <c r="F69" s="256"/>
      <c r="G69" s="256"/>
      <c r="H69" s="256"/>
      <c r="I69" s="256"/>
      <c r="J69" s="256"/>
      <c r="K69" s="256"/>
      <c r="L69" s="256"/>
      <c r="M69" s="265"/>
      <c r="N69" s="265"/>
      <c r="O69" s="265"/>
      <c r="P69" s="265"/>
      <c r="Q69" s="265"/>
      <c r="R69" s="265"/>
      <c r="S69" s="265"/>
      <c r="T69" s="265"/>
      <c r="U69" s="265"/>
      <c r="V69" s="265"/>
      <c r="W69" s="265"/>
      <c r="X69" s="265"/>
      <c r="Y69" s="265"/>
      <c r="Z69" s="265"/>
      <c r="AA69" s="265"/>
      <c r="AB69" s="265"/>
      <c r="AC69" s="265"/>
      <c r="AD69" s="265"/>
      <c r="AE69" s="265"/>
      <c r="AF69" s="265"/>
      <c r="AG69" s="265"/>
      <c r="AH69" s="265"/>
      <c r="AI69" s="265"/>
      <c r="AJ69" s="318"/>
      <c r="AK69" s="318"/>
      <c r="AL69" s="318"/>
      <c r="AM69" s="318"/>
      <c r="AN69" s="318"/>
      <c r="AO69" s="318"/>
      <c r="AP69" s="318"/>
      <c r="AQ69" s="318"/>
      <c r="AR69" s="318"/>
      <c r="AS69" s="318"/>
      <c r="AT69" s="318"/>
      <c r="AU69" s="318"/>
      <c r="AV69" s="318"/>
      <c r="AW69" s="318"/>
      <c r="AX69" s="318"/>
      <c r="AY69" s="318"/>
      <c r="AZ69" s="318"/>
      <c r="BA69" s="318"/>
      <c r="BB69" s="318"/>
      <c r="BC69" s="318"/>
      <c r="BD69" s="318"/>
      <c r="BE69" s="318"/>
      <c r="BF69" s="318"/>
      <c r="BG69" s="318"/>
      <c r="BH69" s="318"/>
      <c r="BI69" s="318"/>
      <c r="BJ69" s="318"/>
      <c r="BK69" s="318"/>
      <c r="BL69" s="318"/>
      <c r="BM69" s="318"/>
    </row>
    <row r="70" spans="4:65" ht="15" customHeight="1">
      <c r="D70" s="254">
        <v>5</v>
      </c>
      <c r="E70" s="254"/>
      <c r="F70" s="254" t="s">
        <v>253</v>
      </c>
      <c r="G70" s="254"/>
      <c r="H70" s="254"/>
      <c r="I70" s="254"/>
      <c r="J70" s="254"/>
      <c r="K70" s="254"/>
      <c r="L70" s="254"/>
      <c r="M70" s="257" t="s">
        <v>254</v>
      </c>
      <c r="N70" s="316"/>
      <c r="O70" s="316"/>
      <c r="P70" s="316"/>
      <c r="Q70" s="316"/>
      <c r="R70" s="316"/>
      <c r="S70" s="316"/>
      <c r="T70" s="316"/>
      <c r="U70" s="316"/>
      <c r="V70" s="316"/>
      <c r="W70" s="316"/>
      <c r="X70" s="316"/>
      <c r="Y70" s="316"/>
      <c r="Z70" s="316"/>
      <c r="AA70" s="316"/>
      <c r="AB70" s="316"/>
      <c r="AC70" s="316"/>
      <c r="AD70" s="316"/>
      <c r="AE70" s="316"/>
      <c r="AF70" s="316"/>
      <c r="AG70" s="316"/>
      <c r="AH70" s="316"/>
      <c r="AI70" s="316"/>
      <c r="AJ70" s="254" t="s">
        <v>243</v>
      </c>
      <c r="AK70" s="264"/>
      <c r="AL70" s="264"/>
      <c r="AM70" s="264"/>
      <c r="AN70" s="264"/>
      <c r="AO70" s="264"/>
      <c r="AP70" s="264"/>
      <c r="AQ70" s="264"/>
      <c r="AR70" s="264"/>
      <c r="AS70" s="264"/>
      <c r="AT70" s="264"/>
      <c r="AU70" s="264"/>
      <c r="AV70" s="264"/>
      <c r="AW70" s="264"/>
      <c r="AX70" s="264"/>
      <c r="AY70" s="264"/>
      <c r="AZ70" s="264"/>
      <c r="BA70" s="264"/>
      <c r="BB70" s="264"/>
      <c r="BC70" s="264"/>
      <c r="BD70" s="264"/>
      <c r="BE70" s="264"/>
      <c r="BF70" s="264"/>
      <c r="BG70" s="257" t="s">
        <v>255</v>
      </c>
      <c r="BH70" s="316"/>
      <c r="BI70" s="316"/>
      <c r="BJ70" s="316"/>
      <c r="BK70" s="316"/>
      <c r="BL70" s="316"/>
      <c r="BM70" s="316"/>
    </row>
    <row r="71" spans="4:65" ht="15" customHeight="1">
      <c r="D71" s="255"/>
      <c r="E71" s="255"/>
      <c r="F71" s="255"/>
      <c r="G71" s="255"/>
      <c r="H71" s="255"/>
      <c r="I71" s="255"/>
      <c r="J71" s="255"/>
      <c r="K71" s="255"/>
      <c r="L71" s="255"/>
      <c r="M71" s="317"/>
      <c r="N71" s="317"/>
      <c r="O71" s="317"/>
      <c r="P71" s="317"/>
      <c r="Q71" s="317"/>
      <c r="R71" s="317"/>
      <c r="S71" s="317"/>
      <c r="T71" s="317"/>
      <c r="U71" s="317"/>
      <c r="V71" s="317"/>
      <c r="W71" s="317"/>
      <c r="X71" s="317"/>
      <c r="Y71" s="317"/>
      <c r="Z71" s="317"/>
      <c r="AA71" s="317"/>
      <c r="AB71" s="317"/>
      <c r="AC71" s="317"/>
      <c r="AD71" s="317"/>
      <c r="AE71" s="317"/>
      <c r="AF71" s="317"/>
      <c r="AG71" s="317"/>
      <c r="AH71" s="317"/>
      <c r="AI71" s="317"/>
      <c r="AJ71" s="266"/>
      <c r="AK71" s="266"/>
      <c r="AL71" s="266"/>
      <c r="AM71" s="266"/>
      <c r="AN71" s="266"/>
      <c r="AO71" s="266"/>
      <c r="AP71" s="266"/>
      <c r="AQ71" s="266"/>
      <c r="AR71" s="266"/>
      <c r="AS71" s="266"/>
      <c r="AT71" s="266"/>
      <c r="AU71" s="266"/>
      <c r="AV71" s="266"/>
      <c r="AW71" s="266"/>
      <c r="AX71" s="266"/>
      <c r="AY71" s="266"/>
      <c r="AZ71" s="266"/>
      <c r="BA71" s="266"/>
      <c r="BB71" s="266"/>
      <c r="BC71" s="266"/>
      <c r="BD71" s="266"/>
      <c r="BE71" s="266"/>
      <c r="BF71" s="266"/>
      <c r="BG71" s="317"/>
      <c r="BH71" s="317"/>
      <c r="BI71" s="317"/>
      <c r="BJ71" s="317"/>
      <c r="BK71" s="317"/>
      <c r="BL71" s="317"/>
      <c r="BM71" s="317"/>
    </row>
    <row r="72" spans="4:65" ht="15" customHeight="1">
      <c r="D72" s="256"/>
      <c r="E72" s="256"/>
      <c r="F72" s="256"/>
      <c r="G72" s="256"/>
      <c r="H72" s="256"/>
      <c r="I72" s="256"/>
      <c r="J72" s="256"/>
      <c r="K72" s="256"/>
      <c r="L72" s="256"/>
      <c r="M72" s="318"/>
      <c r="N72" s="318"/>
      <c r="O72" s="318"/>
      <c r="P72" s="318"/>
      <c r="Q72" s="318"/>
      <c r="R72" s="318"/>
      <c r="S72" s="318"/>
      <c r="T72" s="318"/>
      <c r="U72" s="318"/>
      <c r="V72" s="318"/>
      <c r="W72" s="318"/>
      <c r="X72" s="318"/>
      <c r="Y72" s="318"/>
      <c r="Z72" s="318"/>
      <c r="AA72" s="318"/>
      <c r="AB72" s="318"/>
      <c r="AC72" s="318"/>
      <c r="AD72" s="318"/>
      <c r="AE72" s="318"/>
      <c r="AF72" s="318"/>
      <c r="AG72" s="318"/>
      <c r="AH72" s="318"/>
      <c r="AI72" s="318"/>
      <c r="AJ72" s="265"/>
      <c r="AK72" s="265"/>
      <c r="AL72" s="265"/>
      <c r="AM72" s="265"/>
      <c r="AN72" s="265"/>
      <c r="AO72" s="265"/>
      <c r="AP72" s="265"/>
      <c r="AQ72" s="265"/>
      <c r="AR72" s="265"/>
      <c r="AS72" s="265"/>
      <c r="AT72" s="265"/>
      <c r="AU72" s="265"/>
      <c r="AV72" s="265"/>
      <c r="AW72" s="265"/>
      <c r="AX72" s="265"/>
      <c r="AY72" s="265"/>
      <c r="AZ72" s="265"/>
      <c r="BA72" s="265"/>
      <c r="BB72" s="265"/>
      <c r="BC72" s="265"/>
      <c r="BD72" s="265"/>
      <c r="BE72" s="265"/>
      <c r="BF72" s="265"/>
      <c r="BG72" s="318"/>
      <c r="BH72" s="318"/>
      <c r="BI72" s="318"/>
      <c r="BJ72" s="318"/>
      <c r="BK72" s="318"/>
      <c r="BL72" s="318"/>
      <c r="BM72" s="318"/>
    </row>
    <row r="73" spans="4:65" ht="15" customHeight="1">
      <c r="D73" s="254">
        <v>6</v>
      </c>
      <c r="E73" s="254"/>
      <c r="F73" s="254" t="s">
        <v>256</v>
      </c>
      <c r="G73" s="254"/>
      <c r="H73" s="254"/>
      <c r="I73" s="254"/>
      <c r="J73" s="254"/>
      <c r="K73" s="254"/>
      <c r="L73" s="254"/>
      <c r="M73" s="254" t="s">
        <v>243</v>
      </c>
      <c r="N73" s="264"/>
      <c r="O73" s="264"/>
      <c r="P73" s="264"/>
      <c r="Q73" s="264"/>
      <c r="R73" s="264"/>
      <c r="S73" s="264"/>
      <c r="T73" s="264"/>
      <c r="U73" s="264"/>
      <c r="V73" s="264"/>
      <c r="W73" s="264"/>
      <c r="X73" s="264"/>
      <c r="Y73" s="264"/>
      <c r="Z73" s="264"/>
      <c r="AA73" s="264"/>
      <c r="AB73" s="264"/>
      <c r="AC73" s="264"/>
      <c r="AD73" s="264"/>
      <c r="AE73" s="264"/>
      <c r="AF73" s="264"/>
      <c r="AG73" s="264"/>
      <c r="AH73" s="264"/>
      <c r="AI73" s="264"/>
      <c r="AJ73" s="259" t="s">
        <v>257</v>
      </c>
      <c r="AK73" s="260"/>
      <c r="AL73" s="260"/>
      <c r="AM73" s="260"/>
      <c r="AN73" s="260"/>
      <c r="AO73" s="260"/>
      <c r="AP73" s="260"/>
      <c r="AQ73" s="260"/>
      <c r="AR73" s="260"/>
      <c r="AS73" s="260"/>
      <c r="AT73" s="260"/>
      <c r="AU73" s="260"/>
      <c r="AV73" s="260"/>
      <c r="AW73" s="260"/>
      <c r="AX73" s="260"/>
      <c r="AY73" s="260"/>
      <c r="AZ73" s="260"/>
      <c r="BA73" s="260"/>
      <c r="BB73" s="260"/>
      <c r="BC73" s="260"/>
      <c r="BD73" s="260"/>
      <c r="BE73" s="260"/>
      <c r="BF73" s="260"/>
      <c r="BG73" s="257" t="s">
        <v>258</v>
      </c>
      <c r="BH73" s="316"/>
      <c r="BI73" s="316"/>
      <c r="BJ73" s="316"/>
      <c r="BK73" s="316"/>
      <c r="BL73" s="316"/>
      <c r="BM73" s="316"/>
    </row>
    <row r="74" spans="4:65" ht="15" customHeight="1">
      <c r="D74" s="255"/>
      <c r="E74" s="255"/>
      <c r="F74" s="255"/>
      <c r="G74" s="255"/>
      <c r="H74" s="255"/>
      <c r="I74" s="255"/>
      <c r="J74" s="255"/>
      <c r="K74" s="255"/>
      <c r="L74" s="255"/>
      <c r="M74" s="266"/>
      <c r="N74" s="266"/>
      <c r="O74" s="266"/>
      <c r="P74" s="266"/>
      <c r="Q74" s="266"/>
      <c r="R74" s="266"/>
      <c r="S74" s="266"/>
      <c r="T74" s="266"/>
      <c r="U74" s="266"/>
      <c r="V74" s="266"/>
      <c r="W74" s="266"/>
      <c r="X74" s="266"/>
      <c r="Y74" s="266"/>
      <c r="Z74" s="266"/>
      <c r="AA74" s="266"/>
      <c r="AB74" s="266"/>
      <c r="AC74" s="266"/>
      <c r="AD74" s="266"/>
      <c r="AE74" s="266"/>
      <c r="AF74" s="266"/>
      <c r="AG74" s="266"/>
      <c r="AH74" s="266"/>
      <c r="AI74" s="266"/>
      <c r="AJ74" s="262"/>
      <c r="AK74" s="262"/>
      <c r="AL74" s="262"/>
      <c r="AM74" s="262"/>
      <c r="AN74" s="262"/>
      <c r="AO74" s="262"/>
      <c r="AP74" s="262"/>
      <c r="AQ74" s="262"/>
      <c r="AR74" s="262"/>
      <c r="AS74" s="262"/>
      <c r="AT74" s="262"/>
      <c r="AU74" s="262"/>
      <c r="AV74" s="262"/>
      <c r="AW74" s="262"/>
      <c r="AX74" s="262"/>
      <c r="AY74" s="262"/>
      <c r="AZ74" s="262"/>
      <c r="BA74" s="262"/>
      <c r="BB74" s="262"/>
      <c r="BC74" s="262"/>
      <c r="BD74" s="262"/>
      <c r="BE74" s="262"/>
      <c r="BF74" s="262"/>
      <c r="BG74" s="317"/>
      <c r="BH74" s="317"/>
      <c r="BI74" s="317"/>
      <c r="BJ74" s="317"/>
      <c r="BK74" s="317"/>
      <c r="BL74" s="317"/>
      <c r="BM74" s="317"/>
    </row>
    <row r="75" spans="4:65" ht="15" customHeight="1">
      <c r="D75" s="256"/>
      <c r="E75" s="256"/>
      <c r="F75" s="256"/>
      <c r="G75" s="256"/>
      <c r="H75" s="256"/>
      <c r="I75" s="256"/>
      <c r="J75" s="256"/>
      <c r="K75" s="256"/>
      <c r="L75" s="256"/>
      <c r="M75" s="265"/>
      <c r="N75" s="265"/>
      <c r="O75" s="265"/>
      <c r="P75" s="265"/>
      <c r="Q75" s="265"/>
      <c r="R75" s="265"/>
      <c r="S75" s="265"/>
      <c r="T75" s="265"/>
      <c r="U75" s="265"/>
      <c r="V75" s="265"/>
      <c r="W75" s="265"/>
      <c r="X75" s="265"/>
      <c r="Y75" s="265"/>
      <c r="Z75" s="265"/>
      <c r="AA75" s="265"/>
      <c r="AB75" s="265"/>
      <c r="AC75" s="265"/>
      <c r="AD75" s="265"/>
      <c r="AE75" s="265"/>
      <c r="AF75" s="265"/>
      <c r="AG75" s="265"/>
      <c r="AH75" s="265"/>
      <c r="AI75" s="265"/>
      <c r="AJ75" s="263"/>
      <c r="AK75" s="263"/>
      <c r="AL75" s="263"/>
      <c r="AM75" s="263"/>
      <c r="AN75" s="263"/>
      <c r="AO75" s="263"/>
      <c r="AP75" s="263"/>
      <c r="AQ75" s="263"/>
      <c r="AR75" s="263"/>
      <c r="AS75" s="263"/>
      <c r="AT75" s="263"/>
      <c r="AU75" s="263"/>
      <c r="AV75" s="263"/>
      <c r="AW75" s="263"/>
      <c r="AX75" s="263"/>
      <c r="AY75" s="263"/>
      <c r="AZ75" s="263"/>
      <c r="BA75" s="263"/>
      <c r="BB75" s="263"/>
      <c r="BC75" s="263"/>
      <c r="BD75" s="263"/>
      <c r="BE75" s="263"/>
      <c r="BF75" s="263"/>
      <c r="BG75" s="318"/>
      <c r="BH75" s="318"/>
      <c r="BI75" s="318"/>
      <c r="BJ75" s="318"/>
      <c r="BK75" s="318"/>
      <c r="BL75" s="318"/>
      <c r="BM75" s="318"/>
    </row>
    <row r="76" spans="4:65" ht="15" customHeight="1">
      <c r="D76" s="254">
        <v>7</v>
      </c>
      <c r="E76" s="254"/>
      <c r="F76" s="254" t="s">
        <v>259</v>
      </c>
      <c r="G76" s="254"/>
      <c r="H76" s="254"/>
      <c r="I76" s="254"/>
      <c r="J76" s="254"/>
      <c r="K76" s="254"/>
      <c r="L76" s="254"/>
      <c r="M76" s="254" t="s">
        <v>243</v>
      </c>
      <c r="N76" s="264"/>
      <c r="O76" s="264"/>
      <c r="P76" s="264"/>
      <c r="Q76" s="264"/>
      <c r="R76" s="264"/>
      <c r="S76" s="264"/>
      <c r="T76" s="264"/>
      <c r="U76" s="264"/>
      <c r="V76" s="264"/>
      <c r="W76" s="264"/>
      <c r="X76" s="264"/>
      <c r="Y76" s="264"/>
      <c r="Z76" s="264"/>
      <c r="AA76" s="264"/>
      <c r="AB76" s="264"/>
      <c r="AC76" s="264"/>
      <c r="AD76" s="264"/>
      <c r="AE76" s="264"/>
      <c r="AF76" s="264"/>
      <c r="AG76" s="264"/>
      <c r="AH76" s="264"/>
      <c r="AI76" s="264"/>
      <c r="AJ76" s="259" t="s">
        <v>260</v>
      </c>
      <c r="AK76" s="260"/>
      <c r="AL76" s="260"/>
      <c r="AM76" s="260"/>
      <c r="AN76" s="260"/>
      <c r="AO76" s="260"/>
      <c r="AP76" s="260"/>
      <c r="AQ76" s="260"/>
      <c r="AR76" s="260"/>
      <c r="AS76" s="260"/>
      <c r="AT76" s="260"/>
      <c r="AU76" s="260"/>
      <c r="AV76" s="260"/>
      <c r="AW76" s="260"/>
      <c r="AX76" s="260"/>
      <c r="AY76" s="260"/>
      <c r="AZ76" s="260"/>
      <c r="BA76" s="260"/>
      <c r="BB76" s="260"/>
      <c r="BC76" s="260"/>
      <c r="BD76" s="260"/>
      <c r="BE76" s="260"/>
      <c r="BF76" s="260"/>
      <c r="BG76" s="257" t="s">
        <v>258</v>
      </c>
      <c r="BH76" s="316"/>
      <c r="BI76" s="316"/>
      <c r="BJ76" s="316"/>
      <c r="BK76" s="316"/>
      <c r="BL76" s="316"/>
      <c r="BM76" s="316"/>
    </row>
    <row r="77" spans="4:65" ht="15" customHeight="1">
      <c r="D77" s="256"/>
      <c r="E77" s="256"/>
      <c r="F77" s="256"/>
      <c r="G77" s="256"/>
      <c r="H77" s="256"/>
      <c r="I77" s="256"/>
      <c r="J77" s="256"/>
      <c r="K77" s="256"/>
      <c r="L77" s="256"/>
      <c r="M77" s="265"/>
      <c r="N77" s="265"/>
      <c r="O77" s="265"/>
      <c r="P77" s="265"/>
      <c r="Q77" s="265"/>
      <c r="R77" s="265"/>
      <c r="S77" s="265"/>
      <c r="T77" s="265"/>
      <c r="U77" s="265"/>
      <c r="V77" s="265"/>
      <c r="W77" s="265"/>
      <c r="X77" s="265"/>
      <c r="Y77" s="265"/>
      <c r="Z77" s="265"/>
      <c r="AA77" s="265"/>
      <c r="AB77" s="265"/>
      <c r="AC77" s="265"/>
      <c r="AD77" s="265"/>
      <c r="AE77" s="265"/>
      <c r="AF77" s="265"/>
      <c r="AG77" s="265"/>
      <c r="AH77" s="265"/>
      <c r="AI77" s="265"/>
      <c r="AJ77" s="263"/>
      <c r="AK77" s="263"/>
      <c r="AL77" s="263"/>
      <c r="AM77" s="263"/>
      <c r="AN77" s="263"/>
      <c r="AO77" s="263"/>
      <c r="AP77" s="263"/>
      <c r="AQ77" s="263"/>
      <c r="AR77" s="263"/>
      <c r="AS77" s="263"/>
      <c r="AT77" s="263"/>
      <c r="AU77" s="263"/>
      <c r="AV77" s="263"/>
      <c r="AW77" s="263"/>
      <c r="AX77" s="263"/>
      <c r="AY77" s="263"/>
      <c r="AZ77" s="263"/>
      <c r="BA77" s="263"/>
      <c r="BB77" s="263"/>
      <c r="BC77" s="263"/>
      <c r="BD77" s="263"/>
      <c r="BE77" s="263"/>
      <c r="BF77" s="263"/>
      <c r="BG77" s="318"/>
      <c r="BH77" s="318"/>
      <c r="BI77" s="318"/>
      <c r="BJ77" s="318"/>
      <c r="BK77" s="318"/>
      <c r="BL77" s="318"/>
      <c r="BM77" s="318"/>
    </row>
    <row r="78" spans="4:65" ht="15" customHeight="1">
      <c r="D78" s="254">
        <v>8</v>
      </c>
      <c r="E78" s="254"/>
      <c r="F78" s="254" t="s">
        <v>261</v>
      </c>
      <c r="G78" s="254"/>
      <c r="H78" s="254"/>
      <c r="I78" s="254"/>
      <c r="J78" s="254"/>
      <c r="K78" s="254"/>
      <c r="L78" s="254"/>
      <c r="M78" s="254" t="s">
        <v>243</v>
      </c>
      <c r="N78" s="264"/>
      <c r="O78" s="264"/>
      <c r="P78" s="264"/>
      <c r="Q78" s="264"/>
      <c r="R78" s="264"/>
      <c r="S78" s="264"/>
      <c r="T78" s="264"/>
      <c r="U78" s="264"/>
      <c r="V78" s="264"/>
      <c r="W78" s="264"/>
      <c r="X78" s="264"/>
      <c r="Y78" s="264"/>
      <c r="Z78" s="264"/>
      <c r="AA78" s="264"/>
      <c r="AB78" s="264"/>
      <c r="AC78" s="264"/>
      <c r="AD78" s="264"/>
      <c r="AE78" s="264"/>
      <c r="AF78" s="264"/>
      <c r="AG78" s="264"/>
      <c r="AH78" s="264"/>
      <c r="AI78" s="264"/>
      <c r="AJ78" s="259" t="s">
        <v>262</v>
      </c>
      <c r="AK78" s="260"/>
      <c r="AL78" s="260"/>
      <c r="AM78" s="260"/>
      <c r="AN78" s="260"/>
      <c r="AO78" s="260"/>
      <c r="AP78" s="260"/>
      <c r="AQ78" s="260"/>
      <c r="AR78" s="260"/>
      <c r="AS78" s="260"/>
      <c r="AT78" s="260"/>
      <c r="AU78" s="260"/>
      <c r="AV78" s="260"/>
      <c r="AW78" s="260"/>
      <c r="AX78" s="260"/>
      <c r="AY78" s="260"/>
      <c r="AZ78" s="260"/>
      <c r="BA78" s="260"/>
      <c r="BB78" s="260"/>
      <c r="BC78" s="260"/>
      <c r="BD78" s="260"/>
      <c r="BE78" s="260"/>
      <c r="BF78" s="260"/>
      <c r="BG78" s="257" t="s">
        <v>263</v>
      </c>
      <c r="BH78" s="316"/>
      <c r="BI78" s="316"/>
      <c r="BJ78" s="316"/>
      <c r="BK78" s="316"/>
      <c r="BL78" s="316"/>
      <c r="BM78" s="316"/>
    </row>
    <row r="79" spans="4:65" ht="15" customHeight="1">
      <c r="D79" s="256"/>
      <c r="E79" s="256"/>
      <c r="F79" s="256"/>
      <c r="G79" s="256"/>
      <c r="H79" s="256"/>
      <c r="I79" s="256"/>
      <c r="J79" s="256"/>
      <c r="K79" s="256"/>
      <c r="L79" s="256"/>
      <c r="M79" s="265"/>
      <c r="N79" s="265"/>
      <c r="O79" s="265"/>
      <c r="P79" s="265"/>
      <c r="Q79" s="265"/>
      <c r="R79" s="265"/>
      <c r="S79" s="265"/>
      <c r="T79" s="265"/>
      <c r="U79" s="265"/>
      <c r="V79" s="265"/>
      <c r="W79" s="265"/>
      <c r="X79" s="265"/>
      <c r="Y79" s="265"/>
      <c r="Z79" s="265"/>
      <c r="AA79" s="265"/>
      <c r="AB79" s="265"/>
      <c r="AC79" s="265"/>
      <c r="AD79" s="265"/>
      <c r="AE79" s="265"/>
      <c r="AF79" s="265"/>
      <c r="AG79" s="265"/>
      <c r="AH79" s="265"/>
      <c r="AI79" s="265"/>
      <c r="AJ79" s="263"/>
      <c r="AK79" s="263"/>
      <c r="AL79" s="263"/>
      <c r="AM79" s="263"/>
      <c r="AN79" s="263"/>
      <c r="AO79" s="263"/>
      <c r="AP79" s="263"/>
      <c r="AQ79" s="263"/>
      <c r="AR79" s="263"/>
      <c r="AS79" s="263"/>
      <c r="AT79" s="263"/>
      <c r="AU79" s="263"/>
      <c r="AV79" s="263"/>
      <c r="AW79" s="263"/>
      <c r="AX79" s="263"/>
      <c r="AY79" s="263"/>
      <c r="AZ79" s="263"/>
      <c r="BA79" s="263"/>
      <c r="BB79" s="263"/>
      <c r="BC79" s="263"/>
      <c r="BD79" s="263"/>
      <c r="BE79" s="263"/>
      <c r="BF79" s="263"/>
      <c r="BG79" s="318"/>
      <c r="BH79" s="318"/>
      <c r="BI79" s="318"/>
      <c r="BJ79" s="318"/>
      <c r="BK79" s="318"/>
      <c r="BL79" s="318"/>
      <c r="BM79" s="318"/>
    </row>
    <row r="80" spans="4:65" ht="15" customHeight="1">
      <c r="D80" s="254">
        <v>9</v>
      </c>
      <c r="E80" s="254"/>
      <c r="F80" s="254" t="s">
        <v>264</v>
      </c>
      <c r="G80" s="254"/>
      <c r="H80" s="254"/>
      <c r="I80" s="254"/>
      <c r="J80" s="254"/>
      <c r="K80" s="254"/>
      <c r="L80" s="254"/>
      <c r="M80" s="257" t="s">
        <v>265</v>
      </c>
      <c r="N80" s="316"/>
      <c r="O80" s="316"/>
      <c r="P80" s="316"/>
      <c r="Q80" s="316"/>
      <c r="R80" s="316"/>
      <c r="S80" s="316"/>
      <c r="T80" s="316"/>
      <c r="U80" s="316"/>
      <c r="V80" s="316"/>
      <c r="W80" s="316"/>
      <c r="X80" s="316"/>
      <c r="Y80" s="316"/>
      <c r="Z80" s="316"/>
      <c r="AA80" s="316"/>
      <c r="AB80" s="316"/>
      <c r="AC80" s="316"/>
      <c r="AD80" s="316"/>
      <c r="AE80" s="316"/>
      <c r="AF80" s="316"/>
      <c r="AG80" s="316"/>
      <c r="AH80" s="316"/>
      <c r="AI80" s="316"/>
      <c r="AJ80" s="259" t="s">
        <v>266</v>
      </c>
      <c r="AK80" s="260"/>
      <c r="AL80" s="260"/>
      <c r="AM80" s="260"/>
      <c r="AN80" s="260"/>
      <c r="AO80" s="260"/>
      <c r="AP80" s="260"/>
      <c r="AQ80" s="260"/>
      <c r="AR80" s="260"/>
      <c r="AS80" s="260"/>
      <c r="AT80" s="260"/>
      <c r="AU80" s="260"/>
      <c r="AV80" s="260"/>
      <c r="AW80" s="260"/>
      <c r="AX80" s="260"/>
      <c r="AY80" s="260"/>
      <c r="AZ80" s="260"/>
      <c r="BA80" s="260"/>
      <c r="BB80" s="260"/>
      <c r="BC80" s="260"/>
      <c r="BD80" s="260"/>
      <c r="BE80" s="260"/>
      <c r="BF80" s="260"/>
      <c r="BG80" s="257" t="s">
        <v>263</v>
      </c>
      <c r="BH80" s="316"/>
      <c r="BI80" s="316"/>
      <c r="BJ80" s="316"/>
      <c r="BK80" s="316"/>
      <c r="BL80" s="316"/>
      <c r="BM80" s="316"/>
    </row>
    <row r="81" spans="4:65" ht="15" customHeight="1">
      <c r="D81" s="255"/>
      <c r="E81" s="255"/>
      <c r="F81" s="255"/>
      <c r="G81" s="255"/>
      <c r="H81" s="255"/>
      <c r="I81" s="255"/>
      <c r="J81" s="255"/>
      <c r="K81" s="255"/>
      <c r="L81" s="255"/>
      <c r="M81" s="258"/>
      <c r="N81" s="317"/>
      <c r="O81" s="317"/>
      <c r="P81" s="317"/>
      <c r="Q81" s="317"/>
      <c r="R81" s="317"/>
      <c r="S81" s="317"/>
      <c r="T81" s="317"/>
      <c r="U81" s="317"/>
      <c r="V81" s="317"/>
      <c r="W81" s="317"/>
      <c r="X81" s="317"/>
      <c r="Y81" s="317"/>
      <c r="Z81" s="317"/>
      <c r="AA81" s="317"/>
      <c r="AB81" s="317"/>
      <c r="AC81" s="317"/>
      <c r="AD81" s="317"/>
      <c r="AE81" s="317"/>
      <c r="AF81" s="317"/>
      <c r="AG81" s="317"/>
      <c r="AH81" s="317"/>
      <c r="AI81" s="317"/>
      <c r="AJ81" s="261"/>
      <c r="AK81" s="262"/>
      <c r="AL81" s="262"/>
      <c r="AM81" s="262"/>
      <c r="AN81" s="262"/>
      <c r="AO81" s="262"/>
      <c r="AP81" s="262"/>
      <c r="AQ81" s="262"/>
      <c r="AR81" s="262"/>
      <c r="AS81" s="262"/>
      <c r="AT81" s="262"/>
      <c r="AU81" s="262"/>
      <c r="AV81" s="262"/>
      <c r="AW81" s="262"/>
      <c r="AX81" s="262"/>
      <c r="AY81" s="262"/>
      <c r="AZ81" s="262"/>
      <c r="BA81" s="262"/>
      <c r="BB81" s="262"/>
      <c r="BC81" s="262"/>
      <c r="BD81" s="262"/>
      <c r="BE81" s="262"/>
      <c r="BF81" s="262"/>
      <c r="BG81" s="258"/>
      <c r="BH81" s="317"/>
      <c r="BI81" s="317"/>
      <c r="BJ81" s="317"/>
      <c r="BK81" s="317"/>
      <c r="BL81" s="317"/>
      <c r="BM81" s="317"/>
    </row>
    <row r="82" spans="4:65" ht="15" customHeight="1">
      <c r="D82" s="255"/>
      <c r="E82" s="255"/>
      <c r="F82" s="255"/>
      <c r="G82" s="255"/>
      <c r="H82" s="255"/>
      <c r="I82" s="255"/>
      <c r="J82" s="255"/>
      <c r="K82" s="255"/>
      <c r="L82" s="255"/>
      <c r="M82" s="258"/>
      <c r="N82" s="317"/>
      <c r="O82" s="317"/>
      <c r="P82" s="317"/>
      <c r="Q82" s="317"/>
      <c r="R82" s="317"/>
      <c r="S82" s="317"/>
      <c r="T82" s="317"/>
      <c r="U82" s="317"/>
      <c r="V82" s="317"/>
      <c r="W82" s="317"/>
      <c r="X82" s="317"/>
      <c r="Y82" s="317"/>
      <c r="Z82" s="317"/>
      <c r="AA82" s="317"/>
      <c r="AB82" s="317"/>
      <c r="AC82" s="317"/>
      <c r="AD82" s="317"/>
      <c r="AE82" s="317"/>
      <c r="AF82" s="317"/>
      <c r="AG82" s="317"/>
      <c r="AH82" s="317"/>
      <c r="AI82" s="317"/>
      <c r="AJ82" s="261"/>
      <c r="AK82" s="262"/>
      <c r="AL82" s="262"/>
      <c r="AM82" s="262"/>
      <c r="AN82" s="262"/>
      <c r="AO82" s="262"/>
      <c r="AP82" s="262"/>
      <c r="AQ82" s="262"/>
      <c r="AR82" s="262"/>
      <c r="AS82" s="262"/>
      <c r="AT82" s="262"/>
      <c r="AU82" s="262"/>
      <c r="AV82" s="262"/>
      <c r="AW82" s="262"/>
      <c r="AX82" s="262"/>
      <c r="AY82" s="262"/>
      <c r="AZ82" s="262"/>
      <c r="BA82" s="262"/>
      <c r="BB82" s="262"/>
      <c r="BC82" s="262"/>
      <c r="BD82" s="262"/>
      <c r="BE82" s="262"/>
      <c r="BF82" s="262"/>
      <c r="BG82" s="258"/>
      <c r="BH82" s="317"/>
      <c r="BI82" s="317"/>
      <c r="BJ82" s="317"/>
      <c r="BK82" s="317"/>
      <c r="BL82" s="317"/>
      <c r="BM82" s="317"/>
    </row>
    <row r="83" spans="4:65" ht="15" customHeight="1">
      <c r="D83" s="255"/>
      <c r="E83" s="255"/>
      <c r="F83" s="255"/>
      <c r="G83" s="255"/>
      <c r="H83" s="255"/>
      <c r="I83" s="255"/>
      <c r="J83" s="255"/>
      <c r="K83" s="255"/>
      <c r="L83" s="255"/>
      <c r="M83" s="317"/>
      <c r="N83" s="317"/>
      <c r="O83" s="317"/>
      <c r="P83" s="317"/>
      <c r="Q83" s="317"/>
      <c r="R83" s="317"/>
      <c r="S83" s="317"/>
      <c r="T83" s="317"/>
      <c r="U83" s="317"/>
      <c r="V83" s="317"/>
      <c r="W83" s="317"/>
      <c r="X83" s="317"/>
      <c r="Y83" s="317"/>
      <c r="Z83" s="317"/>
      <c r="AA83" s="317"/>
      <c r="AB83" s="317"/>
      <c r="AC83" s="317"/>
      <c r="AD83" s="317"/>
      <c r="AE83" s="317"/>
      <c r="AF83" s="317"/>
      <c r="AG83" s="317"/>
      <c r="AH83" s="317"/>
      <c r="AI83" s="317"/>
      <c r="AJ83" s="262"/>
      <c r="AK83" s="262"/>
      <c r="AL83" s="262"/>
      <c r="AM83" s="262"/>
      <c r="AN83" s="262"/>
      <c r="AO83" s="262"/>
      <c r="AP83" s="262"/>
      <c r="AQ83" s="262"/>
      <c r="AR83" s="262"/>
      <c r="AS83" s="262"/>
      <c r="AT83" s="262"/>
      <c r="AU83" s="262"/>
      <c r="AV83" s="262"/>
      <c r="AW83" s="262"/>
      <c r="AX83" s="262"/>
      <c r="AY83" s="262"/>
      <c r="AZ83" s="262"/>
      <c r="BA83" s="262"/>
      <c r="BB83" s="262"/>
      <c r="BC83" s="262"/>
      <c r="BD83" s="262"/>
      <c r="BE83" s="262"/>
      <c r="BF83" s="262"/>
      <c r="BG83" s="317"/>
      <c r="BH83" s="317"/>
      <c r="BI83" s="317"/>
      <c r="BJ83" s="317"/>
      <c r="BK83" s="317"/>
      <c r="BL83" s="317"/>
      <c r="BM83" s="317"/>
    </row>
    <row r="84" spans="4:65" ht="15" customHeight="1">
      <c r="D84" s="256"/>
      <c r="E84" s="256"/>
      <c r="F84" s="256"/>
      <c r="G84" s="256"/>
      <c r="H84" s="256"/>
      <c r="I84" s="256"/>
      <c r="J84" s="256"/>
      <c r="K84" s="256"/>
      <c r="L84" s="256"/>
      <c r="M84" s="318"/>
      <c r="N84" s="318"/>
      <c r="O84" s="318"/>
      <c r="P84" s="318"/>
      <c r="Q84" s="318"/>
      <c r="R84" s="318"/>
      <c r="S84" s="318"/>
      <c r="T84" s="318"/>
      <c r="U84" s="318"/>
      <c r="V84" s="318"/>
      <c r="W84" s="318"/>
      <c r="X84" s="318"/>
      <c r="Y84" s="318"/>
      <c r="Z84" s="318"/>
      <c r="AA84" s="318"/>
      <c r="AB84" s="318"/>
      <c r="AC84" s="318"/>
      <c r="AD84" s="318"/>
      <c r="AE84" s="318"/>
      <c r="AF84" s="318"/>
      <c r="AG84" s="318"/>
      <c r="AH84" s="318"/>
      <c r="AI84" s="318"/>
      <c r="AJ84" s="263"/>
      <c r="AK84" s="263"/>
      <c r="AL84" s="263"/>
      <c r="AM84" s="263"/>
      <c r="AN84" s="263"/>
      <c r="AO84" s="263"/>
      <c r="AP84" s="263"/>
      <c r="AQ84" s="263"/>
      <c r="AR84" s="263"/>
      <c r="AS84" s="263"/>
      <c r="AT84" s="263"/>
      <c r="AU84" s="263"/>
      <c r="AV84" s="263"/>
      <c r="AW84" s="263"/>
      <c r="AX84" s="263"/>
      <c r="AY84" s="263"/>
      <c r="AZ84" s="263"/>
      <c r="BA84" s="263"/>
      <c r="BB84" s="263"/>
      <c r="BC84" s="263"/>
      <c r="BD84" s="263"/>
      <c r="BE84" s="263"/>
      <c r="BF84" s="263"/>
      <c r="BG84" s="318"/>
      <c r="BH84" s="318"/>
      <c r="BI84" s="318"/>
      <c r="BJ84" s="318"/>
      <c r="BK84" s="318"/>
      <c r="BL84" s="318"/>
      <c r="BM84" s="318"/>
    </row>
  </sheetData>
  <mergeCells count="70">
    <mergeCell ref="BA2:BG2"/>
    <mergeCell ref="BA3:BG3"/>
    <mergeCell ref="AS4:AT4"/>
    <mergeCell ref="AU4:AZ4"/>
    <mergeCell ref="B2:F2"/>
    <mergeCell ref="G2:T2"/>
    <mergeCell ref="U2:AR2"/>
    <mergeCell ref="AS2:AZ2"/>
    <mergeCell ref="B3:F4"/>
    <mergeCell ref="G3:T4"/>
    <mergeCell ref="U3:AR4"/>
    <mergeCell ref="AS3:AT3"/>
    <mergeCell ref="AU3:AZ3"/>
    <mergeCell ref="BA4:BG4"/>
    <mergeCell ref="D23:N23"/>
    <mergeCell ref="D24:N24"/>
    <mergeCell ref="D37:J37"/>
    <mergeCell ref="K37:AG37"/>
    <mergeCell ref="D38:J39"/>
    <mergeCell ref="K38:AG39"/>
    <mergeCell ref="D56:E56"/>
    <mergeCell ref="F56:L56"/>
    <mergeCell ref="BG56:BM56"/>
    <mergeCell ref="D40:J43"/>
    <mergeCell ref="K40:AG43"/>
    <mergeCell ref="M56:AI56"/>
    <mergeCell ref="AJ56:BF56"/>
    <mergeCell ref="BG57:BM57"/>
    <mergeCell ref="M58:BF61"/>
    <mergeCell ref="BG58:BM61"/>
    <mergeCell ref="D62:E66"/>
    <mergeCell ref="F62:L66"/>
    <mergeCell ref="BG62:BM66"/>
    <mergeCell ref="M62:AI66"/>
    <mergeCell ref="AJ62:BF66"/>
    <mergeCell ref="D58:E61"/>
    <mergeCell ref="F58:L61"/>
    <mergeCell ref="M57:BF57"/>
    <mergeCell ref="D57:E57"/>
    <mergeCell ref="F57:L57"/>
    <mergeCell ref="M67:AI69"/>
    <mergeCell ref="AJ67:BF69"/>
    <mergeCell ref="BG67:BM69"/>
    <mergeCell ref="D70:E72"/>
    <mergeCell ref="F70:L72"/>
    <mergeCell ref="M70:AI72"/>
    <mergeCell ref="AJ70:BF72"/>
    <mergeCell ref="BG70:BM72"/>
    <mergeCell ref="D67:E69"/>
    <mergeCell ref="F67:L69"/>
    <mergeCell ref="D73:E75"/>
    <mergeCell ref="F73:L75"/>
    <mergeCell ref="M73:AI75"/>
    <mergeCell ref="AJ73:BF75"/>
    <mergeCell ref="BG73:BM75"/>
    <mergeCell ref="D76:E77"/>
    <mergeCell ref="F76:L77"/>
    <mergeCell ref="M76:AI77"/>
    <mergeCell ref="AJ76:BF77"/>
    <mergeCell ref="BG76:BM77"/>
    <mergeCell ref="D78:E79"/>
    <mergeCell ref="F78:L79"/>
    <mergeCell ref="M78:AI79"/>
    <mergeCell ref="AJ78:BF79"/>
    <mergeCell ref="BG78:BM79"/>
    <mergeCell ref="D80:E84"/>
    <mergeCell ref="F80:L84"/>
    <mergeCell ref="M80:AI84"/>
    <mergeCell ref="AJ80:BF84"/>
    <mergeCell ref="BG80:BM84"/>
  </mergeCells>
  <phoneticPr fontId="1"/>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927D8DE12D48B47B0D44EEF0BC44240" ma:contentTypeVersion="7" ma:contentTypeDescription="新しいドキュメントを作成します。" ma:contentTypeScope="" ma:versionID="eb2c6aaa4f11c9ec3f65575caeec9635">
  <xsd:schema xmlns:xsd="http://www.w3.org/2001/XMLSchema" xmlns:xs="http://www.w3.org/2001/XMLSchema" xmlns:p="http://schemas.microsoft.com/office/2006/metadata/properties" xmlns:ns2="cfe21c4c-392e-4d25-9e26-4c8da30b5bfc" targetNamespace="http://schemas.microsoft.com/office/2006/metadata/properties" ma:root="true" ma:fieldsID="9c02081431634b31a602b5209939e0f2"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E4C3DF3-FEC7-4B11-8069-9B881F982AD6}"/>
</file>

<file path=customXml/itemProps2.xml><?xml version="1.0" encoding="utf-8"?>
<ds:datastoreItem xmlns:ds="http://schemas.openxmlformats.org/officeDocument/2006/customXml" ds:itemID="{B41BAC70-FF9E-4194-B8D9-EBFB3D5AF198}"/>
</file>

<file path=customXml/itemProps3.xml><?xml version="1.0" encoding="utf-8"?>
<ds:datastoreItem xmlns:ds="http://schemas.openxmlformats.org/officeDocument/2006/customXml" ds:itemID="{045B6F1D-D84D-478F-A9F4-7034B354478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Yamaguchi, Takuya</dc:creator>
  <cp:keywords/>
  <dc:description/>
  <cp:lastModifiedBy>Kitai, Makoto</cp:lastModifiedBy>
  <cp:revision/>
  <dcterms:created xsi:type="dcterms:W3CDTF">2023-08-15T05:52:02Z</dcterms:created>
  <dcterms:modified xsi:type="dcterms:W3CDTF">2025-04-02T05:52:45Z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MediaServiceImageTags">
    <vt:lpwstr/>
  </property>
</Properties>
</file>