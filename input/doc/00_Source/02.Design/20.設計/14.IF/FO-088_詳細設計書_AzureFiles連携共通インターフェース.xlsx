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429"/>
  <fileSharing readOnlyRecommended="1"/>
  <workbookPr/>
  <mc:AlternateContent xmlns:mc="http://schemas.openxmlformats.org/markup-compatibility/2006">
    <mc:Choice Requires="x15">
      <x15ac:absPath xmlns:x15ac="http://schemas.microsoft.com/office/spreadsheetml/2010/11/ac" url="https://jbsbpos1.sharepoint.com/sites/Guest-FPT_/Shared Documents/General/03.設計 (Design)/02.詳細設計書 (Detailed Design)/03.対応完了済 (Review done)/JBS対応/"/>
    </mc:Choice>
  </mc:AlternateContent>
  <xr:revisionPtr revIDLastSave="2805" documentId="13_ncr:1_{541AD8B8-BE62-46B3-8BBA-6D4EA98F47FB}" xr6:coauthVersionLast="47" xr6:coauthVersionMax="47" xr10:uidLastSave="{162F6E48-FA5F-43C2-82FC-A43E6E5541E8}"/>
  <bookViews>
    <workbookView xWindow="11424" yWindow="-96" windowWidth="23232" windowHeight="13152" tabRatio="841" xr2:uid="{00000000-000D-0000-FFFF-FFFF00000000}"/>
  </bookViews>
  <sheets>
    <sheet name="表紙" sheetId="21" r:id="rId1"/>
    <sheet name="変更履歴" sheetId="30" r:id="rId2"/>
    <sheet name="処理概要" sheetId="5" r:id="rId3"/>
    <sheet name="テーブル一覧" sheetId="23" r:id="rId4"/>
    <sheet name="DFD" sheetId="4" r:id="rId5"/>
    <sheet name="イベント説明" sheetId="8" r:id="rId6"/>
    <sheet name="補足説明" sheetId="17" r:id="rId7"/>
    <sheet name="画面レイアウト" sheetId="9" state="hidden" r:id="rId8"/>
    <sheet name="画面項目説明" sheetId="11" state="hidden" r:id="rId9"/>
    <sheet name="帳票レイアウト" sheetId="32" state="hidden" r:id="rId10"/>
    <sheet name="帳票出力仕様" sheetId="35" state="hidden" r:id="rId11"/>
    <sheet name="ファイルレイアウト" sheetId="34" state="hidden" r:id="rId12"/>
    <sheet name="テーブル出力項目" sheetId="19" state="hidden" r:id="rId13"/>
    <sheet name="レビュー指摘事項" sheetId="31" r:id="rId14"/>
    <sheet name="オブジェクト一覧" sheetId="27" r:id="rId15"/>
    <sheet name="プログラムフロー図" sheetId="29" r:id="rId16"/>
    <sheet name="マスタ" sheetId="20" state="hidden" r:id="rId17"/>
  </sheets>
  <definedNames>
    <definedName name="_Fill" localSheetId="13" hidden="1">#REF!</definedName>
    <definedName name="_Fill" localSheetId="10" hidden="1">#REF!</definedName>
    <definedName name="_Fill" localSheetId="1" hidden="1">#REF!</definedName>
    <definedName name="_Fill" hidden="1">#REF!</definedName>
    <definedName name="_xlnm._FilterDatabase" localSheetId="11" hidden="1">ファイルレイアウト!$A$8:$BJ$24</definedName>
    <definedName name="AS2DocOpenMode" hidden="1">"AS2DocumentEdit"</definedName>
    <definedName name="bbb" localSheetId="10" hidden="1">#REF!</definedName>
    <definedName name="bbb" hidden="1">#REF!</definedName>
    <definedName name="HTML_CodePage" hidden="1">932</definedName>
    <definedName name="HTML_Control" localSheetId="11" hidden="1">{"'分担ﾙｰﾙ'!$A$1:$M$72","'分担ﾙｰﾙ'!$A$19:$M$71"}</definedName>
    <definedName name="HTML_Control" localSheetId="13" hidden="1">{"'分担ﾙｰﾙ'!$A$1:$M$72","'分担ﾙｰﾙ'!$A$19:$M$71"}</definedName>
    <definedName name="HTML_Control" localSheetId="9" hidden="1">{"'分担ﾙｰﾙ'!$A$1:$M$72","'分担ﾙｰﾙ'!$A$19:$M$71"}</definedName>
    <definedName name="HTML_Control" localSheetId="10" hidden="1">{"'分担ﾙｰﾙ'!$A$1:$M$72","'分担ﾙｰﾙ'!$A$19:$M$71"}</definedName>
    <definedName name="HTML_Control" localSheetId="0" hidden="1">{"'分担ﾙｰﾙ'!$A$1:$M$72","'分担ﾙｰﾙ'!$A$19:$M$71"}</definedName>
    <definedName name="HTML_Control" localSheetId="1" hidden="1">{"'分担ﾙｰﾙ'!$A$1:$M$72","'分担ﾙｰﾙ'!$A$19:$M$71"}</definedName>
    <definedName name="HTML_Control" hidden="1">{"'分担ﾙｰﾙ'!$A$1:$M$72","'分担ﾙｰﾙ'!$A$19:$M$71"}</definedName>
    <definedName name="HTML_Control1" localSheetId="11" hidden="1">{"'分担ﾙｰﾙ'!$A$1:$M$72","'分担ﾙｰﾙ'!$A$19:$M$71"}</definedName>
    <definedName name="HTML_Control1" localSheetId="13" hidden="1">{"'分担ﾙｰﾙ'!$A$1:$M$72","'分担ﾙｰﾙ'!$A$19:$M$71"}</definedName>
    <definedName name="HTML_Control1" localSheetId="9" hidden="1">{"'分担ﾙｰﾙ'!$A$1:$M$72","'分担ﾙｰﾙ'!$A$19:$M$71"}</definedName>
    <definedName name="HTML_Control1" localSheetId="10" hidden="1">{"'分担ﾙｰﾙ'!$A$1:$M$72","'分担ﾙｰﾙ'!$A$19:$M$71"}</definedName>
    <definedName name="HTML_Control1" localSheetId="0" hidden="1">{"'分担ﾙｰﾙ'!$A$1:$M$72","'分担ﾙｰﾙ'!$A$19:$M$71"}</definedName>
    <definedName name="HTML_Control1" localSheetId="1" hidden="1">{"'分担ﾙｰﾙ'!$A$1:$M$72","'分担ﾙｰﾙ'!$A$19:$M$71"}</definedName>
    <definedName name="HTML_Control1" hidden="1">{"'分担ﾙｰﾙ'!$A$1:$M$72","'分担ﾙｰﾙ'!$A$19:$M$71"}</definedName>
    <definedName name="HTML_Description" hidden="1">""</definedName>
    <definedName name="HTML_Email" hidden="1">""</definedName>
    <definedName name="HTML_Header" hidden="1">"開閉栓作業分担ﾙｰﾙ"</definedName>
    <definedName name="HTML_LastUpdate" hidden="1">"00/01/05"</definedName>
    <definedName name="HTML_LineAfter" hidden="1">TRUE</definedName>
    <definedName name="HTML_LineBefore" hidden="1">TRUE</definedName>
    <definedName name="HTML_Name" hidden="1">"東京ガス株式会社"</definedName>
    <definedName name="HTML_OBDlg2" hidden="1">TRUE</definedName>
    <definedName name="HTML_OBDlg4" hidden="1">TRUE</definedName>
    <definedName name="HTML_OS" hidden="1">0</definedName>
    <definedName name="HTML_PathFile" hidden="1">"H:\F305\ｲﾝﾄﾗ\okyakusa\Content\thanksqanda\manual\khrule.htm"</definedName>
    <definedName name="HTML_Title" hidden="1">"開閉ﾙｰﾙ"</definedName>
    <definedName name="io">マスタ!$A$3:$A$5</definedName>
    <definedName name="_xlnm.Print_Area" localSheetId="4">DFD!$A$1:$BI$94</definedName>
    <definedName name="Visivility">マスタ!$F$3:$F$4</definedName>
    <definedName name="あああ" localSheetId="11" hidden="1">#REF!</definedName>
    <definedName name="あああ" localSheetId="13" hidden="1">#REF!</definedName>
    <definedName name="あああ" localSheetId="9" hidden="1">#REF!</definedName>
    <definedName name="あああ" localSheetId="10" hidden="1">#REF!</definedName>
    <definedName name="あああ" localSheetId="1" hidden="1">#REF!</definedName>
    <definedName name="あああ" hidden="1">#REF!</definedName>
    <definedName name="えええ" localSheetId="11" hidden="1">{"'9.項目'!$B$5:$AW$60"}</definedName>
    <definedName name="えええ" localSheetId="13" hidden="1">{"'9.項目'!$B$5:$AW$60"}</definedName>
    <definedName name="えええ" localSheetId="9" hidden="1">{"'9.項目'!$B$5:$AW$60"}</definedName>
    <definedName name="えええ" localSheetId="10" hidden="1">{"'9.項目'!$B$5:$AW$60"}</definedName>
    <definedName name="えええ" localSheetId="0" hidden="1">{"'9.項目'!$B$5:$AW$60"}</definedName>
    <definedName name="えええ" localSheetId="1" hidden="1">{"'9.項目'!$B$5:$AW$60"}</definedName>
    <definedName name="えええ" hidden="1">{"'9.項目'!$B$5:$AW$60"}</definedName>
    <definedName name="オブジェクト">マスタ!$H$7:$H$20</definedName>
    <definedName name="オブジェクト一覧">マスタ!$H$3:$H$20</definedName>
    <definedName name="テーブル種別">マスタ!$G$3:$G$4</definedName>
    <definedName name="マスタ">マスタ!$H$3:$H$20</definedName>
    <definedName name="横位置">マスタ!$C$3:$C$6</definedName>
    <definedName name="作成日">DATE(2000,3,21)</definedName>
    <definedName name="縦位置">マスタ!$D$3:$D$6</definedName>
    <definedName name="書式">マスタ!$B$3:$B$5</definedName>
    <definedName name="折り返して全体を表示する">マスタ!$E$3:$E$4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4" i="21" l="1"/>
  <c r="AT3" i="35" l="1"/>
  <c r="AT2" i="35"/>
  <c r="AE2" i="35"/>
  <c r="W2" i="35"/>
  <c r="Q2" i="35"/>
  <c r="F2" i="35"/>
  <c r="BB1" i="35"/>
  <c r="AT1" i="35"/>
  <c r="AE1" i="35"/>
  <c r="W1" i="35"/>
  <c r="Q1" i="35"/>
  <c r="F1" i="35"/>
  <c r="H52" i="35"/>
  <c r="H51" i="35"/>
  <c r="H50" i="35"/>
  <c r="H49" i="35"/>
  <c r="H48" i="35"/>
  <c r="H47" i="35"/>
  <c r="H46" i="35"/>
  <c r="H45" i="35"/>
  <c r="H44" i="35"/>
  <c r="H43" i="35"/>
  <c r="H42" i="35"/>
  <c r="H41" i="35"/>
  <c r="H40" i="35"/>
  <c r="H39" i="35"/>
  <c r="H38" i="35"/>
  <c r="H37" i="35"/>
  <c r="H36" i="35"/>
  <c r="H35" i="35"/>
  <c r="H34" i="35"/>
  <c r="H33" i="35"/>
  <c r="H32" i="35"/>
  <c r="H31" i="35"/>
  <c r="H30" i="35"/>
  <c r="H29" i="35"/>
  <c r="H28" i="35"/>
  <c r="H27" i="35"/>
  <c r="H26" i="35"/>
  <c r="H25" i="35"/>
  <c r="H24" i="35"/>
  <c r="H23" i="35"/>
  <c r="H22" i="35"/>
  <c r="H21" i="35"/>
  <c r="H20" i="35"/>
  <c r="H19" i="35"/>
  <c r="H18" i="35"/>
  <c r="H17" i="35"/>
  <c r="H16" i="35"/>
  <c r="H15" i="35"/>
  <c r="H14" i="35"/>
  <c r="H13" i="35"/>
  <c r="H12" i="35"/>
  <c r="H11" i="35"/>
  <c r="H10" i="35"/>
  <c r="H9" i="35"/>
  <c r="H8" i="35"/>
  <c r="B22" i="21"/>
  <c r="AT3" i="19" l="1"/>
  <c r="AT2" i="19"/>
  <c r="AE2" i="19"/>
  <c r="W2" i="19"/>
  <c r="Q2" i="19"/>
  <c r="BB1" i="19"/>
  <c r="AT1" i="19"/>
  <c r="AE1" i="19"/>
  <c r="W1" i="19"/>
  <c r="Q1" i="19"/>
  <c r="F1" i="19"/>
  <c r="AT3" i="34"/>
  <c r="AT2" i="34"/>
  <c r="AE2" i="34"/>
  <c r="W2" i="34"/>
  <c r="Q2" i="34"/>
  <c r="BB1" i="34"/>
  <c r="AT1" i="34"/>
  <c r="AE1" i="34"/>
  <c r="W1" i="34"/>
  <c r="Q1" i="34"/>
  <c r="F1" i="34"/>
  <c r="AT3" i="32"/>
  <c r="AT2" i="32"/>
  <c r="AE2" i="32"/>
  <c r="W2" i="32"/>
  <c r="Q2" i="32"/>
  <c r="BB1" i="32"/>
  <c r="AT1" i="32"/>
  <c r="AE1" i="32"/>
  <c r="W1" i="32"/>
  <c r="Q1" i="32"/>
  <c r="F1" i="32"/>
  <c r="A9" i="34" l="1"/>
  <c r="A10" i="34"/>
  <c r="A11" i="34"/>
  <c r="A12" i="34"/>
  <c r="A13" i="34"/>
  <c r="A14" i="34"/>
  <c r="A15" i="34"/>
  <c r="A16" i="34"/>
  <c r="A17" i="34"/>
  <c r="A18" i="34"/>
  <c r="A19" i="34"/>
  <c r="A20" i="34"/>
  <c r="A21" i="34"/>
  <c r="A22" i="34"/>
  <c r="A23" i="34"/>
  <c r="A24" i="34"/>
  <c r="A25" i="34"/>
  <c r="A26" i="34"/>
  <c r="A27" i="34"/>
  <c r="A28" i="34"/>
  <c r="A29" i="34"/>
  <c r="A30" i="34"/>
  <c r="A31" i="34"/>
  <c r="A32" i="34"/>
  <c r="A33" i="34"/>
  <c r="A34" i="34"/>
  <c r="A35" i="34"/>
  <c r="A36" i="34"/>
  <c r="A37" i="34"/>
  <c r="A38" i="34"/>
  <c r="F2" i="32" l="1"/>
  <c r="F2" i="34"/>
  <c r="F2" i="19"/>
  <c r="A38" i="27"/>
  <c r="A37" i="27"/>
  <c r="A36" i="27"/>
  <c r="A35" i="27"/>
  <c r="A34" i="27"/>
  <c r="A33" i="27"/>
  <c r="A32" i="27"/>
  <c r="A31" i="27"/>
  <c r="A30" i="27"/>
  <c r="A29" i="27"/>
  <c r="A28" i="27"/>
  <c r="A27" i="27"/>
  <c r="A26" i="27"/>
  <c r="A25" i="27"/>
  <c r="A24" i="27"/>
  <c r="A23" i="27"/>
  <c r="A22" i="27"/>
  <c r="A21" i="27"/>
  <c r="A20" i="27"/>
  <c r="A19" i="27"/>
  <c r="A18" i="27"/>
  <c r="A17" i="27"/>
  <c r="A16" i="27"/>
  <c r="A15" i="27"/>
  <c r="A14" i="27"/>
  <c r="A13" i="27"/>
  <c r="A12" i="27"/>
  <c r="A11" i="27"/>
  <c r="A10" i="27"/>
  <c r="A9" i="27"/>
  <c r="A8" i="27"/>
  <c r="A40" i="19" l="1"/>
  <c r="A39" i="19"/>
  <c r="A38" i="19"/>
  <c r="A37" i="19"/>
  <c r="A36" i="19"/>
  <c r="A35" i="19"/>
  <c r="A34" i="19"/>
  <c r="A33" i="19"/>
  <c r="A32" i="19"/>
  <c r="A31" i="19"/>
  <c r="A30" i="19"/>
  <c r="A29" i="19"/>
  <c r="A28" i="19"/>
  <c r="A27" i="19"/>
  <c r="A26" i="19"/>
  <c r="A25" i="19"/>
  <c r="A24" i="19"/>
  <c r="A23" i="19"/>
  <c r="A22" i="19"/>
  <c r="A21" i="19"/>
  <c r="A20" i="19"/>
  <c r="A19" i="19"/>
  <c r="A18" i="19"/>
  <c r="A17" i="19"/>
  <c r="A16" i="19"/>
  <c r="A15" i="19"/>
  <c r="A14" i="19"/>
  <c r="A13" i="19"/>
  <c r="A12" i="19"/>
  <c r="A11" i="19"/>
  <c r="A38" i="23"/>
  <c r="A37" i="23"/>
  <c r="A36" i="23"/>
  <c r="A35" i="23"/>
  <c r="A34" i="23"/>
  <c r="A33" i="23"/>
  <c r="A32" i="23"/>
  <c r="A31" i="23"/>
  <c r="A30" i="23"/>
  <c r="A29" i="23"/>
  <c r="A28" i="23"/>
  <c r="A27" i="23"/>
  <c r="A26" i="23"/>
  <c r="A25" i="23"/>
  <c r="A24" i="23"/>
  <c r="A23" i="23"/>
  <c r="A22" i="23"/>
  <c r="A21" i="23"/>
  <c r="A20" i="23"/>
  <c r="A19" i="23"/>
  <c r="A18" i="23"/>
  <c r="A17" i="23"/>
  <c r="A16" i="23"/>
  <c r="A15" i="23"/>
  <c r="A14" i="23"/>
  <c r="A13" i="23"/>
  <c r="A12" i="23"/>
  <c r="A11" i="23"/>
  <c r="A10" i="23"/>
  <c r="A9" i="23"/>
  <c r="A8" i="23"/>
  <c r="A37" i="31"/>
  <c r="A31" i="31"/>
  <c r="A30" i="31"/>
  <c r="A29" i="31"/>
  <c r="A28" i="31"/>
  <c r="A27" i="31"/>
  <c r="A26" i="31"/>
  <c r="A10" i="19"/>
  <c r="A9" i="19"/>
  <c r="A7" i="31" l="1"/>
  <c r="A8" i="31"/>
  <c r="A9" i="31"/>
  <c r="A10" i="31"/>
  <c r="A11" i="31"/>
  <c r="A12" i="31"/>
  <c r="A13" i="31"/>
  <c r="A14" i="31"/>
  <c r="A15" i="31"/>
  <c r="A16" i="31"/>
  <c r="A17" i="31"/>
  <c r="A18" i="31"/>
  <c r="A19" i="31"/>
  <c r="A20" i="31"/>
  <c r="A21" i="31"/>
  <c r="A22" i="31"/>
  <c r="A23" i="31"/>
  <c r="A24" i="31"/>
  <c r="A25" i="31"/>
  <c r="A32" i="31"/>
  <c r="A33" i="31"/>
  <c r="A34" i="31"/>
  <c r="A35" i="31"/>
  <c r="A36" i="31"/>
  <c r="A38" i="31"/>
  <c r="A39" i="31"/>
  <c r="A40" i="31"/>
  <c r="A6" i="31"/>
  <c r="AT3" i="31"/>
  <c r="AT2" i="31"/>
  <c r="AE2" i="31"/>
  <c r="W2" i="31"/>
  <c r="Q2" i="31"/>
  <c r="F2" i="31"/>
  <c r="BB1" i="31"/>
  <c r="AT1" i="31"/>
  <c r="AE1" i="31"/>
  <c r="W1" i="31"/>
  <c r="Q1" i="31"/>
  <c r="F1" i="31"/>
  <c r="AT3" i="29" l="1"/>
  <c r="AT2" i="29"/>
  <c r="AE2" i="29"/>
  <c r="W2" i="29"/>
  <c r="Q2" i="29"/>
  <c r="F2" i="29"/>
  <c r="BB1" i="29"/>
  <c r="AT1" i="29"/>
  <c r="AE1" i="29"/>
  <c r="W1" i="29"/>
  <c r="Q1" i="29"/>
  <c r="F1" i="29"/>
  <c r="A7" i="27" l="1"/>
  <c r="A6" i="27"/>
  <c r="AT3" i="27" l="1"/>
  <c r="AT2" i="27"/>
  <c r="AE2" i="27"/>
  <c r="W2" i="27"/>
  <c r="Q2" i="27"/>
  <c r="F2" i="27"/>
  <c r="BB1" i="27"/>
  <c r="AT1" i="27"/>
  <c r="AE1" i="27"/>
  <c r="W1" i="27"/>
  <c r="Q1" i="27"/>
  <c r="F1" i="27"/>
  <c r="AT3" i="17"/>
  <c r="AT2" i="17"/>
  <c r="AE2" i="17"/>
  <c r="W2" i="17"/>
  <c r="Q2" i="17"/>
  <c r="F2" i="17"/>
  <c r="BB1" i="17"/>
  <c r="AT1" i="17"/>
  <c r="AE1" i="17"/>
  <c r="W1" i="17"/>
  <c r="Q1" i="17"/>
  <c r="F1" i="17"/>
  <c r="AT3" i="11"/>
  <c r="AT2" i="11"/>
  <c r="AE2" i="11"/>
  <c r="W2" i="11"/>
  <c r="Q2" i="11"/>
  <c r="F2" i="11"/>
  <c r="BB1" i="11"/>
  <c r="AT1" i="11"/>
  <c r="AE1" i="11"/>
  <c r="W1" i="11"/>
  <c r="Q1" i="11"/>
  <c r="F1" i="11"/>
  <c r="AT3" i="9"/>
  <c r="AT2" i="9"/>
  <c r="AE2" i="9"/>
  <c r="W2" i="9"/>
  <c r="Q2" i="9"/>
  <c r="F2" i="9"/>
  <c r="BB1" i="9"/>
  <c r="AT1" i="9"/>
  <c r="AE1" i="9"/>
  <c r="W1" i="9"/>
  <c r="Q1" i="9"/>
  <c r="F1" i="9"/>
  <c r="AT3" i="8"/>
  <c r="AT2" i="8"/>
  <c r="AE2" i="8"/>
  <c r="W2" i="8"/>
  <c r="Q2" i="8"/>
  <c r="F2" i="8"/>
  <c r="BB1" i="8"/>
  <c r="AT1" i="8"/>
  <c r="AE1" i="8"/>
  <c r="W1" i="8"/>
  <c r="Q1" i="8"/>
  <c r="F1" i="8"/>
  <c r="AT3" i="4"/>
  <c r="AT2" i="4"/>
  <c r="AE2" i="4"/>
  <c r="W2" i="4"/>
  <c r="Q2" i="4"/>
  <c r="F2" i="4"/>
  <c r="BB1" i="4"/>
  <c r="AT1" i="4"/>
  <c r="AE1" i="4"/>
  <c r="W1" i="4"/>
  <c r="Q1" i="4"/>
  <c r="F1" i="4"/>
  <c r="AT3" i="23"/>
  <c r="AT2" i="23"/>
  <c r="AE2" i="23"/>
  <c r="W2" i="23"/>
  <c r="Q2" i="23"/>
  <c r="F2" i="23"/>
  <c r="BB1" i="23"/>
  <c r="AT1" i="23"/>
  <c r="AE1" i="23"/>
  <c r="W1" i="23"/>
  <c r="Q1" i="23"/>
  <c r="F1" i="23"/>
  <c r="AT3" i="5"/>
  <c r="AT2" i="5"/>
  <c r="BB1" i="5"/>
  <c r="AT1" i="5"/>
  <c r="AE1" i="5"/>
  <c r="W1" i="5"/>
  <c r="Q1" i="5"/>
  <c r="F1" i="5"/>
  <c r="A7" i="23"/>
  <c r="A6" i="23"/>
  <c r="AE2" i="5"/>
  <c r="W2" i="5"/>
  <c r="Q2" i="5"/>
  <c r="F2" i="5"/>
  <c r="BB2" i="30"/>
  <c r="AV2" i="30"/>
  <c r="BB3" i="30" a="1"/>
  <c r="AV3" i="30" a="1"/>
  <c r="B24" i="21"/>
  <c r="AV2" i="35" l="1"/>
  <c r="AV2" i="32"/>
  <c r="AV2" i="19"/>
  <c r="AV2" i="34"/>
  <c r="F31" i="21"/>
  <c r="BB2" i="35"/>
  <c r="BB2" i="19"/>
  <c r="BB2" i="32"/>
  <c r="BB2" i="34"/>
  <c r="AV2" i="29"/>
  <c r="AV2" i="31"/>
  <c r="BB2" i="4"/>
  <c r="BB2" i="29"/>
  <c r="BB2" i="31"/>
  <c r="BB2" i="23"/>
  <c r="BB2" i="27"/>
  <c r="BB2" i="11"/>
  <c r="BB2" i="8"/>
  <c r="AV2" i="9"/>
  <c r="AV2" i="17"/>
  <c r="F30" i="21"/>
  <c r="AV2" i="8"/>
  <c r="AV2" i="11"/>
  <c r="AV2" i="5"/>
  <c r="AV2" i="4"/>
  <c r="AV2" i="23"/>
  <c r="AV2" i="27"/>
  <c r="BB2" i="17"/>
  <c r="BB2" i="5"/>
  <c r="BB2" i="9"/>
  <c r="BB3" i="30"/>
  <c r="AV3" i="30"/>
  <c r="AV3" i="19" l="1"/>
  <c r="AV3" i="35"/>
  <c r="BB3" i="19"/>
  <c r="BB3" i="35"/>
  <c r="BB3" i="34"/>
  <c r="AV3" i="34"/>
  <c r="AV3" i="31"/>
  <c r="AV3" i="32"/>
  <c r="BB3" i="31"/>
  <c r="BB3" i="32"/>
  <c r="AV3" i="27"/>
  <c r="AV3" i="29"/>
  <c r="BB3" i="27"/>
  <c r="BB3" i="29"/>
  <c r="AV3" i="17"/>
  <c r="BB3" i="17"/>
  <c r="AV3" i="9"/>
  <c r="AV3" i="11"/>
  <c r="BB3" i="9"/>
  <c r="BB3" i="11"/>
  <c r="AV3" i="4"/>
  <c r="AV3" i="8"/>
  <c r="BB3" i="4"/>
  <c r="BB3" i="8"/>
  <c r="AV3" i="23"/>
  <c r="BB3" i="23"/>
  <c r="AV3" i="5"/>
  <c r="BB3" i="5"/>
</calcChain>
</file>

<file path=xl/sharedStrings.xml><?xml version="1.0" encoding="utf-8"?>
<sst xmlns="http://schemas.openxmlformats.org/spreadsheetml/2006/main" count="805" uniqueCount="510">
  <si>
    <t>サンスター株式会社　御中</t>
    <rPh sb="5" eb="9">
      <t>カブシキガイシャ</t>
    </rPh>
    <rPh sb="10" eb="12">
      <t>オンチュウ</t>
    </rPh>
    <phoneticPr fontId="2"/>
  </si>
  <si>
    <t>会計システム刷新プロジェクト（LIBRA）</t>
    <rPh sb="0" eb="2">
      <t>カイケイ</t>
    </rPh>
    <rPh sb="6" eb="8">
      <t>サッシン</t>
    </rPh>
    <phoneticPr fontId="2"/>
  </si>
  <si>
    <t>＜機能ID&gt;_＜画面名＞画面を入力</t>
  </si>
  <si>
    <t>日本ビジネスシステムズ株式会社</t>
    <rPh sb="0" eb="2">
      <t>ニホン</t>
    </rPh>
    <rPh sb="11" eb="15">
      <t>カブシキガイシャ</t>
    </rPh>
    <phoneticPr fontId="2"/>
  </si>
  <si>
    <t>作成者</t>
    <rPh sb="0" eb="3">
      <t>サクセイシャ</t>
    </rPh>
    <phoneticPr fontId="2"/>
  </si>
  <si>
    <t>JBS承認者</t>
    <rPh sb="3" eb="6">
      <t>ショウニンシャ</t>
    </rPh>
    <phoneticPr fontId="2"/>
  </si>
  <si>
    <t>基本設計部確認者</t>
    <rPh sb="0" eb="5">
      <t>キホンセッケイブ</t>
    </rPh>
    <rPh sb="5" eb="8">
      <t>カクニンシャ</t>
    </rPh>
    <phoneticPr fontId="2"/>
  </si>
  <si>
    <t>JBS加藤</t>
    <rPh sb="3" eb="5">
      <t>カトウ</t>
    </rPh>
    <phoneticPr fontId="2"/>
  </si>
  <si>
    <t>サンスター
佐保</t>
  </si>
  <si>
    <t>設計書</t>
    <rPh sb="0" eb="3">
      <t>セッケイショ</t>
    </rPh>
    <phoneticPr fontId="3"/>
  </si>
  <si>
    <t>システム名</t>
    <rPh sb="4" eb="5">
      <t>メイ</t>
    </rPh>
    <phoneticPr fontId="2"/>
  </si>
  <si>
    <t>機能分類</t>
    <rPh sb="0" eb="2">
      <t>キノウ</t>
    </rPh>
    <rPh sb="2" eb="4">
      <t>ブンルイ</t>
    </rPh>
    <phoneticPr fontId="3"/>
  </si>
  <si>
    <t>機能ＩＤ</t>
    <rPh sb="0" eb="2">
      <t>キノウ</t>
    </rPh>
    <phoneticPr fontId="3"/>
  </si>
  <si>
    <t>機能名称</t>
    <rPh sb="0" eb="2">
      <t>キノウ</t>
    </rPh>
    <phoneticPr fontId="3"/>
  </si>
  <si>
    <t>日付</t>
    <rPh sb="0" eb="2">
      <t>ヒヅケ</t>
    </rPh>
    <phoneticPr fontId="17"/>
  </si>
  <si>
    <t>更新者</t>
    <rPh sb="0" eb="2">
      <t>コウシン</t>
    </rPh>
    <rPh sb="2" eb="3">
      <t>シャ</t>
    </rPh>
    <phoneticPr fontId="3"/>
  </si>
  <si>
    <t>Dynamics365 for Finance and Operations</t>
  </si>
  <si>
    <t>システム共通</t>
    <rPh sb="4" eb="6">
      <t>キョウツウ</t>
    </rPh>
    <phoneticPr fontId="2"/>
  </si>
  <si>
    <t>FO-088</t>
    <phoneticPr fontId="3"/>
  </si>
  <si>
    <t>AzureFiles連携共通インターフェース</t>
    <rPh sb="10" eb="12">
      <t>レンケイ</t>
    </rPh>
    <rPh sb="12" eb="14">
      <t>キョウツウ</t>
    </rPh>
    <phoneticPr fontId="2"/>
  </si>
  <si>
    <t>作成</t>
    <rPh sb="0" eb="2">
      <t>サクセイ</t>
    </rPh>
    <phoneticPr fontId="3"/>
  </si>
  <si>
    <t>更新</t>
    <rPh sb="0" eb="2">
      <t>コウシン</t>
    </rPh>
    <phoneticPr fontId="3"/>
  </si>
  <si>
    <t>（表紙同様値）</t>
  </si>
  <si>
    <t>変更年月日</t>
    <rPh sb="0" eb="2">
      <t>ヘンコウ</t>
    </rPh>
    <rPh sb="2" eb="5">
      <t>ネンガッピ</t>
    </rPh>
    <phoneticPr fontId="19"/>
  </si>
  <si>
    <t>変更箇所</t>
    <rPh sb="0" eb="2">
      <t>ヘンコウ</t>
    </rPh>
    <rPh sb="2" eb="4">
      <t>カショ</t>
    </rPh>
    <phoneticPr fontId="19"/>
  </si>
  <si>
    <t>変更内容</t>
    <rPh sb="0" eb="2">
      <t>ヘンコウ</t>
    </rPh>
    <rPh sb="2" eb="4">
      <t>ナイヨウ</t>
    </rPh>
    <phoneticPr fontId="19"/>
  </si>
  <si>
    <t>変更者</t>
    <rPh sb="0" eb="2">
      <t>ヘンコウ</t>
    </rPh>
    <rPh sb="2" eb="3">
      <t>シャ</t>
    </rPh>
    <phoneticPr fontId="19"/>
  </si>
  <si>
    <t>版数</t>
    <rPh sb="0" eb="1">
      <t>ハン</t>
    </rPh>
    <rPh sb="1" eb="2">
      <t>スウ</t>
    </rPh>
    <phoneticPr fontId="19"/>
  </si>
  <si>
    <t>新規作成</t>
    <rPh sb="0" eb="2">
      <t>シンキ</t>
    </rPh>
    <rPh sb="2" eb="4">
      <t>サクセイ</t>
    </rPh>
    <phoneticPr fontId="2"/>
  </si>
  <si>
    <t>新規作成</t>
    <rPh sb="0" eb="4">
      <t>シンキサクセイ</t>
    </rPh>
    <phoneticPr fontId="17"/>
  </si>
  <si>
    <t>JBS石岡</t>
    <rPh sb="3" eb="5">
      <t>イシオカ</t>
    </rPh>
    <phoneticPr fontId="2"/>
  </si>
  <si>
    <t>1.0</t>
    <phoneticPr fontId="2"/>
  </si>
  <si>
    <t>基本設計書</t>
    <rPh sb="0" eb="2">
      <t>キホン</t>
    </rPh>
    <phoneticPr fontId="3"/>
  </si>
  <si>
    <t>開発目的</t>
    <rPh sb="0" eb="2">
      <t>カイハツ</t>
    </rPh>
    <rPh sb="2" eb="4">
      <t>モクテキ</t>
    </rPh>
    <phoneticPr fontId="2"/>
  </si>
  <si>
    <t xml:space="preserve">1. </t>
    <phoneticPr fontId="2"/>
  </si>
  <si>
    <t>外部システムに対しての連携用のファイルを所定のAzure Filesに格納するため</t>
    <phoneticPr fontId="2"/>
  </si>
  <si>
    <t xml:space="preserve">2. </t>
    <phoneticPr fontId="2"/>
  </si>
  <si>
    <t>外部システムより連携されるD365向けのファイルを所定のAzure Filesから取込むため</t>
    <phoneticPr fontId="2"/>
  </si>
  <si>
    <t>前提条件</t>
    <rPh sb="0" eb="2">
      <t>ゼンテイ</t>
    </rPh>
    <rPh sb="2" eb="4">
      <t>ジョウケン</t>
    </rPh>
    <phoneticPr fontId="2"/>
  </si>
  <si>
    <t>Azure Filesへ出力するファイルはテキスト形式のファイルを対象とする。</t>
    <rPh sb="12" eb="14">
      <t>シュツリョク</t>
    </rPh>
    <rPh sb="25" eb="27">
      <t>ケイシキ</t>
    </rPh>
    <rPh sb="33" eb="35">
      <t>タイショウ</t>
    </rPh>
    <phoneticPr fontId="2"/>
  </si>
  <si>
    <t>2.</t>
    <phoneticPr fontId="2"/>
  </si>
  <si>
    <t>Azure Filesから取込するファイルはテキスト形式のファイルを対象とする。</t>
    <rPh sb="13" eb="15">
      <t>トリコミ</t>
    </rPh>
    <rPh sb="26" eb="28">
      <t>ケイシキ</t>
    </rPh>
    <rPh sb="34" eb="36">
      <t>タイショウ</t>
    </rPh>
    <phoneticPr fontId="2"/>
  </si>
  <si>
    <t xml:space="preserve">3. </t>
    <phoneticPr fontId="2"/>
  </si>
  <si>
    <t xml:space="preserve">4. </t>
    <phoneticPr fontId="2"/>
  </si>
  <si>
    <t>連携用のファイルのアーカイブ処理は受領側のシステムが実施する。</t>
    <rPh sb="0" eb="3">
      <t>レンケイヨウ</t>
    </rPh>
    <rPh sb="14" eb="16">
      <t>ショリ</t>
    </rPh>
    <rPh sb="17" eb="20">
      <t>ジュリョウガワ</t>
    </rPh>
    <rPh sb="26" eb="28">
      <t>ジッシ</t>
    </rPh>
    <phoneticPr fontId="2"/>
  </si>
  <si>
    <t>使用タイミング</t>
    <rPh sb="0" eb="2">
      <t>シヨウ</t>
    </rPh>
    <phoneticPr fontId="2"/>
  </si>
  <si>
    <t>※</t>
    <phoneticPr fontId="2"/>
  </si>
  <si>
    <t>本機能を呼び出す、各機能側にて定義する。</t>
    <rPh sb="0" eb="3">
      <t>ホンキノウ</t>
    </rPh>
    <rPh sb="4" eb="5">
      <t>ヨ</t>
    </rPh>
    <rPh sb="6" eb="7">
      <t>ダ</t>
    </rPh>
    <rPh sb="9" eb="12">
      <t>カクキノウ</t>
    </rPh>
    <rPh sb="12" eb="13">
      <t>ガワ</t>
    </rPh>
    <rPh sb="15" eb="17">
      <t>テイギ</t>
    </rPh>
    <phoneticPr fontId="2"/>
  </si>
  <si>
    <t>開発内容</t>
    <rPh sb="0" eb="2">
      <t>カイハツ</t>
    </rPh>
    <rPh sb="2" eb="4">
      <t>ナイヨウ</t>
    </rPh>
    <phoneticPr fontId="2"/>
  </si>
  <si>
    <t>ファイルデータ出力処理</t>
    <rPh sb="7" eb="11">
      <t>シュツリョクショリ</t>
    </rPh>
    <phoneticPr fontId="2"/>
  </si>
  <si>
    <t>・本機能を呼び出す際に各機能から渡された引数を基に、Azure Filesへファイル出力する。</t>
    <phoneticPr fontId="2"/>
  </si>
  <si>
    <t>ファイルデータ取込処理</t>
    <rPh sb="7" eb="9">
      <t>トリコミ</t>
    </rPh>
    <rPh sb="9" eb="11">
      <t>ショリ</t>
    </rPh>
    <phoneticPr fontId="2"/>
  </si>
  <si>
    <t>・本機能を呼び出す際に各機能から渡された引数を基に、Azure Filesに受領したファイルを読み取り、呼び出し元の各機能へ返す。</t>
    <phoneticPr fontId="2"/>
  </si>
  <si>
    <t>・受領したファイルのアーカイブ処理を実施する。</t>
    <phoneticPr fontId="2"/>
  </si>
  <si>
    <t>制限事項</t>
    <rPh sb="0" eb="2">
      <t>セイゲン</t>
    </rPh>
    <rPh sb="2" eb="4">
      <t>ジコウ</t>
    </rPh>
    <phoneticPr fontId="2"/>
  </si>
  <si>
    <t>特になし</t>
    <rPh sb="0" eb="1">
      <t>トク</t>
    </rPh>
    <phoneticPr fontId="2"/>
  </si>
  <si>
    <t>No.</t>
    <phoneticPr fontId="2"/>
  </si>
  <si>
    <t>種別</t>
    <rPh sb="0" eb="2">
      <t>シュベツ</t>
    </rPh>
    <phoneticPr fontId="2"/>
  </si>
  <si>
    <t>論理名</t>
    <rPh sb="0" eb="2">
      <t>ロンリ</t>
    </rPh>
    <rPh sb="2" eb="3">
      <t>メイ</t>
    </rPh>
    <phoneticPr fontId="2"/>
  </si>
  <si>
    <t>物理名</t>
    <rPh sb="0" eb="2">
      <t>ブツリ</t>
    </rPh>
    <rPh sb="2" eb="3">
      <t>メイ</t>
    </rPh>
    <phoneticPr fontId="2"/>
  </si>
  <si>
    <t>I/O</t>
  </si>
  <si>
    <t>備考</t>
    <rPh sb="0" eb="2">
      <t>ビコウ</t>
    </rPh>
    <phoneticPr fontId="2"/>
  </si>
  <si>
    <t>テーブル</t>
  </si>
  <si>
    <t>AzureFilesマウント定義マスタ</t>
    <rPh sb="14" eb="16">
      <t>テイギ</t>
    </rPh>
    <phoneticPr fontId="2"/>
  </si>
  <si>
    <t>SJ_AzureFilesDefineTable</t>
    <phoneticPr fontId="2"/>
  </si>
  <si>
    <t>I</t>
  </si>
  <si>
    <t>新規</t>
    <rPh sb="0" eb="2">
      <t>シンキ</t>
    </rPh>
    <phoneticPr fontId="2"/>
  </si>
  <si>
    <t>ファイル取込定義マスタ</t>
    <rPh sb="4" eb="6">
      <t>トリコミ</t>
    </rPh>
    <rPh sb="6" eb="8">
      <t>テイギ</t>
    </rPh>
    <phoneticPr fontId="2"/>
  </si>
  <si>
    <t>SJ_FileInDefineTable</t>
    <phoneticPr fontId="2"/>
  </si>
  <si>
    <t>ファイル出力定義マスタ</t>
    <rPh sb="4" eb="6">
      <t>シュツリョク</t>
    </rPh>
    <rPh sb="6" eb="8">
      <t>テイギ</t>
    </rPh>
    <phoneticPr fontId="2"/>
  </si>
  <si>
    <t>SJ_FileOutDefineTable</t>
    <phoneticPr fontId="2"/>
  </si>
  <si>
    <t>イベント</t>
    <phoneticPr fontId="2"/>
  </si>
  <si>
    <t>機能</t>
    <rPh sb="0" eb="2">
      <t>キノウ</t>
    </rPh>
    <phoneticPr fontId="2"/>
  </si>
  <si>
    <t>DB</t>
    <phoneticPr fontId="2"/>
  </si>
  <si>
    <t>Azure Files</t>
    <phoneticPr fontId="2"/>
  </si>
  <si>
    <t>凡例</t>
    <rPh sb="0" eb="2">
      <t>ハンレイ</t>
    </rPh>
    <phoneticPr fontId="2"/>
  </si>
  <si>
    <t>記号</t>
    <rPh sb="0" eb="2">
      <t>キゴウ</t>
    </rPh>
    <phoneticPr fontId="2"/>
  </si>
  <si>
    <t>※DBが複数ある場合は複数DBをまとめるために使用</t>
    <phoneticPr fontId="2"/>
  </si>
  <si>
    <t>イベント名</t>
    <rPh sb="4" eb="5">
      <t>メイ</t>
    </rPh>
    <phoneticPr fontId="2"/>
  </si>
  <si>
    <t>処理内容</t>
    <rPh sb="0" eb="2">
      <t>ショリ</t>
    </rPh>
    <rPh sb="2" eb="4">
      <t>ナイヨウ</t>
    </rPh>
    <phoneticPr fontId="2"/>
  </si>
  <si>
    <t>メッセージ</t>
    <phoneticPr fontId="2"/>
  </si>
  <si>
    <t>ID</t>
    <phoneticPr fontId="2"/>
  </si>
  <si>
    <t>1.</t>
    <phoneticPr fontId="2"/>
  </si>
  <si>
    <t>ファイル出力処理</t>
    <rPh sb="4" eb="6">
      <t>シュツリョク</t>
    </rPh>
    <rPh sb="6" eb="8">
      <t>ショリ</t>
    </rPh>
    <phoneticPr fontId="2"/>
  </si>
  <si>
    <t>対象メソッド：</t>
  </si>
  <si>
    <t>outPutTextFile()</t>
    <phoneticPr fontId="2"/>
  </si>
  <si>
    <t>引数1：</t>
  </si>
  <si>
    <t>ファイル出力機能ID（SJ_FileOutFunctionId）</t>
  </si>
  <si>
    <t>※必須</t>
  </si>
  <si>
    <t>引数2：</t>
  </si>
  <si>
    <t>コンテナ（container [[ファイル内容]]）</t>
  </si>
  <si>
    <t>引数3：</t>
  </si>
  <si>
    <t>ファイル名（String）</t>
  </si>
  <si>
    <t>※デフォルト：""（ブランク）</t>
  </si>
  <si>
    <t>引数4：</t>
  </si>
  <si>
    <t>起動回（SJ_RunTiming）</t>
  </si>
  <si>
    <t>※デフォルト：【Once:1回目】</t>
  </si>
  <si>
    <t>戻り値：</t>
    <phoneticPr fontId="2"/>
  </si>
  <si>
    <t>結果 (Boolean True：正常終了／False：異常終了)</t>
  </si>
  <si>
    <t>1-1.</t>
    <phoneticPr fontId="2"/>
  </si>
  <si>
    <t>引数チェック</t>
    <rPh sb="0" eb="2">
      <t>ヒキスウ</t>
    </rPh>
    <phoneticPr fontId="2"/>
  </si>
  <si>
    <t>引数を条件に下記の対象テーブルを取得する。</t>
    <rPh sb="0" eb="2">
      <t>ヒキスウ</t>
    </rPh>
    <rPh sb="3" eb="5">
      <t>ジョウケン</t>
    </rPh>
    <rPh sb="6" eb="8">
      <t>カキ</t>
    </rPh>
    <rPh sb="9" eb="11">
      <t>タイショウ</t>
    </rPh>
    <rPh sb="16" eb="18">
      <t>シュトク</t>
    </rPh>
    <phoneticPr fontId="2"/>
  </si>
  <si>
    <t>対象テーブル：</t>
    <rPh sb="0" eb="2">
      <t>タイショウ</t>
    </rPh>
    <phoneticPr fontId="2"/>
  </si>
  <si>
    <t>[ファイル出力定義マスタ]</t>
    <rPh sb="5" eb="7">
      <t>シュツリョク</t>
    </rPh>
    <rPh sb="7" eb="9">
      <t>テイギ</t>
    </rPh>
    <phoneticPr fontId="2"/>
  </si>
  <si>
    <t>[AzureFilesマウント定義マスタ]</t>
    <rPh sb="15" eb="17">
      <t>テイギ</t>
    </rPh>
    <phoneticPr fontId="2"/>
  </si>
  <si>
    <t>Outer</t>
    <phoneticPr fontId="2"/>
  </si>
  <si>
    <t>結合条件：</t>
    <rPh sb="0" eb="2">
      <t>ケツゴウ</t>
    </rPh>
    <rPh sb="2" eb="4">
      <t>ジョウケン</t>
    </rPh>
    <phoneticPr fontId="2"/>
  </si>
  <si>
    <t>[ファイル出力定義マスタ.共有コンテナID]</t>
    <rPh sb="5" eb="9">
      <t>シュツリョクテイギ</t>
    </rPh>
    <rPh sb="13" eb="15">
      <t>キョウユウ</t>
    </rPh>
    <phoneticPr fontId="2"/>
  </si>
  <si>
    <t>=</t>
    <phoneticPr fontId="2"/>
  </si>
  <si>
    <t>[AzureFilesマウント定義マスタ.共有コンテナID]</t>
    <phoneticPr fontId="2"/>
  </si>
  <si>
    <t>検索条件：</t>
    <rPh sb="0" eb="4">
      <t>ケンサクジョウケン</t>
    </rPh>
    <phoneticPr fontId="2"/>
  </si>
  <si>
    <t>[ファイル出力定義マスタ.ファイル出力機能ID]</t>
  </si>
  <si>
    <t>＝</t>
  </si>
  <si>
    <t>引数1.ファイル出力機能ID</t>
  </si>
  <si>
    <t>[ファイル出力定義マスタ.起動回]</t>
  </si>
  <si>
    <t>引数4.起動タイミング</t>
  </si>
  <si>
    <t>取得できない場合、エラーメッセージを表示して処理を終了する。（戻り値:false）</t>
  </si>
  <si>
    <t>情報ログ</t>
    <rPh sb="0" eb="2">
      <t>ジョウホウ</t>
    </rPh>
    <phoneticPr fontId="2"/>
  </si>
  <si>
    <t>%1の設定がされていません。%2を確認してください。%3：%4</t>
    <phoneticPr fontId="2"/>
  </si>
  <si>
    <t>SJ00041</t>
  </si>
  <si>
    <t>warning</t>
    <phoneticPr fontId="2"/>
  </si>
  <si>
    <t>%1："ファイル出力"</t>
    <rPh sb="8" eb="10">
      <t>シュツリョク</t>
    </rPh>
    <phoneticPr fontId="2"/>
  </si>
  <si>
    <t>SJ00045</t>
  </si>
  <si>
    <t>%2："ファイル出力定義マスタ"</t>
    <rPh sb="8" eb="10">
      <t>シュツリョク</t>
    </rPh>
    <rPh sb="10" eb="12">
      <t>テイギ</t>
    </rPh>
    <phoneticPr fontId="2"/>
  </si>
  <si>
    <t>SJ00039</t>
  </si>
  <si>
    <t>％3："ファイル出力機能ID"</t>
    <rPh sb="8" eb="10">
      <t>シュツリョク</t>
    </rPh>
    <rPh sb="10" eb="12">
      <t>キノウ</t>
    </rPh>
    <phoneticPr fontId="2"/>
  </si>
  <si>
    <t>SJ00046</t>
  </si>
  <si>
    <t>%4：[引数2.ファイル出力機能ID]</t>
    <rPh sb="4" eb="6">
      <t>ヒキスウ</t>
    </rPh>
    <rPh sb="12" eb="14">
      <t>シュツリョク</t>
    </rPh>
    <rPh sb="14" eb="16">
      <t>キノウ</t>
    </rPh>
    <phoneticPr fontId="2"/>
  </si>
  <si>
    <t>1-2.</t>
    <phoneticPr fontId="2"/>
  </si>
  <si>
    <t>Azure Files認証</t>
    <rPh sb="11" eb="13">
      <t>ニンショウ</t>
    </rPh>
    <phoneticPr fontId="2"/>
  </si>
  <si>
    <t>[AzureFilesマウント定義マスタ.共有ルートパス]にアクセス可能の場合は手順[1-3]へ。</t>
    <phoneticPr fontId="2"/>
  </si>
  <si>
    <t>netUseコマンドを使用し、AzureFilesのRootディレクトリをネット作業ドライブとしてマウントする。</t>
  </si>
  <si>
    <t>　すでにマウント済の場合は処理を行わない。</t>
  </si>
  <si>
    <t>デバイス：</t>
  </si>
  <si>
    <t>[AzureFilesマウント定義マスタ.共有ルートパス]</t>
    <phoneticPr fontId="2"/>
  </si>
  <si>
    <t>ユーザー：</t>
  </si>
  <si>
    <t>[AzureFilesマウント定義マスタ.共有パス接続ユーザーID]</t>
    <phoneticPr fontId="2"/>
  </si>
  <si>
    <t>パスワード：</t>
  </si>
  <si>
    <t>[AzureFilesマウント定義マスタ.共有パス接続パスワード]</t>
    <phoneticPr fontId="2"/>
  </si>
  <si>
    <t>エラーが発生した場合、エラーメッセージを表示して処理を終了する。（戻り値:false）</t>
  </si>
  <si>
    <t>Azure Files認証に失敗しました。%1を確認してください。%2：%3</t>
    <phoneticPr fontId="2"/>
  </si>
  <si>
    <t>SJ00042</t>
  </si>
  <si>
    <t>%1："AzureFilesマウント定義マスタ"</t>
    <phoneticPr fontId="2"/>
  </si>
  <si>
    <t>SJ00037</t>
  </si>
  <si>
    <t>%2："共有コンテナ"</t>
    <phoneticPr fontId="2"/>
  </si>
  <si>
    <t>SJ00047</t>
  </si>
  <si>
    <t>%3：[ファイル出力定義マスタ.共有コンテナID]</t>
  </si>
  <si>
    <t>1-3.</t>
    <phoneticPr fontId="2"/>
  </si>
  <si>
    <t>フォルダ存在チェック</t>
    <rPh sb="4" eb="6">
      <t>ソンザイ</t>
    </rPh>
    <phoneticPr fontId="2"/>
  </si>
  <si>
    <t>本処理で使用する各フォルダが存在するかチェックする。</t>
  </si>
  <si>
    <t>存在しない場合、エラーメッセージを表示して処理を終了する。（戻り値:false）</t>
  </si>
  <si>
    <t>送信フォルダ：</t>
    <phoneticPr fontId="2"/>
  </si>
  <si>
    <t>[AzureFilesマウント定義マスタ.共有ルートパス] + [ファイル出力定義マスタ.送信フォルダパス]</t>
  </si>
  <si>
    <t>ファイルの格納先が存在しません。フォルダ：%1</t>
    <phoneticPr fontId="2"/>
  </si>
  <si>
    <t>SJ00043</t>
  </si>
  <si>
    <t>%1:[1-3.送信フォルダ]</t>
    <rPh sb="8" eb="10">
      <t>ソウシン</t>
    </rPh>
    <phoneticPr fontId="7"/>
  </si>
  <si>
    <t>作業フォルダ：</t>
  </si>
  <si>
    <t>[AzureFilesマウント定義マスタ.共有ルートパス] + [ファイル出力定義マスタ.作業フォルダパス]</t>
  </si>
  <si>
    <t>%1:[1-3.作業フォルダ]</t>
    <rPh sb="8" eb="10">
      <t>サギョウ</t>
    </rPh>
    <phoneticPr fontId="7"/>
  </si>
  <si>
    <t>1-4.</t>
    <phoneticPr fontId="2"/>
  </si>
  <si>
    <t>ファイル存在チェック</t>
    <rPh sb="4" eb="6">
      <t>ソンザイ</t>
    </rPh>
    <phoneticPr fontId="2"/>
  </si>
  <si>
    <t>[ファイル出力定義マスタ.読み込み種別]＝【NonUpdate:上書き禁止】の場合</t>
    <rPh sb="39" eb="41">
      <t>バアイ</t>
    </rPh>
    <phoneticPr fontId="2"/>
  </si>
  <si>
    <t>送信フォルダに検索ファイルが存在するか下記パターンにてチェックする。</t>
    <rPh sb="0" eb="2">
      <t>ソウシン</t>
    </rPh>
    <rPh sb="7" eb="9">
      <t>ケンサク</t>
    </rPh>
    <rPh sb="14" eb="16">
      <t>ソンザイ</t>
    </rPh>
    <rPh sb="19" eb="21">
      <t>カキ</t>
    </rPh>
    <phoneticPr fontId="7"/>
  </si>
  <si>
    <t>フォルダ：</t>
    <phoneticPr fontId="2"/>
  </si>
  <si>
    <t>[AzureFilesマウント定義マスタ.共有ルートパス] + [ファイル出力定義マスタ.送信フォルダパス]</t>
    <rPh sb="45" eb="47">
      <t>ソウシン</t>
    </rPh>
    <phoneticPr fontId="7"/>
  </si>
  <si>
    <t>検索ファイル名：</t>
    <rPh sb="0" eb="2">
      <t>ケンサク</t>
    </rPh>
    <rPh sb="6" eb="7">
      <t>メイ</t>
    </rPh>
    <phoneticPr fontId="7"/>
  </si>
  <si>
    <t>引数3.ファイル名＝""（ブランク）の場合</t>
    <rPh sb="0" eb="2">
      <t>ヒキスウ</t>
    </rPh>
    <rPh sb="19" eb="21">
      <t>バアイ</t>
    </rPh>
    <phoneticPr fontId="2"/>
  </si>
  <si>
    <t>⇒</t>
    <phoneticPr fontId="2"/>
  </si>
  <si>
    <t>引数3.ファイル名≠""（ブランク）の場合</t>
    <rPh sb="0" eb="2">
      <t>ヒキスウ</t>
    </rPh>
    <rPh sb="8" eb="9">
      <t>メイ</t>
    </rPh>
    <rPh sb="19" eb="21">
      <t>バアイ</t>
    </rPh>
    <phoneticPr fontId="2"/>
  </si>
  <si>
    <t>パターン:</t>
  </si>
  <si>
    <t>読み込み種別</t>
  </si>
  <si>
    <t>ファイル存在</t>
    <rPh sb="4" eb="6">
      <t>ソンザイ</t>
    </rPh>
    <phoneticPr fontId="2"/>
  </si>
  <si>
    <t>チェック評価</t>
    <rPh sb="4" eb="6">
      <t>ヒョウカ</t>
    </rPh>
    <phoneticPr fontId="2"/>
  </si>
  <si>
    <t>NonUpdate:上書き禁止</t>
  </si>
  <si>
    <t>なし</t>
  </si>
  <si>
    <t>正常(後続処理)</t>
    <rPh sb="0" eb="2">
      <t>セイジョウ</t>
    </rPh>
    <rPh sb="3" eb="5">
      <t>コウゾク</t>
    </rPh>
    <rPh sb="5" eb="7">
      <t>ショリ</t>
    </rPh>
    <phoneticPr fontId="2"/>
  </si>
  <si>
    <t>あり</t>
  </si>
  <si>
    <t>異常終了</t>
    <rPh sb="0" eb="2">
      <t>イジョウ</t>
    </rPh>
    <rPh sb="2" eb="4">
      <t>シュウリョウ</t>
    </rPh>
    <phoneticPr fontId="2"/>
  </si>
  <si>
    <t>チェック評価が「異常終了」の場合、メッセージを表示して処理を終了する。（戻り値:false）</t>
    <rPh sb="4" eb="6">
      <t>ヒョウカ</t>
    </rPh>
    <rPh sb="8" eb="10">
      <t>イジョウ</t>
    </rPh>
    <rPh sb="10" eb="12">
      <t>シュウリョウ</t>
    </rPh>
    <rPh sb="14" eb="16">
      <t>バアイ</t>
    </rPh>
    <rPh sb="23" eb="25">
      <t>ヒョウジ</t>
    </rPh>
    <rPh sb="27" eb="29">
      <t>ショリ</t>
    </rPh>
    <rPh sb="30" eb="32">
      <t>シュウリョウ</t>
    </rPh>
    <phoneticPr fontId="7"/>
  </si>
  <si>
    <t>出力先フォルダに同一ファイルが存在します。ファイル名：%1</t>
    <phoneticPr fontId="2"/>
  </si>
  <si>
    <t>SJ00044</t>
  </si>
  <si>
    <t>%1:[1-4.検索ファイル名]</t>
    <phoneticPr fontId="2"/>
  </si>
  <si>
    <t>1-5.</t>
    <phoneticPr fontId="2"/>
  </si>
  <si>
    <t>ファイル出力</t>
    <rPh sb="4" eb="6">
      <t>シュツリョク</t>
    </rPh>
    <phoneticPr fontId="2"/>
  </si>
  <si>
    <t>1-5-1.</t>
    <phoneticPr fontId="2"/>
  </si>
  <si>
    <t>引数3.コンテナを[ファイル出力定義マスタ]の設定に従いストリームに出力する。</t>
    <rPh sb="14" eb="16">
      <t>シュツリョク</t>
    </rPh>
    <rPh sb="34" eb="36">
      <t>シュツリョク</t>
    </rPh>
    <phoneticPr fontId="2"/>
  </si>
  <si>
    <t>ファイルの文字コード：</t>
    <rPh sb="5" eb="7">
      <t>モジ</t>
    </rPh>
    <phoneticPr fontId="7"/>
  </si>
  <si>
    <t>[ファイル出力定義マスタ.文字コード]</t>
    <rPh sb="5" eb="7">
      <t>シュツリョク</t>
    </rPh>
    <phoneticPr fontId="7"/>
  </si>
  <si>
    <t>＜出力イメージ＞</t>
    <rPh sb="1" eb="3">
      <t>シュツリョク</t>
    </rPh>
    <phoneticPr fontId="7"/>
  </si>
  <si>
    <t>例）</t>
    <rPh sb="0" eb="1">
      <t>レイ</t>
    </rPh>
    <phoneticPr fontId="7"/>
  </si>
  <si>
    <t>引数3.コンテナ＝</t>
    <rPh sb="0" eb="2">
      <t>ヒキスウ</t>
    </rPh>
    <phoneticPr fontId="7"/>
  </si>
  <si>
    <t>[</t>
    <phoneticPr fontId="2"/>
  </si>
  <si>
    <t xml:space="preserve"> [ 0001, "品目A", 1000.00, … ]</t>
    <rPh sb="10" eb="12">
      <t>ヒンモク</t>
    </rPh>
    <phoneticPr fontId="7"/>
  </si>
  <si>
    <t>,[ 0002, "品目B", 1000.00, … ]</t>
  </si>
  <si>
    <t>]</t>
  </si>
  <si>
    <t>作成したストリームを作業フォルダに出力する。</t>
    <rPh sb="0" eb="2">
      <t>サクセイ</t>
    </rPh>
    <rPh sb="17" eb="19">
      <t>シュツリョク</t>
    </rPh>
    <phoneticPr fontId="2"/>
  </si>
  <si>
    <t>※ファイルをストリームにて完全に作成してから実ファイルを出力する。</t>
    <rPh sb="13" eb="15">
      <t>カンゼン</t>
    </rPh>
    <rPh sb="16" eb="18">
      <t>サクセイ</t>
    </rPh>
    <rPh sb="22" eb="23">
      <t>ジツ</t>
    </rPh>
    <rPh sb="28" eb="30">
      <t>シュツリョク</t>
    </rPh>
    <phoneticPr fontId="2"/>
  </si>
  <si>
    <t>送信ファイル名：</t>
    <rPh sb="0" eb="2">
      <t>ソウシン</t>
    </rPh>
    <rPh sb="6" eb="7">
      <t>メイ</t>
    </rPh>
    <phoneticPr fontId="7"/>
  </si>
  <si>
    <t>引数3.ファイル名 +  [ファイル出力定義マスタ.ファイル名拡張子]</t>
  </si>
  <si>
    <t>1-5-2.</t>
    <phoneticPr fontId="2"/>
  </si>
  <si>
    <t>ファイル移動（作業フォルダ→送信フォルダ）</t>
    <rPh sb="4" eb="6">
      <t>イドウ</t>
    </rPh>
    <rPh sb="14" eb="16">
      <t>ソウシン</t>
    </rPh>
    <phoneticPr fontId="2"/>
  </si>
  <si>
    <t>作業フォルダから送信フォルダに送信ファイルを移動する。</t>
    <rPh sb="8" eb="10">
      <t>ソウシン</t>
    </rPh>
    <rPh sb="22" eb="24">
      <t>イドウ</t>
    </rPh>
    <phoneticPr fontId="7"/>
  </si>
  <si>
    <t>移動元：</t>
    <rPh sb="0" eb="2">
      <t>イドウ</t>
    </rPh>
    <rPh sb="2" eb="3">
      <t>モト</t>
    </rPh>
    <phoneticPr fontId="7"/>
  </si>
  <si>
    <t>移動先：</t>
    <rPh sb="0" eb="2">
      <t>イドウ</t>
    </rPh>
    <rPh sb="2" eb="3">
      <t>サキ</t>
    </rPh>
    <phoneticPr fontId="7"/>
  </si>
  <si>
    <t>[AzureFilesマウント定義マスタ.共有ルートパス] + [ファイル出力定義マスタ.送信フォルダパス]</t>
    <rPh sb="45" eb="47">
      <t>ソウシン</t>
    </rPh>
    <phoneticPr fontId="2"/>
  </si>
  <si>
    <t>1-6.</t>
    <phoneticPr fontId="2"/>
  </si>
  <si>
    <t>戻り値の設定</t>
    <rPh sb="0" eb="1">
      <t>モド</t>
    </rPh>
    <rPh sb="2" eb="3">
      <t>チ</t>
    </rPh>
    <rPh sb="4" eb="6">
      <t>セッテイ</t>
    </rPh>
    <phoneticPr fontId="2"/>
  </si>
  <si>
    <t>戻り値：trueをセットする。</t>
    <rPh sb="0" eb="1">
      <t>モド</t>
    </rPh>
    <rPh sb="2" eb="3">
      <t>チ</t>
    </rPh>
    <phoneticPr fontId="2"/>
  </si>
  <si>
    <t>※途中のSTEPでエラーが発生した場合、本STEPまで処理が継続されることはない。</t>
    <rPh sb="1" eb="3">
      <t>トチュウ</t>
    </rPh>
    <rPh sb="13" eb="15">
      <t>ハッセイ</t>
    </rPh>
    <rPh sb="17" eb="19">
      <t>バアイ</t>
    </rPh>
    <rPh sb="20" eb="21">
      <t>ホン</t>
    </rPh>
    <rPh sb="27" eb="29">
      <t>ショリ</t>
    </rPh>
    <rPh sb="30" eb="32">
      <t>ケイゾク</t>
    </rPh>
    <phoneticPr fontId="2"/>
  </si>
  <si>
    <t>ファイル取込処理</t>
    <rPh sb="4" eb="8">
      <t>トリコミショリ</t>
    </rPh>
    <phoneticPr fontId="2"/>
  </si>
  <si>
    <t>loadTextFile()</t>
    <phoneticPr fontId="2"/>
  </si>
  <si>
    <t>※必須</t>
    <rPh sb="1" eb="3">
      <t>ヒッス</t>
    </rPh>
    <phoneticPr fontId="2"/>
  </si>
  <si>
    <t>起動回（SJ_RunTiming）</t>
    <rPh sb="2" eb="3">
      <t>カイ</t>
    </rPh>
    <phoneticPr fontId="7"/>
  </si>
  <si>
    <t>戻り値1：</t>
    <phoneticPr fontId="2"/>
  </si>
  <si>
    <t>結果 (Boolean True：正常終了／False：異常終了)</t>
    <rPh sb="0" eb="2">
      <t>ケッカ</t>
    </rPh>
    <rPh sb="17" eb="19">
      <t>セイジョウ</t>
    </rPh>
    <rPh sb="19" eb="21">
      <t>シュウリョウ</t>
    </rPh>
    <rPh sb="28" eb="30">
      <t>イジョウ</t>
    </rPh>
    <rPh sb="30" eb="32">
      <t>シュウリョウ</t>
    </rPh>
    <phoneticPr fontId="2"/>
  </si>
  <si>
    <t>戻り値2：</t>
    <phoneticPr fontId="2"/>
  </si>
  <si>
    <t>コンテナ（container [[ファイル名,[ファイル内容]]]）</t>
  </si>
  <si>
    <t>2-1.</t>
    <phoneticPr fontId="2"/>
  </si>
  <si>
    <t>[ファイル取込定義マスタ]</t>
    <rPh sb="5" eb="7">
      <t>トリコミ</t>
    </rPh>
    <rPh sb="7" eb="9">
      <t>テイギ</t>
    </rPh>
    <phoneticPr fontId="2"/>
  </si>
  <si>
    <t>[ファイル取込定義マスタ.共有コンテナID]</t>
    <rPh sb="5" eb="7">
      <t>トリコミ</t>
    </rPh>
    <rPh sb="7" eb="9">
      <t>テイギ</t>
    </rPh>
    <rPh sb="13" eb="15">
      <t>キョウユウ</t>
    </rPh>
    <phoneticPr fontId="2"/>
  </si>
  <si>
    <t>[ファイル取込定義マスタ.ファイル出力機能ID]</t>
    <rPh sb="5" eb="7">
      <t>トリコミ</t>
    </rPh>
    <phoneticPr fontId="2"/>
  </si>
  <si>
    <t>引数1.ファイル取込機能ID</t>
    <rPh sb="8" eb="10">
      <t>トリコミ</t>
    </rPh>
    <phoneticPr fontId="2"/>
  </si>
  <si>
    <t>[ファイル取込定義マスタ.起動回]</t>
    <rPh sb="5" eb="7">
      <t>トリコミ</t>
    </rPh>
    <phoneticPr fontId="2"/>
  </si>
  <si>
    <t>%1の設定がされていません。%2を確認してください。%3：%4</t>
  </si>
  <si>
    <t>%1："ファイル取込"</t>
    <phoneticPr fontId="2"/>
  </si>
  <si>
    <t>SJ00048</t>
  </si>
  <si>
    <t>%2："ファイル取込定義マスタ"</t>
    <rPh sb="10" eb="12">
      <t>テイギ</t>
    </rPh>
    <phoneticPr fontId="2"/>
  </si>
  <si>
    <t>SJ00038</t>
  </si>
  <si>
    <t>％3："ファイル取込機能ID"</t>
    <rPh sb="10" eb="12">
      <t>キノウ</t>
    </rPh>
    <phoneticPr fontId="2"/>
  </si>
  <si>
    <t>SJ00049</t>
  </si>
  <si>
    <t>%4：[引数2.ファイル取込機能ID]</t>
    <rPh sb="4" eb="6">
      <t>ヒキスウ</t>
    </rPh>
    <rPh sb="14" eb="16">
      <t>キノウ</t>
    </rPh>
    <phoneticPr fontId="2"/>
  </si>
  <si>
    <t>2-2.</t>
    <phoneticPr fontId="2"/>
  </si>
  <si>
    <t>※1-2と同様の処理となる</t>
    <rPh sb="5" eb="7">
      <t>ドウヨウ</t>
    </rPh>
    <rPh sb="8" eb="10">
      <t>ショリ</t>
    </rPh>
    <phoneticPr fontId="2"/>
  </si>
  <si>
    <t>2-3.</t>
    <phoneticPr fontId="2"/>
  </si>
  <si>
    <t>受信フォルダ：</t>
    <phoneticPr fontId="2"/>
  </si>
  <si>
    <t>[AzureFilesマウント定義マスタ.共有ルートパス] + [ファイル出力定義マスタ.受信フォルダパス]</t>
    <phoneticPr fontId="2"/>
  </si>
  <si>
    <t>%1:[2-3.受信フォルダ]</t>
    <phoneticPr fontId="7"/>
  </si>
  <si>
    <t>作業フォルダ：</t>
    <rPh sb="0" eb="2">
      <t>サギョウ</t>
    </rPh>
    <phoneticPr fontId="2"/>
  </si>
  <si>
    <t>%1:[2-3.作業フォルダ]</t>
    <rPh sb="7" eb="8">
      <t>シン</t>
    </rPh>
    <phoneticPr fontId="7"/>
  </si>
  <si>
    <t>アーカイブフォルダ：</t>
    <phoneticPr fontId="2"/>
  </si>
  <si>
    <t>[AzureFilesマウント定義マスタ.共有ルートパス] + [ファイル出力定義マスタ.アーカイブフォルダパス]</t>
    <phoneticPr fontId="2"/>
  </si>
  <si>
    <t>%1:[2-3.アーカイブフォルダ]</t>
    <phoneticPr fontId="7"/>
  </si>
  <si>
    <t>エラーフォルダ：</t>
    <phoneticPr fontId="2"/>
  </si>
  <si>
    <t>[AzureFilesマウント定義マスタ.共有ルートパス] + [ファイル出力定義マスタ.エラーフォルダパス]</t>
    <phoneticPr fontId="2"/>
  </si>
  <si>
    <t>%1:[2-3.エラーフォルダ]</t>
    <phoneticPr fontId="7"/>
  </si>
  <si>
    <t>2-4.</t>
    <phoneticPr fontId="2"/>
  </si>
  <si>
    <t>受信フォルダに検索ファイルが存在するか下記パターンにてチェックする。</t>
    <rPh sb="7" eb="9">
      <t>ケンサク</t>
    </rPh>
    <rPh sb="14" eb="16">
      <t>ソンザイ</t>
    </rPh>
    <rPh sb="19" eb="21">
      <t>カキ</t>
    </rPh>
    <phoneticPr fontId="2"/>
  </si>
  <si>
    <t>[AzureFilesマウント定義マスタ.共有ルートパス] + [ファイル取込定義マスタ.受信フォルダパス]</t>
    <rPh sb="37" eb="39">
      <t>トリコミ</t>
    </rPh>
    <phoneticPr fontId="7"/>
  </si>
  <si>
    <t>NonNormal:ファイル存在任意</t>
    <phoneticPr fontId="2"/>
  </si>
  <si>
    <t>正常終了</t>
    <rPh sb="0" eb="4">
      <t>セイジョウシュウリョウ</t>
    </rPh>
    <phoneticPr fontId="2"/>
  </si>
  <si>
    <t>NonError:ファイル存在必須</t>
  </si>
  <si>
    <t>チェック評価が「正常終了」の場合、処理を終了する。（戻り値1:true）</t>
    <rPh sb="4" eb="6">
      <t>ヒョウカ</t>
    </rPh>
    <rPh sb="8" eb="10">
      <t>セイジョウ</t>
    </rPh>
    <rPh sb="10" eb="12">
      <t>シュウリョウ</t>
    </rPh>
    <rPh sb="14" eb="16">
      <t>バアイ</t>
    </rPh>
    <rPh sb="17" eb="19">
      <t>ショリ</t>
    </rPh>
    <rPh sb="20" eb="22">
      <t>シュウリョウ</t>
    </rPh>
    <phoneticPr fontId="7"/>
  </si>
  <si>
    <t>チェック評価が「異常終了」の場合、メッセージを表示して処理を終了する。（戻り値1:false）</t>
    <rPh sb="4" eb="6">
      <t>ヒョウカ</t>
    </rPh>
    <rPh sb="8" eb="10">
      <t>イジョウ</t>
    </rPh>
    <rPh sb="10" eb="12">
      <t>シュウリョウ</t>
    </rPh>
    <rPh sb="14" eb="16">
      <t>バアイ</t>
    </rPh>
    <rPh sb="23" eb="25">
      <t>ヒョウジ</t>
    </rPh>
    <rPh sb="27" eb="29">
      <t>ショリ</t>
    </rPh>
    <rPh sb="30" eb="32">
      <t>シュウリョウ</t>
    </rPh>
    <phoneticPr fontId="7"/>
  </si>
  <si>
    <t>ファイルが存在しません。ファイル名：%1</t>
    <phoneticPr fontId="2"/>
  </si>
  <si>
    <t>SJ00050</t>
  </si>
  <si>
    <t>%1:[2-4.検索ファイル名]</t>
    <phoneticPr fontId="2"/>
  </si>
  <si>
    <t>2-5.</t>
    <phoneticPr fontId="2"/>
  </si>
  <si>
    <t>ファイル読み込み</t>
    <rPh sb="4" eb="5">
      <t>ヨ</t>
    </rPh>
    <rPh sb="6" eb="7">
      <t>コ</t>
    </rPh>
    <phoneticPr fontId="2"/>
  </si>
  <si>
    <t>手順[2-4]で検知した受領ファイルすべてに対し読み込み処理を行う。</t>
    <rPh sb="0" eb="2">
      <t>テジュン</t>
    </rPh>
    <rPh sb="8" eb="10">
      <t>ケンチ</t>
    </rPh>
    <rPh sb="12" eb="14">
      <t>ジュリョウ</t>
    </rPh>
    <rPh sb="22" eb="23">
      <t>タイ</t>
    </rPh>
    <rPh sb="24" eb="25">
      <t>ヨ</t>
    </rPh>
    <rPh sb="26" eb="27">
      <t>コ</t>
    </rPh>
    <rPh sb="28" eb="30">
      <t>ショリ</t>
    </rPh>
    <rPh sb="31" eb="32">
      <t>オコナ</t>
    </rPh>
    <phoneticPr fontId="7"/>
  </si>
  <si>
    <t>手順[2-4]で検知した受領ファイルの一覧 Loop ＜開始＞</t>
    <rPh sb="0" eb="2">
      <t>テジュン</t>
    </rPh>
    <rPh sb="8" eb="10">
      <t>ケンチ</t>
    </rPh>
    <rPh sb="12" eb="14">
      <t>ジュリョウ</t>
    </rPh>
    <rPh sb="19" eb="21">
      <t>イチラン</t>
    </rPh>
    <rPh sb="28" eb="30">
      <t>カイシ</t>
    </rPh>
    <phoneticPr fontId="7"/>
  </si>
  <si>
    <t>｜</t>
  </si>
  <si>
    <t>2-5-1.</t>
    <phoneticPr fontId="7"/>
  </si>
  <si>
    <t>ファイル移動 (受信フォルダ→作業フォルダ)</t>
    <phoneticPr fontId="2"/>
  </si>
  <si>
    <t>受領ファイルをリネームして作業フォルダに移動する。</t>
    <rPh sb="0" eb="2">
      <t>ジュリョウ</t>
    </rPh>
    <rPh sb="20" eb="22">
      <t>イドウ</t>
    </rPh>
    <phoneticPr fontId="7"/>
  </si>
  <si>
    <t xml:space="preserve">[AzureFilesマウント定義マスタ.共有ルートパス] </t>
    <phoneticPr fontId="7"/>
  </si>
  <si>
    <t>+ [ファイル取込定義マスタ.受信フォルダパス] + 受領ファイル名</t>
    <phoneticPr fontId="2"/>
  </si>
  <si>
    <t xml:space="preserve">+ [ファイル取込定義マスタ.作業フォルダパス] </t>
    <phoneticPr fontId="2"/>
  </si>
  <si>
    <t>+ 受領ファイル名 (※拡張子無し)</t>
    <phoneticPr fontId="2"/>
  </si>
  <si>
    <t>+ [ファイル取込定義マスタ.ファイル名拡張子]</t>
    <phoneticPr fontId="2"/>
  </si>
  <si>
    <t>受領ファイルが出力中により操作不可の場合はリトライを行う。</t>
    <rPh sb="0" eb="2">
      <t>ジュリョウ</t>
    </rPh>
    <rPh sb="7" eb="9">
      <t>シュツリョク</t>
    </rPh>
    <rPh sb="9" eb="10">
      <t>チュウ</t>
    </rPh>
    <rPh sb="13" eb="15">
      <t>ソウサ</t>
    </rPh>
    <rPh sb="15" eb="17">
      <t>フカ</t>
    </rPh>
    <rPh sb="18" eb="20">
      <t>バアイ</t>
    </rPh>
    <rPh sb="26" eb="27">
      <t>オコナ</t>
    </rPh>
    <phoneticPr fontId="7"/>
  </si>
  <si>
    <t>リトライ回数を超えた場合、メッセージを表示して手順[2-5]へ。（ループのbreak）</t>
    <rPh sb="4" eb="6">
      <t>カイスウ</t>
    </rPh>
    <rPh sb="7" eb="8">
      <t>コ</t>
    </rPh>
    <rPh sb="10" eb="12">
      <t>バアイ</t>
    </rPh>
    <rPh sb="19" eb="21">
      <t>ヒョウジ</t>
    </rPh>
    <rPh sb="23" eb="25">
      <t>テジュン</t>
    </rPh>
    <phoneticPr fontId="7"/>
  </si>
  <si>
    <t>リトライ回数：</t>
    <rPh sb="4" eb="6">
      <t>カイスウ</t>
    </rPh>
    <phoneticPr fontId="7"/>
  </si>
  <si>
    <t>[AzureFilesマウント定義マスタ.リトライ回数]</t>
    <rPh sb="25" eb="27">
      <t>カイスウ</t>
    </rPh>
    <phoneticPr fontId="7"/>
  </si>
  <si>
    <t>ウェイトタイム：</t>
  </si>
  <si>
    <t>[AzureFilesマウント定義マスタ.ウェイト(秒)]</t>
    <rPh sb="26" eb="27">
      <t>ビョウ</t>
    </rPh>
    <phoneticPr fontId="7"/>
  </si>
  <si>
    <t>2-5-2.</t>
    <phoneticPr fontId="7"/>
  </si>
  <si>
    <t>データ読み込み</t>
    <rPh sb="3" eb="4">
      <t>ヨ</t>
    </rPh>
    <rPh sb="5" eb="6">
      <t>コ</t>
    </rPh>
    <phoneticPr fontId="7"/>
  </si>
  <si>
    <t>作業フォルダに移動した受領ファイルの内容を[ファイル取込定義マスタ]の設定に従いストリームに読み込む。</t>
    <rPh sb="11" eb="13">
      <t>ジュリョウ</t>
    </rPh>
    <rPh sb="18" eb="20">
      <t>ナイヨウ</t>
    </rPh>
    <rPh sb="35" eb="37">
      <t>セッテイ</t>
    </rPh>
    <rPh sb="38" eb="39">
      <t>シタガ</t>
    </rPh>
    <rPh sb="46" eb="47">
      <t>ヨ</t>
    </rPh>
    <rPh sb="48" eb="49">
      <t>コ</t>
    </rPh>
    <phoneticPr fontId="2"/>
  </si>
  <si>
    <t>ストリームに読み込んだファイル内容をコンテナに格納する。</t>
    <rPh sb="6" eb="7">
      <t>ヨ</t>
    </rPh>
    <rPh sb="8" eb="9">
      <t>コ</t>
    </rPh>
    <rPh sb="15" eb="17">
      <t>ナイヨウ</t>
    </rPh>
    <rPh sb="23" eb="25">
      <t>カクノウ</t>
    </rPh>
    <phoneticPr fontId="7"/>
  </si>
  <si>
    <t>また、格納時に「"(ダブルクォーテーション)」を除去する。</t>
    <rPh sb="3" eb="5">
      <t>カクノウ</t>
    </rPh>
    <rPh sb="5" eb="6">
      <t>ジ</t>
    </rPh>
    <phoneticPr fontId="7"/>
  </si>
  <si>
    <t>[ファイル取込定義マスタ.文字コード]</t>
  </si>
  <si>
    <t>読み込み開始行：</t>
    <rPh sb="0" eb="1">
      <t>ヨ</t>
    </rPh>
    <rPh sb="2" eb="3">
      <t>コ</t>
    </rPh>
    <rPh sb="4" eb="6">
      <t>カイシ</t>
    </rPh>
    <rPh sb="6" eb="7">
      <t>ギョウ</t>
    </rPh>
    <phoneticPr fontId="7"/>
  </si>
  <si>
    <t>[ファイル取込定義マスタ.読み込み開始行]</t>
    <rPh sb="13" eb="14">
      <t>ヨ</t>
    </rPh>
    <rPh sb="15" eb="16">
      <t>コ</t>
    </rPh>
    <rPh sb="17" eb="19">
      <t>カイシ</t>
    </rPh>
    <rPh sb="19" eb="20">
      <t>ギョウ</t>
    </rPh>
    <phoneticPr fontId="7"/>
  </si>
  <si>
    <t>※0または未設定の場合は先頭行から（[ファイル取込定義マスタ.読み込み開始行]＝１と同様）</t>
    <rPh sb="5" eb="8">
      <t>ミセッテイ</t>
    </rPh>
    <rPh sb="9" eb="11">
      <t>バアイ</t>
    </rPh>
    <rPh sb="12" eb="14">
      <t>セントウ</t>
    </rPh>
    <rPh sb="14" eb="15">
      <t>ギョウ</t>
    </rPh>
    <rPh sb="42" eb="44">
      <t>ドウヨウ</t>
    </rPh>
    <phoneticPr fontId="7"/>
  </si>
  <si>
    <t>＜格納イメージ＞</t>
    <rPh sb="1" eb="3">
      <t>カクノウ</t>
    </rPh>
    <phoneticPr fontId="7"/>
  </si>
  <si>
    <t>例）受領ファイルが2本（品目_20201201.csv、品目_20201202.csv）の場合</t>
    <rPh sb="0" eb="1">
      <t>レイ</t>
    </rPh>
    <rPh sb="2" eb="4">
      <t>ジュリョウ</t>
    </rPh>
    <rPh sb="10" eb="11">
      <t>ホン</t>
    </rPh>
    <rPh sb="45" eb="47">
      <t>バアイ</t>
    </rPh>
    <phoneticPr fontId="7"/>
  </si>
  <si>
    <t>戻り値2.コンテナ＝</t>
    <rPh sb="0" eb="1">
      <t>モド</t>
    </rPh>
    <rPh sb="2" eb="3">
      <t>チ</t>
    </rPh>
    <phoneticPr fontId="7"/>
  </si>
  <si>
    <t xml:space="preserve">[ 品目_20201201.csv, </t>
    <rPh sb="2" eb="4">
      <t>ヒンモク</t>
    </rPh>
    <phoneticPr fontId="7"/>
  </si>
  <si>
    <t>[</t>
  </si>
  <si>
    <t>],</t>
    <phoneticPr fontId="2"/>
  </si>
  <si>
    <t xml:space="preserve">[ 品目_20201202.csv, </t>
    <rPh sb="2" eb="4">
      <t>ヒンモク</t>
    </rPh>
    <phoneticPr fontId="7"/>
  </si>
  <si>
    <t>]</t>
    <phoneticPr fontId="2"/>
  </si>
  <si>
    <t>2-5-3.</t>
    <phoneticPr fontId="7"/>
  </si>
  <si>
    <t>アーカイブ処理</t>
    <rPh sb="5" eb="7">
      <t>ショリ</t>
    </rPh>
    <phoneticPr fontId="7"/>
  </si>
  <si>
    <t>読み込み処理が正常終了した受領ファイルをアーカイブフォルダに移動する。</t>
    <rPh sb="0" eb="1">
      <t>ヨ</t>
    </rPh>
    <rPh sb="2" eb="3">
      <t>コ</t>
    </rPh>
    <rPh sb="4" eb="6">
      <t>ショリ</t>
    </rPh>
    <rPh sb="7" eb="9">
      <t>セイジョウ</t>
    </rPh>
    <rPh sb="9" eb="11">
      <t>シュウリョウ</t>
    </rPh>
    <rPh sb="13" eb="15">
      <t>ジュリョウ</t>
    </rPh>
    <phoneticPr fontId="7"/>
  </si>
  <si>
    <t>[ファイル取込定義マスタ.作業フォルダパス]</t>
  </si>
  <si>
    <t>[ファイル取込定義マスタ.アーカイブフォルダパス]</t>
  </si>
  <si>
    <t>次受領ファイルの読み込みを行う。(Loopのコンテニュー)</t>
    <rPh sb="1" eb="3">
      <t>ジュリョウ</t>
    </rPh>
    <phoneticPr fontId="7"/>
  </si>
  <si>
    <t>2-5-4.</t>
    <phoneticPr fontId="7"/>
  </si>
  <si>
    <t>エラー処理</t>
  </si>
  <si>
    <t>読み込み処理が異常終了した受領ファイルをエラーフォルダに移動する。</t>
    <rPh sb="7" eb="9">
      <t>イジョウ</t>
    </rPh>
    <rPh sb="9" eb="11">
      <t>シュウリョウ</t>
    </rPh>
    <rPh sb="13" eb="15">
      <t>ジュリョウ</t>
    </rPh>
    <phoneticPr fontId="7"/>
  </si>
  <si>
    <t>[AzureFilesマウント定義マスタ.共有ルートパス] + [ファイル取込定義マスタ.作業フォルダパス]</t>
  </si>
  <si>
    <t>[AzureFilesマウント定義マスタ.共有ルートパス] + [ファイル取込定義マスタ.エラーフォルダパス]</t>
    <phoneticPr fontId="2"/>
  </si>
  <si>
    <t>処理を中断する。（戻り値1:false）</t>
    <rPh sb="0" eb="2">
      <t>ショリ</t>
    </rPh>
    <rPh sb="3" eb="5">
      <t>チュウダン</t>
    </rPh>
    <phoneticPr fontId="7"/>
  </si>
  <si>
    <t>Loop ＜終了＞</t>
  </si>
  <si>
    <t>2-6.</t>
    <phoneticPr fontId="2"/>
  </si>
  <si>
    <t>取込みしたファイルの件数を下記パターンにてチェックし、戻り値1をセットする。</t>
    <rPh sb="0" eb="2">
      <t>トリコ</t>
    </rPh>
    <rPh sb="10" eb="12">
      <t>ケンスウ</t>
    </rPh>
    <rPh sb="13" eb="15">
      <t>カキ</t>
    </rPh>
    <rPh sb="27" eb="28">
      <t>モド</t>
    </rPh>
    <rPh sb="29" eb="30">
      <t>チ</t>
    </rPh>
    <phoneticPr fontId="2"/>
  </si>
  <si>
    <t>件数</t>
    <rPh sb="0" eb="2">
      <t>ケンスウ</t>
    </rPh>
    <phoneticPr fontId="2"/>
  </si>
  <si>
    <t>NonNormal:ファイル存在任意</t>
  </si>
  <si>
    <t>0件</t>
    <rPh sb="1" eb="2">
      <t>ケン</t>
    </rPh>
    <phoneticPr fontId="2"/>
  </si>
  <si>
    <t>正常終了</t>
    <rPh sb="0" eb="2">
      <t>セイジョウ</t>
    </rPh>
    <rPh sb="2" eb="4">
      <t>シュウリョウ</t>
    </rPh>
    <phoneticPr fontId="2"/>
  </si>
  <si>
    <t>1件以上</t>
    <rPh sb="1" eb="2">
      <t>ケン</t>
    </rPh>
    <rPh sb="2" eb="4">
      <t>イジョウ</t>
    </rPh>
    <phoneticPr fontId="2"/>
  </si>
  <si>
    <t>チェック評価が「正常終了」の場合、戻り値1にtrueをセットする。</t>
    <rPh sb="4" eb="6">
      <t>ヒョウカ</t>
    </rPh>
    <rPh sb="8" eb="10">
      <t>セイジョウ</t>
    </rPh>
    <rPh sb="10" eb="12">
      <t>シュウリョウ</t>
    </rPh>
    <rPh sb="14" eb="16">
      <t>バアイ</t>
    </rPh>
    <rPh sb="17" eb="18">
      <t>モド</t>
    </rPh>
    <rPh sb="19" eb="20">
      <t>チ</t>
    </rPh>
    <phoneticPr fontId="7"/>
  </si>
  <si>
    <t>チェック評価が「異常終了」の場合、戻り値1にfalseをセットする。</t>
    <rPh sb="4" eb="6">
      <t>ヒョウカ</t>
    </rPh>
    <rPh sb="8" eb="10">
      <t>イジョウ</t>
    </rPh>
    <rPh sb="10" eb="12">
      <t>シュウリョウ</t>
    </rPh>
    <rPh sb="14" eb="16">
      <t>バアイ</t>
    </rPh>
    <phoneticPr fontId="7"/>
  </si>
  <si>
    <t>戻り値2に[2-5]で作成したコンテナをセットする。</t>
  </si>
  <si>
    <t>パス</t>
    <phoneticPr fontId="2"/>
  </si>
  <si>
    <t>フォーム名</t>
    <rPh sb="4" eb="5">
      <t>メイ</t>
    </rPh>
    <phoneticPr fontId="2"/>
  </si>
  <si>
    <t>タブ名</t>
    <rPh sb="2" eb="3">
      <t>メイ</t>
    </rPh>
    <phoneticPr fontId="2"/>
  </si>
  <si>
    <t>コントロール</t>
    <phoneticPr fontId="2"/>
  </si>
  <si>
    <t>項目名</t>
    <rPh sb="0" eb="2">
      <t>コウモク</t>
    </rPh>
    <rPh sb="2" eb="3">
      <t>メイ</t>
    </rPh>
    <phoneticPr fontId="2"/>
  </si>
  <si>
    <t>種類</t>
    <rPh sb="0" eb="2">
      <t>シュルイ</t>
    </rPh>
    <phoneticPr fontId="2"/>
  </si>
  <si>
    <t>入力</t>
    <rPh sb="0" eb="2">
      <t>ニュウリョク</t>
    </rPh>
    <phoneticPr fontId="2"/>
  </si>
  <si>
    <t>必須</t>
    <rPh sb="0" eb="2">
      <t>ヒッス</t>
    </rPh>
    <phoneticPr fontId="2"/>
  </si>
  <si>
    <t>項目説明（概要）</t>
    <rPh sb="0" eb="2">
      <t>コウモク</t>
    </rPh>
    <rPh sb="2" eb="4">
      <t>セツメイ</t>
    </rPh>
    <rPh sb="5" eb="7">
      <t>ガイヨウ</t>
    </rPh>
    <phoneticPr fontId="2"/>
  </si>
  <si>
    <t>レイアウト</t>
    <phoneticPr fontId="2"/>
  </si>
  <si>
    <t>帳票タイトル：</t>
    <rPh sb="0" eb="2">
      <t>チョウヒョウ</t>
    </rPh>
    <phoneticPr fontId="2"/>
  </si>
  <si>
    <t>帳票タイプ：</t>
    <rPh sb="0" eb="2">
      <t>チョウヒョウ</t>
    </rPh>
    <phoneticPr fontId="2"/>
  </si>
  <si>
    <t>用紙サイズ：</t>
    <rPh sb="0" eb="2">
      <t>ヨウシ</t>
    </rPh>
    <phoneticPr fontId="2"/>
  </si>
  <si>
    <t>用紙の向き：</t>
    <phoneticPr fontId="2"/>
  </si>
  <si>
    <t>自動サイズ調整：</t>
    <rPh sb="0" eb="2">
      <t>ジドウ</t>
    </rPh>
    <rPh sb="5" eb="7">
      <t>チョウセイ</t>
    </rPh>
    <phoneticPr fontId="2"/>
  </si>
  <si>
    <t>フォント：</t>
    <phoneticPr fontId="2"/>
  </si>
  <si>
    <t>余白(cm)</t>
    <rPh sb="0" eb="2">
      <t>ヨハク</t>
    </rPh>
    <phoneticPr fontId="2"/>
  </si>
  <si>
    <t>左：</t>
    <rPh sb="0" eb="1">
      <t>ヒダリ</t>
    </rPh>
    <phoneticPr fontId="2"/>
  </si>
  <si>
    <t>右：</t>
    <rPh sb="0" eb="1">
      <t>ミギ</t>
    </rPh>
    <phoneticPr fontId="2"/>
  </si>
  <si>
    <t>上：</t>
    <rPh sb="0" eb="1">
      <t>ウエ</t>
    </rPh>
    <phoneticPr fontId="2"/>
  </si>
  <si>
    <t>下：</t>
    <rPh sb="0" eb="1">
      <t>シタ</t>
    </rPh>
    <phoneticPr fontId="2"/>
  </si>
  <si>
    <t>テーブルソート設定：</t>
    <rPh sb="7" eb="9">
      <t>セッテイ</t>
    </rPh>
    <phoneticPr fontId="2"/>
  </si>
  <si>
    <t>表示形式</t>
    <rPh sb="0" eb="2">
      <t>ヒョウジ</t>
    </rPh>
    <rPh sb="2" eb="4">
      <t>ケイシキ</t>
    </rPh>
    <phoneticPr fontId="2"/>
  </si>
  <si>
    <t>配置</t>
    <rPh sb="0" eb="2">
      <t>ハイチ</t>
    </rPh>
    <phoneticPr fontId="2"/>
  </si>
  <si>
    <t>ヘッダー/フッター/明細</t>
    <phoneticPr fontId="2"/>
  </si>
  <si>
    <t>書式</t>
    <rPh sb="0" eb="2">
      <t>ショシキ</t>
    </rPh>
    <phoneticPr fontId="2"/>
  </si>
  <si>
    <t>フォーマット</t>
    <phoneticPr fontId="2"/>
  </si>
  <si>
    <t>横位置</t>
    <rPh sb="0" eb="1">
      <t>ヨコ</t>
    </rPh>
    <rPh sb="1" eb="3">
      <t>イチ</t>
    </rPh>
    <phoneticPr fontId="2"/>
  </si>
  <si>
    <t>縦位置</t>
    <rPh sb="0" eb="1">
      <t>タテ</t>
    </rPh>
    <rPh sb="1" eb="3">
      <t>イチ</t>
    </rPh>
    <phoneticPr fontId="2"/>
  </si>
  <si>
    <t>サイズ</t>
    <phoneticPr fontId="2"/>
  </si>
  <si>
    <t>最大項目長
（項目幅）</t>
    <rPh sb="0" eb="2">
      <t>サイダイ</t>
    </rPh>
    <rPh sb="2" eb="4">
      <t>コウモク</t>
    </rPh>
    <rPh sb="4" eb="5">
      <t>チョウ</t>
    </rPh>
    <rPh sb="7" eb="9">
      <t>コウモク</t>
    </rPh>
    <rPh sb="9" eb="10">
      <t>ハバ</t>
    </rPh>
    <phoneticPr fontId="2"/>
  </si>
  <si>
    <t>出力値</t>
    <rPh sb="0" eb="2">
      <t>シュツリョク</t>
    </rPh>
    <rPh sb="2" eb="3">
      <t>チ</t>
    </rPh>
    <phoneticPr fontId="2"/>
  </si>
  <si>
    <t>取得元テーブル</t>
    <rPh sb="0" eb="2">
      <t>シュトク</t>
    </rPh>
    <rPh sb="2" eb="3">
      <t>モト</t>
    </rPh>
    <phoneticPr fontId="2"/>
  </si>
  <si>
    <t>取得元フィールド</t>
    <rPh sb="0" eb="2">
      <t>シュトク</t>
    </rPh>
    <rPh sb="2" eb="3">
      <t>モト</t>
    </rPh>
    <phoneticPr fontId="2"/>
  </si>
  <si>
    <t>折り返して全体を
表示する</t>
    <rPh sb="0" eb="1">
      <t>オ</t>
    </rPh>
    <rPh sb="2" eb="3">
      <t>カエ</t>
    </rPh>
    <rPh sb="5" eb="7">
      <t>ゼンタイ</t>
    </rPh>
    <rPh sb="9" eb="11">
      <t>ヒョウジ</t>
    </rPh>
    <phoneticPr fontId="2"/>
  </si>
  <si>
    <t>TmpTable</t>
    <phoneticPr fontId="2"/>
  </si>
  <si>
    <t>TmpTableフィールド</t>
    <phoneticPr fontId="2"/>
  </si>
  <si>
    <t>① ヘッダー</t>
    <phoneticPr fontId="2"/>
  </si>
  <si>
    <t>ー</t>
    <phoneticPr fontId="2"/>
  </si>
  <si>
    <t>② 明細</t>
    <rPh sb="2" eb="4">
      <t>メイサイ</t>
    </rPh>
    <phoneticPr fontId="2"/>
  </si>
  <si>
    <t>（項目名）</t>
    <rPh sb="1" eb="3">
      <t>コウモク</t>
    </rPh>
    <rPh sb="3" eb="4">
      <t>メイ</t>
    </rPh>
    <phoneticPr fontId="2"/>
  </si>
  <si>
    <t>②明細</t>
    <rPh sb="1" eb="3">
      <t>メイサイ</t>
    </rPh>
    <phoneticPr fontId="2"/>
  </si>
  <si>
    <t>ー</t>
  </si>
  <si>
    <t>（データ）</t>
  </si>
  <si>
    <t xml:space="preserve">③フッター
</t>
    <phoneticPr fontId="2"/>
  </si>
  <si>
    <t>文字コード：</t>
    <rPh sb="0" eb="2">
      <t>モジ</t>
    </rPh>
    <phoneticPr fontId="2"/>
  </si>
  <si>
    <t>ファイル名称：</t>
    <rPh sb="4" eb="6">
      <t>メイショウ</t>
    </rPh>
    <phoneticPr fontId="2"/>
  </si>
  <si>
    <t>区切り文字：</t>
    <rPh sb="0" eb="2">
      <t>クギ</t>
    </rPh>
    <rPh sb="3" eb="5">
      <t>モジ</t>
    </rPh>
    <phoneticPr fontId="2"/>
  </si>
  <si>
    <t>文字列：</t>
    <rPh sb="0" eb="3">
      <t>モジレツ</t>
    </rPh>
    <phoneticPr fontId="2"/>
  </si>
  <si>
    <t>改行コード：</t>
    <rPh sb="0" eb="2">
      <t>カイギョウ</t>
    </rPh>
    <phoneticPr fontId="2"/>
  </si>
  <si>
    <t>ソート：</t>
    <phoneticPr fontId="2"/>
  </si>
  <si>
    <t>タイトル行：</t>
    <rPh sb="4" eb="5">
      <t>ギョウ</t>
    </rPh>
    <phoneticPr fontId="2"/>
  </si>
  <si>
    <t>フィールド名</t>
    <rPh sb="5" eb="6">
      <t>メイ</t>
    </rPh>
    <phoneticPr fontId="2"/>
  </si>
  <si>
    <t>説明</t>
    <rPh sb="0" eb="2">
      <t>セツメイ</t>
    </rPh>
    <phoneticPr fontId="2"/>
  </si>
  <si>
    <t>属性</t>
    <rPh sb="0" eb="2">
      <t>ゾクセイ</t>
    </rPh>
    <phoneticPr fontId="2"/>
  </si>
  <si>
    <t>桁数</t>
    <rPh sb="0" eb="2">
      <t>ケタスウ</t>
    </rPh>
    <phoneticPr fontId="2"/>
  </si>
  <si>
    <t>テーブル名</t>
    <rPh sb="4" eb="5">
      <t>メイ</t>
    </rPh>
    <phoneticPr fontId="2"/>
  </si>
  <si>
    <t>ラベル</t>
    <phoneticPr fontId="2"/>
  </si>
  <si>
    <t>拡張名</t>
    <rPh sb="0" eb="2">
      <t>カクチョウ</t>
    </rPh>
    <rPh sb="2" eb="3">
      <t>メイ</t>
    </rPh>
    <phoneticPr fontId="2"/>
  </si>
  <si>
    <t>補足</t>
    <rPh sb="0" eb="2">
      <t>ホソク</t>
    </rPh>
    <phoneticPr fontId="2"/>
  </si>
  <si>
    <t>■処理イメージ</t>
    <rPh sb="1" eb="3">
      <t>ショリ</t>
    </rPh>
    <phoneticPr fontId="2"/>
  </si>
  <si>
    <t>→</t>
    <phoneticPr fontId="2"/>
  </si>
  <si>
    <t>（黒線）</t>
    <rPh sb="1" eb="3">
      <t>クロセン</t>
    </rPh>
    <phoneticPr fontId="2"/>
  </si>
  <si>
    <t>：</t>
    <phoneticPr fontId="2"/>
  </si>
  <si>
    <t>D365機能の処理</t>
    <rPh sb="4" eb="6">
      <t>キノウ</t>
    </rPh>
    <rPh sb="7" eb="9">
      <t>ショリ</t>
    </rPh>
    <phoneticPr fontId="2"/>
  </si>
  <si>
    <t>（赤線）</t>
    <rPh sb="1" eb="3">
      <t>アカセン</t>
    </rPh>
    <phoneticPr fontId="2"/>
  </si>
  <si>
    <t>D365 AzureFiles連携共通IFの処理</t>
    <rPh sb="15" eb="17">
      <t>レンケイ</t>
    </rPh>
    <rPh sb="17" eb="19">
      <t>キョウツウ</t>
    </rPh>
    <rPh sb="22" eb="24">
      <t>ショリ</t>
    </rPh>
    <phoneticPr fontId="2"/>
  </si>
  <si>
    <t>（青線）</t>
    <rPh sb="1" eb="2">
      <t>アオ</t>
    </rPh>
    <rPh sb="2" eb="3">
      <t>セン</t>
    </rPh>
    <phoneticPr fontId="2"/>
  </si>
  <si>
    <t>D365外（外部システム）の処理</t>
    <rPh sb="4" eb="5">
      <t>ガイ</t>
    </rPh>
    <rPh sb="6" eb="8">
      <t>ガイブ</t>
    </rPh>
    <rPh sb="14" eb="16">
      <t>ショリ</t>
    </rPh>
    <phoneticPr fontId="2"/>
  </si>
  <si>
    <t>1. ファイルデータ出力（D365 → Azure Files → 外部システム）</t>
    <rPh sb="10" eb="12">
      <t>シュツリョク</t>
    </rPh>
    <rPh sb="34" eb="36">
      <t>ガイブ</t>
    </rPh>
    <phoneticPr fontId="2"/>
  </si>
  <si>
    <t>D365</t>
    <phoneticPr fontId="2"/>
  </si>
  <si>
    <t>AzureFiles連携共通IF</t>
    <rPh sb="10" eb="12">
      <t>レンケイ</t>
    </rPh>
    <rPh sb="12" eb="14">
      <t>キョウツウ</t>
    </rPh>
    <phoneticPr fontId="2"/>
  </si>
  <si>
    <t>Work</t>
    <phoneticPr fontId="2"/>
  </si>
  <si>
    <t>Send</t>
    <phoneticPr fontId="2"/>
  </si>
  <si>
    <t>Archive</t>
    <phoneticPr fontId="2"/>
  </si>
  <si>
    <t>Error</t>
    <phoneticPr fontId="2"/>
  </si>
  <si>
    <t>2. ファイルデータ取込（外部システム → Azure Files → D365）</t>
    <rPh sb="10" eb="12">
      <t>トリコミ</t>
    </rPh>
    <rPh sb="13" eb="15">
      <t>ガイブ</t>
    </rPh>
    <phoneticPr fontId="2"/>
  </si>
  <si>
    <t>Receive</t>
    <phoneticPr fontId="2"/>
  </si>
  <si>
    <t>■D365機能側で必要となる設計</t>
    <rPh sb="5" eb="7">
      <t>キノウ</t>
    </rPh>
    <rPh sb="7" eb="8">
      <t>ガワ</t>
    </rPh>
    <rPh sb="9" eb="11">
      <t>ヒツヨウ</t>
    </rPh>
    <rPh sb="14" eb="16">
      <t>セッケイ</t>
    </rPh>
    <phoneticPr fontId="2"/>
  </si>
  <si>
    <t>※D365機能毎にファイル出力機能IDを登録</t>
  </si>
  <si>
    <t>※ファイル出力機能ID内で処理を分ける場合に使用。通常【Once:1回目】とする。</t>
  </si>
  <si>
    <t>[ファイル出力定義マスタ.文字コード]</t>
  </si>
  <si>
    <t>[ファイル出力定義マスタ.ファイル名拡張子]</t>
  </si>
  <si>
    <t>[ファイル出力定義マスタ.固定ファイル名]</t>
  </si>
  <si>
    <t>[ファイル出力定義マスタ.上書き種別]</t>
  </si>
  <si>
    <t>[ファイル取込定義マスタ.ファイル取込機能ID]</t>
  </si>
  <si>
    <t>※D365機能毎にファイル取込機能IDを登録</t>
  </si>
  <si>
    <t>[ファイル取込定義マスタ.起動回]</t>
  </si>
  <si>
    <t>[ファイル取込定義マスタ.ファイル名拡張子]</t>
  </si>
  <si>
    <t>[ファイル取込定義マスタ.固定ファイル名]</t>
  </si>
  <si>
    <t>[ファイル取込定義マスタ.読み込み種別]</t>
  </si>
  <si>
    <t>[ファイル取込定義マスタ.読み込み開始行]</t>
  </si>
  <si>
    <t>レビュー事項</t>
    <rPh sb="4" eb="6">
      <t>ジコウ</t>
    </rPh>
    <phoneticPr fontId="2"/>
  </si>
  <si>
    <t>対応内容</t>
    <rPh sb="0" eb="2">
      <t>タイオウ</t>
    </rPh>
    <rPh sb="2" eb="4">
      <t>ナイヨウ</t>
    </rPh>
    <phoneticPr fontId="2"/>
  </si>
  <si>
    <t>指摘日</t>
    <rPh sb="0" eb="2">
      <t>シテキ</t>
    </rPh>
    <rPh sb="2" eb="3">
      <t>ヒ</t>
    </rPh>
    <phoneticPr fontId="2"/>
  </si>
  <si>
    <t>指摘者</t>
    <rPh sb="0" eb="3">
      <t>シテキシャ</t>
    </rPh>
    <phoneticPr fontId="2"/>
  </si>
  <si>
    <t>対応日</t>
    <rPh sb="0" eb="2">
      <t>タイオウ</t>
    </rPh>
    <rPh sb="2" eb="3">
      <t>ヒ</t>
    </rPh>
    <phoneticPr fontId="2"/>
  </si>
  <si>
    <t>対応者</t>
    <rPh sb="0" eb="2">
      <t>タイオウ</t>
    </rPh>
    <rPh sb="2" eb="3">
      <t>シャ</t>
    </rPh>
    <phoneticPr fontId="2"/>
  </si>
  <si>
    <t>確認日</t>
    <rPh sb="0" eb="2">
      <t>カクニン</t>
    </rPh>
    <rPh sb="2" eb="3">
      <t>ビ</t>
    </rPh>
    <phoneticPr fontId="2"/>
  </si>
  <si>
    <t>確認者</t>
    <rPh sb="0" eb="2">
      <t>カクニン</t>
    </rPh>
    <rPh sb="2" eb="3">
      <t>シャ</t>
    </rPh>
    <phoneticPr fontId="2"/>
  </si>
  <si>
    <t>この機能を手動実行する場合(再送、再取込など)、そのような実行イメージになるか、補足説明等に記載いただけますでしょうか。
(画面で実行、コマンドラインで引数指定など)</t>
  </si>
  <si>
    <t>本機能は各機能から受け取った情報をもとにAzure Filesへファイル出力する、もしくは、各機能から受け取った情報をもとにAzure Filesからファイル取込を行うための共通部品となるため、手動実行できる仕組みとなっておりません。
再送や再取込の際は、各機能側で手動実行いただく必要がございます。</t>
    <rPh sb="0" eb="3">
      <t>ホンキノウ</t>
    </rPh>
    <rPh sb="4" eb="5">
      <t>カク</t>
    </rPh>
    <rPh sb="5" eb="7">
      <t>キノウ</t>
    </rPh>
    <rPh sb="9" eb="10">
      <t>ウ</t>
    </rPh>
    <rPh sb="11" eb="12">
      <t>ト</t>
    </rPh>
    <rPh sb="14" eb="16">
      <t>ジョウホウ</t>
    </rPh>
    <rPh sb="36" eb="38">
      <t>シュツリョク</t>
    </rPh>
    <rPh sb="46" eb="49">
      <t>カクキノウ</t>
    </rPh>
    <rPh sb="51" eb="52">
      <t>ウ</t>
    </rPh>
    <rPh sb="53" eb="54">
      <t>ト</t>
    </rPh>
    <rPh sb="56" eb="58">
      <t>ジョウホウ</t>
    </rPh>
    <rPh sb="79" eb="81">
      <t>トリコミ</t>
    </rPh>
    <rPh sb="82" eb="83">
      <t>オコナ</t>
    </rPh>
    <rPh sb="87" eb="89">
      <t>キョウツウ</t>
    </rPh>
    <rPh sb="89" eb="91">
      <t>ブヒン</t>
    </rPh>
    <rPh sb="97" eb="99">
      <t>シュドウ</t>
    </rPh>
    <rPh sb="99" eb="101">
      <t>ジッコウ</t>
    </rPh>
    <rPh sb="104" eb="106">
      <t>シク</t>
    </rPh>
    <rPh sb="118" eb="120">
      <t>サイソウ</t>
    </rPh>
    <rPh sb="121" eb="124">
      <t>サイトリコミ</t>
    </rPh>
    <rPh sb="125" eb="126">
      <t>サイ</t>
    </rPh>
    <rPh sb="128" eb="129">
      <t>カク</t>
    </rPh>
    <rPh sb="129" eb="131">
      <t>キノウ</t>
    </rPh>
    <rPh sb="131" eb="132">
      <t>ガワ</t>
    </rPh>
    <rPh sb="133" eb="135">
      <t>シュドウ</t>
    </rPh>
    <rPh sb="135" eb="137">
      <t>ジッコウ</t>
    </rPh>
    <rPh sb="141" eb="143">
      <t>ヒツヨウ</t>
    </rPh>
    <phoneticPr fontId="2"/>
  </si>
  <si>
    <t>サンスター佐保</t>
  </si>
  <si>
    <t>「イベント説明」の2-5-2　ファイル読み込みにて、エラーデータがある場合はどのように格納・判別されますでしょうか。</t>
  </si>
  <si>
    <t>2-5-2 ファイル読み込みでは受領ファイルのデータをコンテナ(動的リスト)というオブジェクトを使用して、共通IFを呼び出した各機能へ受け渡す仕組みとなります。
データ不備などとは異なる理由で異常終了となった場合は、2-5-4 エラー処理として対象ファイルをWorkフォルダ→Errorフォルダへ移動するかたちとなります。
※その後、各機能側の処理内で桁数や必須などの整合性チェックを行うかたちとなります。</t>
    <rPh sb="10" eb="11">
      <t>ヨ</t>
    </rPh>
    <rPh sb="12" eb="13">
      <t>コ</t>
    </rPh>
    <rPh sb="16" eb="18">
      <t>ジュリョウ</t>
    </rPh>
    <rPh sb="32" eb="34">
      <t>ドウテキ</t>
    </rPh>
    <rPh sb="48" eb="50">
      <t>シヨウ</t>
    </rPh>
    <rPh sb="53" eb="55">
      <t>キョウツウ</t>
    </rPh>
    <rPh sb="58" eb="59">
      <t>ヨ</t>
    </rPh>
    <rPh sb="60" eb="61">
      <t>ダ</t>
    </rPh>
    <rPh sb="63" eb="64">
      <t>カク</t>
    </rPh>
    <rPh sb="64" eb="66">
      <t>キノウ</t>
    </rPh>
    <rPh sb="67" eb="68">
      <t>ウ</t>
    </rPh>
    <rPh sb="69" eb="70">
      <t>ワタ</t>
    </rPh>
    <rPh sb="71" eb="73">
      <t>シク</t>
    </rPh>
    <rPh sb="84" eb="86">
      <t>フビ</t>
    </rPh>
    <rPh sb="90" eb="91">
      <t>コト</t>
    </rPh>
    <rPh sb="93" eb="95">
      <t>リユウ</t>
    </rPh>
    <rPh sb="96" eb="98">
      <t>イジョウ</t>
    </rPh>
    <rPh sb="98" eb="100">
      <t>シュウリョウ</t>
    </rPh>
    <rPh sb="104" eb="106">
      <t>バアイ</t>
    </rPh>
    <rPh sb="117" eb="119">
      <t>ショリ</t>
    </rPh>
    <rPh sb="122" eb="124">
      <t>タイショウ</t>
    </rPh>
    <rPh sb="148" eb="150">
      <t>イドウ</t>
    </rPh>
    <phoneticPr fontId="2"/>
  </si>
  <si>
    <t>2-5-4のエラー処理における対象ファイルのErrorフォルダへの移動について、例えば取込ファイルに100件のデータが含まれており、99件は正常で1件のみエラーである場合、正常の99件は取込み、1件のみ取り込まないという仕様でしょうか。
また、上記のようなファイルの場合、Errorフォルダに格納されるファイルはError1件のみが含まれるファイルか、正常に取り込まれる99件も含めた100件全てが含まれるファイルのどちらでしょうか。</t>
  </si>
  <si>
    <r>
      <t>結論としましては、1件でもエラーとなる場合、Errorフォルダに格納されるファイルは100件すべてが含まれた状態(受領した当時)のものとなります。
共通IFにより、Azure Filesからファイル読込を行う際はファイルの中身についてはチェックせず、受領したものをそのまま保持する仕組みとなります。ファイル読込のタイミングでシステムエラー等により異常が発生した場合はErrorフォルダにファイルが格納されます。（この場合、FOには受領したデータは保持されず、Errorフォルダに対象ファイルのみ残る状態）
ファイル読込後は、各機能で必須チェックや型・桁数チェックの実施(</t>
    </r>
    <r>
      <rPr>
        <sz val="8"/>
        <color theme="1"/>
        <rFont val="Meiryo UI"/>
        <family val="3"/>
        <charset val="128"/>
      </rPr>
      <t>受領システム側でもデータチェックを行うか決めの問題ではありますが</t>
    </r>
    <r>
      <rPr>
        <sz val="10"/>
        <color theme="1"/>
        <rFont val="Meiryo UI"/>
        <family val="3"/>
        <charset val="128"/>
      </rPr>
      <t>)とあわせて機能要件次第ではログテーブルのようなかたちで受領データをFOで保持する流れとなります。このタイミングで1件でもエラーが発生した場合、Archive→Errorフォルダへファイルが移動されます（FOで受領したファイルデータを保持しつつ、Errorファルダに対象ファイルが格納されている状態）</t>
    </r>
    <rPh sb="0" eb="2">
      <t>ケツロン</t>
    </rPh>
    <rPh sb="10" eb="11">
      <t>ケン</t>
    </rPh>
    <rPh sb="19" eb="21">
      <t>バアイ</t>
    </rPh>
    <rPh sb="32" eb="34">
      <t>カクノウ</t>
    </rPh>
    <rPh sb="45" eb="46">
      <t>ケン</t>
    </rPh>
    <rPh sb="50" eb="51">
      <t>フク</t>
    </rPh>
    <rPh sb="54" eb="56">
      <t>ジョウタイ</t>
    </rPh>
    <rPh sb="94" eb="96">
      <t>キョウツウ</t>
    </rPh>
    <rPh sb="98" eb="100">
      <t>ヨミコミ</t>
    </rPh>
    <rPh sb="101" eb="102">
      <t>オコナ</t>
    </rPh>
    <rPh sb="103" eb="104">
      <t>サイ</t>
    </rPh>
    <rPh sb="110" eb="112">
      <t>ナカミ</t>
    </rPh>
    <rPh sb="123" eb="125">
      <t>ジュリョウ</t>
    </rPh>
    <rPh sb="135" eb="137">
      <t>ホジ</t>
    </rPh>
    <rPh sb="139" eb="141">
      <t>シク</t>
    </rPh>
    <rPh sb="152" eb="153">
      <t>ヨ</t>
    </rPh>
    <rPh sb="153" eb="154">
      <t>コ</t>
    </rPh>
    <rPh sb="168" eb="169">
      <t>ナド</t>
    </rPh>
    <rPh sb="175" eb="177">
      <t>ハッセイ</t>
    </rPh>
    <rPh sb="179" eb="181">
      <t>バアイ</t>
    </rPh>
    <rPh sb="192" eb="194">
      <t>カクノウ</t>
    </rPh>
    <rPh sb="207" eb="209">
      <t>バアイ</t>
    </rPh>
    <rPh sb="214" eb="216">
      <t>ジュリョウ</t>
    </rPh>
    <rPh sb="240" eb="242">
      <t>タイショウ</t>
    </rPh>
    <rPh sb="246" eb="247">
      <t>ノコ</t>
    </rPh>
    <rPh sb="250" eb="252">
      <t>ジョウタイ</t>
    </rPh>
    <rPh sb="261" eb="262">
      <t>カク</t>
    </rPh>
    <rPh sb="266" eb="268">
      <t>ヒッス</t>
    </rPh>
    <rPh sb="281" eb="283">
      <t>ジッシ</t>
    </rPh>
    <rPh sb="287" eb="289">
      <t>ジュリョウ</t>
    </rPh>
    <rPh sb="293" eb="294">
      <t>ガワ</t>
    </rPh>
    <rPh sb="304" eb="305">
      <t>オコナ</t>
    </rPh>
    <rPh sb="307" eb="308">
      <t>キ</t>
    </rPh>
    <rPh sb="310" eb="312">
      <t>モンダイ</t>
    </rPh>
    <rPh sb="325" eb="327">
      <t>キノウ</t>
    </rPh>
    <rPh sb="327" eb="329">
      <t>ヨウケン</t>
    </rPh>
    <rPh sb="329" eb="331">
      <t>シダイ</t>
    </rPh>
    <rPh sb="345" eb="347">
      <t>ジュリョウ</t>
    </rPh>
    <rPh sb="354" eb="356">
      <t>ホジ</t>
    </rPh>
    <rPh sb="358" eb="360">
      <t>ソウテイ</t>
    </rPh>
    <rPh sb="360" eb="361">
      <t>ナガ</t>
    </rPh>
    <rPh sb="377" eb="378">
      <t>ケン</t>
    </rPh>
    <rPh sb="384" eb="386">
      <t>ハッセイ</t>
    </rPh>
    <rPh sb="388" eb="390">
      <t>バアイ</t>
    </rPh>
    <rPh sb="414" eb="416">
      <t>イドウ</t>
    </rPh>
    <rPh sb="424" eb="426">
      <t>ジュリョウ</t>
    </rPh>
    <rPh sb="436" eb="438">
      <t>ホジ</t>
    </rPh>
    <rPh sb="452" eb="454">
      <t>タイショウ</t>
    </rPh>
    <rPh sb="459" eb="461">
      <t>カクノウ</t>
    </rPh>
    <rPh sb="466" eb="468">
      <t>ジョウタイ</t>
    </rPh>
    <phoneticPr fontId="2"/>
  </si>
  <si>
    <t>No.3に関連して、取込ファイルの一部のみエラーである場合にも、その他の正常データを含むファイル全体がErrorフォルダに移動されると理解しましたが、データの取り込み(一部データのみエラーである場合にエラー分を除いて取り込むか、ファイル全体のデータを取り込まないか)についてはこのプログラムではなく個別の取込プログラムでコントロールするという理解で合っていますでしょうか。</t>
    <phoneticPr fontId="2"/>
  </si>
  <si>
    <t>本機能ではなく、各取込機能でコントロールするという点に関しましてはご認識の通りとなります。
機能要件次第ではありますが、基本的には一部データのみエラーがある場合には該当データを除外し正常データのみ取込む想定です。</t>
    <rPh sb="0" eb="3">
      <t>ホンキノウ</t>
    </rPh>
    <rPh sb="8" eb="9">
      <t>カク</t>
    </rPh>
    <rPh sb="9" eb="11">
      <t>トリコミ</t>
    </rPh>
    <rPh sb="11" eb="13">
      <t>キノウ</t>
    </rPh>
    <rPh sb="25" eb="26">
      <t>テン</t>
    </rPh>
    <rPh sb="27" eb="28">
      <t>カン</t>
    </rPh>
    <rPh sb="34" eb="36">
      <t>ニンシキ</t>
    </rPh>
    <rPh sb="37" eb="38">
      <t>トオ</t>
    </rPh>
    <rPh sb="46" eb="50">
      <t>キノウヨウケン</t>
    </rPh>
    <rPh sb="50" eb="52">
      <t>シダイ</t>
    </rPh>
    <rPh sb="60" eb="63">
      <t>キホンテキ</t>
    </rPh>
    <rPh sb="65" eb="67">
      <t>イチブ</t>
    </rPh>
    <rPh sb="78" eb="80">
      <t>バアイ</t>
    </rPh>
    <rPh sb="82" eb="84">
      <t>ガイトウ</t>
    </rPh>
    <rPh sb="88" eb="90">
      <t>ジョガイ</t>
    </rPh>
    <rPh sb="91" eb="93">
      <t>セイジョウ</t>
    </rPh>
    <rPh sb="98" eb="100">
      <t>トリコ</t>
    </rPh>
    <rPh sb="101" eb="103">
      <t>ソウテイ</t>
    </rPh>
    <phoneticPr fontId="2"/>
  </si>
  <si>
    <t>詳細設計書</t>
    <rPh sb="0" eb="5">
      <t>ショウサイセッケイショ</t>
    </rPh>
    <phoneticPr fontId="3"/>
  </si>
  <si>
    <t>オブジェクト名</t>
    <rPh sb="6" eb="7">
      <t>メイ</t>
    </rPh>
    <phoneticPr fontId="2"/>
  </si>
  <si>
    <t>概要</t>
    <rPh sb="0" eb="2">
      <t>ガイヨウ</t>
    </rPh>
    <phoneticPr fontId="2"/>
  </si>
  <si>
    <t>詳細設計書</t>
    <rPh sb="0" eb="2">
      <t>ショウサイ</t>
    </rPh>
    <rPh sb="2" eb="5">
      <t>セッケイショ</t>
    </rPh>
    <phoneticPr fontId="3"/>
  </si>
  <si>
    <t>プログラムフロー図</t>
    <rPh sb="8" eb="9">
      <t>ズ</t>
    </rPh>
    <phoneticPr fontId="2"/>
  </si>
  <si>
    <t>IO</t>
    <phoneticPr fontId="2"/>
  </si>
  <si>
    <t>折り返して全体を表示する</t>
    <rPh sb="0" eb="1">
      <t>オ</t>
    </rPh>
    <rPh sb="2" eb="3">
      <t>カエ</t>
    </rPh>
    <rPh sb="5" eb="7">
      <t>ゼンタイ</t>
    </rPh>
    <rPh sb="8" eb="10">
      <t>ヒョウジ</t>
    </rPh>
    <phoneticPr fontId="2"/>
  </si>
  <si>
    <t>表示/非表示
Visivility</t>
    <phoneticPr fontId="2"/>
  </si>
  <si>
    <t>テーブル種別</t>
    <rPh sb="4" eb="6">
      <t>シュベツ</t>
    </rPh>
    <phoneticPr fontId="2"/>
  </si>
  <si>
    <t>オブジェクト</t>
    <phoneticPr fontId="2"/>
  </si>
  <si>
    <t>I/O</t>
    <phoneticPr fontId="2"/>
  </si>
  <si>
    <t>テキスト</t>
    <phoneticPr fontId="2"/>
  </si>
  <si>
    <t>標準</t>
    <rPh sb="0" eb="2">
      <t>ヒョウジュン</t>
    </rPh>
    <phoneticPr fontId="2"/>
  </si>
  <si>
    <t>〇</t>
    <phoneticPr fontId="2"/>
  </si>
  <si>
    <t>表示</t>
    <rPh sb="0" eb="2">
      <t>ヒョウジ</t>
    </rPh>
    <phoneticPr fontId="2"/>
  </si>
  <si>
    <t>テーブル</t>
    <phoneticPr fontId="2"/>
  </si>
  <si>
    <t>Class</t>
    <phoneticPr fontId="2"/>
  </si>
  <si>
    <t>I</t>
    <phoneticPr fontId="2"/>
  </si>
  <si>
    <t>日付</t>
    <rPh sb="0" eb="2">
      <t>ヒヅケ</t>
    </rPh>
    <phoneticPr fontId="2"/>
  </si>
  <si>
    <t>中央詰</t>
    <rPh sb="0" eb="2">
      <t>チュウオウ</t>
    </rPh>
    <rPh sb="2" eb="3">
      <t>ヅ</t>
    </rPh>
    <phoneticPr fontId="2"/>
  </si>
  <si>
    <t>非表示</t>
    <rPh sb="0" eb="3">
      <t>ヒヒョウジ</t>
    </rPh>
    <phoneticPr fontId="2"/>
  </si>
  <si>
    <t>ビュー</t>
    <phoneticPr fontId="2"/>
  </si>
  <si>
    <t>Form Class</t>
    <phoneticPr fontId="2"/>
  </si>
  <si>
    <t>O</t>
    <phoneticPr fontId="2"/>
  </si>
  <si>
    <t>数値</t>
    <rPh sb="0" eb="2">
      <t>スウチ</t>
    </rPh>
    <phoneticPr fontId="2"/>
  </si>
  <si>
    <t>左詰</t>
    <rPh sb="0" eb="1">
      <t>ヒダリ</t>
    </rPh>
    <rPh sb="1" eb="2">
      <t>ヅ</t>
    </rPh>
    <phoneticPr fontId="2"/>
  </si>
  <si>
    <t>上詰</t>
    <rPh sb="0" eb="1">
      <t>ウエ</t>
    </rPh>
    <rPh sb="1" eb="2">
      <t>ヅ</t>
    </rPh>
    <phoneticPr fontId="2"/>
  </si>
  <si>
    <t>Table Class</t>
  </si>
  <si>
    <t>右詰</t>
    <rPh sb="0" eb="1">
      <t>ミギ</t>
    </rPh>
    <rPh sb="1" eb="2">
      <t>ツ</t>
    </rPh>
    <phoneticPr fontId="2"/>
  </si>
  <si>
    <t>下詰</t>
    <rPh sb="0" eb="1">
      <t>シタ</t>
    </rPh>
    <rPh sb="1" eb="2">
      <t>ツ</t>
    </rPh>
    <phoneticPr fontId="2"/>
  </si>
  <si>
    <t>Macro</t>
    <phoneticPr fontId="2"/>
  </si>
  <si>
    <t>Enum</t>
    <phoneticPr fontId="2"/>
  </si>
  <si>
    <t>EDT</t>
    <phoneticPr fontId="2"/>
  </si>
  <si>
    <t>Queries</t>
    <phoneticPr fontId="2"/>
  </si>
  <si>
    <t>Data Entities</t>
    <phoneticPr fontId="2"/>
  </si>
  <si>
    <t>Maps</t>
    <phoneticPr fontId="2"/>
  </si>
  <si>
    <t>Forms</t>
    <phoneticPr fontId="2"/>
  </si>
  <si>
    <t>Menus</t>
    <phoneticPr fontId="2"/>
  </si>
  <si>
    <t>Menu Items(Display)</t>
    <phoneticPr fontId="2"/>
  </si>
  <si>
    <t>Menu Items(Output)</t>
    <phoneticPr fontId="2"/>
  </si>
  <si>
    <t>Menu Items(Action)</t>
    <phoneticPr fontId="2"/>
  </si>
  <si>
    <t>Repoters</t>
    <phoneticPr fontId="2"/>
  </si>
  <si>
    <t>Security Roles</t>
    <phoneticPr fontId="2"/>
  </si>
  <si>
    <t>Security Duties</t>
    <phoneticPr fontId="2"/>
  </si>
  <si>
    <t>Security Policies</t>
    <phoneticPr fontId="2"/>
  </si>
  <si>
    <t>ファイル取込機能ID（SJ_FileInFunctionId）</t>
    <phoneticPr fontId="2"/>
  </si>
  <si>
    <t>対象モジュール：</t>
  </si>
  <si>
    <t>Azure Filesマウント定義マスタ、ファイル取込定義マスタ、ファイル出力定義マスタはDIXF にてメンテナンスする。</t>
    <rPh sb="15" eb="17">
      <t>テイギ</t>
    </rPh>
    <rPh sb="25" eb="27">
      <t>トリコミ</t>
    </rPh>
    <rPh sb="27" eb="29">
      <t>テイギ</t>
    </rPh>
    <rPh sb="37" eb="39">
      <t>シュツリョク</t>
    </rPh>
    <rPh sb="39" eb="41">
      <t>テイギ</t>
    </rPh>
    <phoneticPr fontId="2"/>
  </si>
  <si>
    <t>■ファイル出力処理</t>
    <rPh sb="5" eb="9">
      <t>シュツリョクショリ</t>
    </rPh>
    <phoneticPr fontId="2"/>
  </si>
  <si>
    <t>■共通処理（Azure Files認証）</t>
    <rPh sb="1" eb="5">
      <t>キョウツウショリ</t>
    </rPh>
    <rPh sb="17" eb="19">
      <t>ニンショウ</t>
    </rPh>
    <phoneticPr fontId="2"/>
  </si>
  <si>
    <t>■ファイル取込処理</t>
    <rPh sb="5" eb="7">
      <t>トリコミ</t>
    </rPh>
    <rPh sb="7" eb="9">
      <t>ショリ</t>
    </rPh>
    <phoneticPr fontId="2"/>
  </si>
  <si>
    <t>Class</t>
  </si>
  <si>
    <t>SJ_AzureFilesUtils</t>
    <phoneticPr fontId="2"/>
  </si>
  <si>
    <t>SJ_LoadTextFileValue</t>
    <phoneticPr fontId="2"/>
  </si>
  <si>
    <t>Azure Files連携における共通処理(ファイル出力/取込)</t>
    <rPh sb="11" eb="13">
      <t>レンケイ</t>
    </rPh>
    <rPh sb="17" eb="19">
      <t>キョウツウ</t>
    </rPh>
    <rPh sb="19" eb="21">
      <t>ショリ</t>
    </rPh>
    <phoneticPr fontId="2"/>
  </si>
  <si>
    <t>呼出し元クラス側でファイル取込処理の戻り値(取込データやファイル名等)を取得するために使用</t>
    <rPh sb="0" eb="2">
      <t>ヨビダ</t>
    </rPh>
    <rPh sb="3" eb="4">
      <t>モト</t>
    </rPh>
    <rPh sb="7" eb="8">
      <t>ガワ</t>
    </rPh>
    <rPh sb="13" eb="15">
      <t>トリコミ</t>
    </rPh>
    <rPh sb="15" eb="17">
      <t>ショリ</t>
    </rPh>
    <rPh sb="18" eb="19">
      <t>モド</t>
    </rPh>
    <rPh sb="20" eb="21">
      <t>チ</t>
    </rPh>
    <rPh sb="22" eb="24">
      <t>トリコミ</t>
    </rPh>
    <rPh sb="32" eb="33">
      <t>メイ</t>
    </rPh>
    <rPh sb="33" eb="34">
      <t>ナド</t>
    </rPh>
    <rPh sb="36" eb="38">
      <t>シュトク</t>
    </rPh>
    <rPh sb="43" eb="45">
      <t>シヨウ</t>
    </rPh>
    <phoneticPr fontId="2"/>
  </si>
  <si>
    <t>■共通処理（Azure Files認証）へ</t>
    <phoneticPr fontId="2"/>
  </si>
  <si>
    <t>SJ00041</t>
    <phoneticPr fontId="2"/>
  </si>
  <si>
    <t>SJ00043</t>
    <phoneticPr fontId="2"/>
  </si>
  <si>
    <t>ファイルは出力中のため操作できません。ファイル名：%1</t>
    <phoneticPr fontId="2"/>
  </si>
  <si>
    <t>%1:[2-5-1.受領ファイル名]</t>
    <rPh sb="10" eb="12">
      <t>ジュリョウ</t>
    </rPh>
    <rPh sb="16" eb="17">
      <t>メイ</t>
    </rPh>
    <phoneticPr fontId="2"/>
  </si>
  <si>
    <t>SJ00484</t>
    <phoneticPr fontId="2"/>
  </si>
  <si>
    <t>Classes/SJ_AzureFilesUtils</t>
    <phoneticPr fontId="2"/>
  </si>
  <si>
    <t>[ファイル出力定義マスタ.固定ファイル名] + "_" +  [ファイル出力定義マスタ.ファイル名拡張子]</t>
    <rPh sb="5" eb="7">
      <t>シュツリョク</t>
    </rPh>
    <phoneticPr fontId="2"/>
  </si>
  <si>
    <t>"*" + [ファイル出力定義マスタ.固定ファイル名] + "*." + [ファイル出力定義マスタ.ファイル名拡張子]</t>
    <rPh sb="11" eb="13">
      <t>シュツリョク</t>
    </rPh>
    <rPh sb="42" eb="44">
      <t>シュツリョク</t>
    </rPh>
    <phoneticPr fontId="2"/>
  </si>
  <si>
    <t>"*" + 引数3.ファイル名 + "*." + [ファイル出力定義マスタ.ファイル名拡張子]</t>
    <phoneticPr fontId="2"/>
  </si>
  <si>
    <t>"*" + [ファイル取込定義マスタ.固定ファイル名] + "*." + [ファイル取込定義マスタ.ファイル名拡張子]</t>
    <rPh sb="11" eb="13">
      <t>トリコミ</t>
    </rPh>
    <rPh sb="13" eb="15">
      <t>テイギ</t>
    </rPh>
    <rPh sb="42" eb="43">
      <t>ト</t>
    </rPh>
    <rPh sb="43" eb="44">
      <t>コ</t>
    </rPh>
    <rPh sb="44" eb="46">
      <t>テイギ</t>
    </rPh>
    <phoneticPr fontId="2"/>
  </si>
  <si>
    <t xml:space="preserve">+ "_" + タイムスタンプ(YYYYMMDDHHMMSS) </t>
    <phoneticPr fontId="2"/>
  </si>
  <si>
    <t>上書き種別</t>
    <rPh sb="0" eb="2">
      <t>ウワガ</t>
    </rPh>
    <rPh sb="3" eb="5">
      <t>シュベツ</t>
    </rPh>
    <phoneticPr fontId="2"/>
  </si>
  <si>
    <t>※受領ファイルを必須とする場合に【NonError:ファイル存在必須】とする。</t>
    <phoneticPr fontId="2"/>
  </si>
  <si>
    <t>※ファイル取込機能ID内で処理を分ける場合に使用。通常【Once:1回目】とする。</t>
    <phoneticPr fontId="2"/>
  </si>
  <si>
    <t>※受領ファイルに対し、ファイル内容を何行目から読み込みするかの設定。通常「1」(1行目)とする。</t>
    <phoneticPr fontId="2"/>
  </si>
  <si>
    <t>※Azure Filesに同一ファイルの存在を許可しない場合【NonUpdate:上書き禁止】とする。</t>
    <phoneticPr fontId="2"/>
  </si>
  <si>
    <t>イベント説明</t>
    <rPh sb="4" eb="6">
      <t>セツメイ</t>
    </rPh>
    <phoneticPr fontId="2"/>
  </si>
  <si>
    <t>ストリーム (2行目)："0002", "品目,B", "1000.00", …</t>
    <rPh sb="8" eb="10">
      <t>ギョウメ</t>
    </rPh>
    <phoneticPr fontId="2"/>
  </si>
  <si>
    <t>ストリーム (1行目)："0001", "品目""A""", "1000.00", …</t>
    <rPh sb="8" eb="10">
      <t>ギョウメ</t>
    </rPh>
    <phoneticPr fontId="2"/>
  </si>
  <si>
    <t>※文字列に「"」を含む場合、エスケープ文字として「"」を付与する</t>
    <rPh sb="1" eb="4">
      <t>モジレツ</t>
    </rPh>
    <rPh sb="9" eb="10">
      <t>フク</t>
    </rPh>
    <rPh sb="11" eb="13">
      <t>バアイ</t>
    </rPh>
    <rPh sb="19" eb="21">
      <t>モジ</t>
    </rPh>
    <rPh sb="28" eb="30">
      <t>フヨ</t>
    </rPh>
    <phoneticPr fontId="2"/>
  </si>
  <si>
    <t>例）*STIFD*.csv</t>
    <rPh sb="0" eb="1">
      <t>レイ</t>
    </rPh>
    <phoneticPr fontId="2"/>
  </si>
  <si>
    <t>検索対象となるファイル：D00_STIFD,I00_STIFD等</t>
    <rPh sb="0" eb="2">
      <t>ケンサク</t>
    </rPh>
    <rPh sb="2" eb="4">
      <t>タイショウ</t>
    </rPh>
    <rPh sb="31" eb="32">
      <t>ナド</t>
    </rPh>
    <phoneticPr fontId="2"/>
  </si>
  <si>
    <t>例）*MO_InternalOrder_ALL*.csv</t>
    <rPh sb="0" eb="1">
      <t>レイ</t>
    </rPh>
    <phoneticPr fontId="2"/>
  </si>
  <si>
    <t>[ "1001", "品目""AA""","1000.00", … ],</t>
    <rPh sb="11" eb="13">
      <t>ヒンモク</t>
    </rPh>
    <phoneticPr fontId="7"/>
  </si>
  <si>
    <t>[ "1002","品目,BB", "1000.00", … ]</t>
    <phoneticPr fontId="2"/>
  </si>
  <si>
    <t>[ "0002","品目B", "1000.00", … ]</t>
    <phoneticPr fontId="2"/>
  </si>
  <si>
    <t>[ "0001","品目A","1000.00", … ],</t>
    <rPh sb="10" eb="12">
      <t>ヒンモク</t>
    </rPh>
    <phoneticPr fontId="7"/>
  </si>
  <si>
    <t>囲み文字対応に伴う追記</t>
    <rPh sb="0" eb="1">
      <t>カコ</t>
    </rPh>
    <rPh sb="2" eb="4">
      <t>モジ</t>
    </rPh>
    <rPh sb="4" eb="6">
      <t>タイオウ</t>
    </rPh>
    <rPh sb="7" eb="8">
      <t>トモナ</t>
    </rPh>
    <rPh sb="9" eb="11">
      <t>ツイキ</t>
    </rPh>
    <phoneticPr fontId="2"/>
  </si>
  <si>
    <t>1.1</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</si>
</sst>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d;@"/>
  </numFmts>
  <fonts count="51">
    <font>
      <sz val="11"/>
      <color theme="1"/>
      <name val="Yu Gothic"/>
      <family val="2"/>
      <scheme val="minor"/>
    </font>
    <font>
      <sz val="11"/>
      <color theme="1"/>
      <name val="Yu Gothic"/>
      <family val="2"/>
      <charset val="128"/>
      <scheme val="minor"/>
    </font>
    <font>
      <sz val="6"/>
      <name val="Yu Gothic"/>
      <family val="3"/>
      <charset val="128"/>
      <scheme val="minor"/>
    </font>
    <font>
      <sz val="6"/>
      <name val="ＭＳ Ｐゴシック"/>
      <family val="3"/>
      <charset val="128"/>
    </font>
    <font>
      <sz val="10"/>
      <name val="Meiryo UI"/>
      <family val="3"/>
      <charset val="128"/>
    </font>
    <font>
      <sz val="10"/>
      <color theme="1"/>
      <name val="Meiryo UI"/>
      <family val="3"/>
      <charset val="128"/>
    </font>
    <font>
      <u/>
      <sz val="10"/>
      <color theme="1"/>
      <name val="Meiryo UI"/>
      <family val="3"/>
      <charset val="128"/>
    </font>
    <font>
      <sz val="11"/>
      <color theme="1"/>
      <name val="Meiryo UI"/>
      <family val="3"/>
      <charset val="128"/>
    </font>
    <font>
      <b/>
      <sz val="10"/>
      <color theme="0"/>
      <name val="Meiryo UI"/>
      <family val="3"/>
      <charset val="128"/>
    </font>
    <font>
      <sz val="18"/>
      <color theme="1"/>
      <name val="Meiryo UI"/>
      <family val="3"/>
      <charset val="128"/>
    </font>
    <font>
      <sz val="16"/>
      <color theme="1"/>
      <name val="Meiryo UI"/>
      <family val="3"/>
      <charset val="128"/>
    </font>
    <font>
      <sz val="20"/>
      <color theme="1"/>
      <name val="Meiryo UI"/>
      <family val="3"/>
      <charset val="128"/>
    </font>
    <font>
      <sz val="12"/>
      <color theme="1"/>
      <name val="Meiryo UI"/>
      <family val="3"/>
      <charset val="128"/>
    </font>
    <font>
      <sz val="10"/>
      <color theme="0"/>
      <name val="Meiryo UI"/>
      <family val="3"/>
      <charset val="128"/>
    </font>
    <font>
      <u/>
      <sz val="11"/>
      <color theme="1"/>
      <name val="Meiryo UI"/>
      <family val="3"/>
      <charset val="128"/>
    </font>
    <font>
      <sz val="9"/>
      <color rgb="FFFFFFFF"/>
      <name val="Meiryo UI"/>
      <family val="3"/>
      <charset val="128"/>
    </font>
    <font>
      <sz val="9"/>
      <color theme="1"/>
      <name val="メイリオ"/>
      <family val="2"/>
      <charset val="128"/>
    </font>
    <font>
      <sz val="6"/>
      <name val="メイリオ"/>
      <family val="2"/>
      <charset val="128"/>
    </font>
    <font>
      <sz val="10"/>
      <color indexed="8"/>
      <name val="Meiryo UI"/>
      <family val="3"/>
      <charset val="128"/>
    </font>
    <font>
      <sz val="6"/>
      <name val="ＭＳ ゴシック"/>
      <family val="3"/>
      <charset val="128"/>
    </font>
    <font>
      <sz val="9"/>
      <color indexed="8"/>
      <name val="Meiryo UI"/>
      <family val="3"/>
      <charset val="128"/>
    </font>
    <font>
      <sz val="9"/>
      <name val="Meiryo UI"/>
      <family val="3"/>
      <charset val="128"/>
    </font>
    <font>
      <sz val="10"/>
      <color rgb="FF0000FF"/>
      <name val="Meiryo UI"/>
      <family val="3"/>
      <charset val="128"/>
    </font>
    <font>
      <b/>
      <sz val="10"/>
      <color theme="1"/>
      <name val="Meiryo UI"/>
      <family val="3"/>
      <charset val="128"/>
    </font>
    <font>
      <sz val="11"/>
      <color theme="1"/>
      <name val="Yu Gothic"/>
      <family val="2"/>
      <scheme val="minor"/>
    </font>
    <font>
      <sz val="10"/>
      <color theme="1"/>
      <name val="Meiryo UI"/>
      <family val="3"/>
    </font>
    <font>
      <sz val="10"/>
      <name val="ＭＳ ゴシック"/>
      <family val="3"/>
      <charset val="128"/>
    </font>
    <font>
      <b/>
      <sz val="10"/>
      <color theme="8"/>
      <name val="Meiryo UI"/>
      <family val="3"/>
      <charset val="128"/>
    </font>
    <font>
      <b/>
      <sz val="10"/>
      <color rgb="FFFF0000"/>
      <name val="Meiryo UI"/>
      <family val="3"/>
      <charset val="128"/>
    </font>
    <font>
      <sz val="9"/>
      <name val="ＭＳ ゴシック"/>
      <family val="3"/>
      <charset val="128"/>
    </font>
    <font>
      <sz val="10"/>
      <name val="ＭＳ Ｐゴシック"/>
      <family val="3"/>
      <charset val="128"/>
    </font>
    <font>
      <sz val="11"/>
      <color indexed="8"/>
      <name val="ＭＳ Ｐゴシック"/>
      <family val="3"/>
      <charset val="128"/>
    </font>
    <font>
      <sz val="11"/>
      <color indexed="9"/>
      <name val="ＭＳ Ｐゴシック"/>
      <family val="3"/>
      <charset val="128"/>
    </font>
    <font>
      <b/>
      <sz val="18"/>
      <color indexed="56"/>
      <name val="ＭＳ Ｐゴシック"/>
      <family val="3"/>
      <charset val="128"/>
    </font>
    <font>
      <b/>
      <sz val="11"/>
      <color indexed="9"/>
      <name val="ＭＳ Ｐゴシック"/>
      <family val="3"/>
      <charset val="128"/>
    </font>
    <font>
      <sz val="11"/>
      <color indexed="60"/>
      <name val="ＭＳ Ｐゴシック"/>
      <family val="3"/>
      <charset val="128"/>
    </font>
    <font>
      <sz val="11"/>
      <color indexed="52"/>
      <name val="ＭＳ Ｐゴシック"/>
      <family val="3"/>
      <charset val="128"/>
    </font>
    <font>
      <sz val="11"/>
      <color indexed="20"/>
      <name val="ＭＳ Ｐゴシック"/>
      <family val="3"/>
      <charset val="128"/>
    </font>
    <font>
      <b/>
      <sz val="11"/>
      <color indexed="52"/>
      <name val="ＭＳ Ｐゴシック"/>
      <family val="3"/>
      <charset val="128"/>
    </font>
    <font>
      <sz val="11"/>
      <color indexed="10"/>
      <name val="ＭＳ Ｐゴシック"/>
      <family val="3"/>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1"/>
      <color indexed="17"/>
      <name val="ＭＳ Ｐゴシック"/>
      <family val="3"/>
      <charset val="128"/>
    </font>
    <font>
      <b/>
      <u/>
      <sz val="10"/>
      <color theme="1"/>
      <name val="Meiryo UI"/>
      <family val="3"/>
      <charset val="128"/>
    </font>
    <font>
      <sz val="8"/>
      <color theme="1"/>
      <name val="Meiryo UI"/>
      <family val="3"/>
      <charset val="128"/>
    </font>
    <font>
      <sz val="10"/>
      <color rgb="FFFF0000"/>
      <name val="Meiryo UI"/>
      <family val="3"/>
      <charset val="128"/>
    </font>
  </fonts>
  <fills count="31">
    <fill>
      <patternFill patternType="none"/>
    </fill>
    <fill>
      <patternFill patternType="gray125"/>
    </fill>
    <fill>
      <patternFill patternType="solid">
        <fgColor theme="8" tint="0.79998168889431442"/>
        <bgColor indexed="64"/>
      </patternFill>
    </fill>
    <fill>
      <patternFill patternType="solid">
        <fgColor theme="4" tint="-0.249977111117893"/>
        <bgColor indexed="64"/>
      </patternFill>
    </fill>
    <fill>
      <patternFill patternType="solid">
        <fgColor theme="0"/>
        <bgColor indexed="64"/>
      </patternFill>
    </fill>
    <fill>
      <patternFill patternType="solid">
        <fgColor rgb="FF2F75B5"/>
        <bgColor indexed="64"/>
      </patternFill>
    </fill>
    <fill>
      <patternFill patternType="solid">
        <fgColor rgb="FFCCCCFF"/>
        <bgColor indexed="64"/>
      </patternFill>
    </fill>
    <fill>
      <patternFill patternType="solid">
        <fgColor theme="4" tint="0.79998168889431442"/>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43"/>
      </patternFill>
    </fill>
    <fill>
      <patternFill patternType="solid">
        <fgColor indexed="26"/>
      </patternFill>
    </fill>
    <fill>
      <patternFill patternType="solid">
        <fgColor indexed="22"/>
      </patternFill>
    </fill>
    <fill>
      <patternFill patternType="solid">
        <fgColor theme="5" tint="0.79998168889431442"/>
        <bgColor indexed="64"/>
      </patternFill>
    </fill>
  </fills>
  <borders count="12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right style="thin">
        <color indexed="64"/>
      </right>
      <top/>
      <bottom style="thin">
        <color indexed="64"/>
      </bottom>
      <diagonal/>
    </border>
    <border>
      <left style="thin">
        <color indexed="64"/>
      </left>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medium">
        <color indexed="64"/>
      </top>
      <bottom style="medium">
        <color indexed="64"/>
      </bottom>
      <diagonal/>
    </border>
    <border>
      <left/>
      <right/>
      <top/>
      <bottom style="medium">
        <color indexed="64"/>
      </bottom>
      <diagonal/>
    </border>
    <border>
      <left/>
      <right/>
      <top style="medium">
        <color indexed="64"/>
      </top>
      <bottom/>
      <diagonal/>
    </border>
    <border>
      <left/>
      <right style="thin">
        <color indexed="64"/>
      </right>
      <top/>
      <bottom/>
      <diagonal/>
    </border>
    <border>
      <left/>
      <right/>
      <top/>
      <bottom style="thin">
        <color indexed="64"/>
      </bottom>
      <diagonal/>
    </border>
    <border>
      <left/>
      <right style="thin">
        <color indexed="64"/>
      </right>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right/>
      <top style="thin">
        <color indexed="64"/>
      </top>
      <bottom/>
      <diagonal/>
    </border>
    <border>
      <left style="thin">
        <color indexed="64"/>
      </left>
      <right/>
      <top/>
      <bottom/>
      <diagonal/>
    </border>
    <border>
      <left style="thin">
        <color indexed="64"/>
      </left>
      <right/>
      <top/>
      <bottom style="medium">
        <color indexed="64"/>
      </bottom>
      <diagonal/>
    </border>
    <border>
      <left/>
      <right style="thin">
        <color indexed="64"/>
      </right>
      <top style="thin">
        <color indexed="64"/>
      </top>
      <bottom style="medium">
        <color indexed="64"/>
      </bottom>
      <diagonal/>
    </border>
    <border>
      <left/>
      <right style="thin">
        <color indexed="64"/>
      </right>
      <top style="medium">
        <color indexed="64"/>
      </top>
      <bottom/>
      <diagonal/>
    </border>
    <border>
      <left/>
      <right style="medium">
        <color indexed="64"/>
      </right>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bottom style="medium">
        <color indexed="64"/>
      </bottom>
      <diagonal/>
    </border>
    <border>
      <left/>
      <right style="medium">
        <color indexed="64"/>
      </right>
      <top style="thin">
        <color indexed="64"/>
      </top>
      <bottom/>
      <diagonal/>
    </border>
    <border>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top/>
      <bottom style="thin">
        <color theme="0"/>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theme="0" tint="-0.499984740745262"/>
      </right>
      <top style="medium">
        <color indexed="64"/>
      </top>
      <bottom/>
      <diagonal/>
    </border>
    <border>
      <left style="thin">
        <color theme="0" tint="-0.499984740745262"/>
      </left>
      <right style="thin">
        <color theme="0" tint="-0.499984740745262"/>
      </right>
      <top style="medium">
        <color indexed="64"/>
      </top>
      <bottom/>
      <diagonal/>
    </border>
    <border>
      <left style="thin">
        <color theme="0" tint="-0.499984740745262"/>
      </left>
      <right style="medium">
        <color indexed="64"/>
      </right>
      <top style="medium">
        <color indexed="64"/>
      </top>
      <bottom/>
      <diagonal/>
    </border>
    <border>
      <left style="medium">
        <color indexed="64"/>
      </left>
      <right style="thin">
        <color theme="0" tint="-0.499984740745262"/>
      </right>
      <top style="medium">
        <color indexed="64"/>
      </top>
      <bottom style="medium">
        <color indexed="64"/>
      </bottom>
      <diagonal/>
    </border>
    <border>
      <left style="thin">
        <color theme="0" tint="-0.499984740745262"/>
      </left>
      <right style="thin">
        <color theme="0" tint="-0.499984740745262"/>
      </right>
      <top style="medium">
        <color indexed="64"/>
      </top>
      <bottom style="medium">
        <color indexed="64"/>
      </bottom>
      <diagonal/>
    </border>
    <border>
      <left style="thin">
        <color theme="0" tint="-0.499984740745262"/>
      </left>
      <right style="medium">
        <color indexed="64"/>
      </right>
      <top style="medium">
        <color indexed="64"/>
      </top>
      <bottom style="medium">
        <color indexed="64"/>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medium">
        <color indexed="64"/>
      </top>
      <bottom style="thin">
        <color indexed="64"/>
      </bottom>
      <diagonal/>
    </border>
    <border>
      <left style="thin">
        <color theme="0" tint="-0.499984740745262"/>
      </left>
      <right style="thin">
        <color theme="0" tint="-0.499984740745262"/>
      </right>
      <top style="medium">
        <color indexed="64"/>
      </top>
      <bottom style="thin">
        <color indexed="64"/>
      </bottom>
      <diagonal/>
    </border>
    <border>
      <left style="thin">
        <color theme="0" tint="-0.499984740745262"/>
      </left>
      <right style="medium">
        <color indexed="64"/>
      </right>
      <top style="medium">
        <color indexed="64"/>
      </top>
      <bottom style="thin">
        <color indexed="64"/>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bottom style="thin">
        <color indexed="64"/>
      </bottom>
      <diagonal/>
    </border>
    <border>
      <left style="thin">
        <color theme="0" tint="-0.499984740745262"/>
      </left>
      <right style="thin">
        <color theme="0" tint="-0.499984740745262"/>
      </right>
      <top/>
      <bottom style="thin">
        <color indexed="64"/>
      </bottom>
      <diagonal/>
    </border>
    <border>
      <left style="thin">
        <color theme="0" tint="-0.499984740745262"/>
      </left>
      <right style="medium">
        <color indexed="64"/>
      </right>
      <top/>
      <bottom style="thin">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medium">
        <color auto="1"/>
      </left>
      <right style="thin">
        <color theme="0" tint="-0.499984740745262"/>
      </right>
      <top style="thin">
        <color theme="0" tint="-0.499984740745262"/>
      </top>
      <bottom style="thin">
        <color theme="0" tint="-0.499984740745262"/>
      </bottom>
      <diagonal/>
    </border>
    <border>
      <left style="thin">
        <color theme="0" tint="-0.499984740745262"/>
      </left>
      <right/>
      <top style="thin">
        <color theme="0" tint="-0.499984740745262"/>
      </top>
      <bottom style="medium">
        <color indexed="64"/>
      </bottom>
      <diagonal/>
    </border>
    <border>
      <left/>
      <right/>
      <top style="thin">
        <color theme="0" tint="-0.499984740745262"/>
      </top>
      <bottom style="medium">
        <color indexed="64"/>
      </bottom>
      <diagonal/>
    </border>
    <border>
      <left/>
      <right style="medium">
        <color indexed="64"/>
      </right>
      <top style="thin">
        <color theme="0" tint="-0.499984740745262"/>
      </top>
      <bottom style="medium">
        <color indexed="64"/>
      </bottom>
      <diagonal/>
    </border>
    <border>
      <left style="medium">
        <color indexed="64"/>
      </left>
      <right style="thin">
        <color theme="0" tint="-0.499984740745262"/>
      </right>
      <top style="thin">
        <color indexed="64"/>
      </top>
      <bottom style="medium">
        <color indexed="64"/>
      </bottom>
      <diagonal/>
    </border>
    <border>
      <left style="thin">
        <color theme="0" tint="-0.499984740745262"/>
      </left>
      <right style="thin">
        <color theme="0" tint="-0.499984740745262"/>
      </right>
      <top style="thin">
        <color indexed="64"/>
      </top>
      <bottom style="medium">
        <color indexed="64"/>
      </bottom>
      <diagonal/>
    </border>
    <border>
      <left style="thin">
        <color theme="0" tint="-0.499984740745262"/>
      </left>
      <right style="medium">
        <color indexed="64"/>
      </right>
      <top style="thin">
        <color indexed="64"/>
      </top>
      <bottom style="medium">
        <color indexed="64"/>
      </bottom>
      <diagonal/>
    </border>
    <border>
      <left style="thin">
        <color theme="0" tint="-0.499984740745262"/>
      </left>
      <right style="medium">
        <color indexed="64"/>
      </right>
      <top style="thin">
        <color theme="0" tint="-0.499984740745262"/>
      </top>
      <bottom style="thin">
        <color theme="0" tint="-0.499984740745262"/>
      </bottom>
      <diagonal/>
    </border>
    <border>
      <left/>
      <right style="thin">
        <color theme="0" tint="-0.499984740745262"/>
      </right>
      <top style="thin">
        <color theme="0" tint="-0.499984740745262"/>
      </top>
      <bottom style="medium">
        <color indexed="64"/>
      </bottom>
      <diagonal/>
    </border>
    <border>
      <left style="medium">
        <color auto="1"/>
      </left>
      <right style="thin">
        <color theme="0" tint="-0.499984740745262"/>
      </right>
      <top/>
      <bottom style="thin">
        <color theme="0" tint="-0.499984740745262"/>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medium">
        <color indexed="64"/>
      </right>
      <top/>
      <bottom style="thin">
        <color theme="0" tint="-0.499984740745262"/>
      </bottom>
      <diagonal/>
    </border>
    <border>
      <left style="thin">
        <color theme="0" tint="-0.499984740745262"/>
      </left>
      <right style="medium">
        <color indexed="64"/>
      </right>
      <top/>
      <bottom style="thin">
        <color theme="0" tint="-0.499984740745262"/>
      </bottom>
      <diagonal/>
    </border>
    <border>
      <left/>
      <right style="thin">
        <color theme="0" tint="-0.499984740745262"/>
      </right>
      <top/>
      <bottom style="thin">
        <color theme="0" tint="-0.499984740745262"/>
      </bottom>
      <diagonal/>
    </border>
    <border>
      <left style="thin">
        <color theme="0" tint="-0.499984740745262"/>
      </left>
      <right/>
      <top style="medium">
        <color indexed="64"/>
      </top>
      <bottom style="medium">
        <color indexed="64"/>
      </bottom>
      <diagonal/>
    </border>
    <border>
      <left/>
      <right style="thin">
        <color theme="0" tint="-0.499984740745262"/>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right style="thin">
        <color theme="0" tint="-0.499984740745262"/>
      </right>
      <top style="medium">
        <color indexed="64"/>
      </top>
      <bottom style="thin">
        <color indexed="64"/>
      </bottom>
      <diagonal/>
    </border>
    <border>
      <left/>
      <right style="thin">
        <color theme="0" tint="-0.499984740745262"/>
      </right>
      <top/>
      <bottom style="thin">
        <color indexed="64"/>
      </bottom>
      <diagonal/>
    </border>
    <border>
      <left style="medium">
        <color indexed="64"/>
      </left>
      <right/>
      <top style="thin">
        <color indexed="64"/>
      </top>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medium">
        <color indexed="64"/>
      </top>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right style="medium">
        <color indexed="64"/>
      </right>
      <top style="thin">
        <color theme="6"/>
      </top>
      <bottom style="medium">
        <color indexed="64"/>
      </bottom>
      <diagonal/>
    </border>
    <border>
      <left/>
      <right/>
      <top style="thin">
        <color theme="6"/>
      </top>
      <bottom style="medium">
        <color indexed="64"/>
      </bottom>
      <diagonal/>
    </border>
    <border>
      <left style="medium">
        <color indexed="64"/>
      </left>
      <right/>
      <top style="thin">
        <color theme="6"/>
      </top>
      <bottom style="medium">
        <color indexed="64"/>
      </bottom>
      <diagonal/>
    </border>
    <border>
      <left/>
      <right style="medium">
        <color indexed="64"/>
      </right>
      <top style="thin">
        <color theme="6"/>
      </top>
      <bottom style="thin">
        <color theme="6"/>
      </bottom>
      <diagonal/>
    </border>
    <border>
      <left/>
      <right/>
      <top style="thin">
        <color theme="6"/>
      </top>
      <bottom style="thin">
        <color theme="6"/>
      </bottom>
      <diagonal/>
    </border>
    <border>
      <left style="medium">
        <color indexed="64"/>
      </left>
      <right/>
      <top style="thin">
        <color theme="6"/>
      </top>
      <bottom style="thin">
        <color theme="6"/>
      </bottom>
      <diagonal/>
    </border>
    <border>
      <left/>
      <right style="medium">
        <color indexed="64"/>
      </right>
      <top/>
      <bottom style="thin">
        <color theme="6"/>
      </bottom>
      <diagonal/>
    </border>
    <border>
      <left style="medium">
        <color indexed="64"/>
      </left>
      <right/>
      <top/>
      <bottom style="thin">
        <color theme="6"/>
      </bottom>
      <diagonal/>
    </border>
    <border>
      <left/>
      <right style="medium">
        <color indexed="64"/>
      </right>
      <top style="medium">
        <color indexed="64"/>
      </top>
      <bottom style="thin">
        <color theme="6"/>
      </bottom>
      <diagonal/>
    </border>
    <border>
      <left/>
      <right/>
      <top style="medium">
        <color indexed="64"/>
      </top>
      <bottom style="thin">
        <color theme="6"/>
      </bottom>
      <diagonal/>
    </border>
    <border>
      <left style="medium">
        <color indexed="64"/>
      </left>
      <right/>
      <top style="medium">
        <color indexed="64"/>
      </top>
      <bottom style="thin">
        <color theme="6"/>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s>
  <cellStyleXfs count="51">
    <xf numFmtId="0" fontId="0" fillId="0" borderId="0"/>
    <xf numFmtId="0" fontId="16" fillId="0" borderId="0">
      <alignment vertical="center"/>
    </xf>
    <xf numFmtId="0" fontId="1" fillId="0" borderId="0">
      <alignment vertical="center"/>
    </xf>
    <xf numFmtId="0" fontId="24" fillId="0" borderId="0"/>
    <xf numFmtId="0" fontId="29" fillId="0" borderId="0"/>
    <xf numFmtId="0" fontId="31" fillId="8" borderId="0" applyNumberFormat="0" applyBorder="0" applyAlignment="0" applyProtection="0">
      <alignment vertical="center"/>
    </xf>
    <xf numFmtId="0" fontId="31" fillId="9" borderId="0" applyNumberFormat="0" applyBorder="0" applyAlignment="0" applyProtection="0">
      <alignment vertical="center"/>
    </xf>
    <xf numFmtId="0" fontId="31" fillId="10" borderId="0" applyNumberFormat="0" applyBorder="0" applyAlignment="0" applyProtection="0">
      <alignment vertical="center"/>
    </xf>
    <xf numFmtId="0" fontId="31" fillId="11" borderId="0" applyNumberFormat="0" applyBorder="0" applyAlignment="0" applyProtection="0">
      <alignment vertical="center"/>
    </xf>
    <xf numFmtId="0" fontId="31" fillId="12" borderId="0" applyNumberFormat="0" applyBorder="0" applyAlignment="0" applyProtection="0">
      <alignment vertical="center"/>
    </xf>
    <xf numFmtId="0" fontId="31" fillId="13" borderId="0" applyNumberFormat="0" applyBorder="0" applyAlignment="0" applyProtection="0">
      <alignment vertical="center"/>
    </xf>
    <xf numFmtId="0" fontId="31" fillId="14" borderId="0" applyNumberFormat="0" applyBorder="0" applyAlignment="0" applyProtection="0">
      <alignment vertical="center"/>
    </xf>
    <xf numFmtId="0" fontId="31" fillId="15" borderId="0" applyNumberFormat="0" applyBorder="0" applyAlignment="0" applyProtection="0">
      <alignment vertical="center"/>
    </xf>
    <xf numFmtId="0" fontId="31" fillId="16" borderId="0" applyNumberFormat="0" applyBorder="0" applyAlignment="0" applyProtection="0">
      <alignment vertical="center"/>
    </xf>
    <xf numFmtId="0" fontId="31" fillId="11" borderId="0" applyNumberFormat="0" applyBorder="0" applyAlignment="0" applyProtection="0">
      <alignment vertical="center"/>
    </xf>
    <xf numFmtId="0" fontId="31" fillId="14" borderId="0" applyNumberFormat="0" applyBorder="0" applyAlignment="0" applyProtection="0">
      <alignment vertical="center"/>
    </xf>
    <xf numFmtId="0" fontId="31" fillId="17" borderId="0" applyNumberFormat="0" applyBorder="0" applyAlignment="0" applyProtection="0">
      <alignment vertical="center"/>
    </xf>
    <xf numFmtId="0" fontId="32" fillId="18" borderId="0" applyNumberFormat="0" applyBorder="0" applyAlignment="0" applyProtection="0">
      <alignment vertical="center"/>
    </xf>
    <xf numFmtId="0" fontId="32" fillId="15" borderId="0" applyNumberFormat="0" applyBorder="0" applyAlignment="0" applyProtection="0">
      <alignment vertical="center"/>
    </xf>
    <xf numFmtId="0" fontId="32" fillId="16" borderId="0" applyNumberFormat="0" applyBorder="0" applyAlignment="0" applyProtection="0">
      <alignment vertical="center"/>
    </xf>
    <xf numFmtId="0" fontId="32" fillId="19" borderId="0" applyNumberFormat="0" applyBorder="0" applyAlignment="0" applyProtection="0">
      <alignment vertical="center"/>
    </xf>
    <xf numFmtId="0" fontId="32" fillId="20" borderId="0" applyNumberFormat="0" applyBorder="0" applyAlignment="0" applyProtection="0">
      <alignment vertical="center"/>
    </xf>
    <xf numFmtId="0" fontId="32" fillId="21" borderId="0" applyNumberFormat="0" applyBorder="0" applyAlignment="0" applyProtection="0">
      <alignment vertical="center"/>
    </xf>
    <xf numFmtId="0" fontId="32" fillId="22" borderId="0" applyNumberFormat="0" applyBorder="0" applyAlignment="0" applyProtection="0">
      <alignment vertical="center"/>
    </xf>
    <xf numFmtId="0" fontId="32" fillId="23" borderId="0" applyNumberFormat="0" applyBorder="0" applyAlignment="0" applyProtection="0">
      <alignment vertical="center"/>
    </xf>
    <xf numFmtId="0" fontId="32" fillId="24" borderId="0" applyNumberFormat="0" applyBorder="0" applyAlignment="0" applyProtection="0">
      <alignment vertical="center"/>
    </xf>
    <xf numFmtId="0" fontId="32" fillId="19" borderId="0" applyNumberFormat="0" applyBorder="0" applyAlignment="0" applyProtection="0">
      <alignment vertical="center"/>
    </xf>
    <xf numFmtId="0" fontId="32" fillId="20" borderId="0" applyNumberFormat="0" applyBorder="0" applyAlignment="0" applyProtection="0">
      <alignment vertical="center"/>
    </xf>
    <xf numFmtId="0" fontId="32" fillId="25" borderId="0" applyNumberFormat="0" applyBorder="0" applyAlignment="0" applyProtection="0">
      <alignment vertical="center"/>
    </xf>
    <xf numFmtId="0" fontId="33" fillId="0" borderId="0" applyNumberFormat="0" applyFill="0" applyBorder="0" applyAlignment="0" applyProtection="0">
      <alignment vertical="center"/>
    </xf>
    <xf numFmtId="0" fontId="34" fillId="26" borderId="117" applyNumberFormat="0" applyAlignment="0" applyProtection="0">
      <alignment vertical="center"/>
    </xf>
    <xf numFmtId="0" fontId="35" fillId="27" borderId="0" applyNumberFormat="0" applyBorder="0" applyAlignment="0" applyProtection="0">
      <alignment vertical="center"/>
    </xf>
    <xf numFmtId="0" fontId="29" fillId="28" borderId="118" applyNumberFormat="0" applyFont="0" applyAlignment="0" applyProtection="0">
      <alignment vertical="center"/>
    </xf>
    <xf numFmtId="0" fontId="36" fillId="0" borderId="119" applyNumberFormat="0" applyFill="0" applyAlignment="0" applyProtection="0">
      <alignment vertical="center"/>
    </xf>
    <xf numFmtId="0" fontId="37" fillId="9" borderId="0" applyNumberFormat="0" applyBorder="0" applyAlignment="0" applyProtection="0">
      <alignment vertical="center"/>
    </xf>
    <xf numFmtId="0" fontId="38" fillId="29" borderId="120" applyNumberFormat="0" applyAlignment="0" applyProtection="0">
      <alignment vertical="center"/>
    </xf>
    <xf numFmtId="0" fontId="39" fillId="0" borderId="0" applyNumberFormat="0" applyFill="0" applyBorder="0" applyAlignment="0" applyProtection="0">
      <alignment vertical="center"/>
    </xf>
    <xf numFmtId="0" fontId="40" fillId="0" borderId="121" applyNumberFormat="0" applyFill="0" applyAlignment="0" applyProtection="0">
      <alignment vertical="center"/>
    </xf>
    <xf numFmtId="0" fontId="41" fillId="0" borderId="122" applyNumberFormat="0" applyFill="0" applyAlignment="0" applyProtection="0">
      <alignment vertical="center"/>
    </xf>
    <xf numFmtId="0" fontId="42" fillId="0" borderId="123" applyNumberFormat="0" applyFill="0" applyAlignment="0" applyProtection="0">
      <alignment vertical="center"/>
    </xf>
    <xf numFmtId="0" fontId="42" fillId="0" borderId="0" applyNumberFormat="0" applyFill="0" applyBorder="0" applyAlignment="0" applyProtection="0">
      <alignment vertical="center"/>
    </xf>
    <xf numFmtId="0" fontId="43" fillId="0" borderId="124" applyNumberFormat="0" applyFill="0" applyAlignment="0" applyProtection="0">
      <alignment vertical="center"/>
    </xf>
    <xf numFmtId="0" fontId="44" fillId="29" borderId="125" applyNumberFormat="0" applyAlignment="0" applyProtection="0">
      <alignment vertical="center"/>
    </xf>
    <xf numFmtId="0" fontId="45" fillId="0" borderId="0" applyNumberFormat="0" applyFill="0" applyBorder="0" applyAlignment="0" applyProtection="0">
      <alignment vertical="center"/>
    </xf>
    <xf numFmtId="0" fontId="46" fillId="13" borderId="120" applyNumberFormat="0" applyAlignment="0" applyProtection="0">
      <alignment vertical="center"/>
    </xf>
    <xf numFmtId="0" fontId="29" fillId="0" borderId="0"/>
    <xf numFmtId="0" fontId="29" fillId="0" borderId="0"/>
    <xf numFmtId="0" fontId="30" fillId="0" borderId="0">
      <alignment vertical="center"/>
    </xf>
    <xf numFmtId="0" fontId="47" fillId="10" borderId="0" applyNumberFormat="0" applyBorder="0" applyAlignment="0" applyProtection="0">
      <alignment vertical="center"/>
    </xf>
    <xf numFmtId="0" fontId="26" fillId="0" borderId="0">
      <alignment vertical="center"/>
    </xf>
    <xf numFmtId="0" fontId="29" fillId="0" borderId="0"/>
  </cellStyleXfs>
  <cellXfs count="576">
    <xf numFmtId="0" fontId="0" fillId="0" borderId="0" xfId="0"/>
    <xf numFmtId="0" fontId="5" fillId="0" borderId="0" xfId="0" applyFont="1" applyAlignment="1">
      <alignment vertical="center"/>
    </xf>
    <xf numFmtId="0" fontId="6" fillId="0" borderId="21" xfId="0" applyFont="1" applyBorder="1" applyAlignment="1">
      <alignment vertical="center"/>
    </xf>
    <xf numFmtId="0" fontId="5" fillId="0" borderId="12" xfId="0" applyFont="1" applyBorder="1" applyAlignment="1">
      <alignment vertical="center"/>
    </xf>
    <xf numFmtId="0" fontId="5" fillId="0" borderId="22" xfId="0" applyFont="1" applyBorder="1" applyAlignment="1">
      <alignment vertical="center"/>
    </xf>
    <xf numFmtId="49" fontId="5" fillId="0" borderId="0" xfId="0" applyNumberFormat="1" applyFont="1" applyAlignment="1">
      <alignment vertical="center"/>
    </xf>
    <xf numFmtId="0" fontId="5" fillId="0" borderId="13" xfId="0" applyFont="1" applyBorder="1" applyAlignment="1">
      <alignment vertical="center"/>
    </xf>
    <xf numFmtId="0" fontId="7" fillId="0" borderId="24" xfId="0" applyFont="1" applyBorder="1"/>
    <xf numFmtId="0" fontId="7" fillId="0" borderId="11" xfId="0" applyFont="1" applyBorder="1"/>
    <xf numFmtId="0" fontId="7" fillId="0" borderId="26" xfId="0" applyFont="1" applyBorder="1"/>
    <xf numFmtId="0" fontId="7" fillId="0" borderId="23" xfId="0" applyFont="1" applyBorder="1"/>
    <xf numFmtId="0" fontId="7" fillId="0" borderId="25" xfId="0" applyFont="1" applyBorder="1"/>
    <xf numFmtId="0" fontId="7" fillId="0" borderId="46" xfId="0" applyFont="1" applyBorder="1"/>
    <xf numFmtId="0" fontId="7" fillId="0" borderId="47" xfId="0" applyFont="1" applyBorder="1"/>
    <xf numFmtId="0" fontId="7" fillId="0" borderId="43" xfId="0" applyFont="1" applyBorder="1"/>
    <xf numFmtId="0" fontId="5" fillId="0" borderId="23" xfId="0" applyFont="1" applyBorder="1" applyAlignment="1">
      <alignment vertical="center"/>
    </xf>
    <xf numFmtId="0" fontId="6" fillId="0" borderId="23" xfId="0" applyFont="1" applyBorder="1" applyAlignment="1">
      <alignment vertical="center"/>
    </xf>
    <xf numFmtId="0" fontId="5" fillId="0" borderId="37" xfId="0" applyFont="1" applyBorder="1" applyAlignment="1">
      <alignment vertical="center"/>
    </xf>
    <xf numFmtId="0" fontId="5" fillId="0" borderId="14" xfId="0" applyFont="1" applyBorder="1" applyAlignment="1">
      <alignment vertical="center"/>
    </xf>
    <xf numFmtId="0" fontId="5" fillId="0" borderId="25" xfId="0" applyFont="1" applyBorder="1" applyAlignment="1">
      <alignment vertical="center"/>
    </xf>
    <xf numFmtId="0" fontId="7" fillId="0" borderId="0" xfId="0" applyFont="1"/>
    <xf numFmtId="0" fontId="7" fillId="0" borderId="29" xfId="0" applyFont="1" applyBorder="1" applyAlignment="1">
      <alignment vertical="center"/>
    </xf>
    <xf numFmtId="0" fontId="5" fillId="0" borderId="0" xfId="0" applyFont="1" applyAlignment="1">
      <alignment horizontal="left" vertical="center"/>
    </xf>
    <xf numFmtId="0" fontId="5" fillId="0" borderId="28" xfId="0" applyFont="1" applyBorder="1" applyAlignment="1">
      <alignment vertical="center"/>
    </xf>
    <xf numFmtId="0" fontId="5" fillId="0" borderId="44" xfId="0" applyFont="1" applyBorder="1" applyAlignment="1">
      <alignment vertical="center"/>
    </xf>
    <xf numFmtId="0" fontId="5" fillId="0" borderId="29" xfId="0" applyFont="1" applyBorder="1" applyAlignment="1">
      <alignment vertical="center"/>
    </xf>
    <xf numFmtId="0" fontId="5" fillId="0" borderId="24" xfId="0" applyFont="1" applyBorder="1" applyAlignment="1">
      <alignment vertical="center"/>
    </xf>
    <xf numFmtId="0" fontId="5" fillId="0" borderId="11" xfId="0" applyFont="1" applyBorder="1" applyAlignment="1">
      <alignment vertical="center"/>
    </xf>
    <xf numFmtId="0" fontId="5" fillId="0" borderId="26" xfId="0" applyFont="1" applyBorder="1" applyAlignment="1">
      <alignment vertical="center"/>
    </xf>
    <xf numFmtId="0" fontId="15" fillId="0" borderId="0" xfId="0" applyFont="1" applyAlignment="1">
      <alignment horizontal="center" vertical="center"/>
    </xf>
    <xf numFmtId="0" fontId="7" fillId="0" borderId="0" xfId="0" applyFont="1" applyAlignment="1">
      <alignment wrapText="1"/>
    </xf>
    <xf numFmtId="0" fontId="7" fillId="0" borderId="21" xfId="0" applyFont="1" applyBorder="1"/>
    <xf numFmtId="0" fontId="7" fillId="0" borderId="22" xfId="0" applyFont="1" applyBorder="1"/>
    <xf numFmtId="0" fontId="7" fillId="0" borderId="12" xfId="0" applyFont="1" applyBorder="1"/>
    <xf numFmtId="0" fontId="7" fillId="0" borderId="22" xfId="0" applyFont="1" applyBorder="1" applyAlignment="1">
      <alignment vertical="center"/>
    </xf>
    <xf numFmtId="0" fontId="7" fillId="0" borderId="24" xfId="0" applyFont="1" applyBorder="1" applyAlignment="1">
      <alignment vertical="center"/>
    </xf>
    <xf numFmtId="0" fontId="7" fillId="0" borderId="21" xfId="0" applyFont="1" applyBorder="1" applyAlignment="1">
      <alignment vertical="center"/>
    </xf>
    <xf numFmtId="0" fontId="7" fillId="0" borderId="23" xfId="0" applyFont="1" applyBorder="1" applyAlignment="1">
      <alignment vertical="center"/>
    </xf>
    <xf numFmtId="0" fontId="7" fillId="0" borderId="0" xfId="0" applyFont="1" applyAlignment="1">
      <alignment horizontal="center" vertical="center"/>
    </xf>
    <xf numFmtId="0" fontId="5" fillId="0" borderId="27" xfId="0" applyFont="1" applyBorder="1" applyAlignment="1">
      <alignment vertical="center"/>
    </xf>
    <xf numFmtId="0" fontId="5" fillId="0" borderId="36" xfId="0" applyFont="1" applyBorder="1" applyAlignment="1">
      <alignment vertical="center"/>
    </xf>
    <xf numFmtId="0" fontId="5" fillId="0" borderId="41" xfId="0" applyFont="1" applyBorder="1" applyAlignment="1">
      <alignment vertical="center"/>
    </xf>
    <xf numFmtId="0" fontId="5" fillId="0" borderId="42" xfId="0" applyFont="1" applyBorder="1" applyAlignment="1">
      <alignment vertical="center"/>
    </xf>
    <xf numFmtId="0" fontId="4" fillId="0" borderId="0" xfId="0" applyFont="1" applyAlignment="1">
      <alignment vertical="center"/>
    </xf>
    <xf numFmtId="0" fontId="15" fillId="0" borderId="0" xfId="0" applyFont="1" applyAlignment="1">
      <alignment vertical="center"/>
    </xf>
    <xf numFmtId="0" fontId="7" fillId="0" borderId="0" xfId="0" applyFont="1" applyAlignment="1">
      <alignment vertical="center"/>
    </xf>
    <xf numFmtId="0" fontId="14" fillId="0" borderId="0" xfId="0" applyFont="1" applyAlignment="1">
      <alignment vertical="center"/>
    </xf>
    <xf numFmtId="0" fontId="9" fillId="0" borderId="0" xfId="0" applyFont="1" applyAlignment="1">
      <alignment vertical="center"/>
    </xf>
    <xf numFmtId="0" fontId="9" fillId="0" borderId="50" xfId="0" applyFont="1" applyBorder="1" applyAlignment="1">
      <alignment vertical="center"/>
    </xf>
    <xf numFmtId="0" fontId="5" fillId="0" borderId="0" xfId="0" applyFont="1" applyAlignment="1">
      <alignment horizontal="center" vertical="center"/>
    </xf>
    <xf numFmtId="0" fontId="7" fillId="0" borderId="25" xfId="0" applyFont="1" applyBorder="1" applyAlignment="1">
      <alignment vertical="center"/>
    </xf>
    <xf numFmtId="0" fontId="7" fillId="0" borderId="11" xfId="0" applyFont="1" applyBorder="1" applyAlignment="1">
      <alignment vertical="center"/>
    </xf>
    <xf numFmtId="0" fontId="7" fillId="0" borderId="15" xfId="0" applyFont="1" applyBorder="1" applyAlignment="1">
      <alignment vertical="center"/>
    </xf>
    <xf numFmtId="0" fontId="7" fillId="0" borderId="30" xfId="0" applyFont="1" applyBorder="1" applyAlignment="1">
      <alignment vertical="center"/>
    </xf>
    <xf numFmtId="0" fontId="7" fillId="0" borderId="26" xfId="0" applyFont="1" applyBorder="1" applyAlignment="1">
      <alignment vertical="center"/>
    </xf>
    <xf numFmtId="0" fontId="5" fillId="0" borderId="5" xfId="0" applyFont="1" applyBorder="1" applyAlignment="1">
      <alignment vertical="center"/>
    </xf>
    <xf numFmtId="0" fontId="5" fillId="0" borderId="15" xfId="0" applyFont="1" applyBorder="1" applyAlignment="1">
      <alignment vertical="center"/>
    </xf>
    <xf numFmtId="0" fontId="5" fillId="0" borderId="23" xfId="0" quotePrefix="1" applyFont="1" applyBorder="1" applyAlignment="1">
      <alignment vertical="center"/>
    </xf>
    <xf numFmtId="49" fontId="5" fillId="0" borderId="24" xfId="0" applyNumberFormat="1" applyFont="1" applyBorder="1" applyAlignment="1">
      <alignment vertical="center"/>
    </xf>
    <xf numFmtId="0" fontId="5" fillId="0" borderId="8" xfId="0" applyFont="1" applyBorder="1" applyAlignment="1">
      <alignment vertical="center"/>
    </xf>
    <xf numFmtId="0" fontId="5" fillId="0" borderId="7" xfId="0" applyFont="1" applyBorder="1" applyAlignment="1">
      <alignment vertical="center"/>
    </xf>
    <xf numFmtId="49" fontId="5" fillId="0" borderId="14" xfId="0" applyNumberFormat="1" applyFont="1" applyBorder="1" applyAlignment="1">
      <alignment vertical="center"/>
    </xf>
    <xf numFmtId="49" fontId="5" fillId="0" borderId="33" xfId="0" applyNumberFormat="1" applyFont="1" applyBorder="1" applyAlignment="1">
      <alignment vertical="center"/>
    </xf>
    <xf numFmtId="0" fontId="5" fillId="0" borderId="0" xfId="0" applyFont="1" applyAlignment="1">
      <alignment horizontal="left" vertical="center" wrapText="1"/>
    </xf>
    <xf numFmtId="0" fontId="5" fillId="0" borderId="30" xfId="0" applyFont="1" applyBorder="1" applyAlignment="1">
      <alignment vertical="center"/>
    </xf>
    <xf numFmtId="49" fontId="5" fillId="0" borderId="11" xfId="0" applyNumberFormat="1" applyFont="1" applyBorder="1" applyAlignment="1">
      <alignment vertical="center"/>
    </xf>
    <xf numFmtId="49" fontId="5" fillId="0" borderId="26" xfId="0" applyNumberFormat="1" applyFont="1" applyBorder="1" applyAlignment="1">
      <alignment vertical="center"/>
    </xf>
    <xf numFmtId="0" fontId="5" fillId="0" borderId="16" xfId="0" applyFont="1" applyBorder="1" applyAlignment="1">
      <alignment vertical="center"/>
    </xf>
    <xf numFmtId="0" fontId="5" fillId="0" borderId="20" xfId="0" applyFont="1" applyBorder="1" applyAlignment="1">
      <alignment vertical="center"/>
    </xf>
    <xf numFmtId="0" fontId="5" fillId="0" borderId="19" xfId="0" applyFont="1" applyBorder="1" applyAlignment="1">
      <alignment vertical="center"/>
    </xf>
    <xf numFmtId="0" fontId="5" fillId="0" borderId="21" xfId="0" applyFont="1" applyBorder="1" applyAlignment="1">
      <alignment vertical="center"/>
    </xf>
    <xf numFmtId="0" fontId="7" fillId="0" borderId="12" xfId="0" applyFont="1" applyBorder="1" applyAlignment="1">
      <alignment vertical="center"/>
    </xf>
    <xf numFmtId="0" fontId="7" fillId="2" borderId="23" xfId="0" applyFont="1" applyFill="1" applyBorder="1" applyAlignment="1">
      <alignment vertical="center"/>
    </xf>
    <xf numFmtId="0" fontId="7" fillId="2" borderId="0" xfId="0" applyFont="1" applyFill="1" applyAlignment="1">
      <alignment vertical="center"/>
    </xf>
    <xf numFmtId="0" fontId="7" fillId="2" borderId="24" xfId="0" applyFont="1" applyFill="1" applyBorder="1" applyAlignment="1">
      <alignment vertical="center"/>
    </xf>
    <xf numFmtId="0" fontId="7" fillId="2" borderId="21" xfId="0" applyFont="1" applyFill="1" applyBorder="1" applyAlignment="1">
      <alignment vertical="center"/>
    </xf>
    <xf numFmtId="0" fontId="7" fillId="2" borderId="12" xfId="0" applyFont="1" applyFill="1" applyBorder="1" applyAlignment="1">
      <alignment vertical="center"/>
    </xf>
    <xf numFmtId="0" fontId="7" fillId="2" borderId="22" xfId="0" applyFont="1" applyFill="1" applyBorder="1" applyAlignment="1">
      <alignment vertical="center"/>
    </xf>
    <xf numFmtId="0" fontId="7" fillId="0" borderId="23" xfId="0" applyFont="1" applyBorder="1" applyAlignment="1">
      <alignment horizontal="center" vertical="center"/>
    </xf>
    <xf numFmtId="0" fontId="7" fillId="0" borderId="24" xfId="0" applyFont="1" applyBorder="1" applyAlignment="1">
      <alignment horizontal="center" vertical="center"/>
    </xf>
    <xf numFmtId="0" fontId="7" fillId="2" borderId="25" xfId="0" applyFont="1" applyFill="1" applyBorder="1" applyAlignment="1">
      <alignment vertical="center"/>
    </xf>
    <xf numFmtId="0" fontId="7" fillId="2" borderId="11" xfId="0" applyFont="1" applyFill="1" applyBorder="1" applyAlignment="1">
      <alignment vertical="center"/>
    </xf>
    <xf numFmtId="0" fontId="5" fillId="0" borderId="0" xfId="0" quotePrefix="1" applyFont="1" applyAlignment="1">
      <alignment horizontal="right" vertical="center"/>
    </xf>
    <xf numFmtId="0" fontId="8" fillId="3" borderId="40" xfId="0" applyFont="1" applyFill="1" applyBorder="1" applyAlignment="1">
      <alignment vertical="center"/>
    </xf>
    <xf numFmtId="0" fontId="8" fillId="3" borderId="41" xfId="0" applyFont="1" applyFill="1" applyBorder="1" applyAlignment="1">
      <alignment vertical="center"/>
    </xf>
    <xf numFmtId="0" fontId="8" fillId="3" borderId="42" xfId="0" applyFont="1" applyFill="1" applyBorder="1" applyAlignment="1">
      <alignment vertical="center"/>
    </xf>
    <xf numFmtId="0" fontId="8" fillId="3" borderId="38" xfId="0" applyFont="1" applyFill="1" applyBorder="1" applyAlignment="1">
      <alignment vertical="center"/>
    </xf>
    <xf numFmtId="0" fontId="8" fillId="3" borderId="27" xfId="0" applyFont="1" applyFill="1" applyBorder="1" applyAlignment="1">
      <alignment vertical="center"/>
    </xf>
    <xf numFmtId="0" fontId="8" fillId="3" borderId="36" xfId="0" applyFont="1" applyFill="1" applyBorder="1" applyAlignment="1">
      <alignment vertical="center"/>
    </xf>
    <xf numFmtId="0" fontId="8" fillId="3" borderId="39" xfId="0" applyFont="1" applyFill="1" applyBorder="1" applyAlignment="1">
      <alignment vertical="center"/>
    </xf>
    <xf numFmtId="0" fontId="8" fillId="3" borderId="35" xfId="0" applyFont="1" applyFill="1" applyBorder="1" applyAlignment="1">
      <alignment vertical="center"/>
    </xf>
    <xf numFmtId="0" fontId="8" fillId="3" borderId="45" xfId="0" applyFont="1" applyFill="1" applyBorder="1" applyAlignment="1">
      <alignment vertical="center"/>
    </xf>
    <xf numFmtId="49" fontId="23" fillId="0" borderId="0" xfId="0" applyNumberFormat="1" applyFont="1" applyAlignment="1">
      <alignment horizontal="left" vertical="center"/>
    </xf>
    <xf numFmtId="0" fontId="23" fillId="0" borderId="23" xfId="0" applyFont="1" applyBorder="1" applyAlignment="1">
      <alignment vertical="center"/>
    </xf>
    <xf numFmtId="0" fontId="23" fillId="0" borderId="0" xfId="0" applyFont="1" applyAlignment="1">
      <alignment vertical="center"/>
    </xf>
    <xf numFmtId="0" fontId="5" fillId="0" borderId="12" xfId="0" applyFont="1" applyBorder="1" applyAlignment="1">
      <alignment horizontal="left" vertical="center"/>
    </xf>
    <xf numFmtId="0" fontId="5" fillId="0" borderId="16" xfId="0" applyFont="1" applyBorder="1" applyAlignment="1">
      <alignment horizontal="left" vertical="center"/>
    </xf>
    <xf numFmtId="0" fontId="5" fillId="0" borderId="22" xfId="0" applyFont="1" applyBorder="1" applyAlignment="1">
      <alignment horizontal="left" vertical="center"/>
    </xf>
    <xf numFmtId="0" fontId="5" fillId="0" borderId="21" xfId="0" applyFont="1" applyBorder="1" applyAlignment="1">
      <alignment horizontal="left" vertical="center"/>
    </xf>
    <xf numFmtId="0" fontId="5" fillId="0" borderId="19" xfId="0" applyFont="1" applyBorder="1" applyAlignment="1">
      <alignment horizontal="left" vertical="center"/>
    </xf>
    <xf numFmtId="0" fontId="8" fillId="0" borderId="0" xfId="0" applyFont="1" applyAlignment="1">
      <alignment horizontal="center" vertical="center"/>
    </xf>
    <xf numFmtId="0" fontId="7" fillId="0" borderId="0" xfId="3" applyFont="1" applyAlignment="1">
      <alignment vertical="center"/>
    </xf>
    <xf numFmtId="0" fontId="7" fillId="0" borderId="0" xfId="3" applyFont="1" applyAlignment="1">
      <alignment horizontal="right" vertical="center"/>
    </xf>
    <xf numFmtId="0" fontId="5" fillId="0" borderId="0" xfId="3" applyFont="1"/>
    <xf numFmtId="0" fontId="5" fillId="0" borderId="0" xfId="3" quotePrefix="1" applyFont="1"/>
    <xf numFmtId="0" fontId="5" fillId="0" borderId="107" xfId="3" applyFont="1" applyBorder="1" applyAlignment="1">
      <alignment horizontal="left" vertical="top"/>
    </xf>
    <xf numFmtId="0" fontId="25" fillId="0" borderId="107" xfId="3" applyFont="1" applyBorder="1" applyAlignment="1">
      <alignment horizontal="left" vertical="top"/>
    </xf>
    <xf numFmtId="0" fontId="5" fillId="0" borderId="108" xfId="3" quotePrefix="1" applyFont="1" applyBorder="1" applyAlignment="1">
      <alignment horizontal="left" vertical="top"/>
    </xf>
    <xf numFmtId="0" fontId="25" fillId="0" borderId="106" xfId="3" applyFont="1" applyBorder="1" applyAlignment="1">
      <alignment vertical="top"/>
    </xf>
    <xf numFmtId="0" fontId="25" fillId="0" borderId="107" xfId="3" applyFont="1" applyBorder="1" applyAlignment="1">
      <alignment vertical="top"/>
    </xf>
    <xf numFmtId="0" fontId="25" fillId="0" borderId="108" xfId="3" applyFont="1" applyBorder="1" applyAlignment="1">
      <alignment vertical="top"/>
    </xf>
    <xf numFmtId="0" fontId="5" fillId="0" borderId="110" xfId="3" applyFont="1" applyBorder="1" applyAlignment="1">
      <alignment horizontal="left" vertical="top"/>
    </xf>
    <xf numFmtId="0" fontId="25" fillId="0" borderId="110" xfId="3" applyFont="1" applyBorder="1" applyAlignment="1">
      <alignment horizontal="left" vertical="top"/>
    </xf>
    <xf numFmtId="0" fontId="5" fillId="0" borderId="111" xfId="3" quotePrefix="1" applyFont="1" applyBorder="1" applyAlignment="1">
      <alignment horizontal="left" vertical="top"/>
    </xf>
    <xf numFmtId="0" fontId="25" fillId="0" borderId="109" xfId="3" applyFont="1" applyBorder="1" applyAlignment="1">
      <alignment vertical="top"/>
    </xf>
    <xf numFmtId="0" fontId="25" fillId="0" borderId="110" xfId="3" applyFont="1" applyBorder="1" applyAlignment="1">
      <alignment vertical="top"/>
    </xf>
    <xf numFmtId="0" fontId="25" fillId="0" borderId="111" xfId="3" applyFont="1" applyBorder="1" applyAlignment="1">
      <alignment vertical="top"/>
    </xf>
    <xf numFmtId="0" fontId="5" fillId="0" borderId="0" xfId="3" applyFont="1" applyAlignment="1">
      <alignment vertical="top"/>
    </xf>
    <xf numFmtId="0" fontId="5" fillId="0" borderId="23" xfId="3" applyFont="1" applyBorder="1" applyAlignment="1">
      <alignment vertical="top"/>
    </xf>
    <xf numFmtId="0" fontId="25" fillId="0" borderId="114" xfId="3" applyFont="1" applyBorder="1" applyAlignment="1">
      <alignment vertical="top"/>
    </xf>
    <xf numFmtId="0" fontId="25" fillId="0" borderId="115" xfId="3" applyFont="1" applyBorder="1" applyAlignment="1">
      <alignment vertical="top"/>
    </xf>
    <xf numFmtId="0" fontId="25" fillId="0" borderId="116" xfId="3" applyFont="1" applyBorder="1" applyAlignment="1">
      <alignment vertical="top"/>
    </xf>
    <xf numFmtId="0" fontId="5" fillId="0" borderId="0" xfId="3" applyFont="1" applyAlignment="1">
      <alignment vertical="center"/>
    </xf>
    <xf numFmtId="0" fontId="5" fillId="0" borderId="45" xfId="3" applyFont="1" applyBorder="1" applyAlignment="1">
      <alignment horizontal="left" vertical="center"/>
    </xf>
    <xf numFmtId="0" fontId="5" fillId="0" borderId="35" xfId="3" applyFont="1" applyBorder="1" applyAlignment="1">
      <alignment horizontal="left" vertical="center"/>
    </xf>
    <xf numFmtId="0" fontId="5" fillId="0" borderId="39" xfId="3" applyFont="1" applyBorder="1" applyAlignment="1">
      <alignment horizontal="left" vertical="center"/>
    </xf>
    <xf numFmtId="0" fontId="4" fillId="4" borderId="35" xfId="3" applyFont="1" applyFill="1" applyBorder="1" applyAlignment="1">
      <alignment vertical="center"/>
    </xf>
    <xf numFmtId="0" fontId="4" fillId="4" borderId="39" xfId="3" applyFont="1" applyFill="1" applyBorder="1" applyAlignment="1">
      <alignment vertical="center"/>
    </xf>
    <xf numFmtId="0" fontId="5" fillId="0" borderId="0" xfId="3" applyFont="1" applyAlignment="1">
      <alignment horizontal="right" vertical="center"/>
    </xf>
    <xf numFmtId="0" fontId="5" fillId="0" borderId="11" xfId="3" applyFont="1" applyBorder="1" applyAlignment="1">
      <alignment vertical="center"/>
    </xf>
    <xf numFmtId="0" fontId="5" fillId="0" borderId="25" xfId="3" applyFont="1" applyBorder="1" applyAlignment="1">
      <alignment vertical="center"/>
    </xf>
    <xf numFmtId="0" fontId="5" fillId="0" borderId="36" xfId="3" applyFont="1" applyBorder="1" applyAlignment="1">
      <alignment horizontal="left" vertical="center"/>
    </xf>
    <xf numFmtId="0" fontId="5" fillId="0" borderId="27" xfId="3" applyFont="1" applyBorder="1" applyAlignment="1">
      <alignment horizontal="left" vertical="center"/>
    </xf>
    <xf numFmtId="0" fontId="5" fillId="0" borderId="38" xfId="3" applyFont="1" applyBorder="1" applyAlignment="1">
      <alignment horizontal="left" vertical="center"/>
    </xf>
    <xf numFmtId="0" fontId="4" fillId="4" borderId="27" xfId="3" applyFont="1" applyFill="1" applyBorder="1" applyAlignment="1">
      <alignment vertical="center"/>
    </xf>
    <xf numFmtId="0" fontId="4" fillId="4" borderId="38" xfId="3" applyFont="1" applyFill="1" applyBorder="1" applyAlignment="1">
      <alignment vertical="center"/>
    </xf>
    <xf numFmtId="0" fontId="5" fillId="0" borderId="42" xfId="3" applyFont="1" applyBorder="1" applyAlignment="1">
      <alignment horizontal="left" vertical="center"/>
    </xf>
    <xf numFmtId="0" fontId="5" fillId="0" borderId="41" xfId="3" applyFont="1" applyBorder="1" applyAlignment="1">
      <alignment horizontal="left" vertical="center"/>
    </xf>
    <xf numFmtId="0" fontId="5" fillId="0" borderId="40" xfId="3" applyFont="1" applyBorder="1" applyAlignment="1">
      <alignment horizontal="left" vertical="center"/>
    </xf>
    <xf numFmtId="0" fontId="4" fillId="4" borderId="41" xfId="3" applyFont="1" applyFill="1" applyBorder="1" applyAlignment="1">
      <alignment vertical="center"/>
    </xf>
    <xf numFmtId="0" fontId="4" fillId="4" borderId="40" xfId="3" applyFont="1" applyFill="1" applyBorder="1" applyAlignment="1">
      <alignment vertical="center"/>
    </xf>
    <xf numFmtId="0" fontId="5" fillId="0" borderId="3" xfId="0" applyFont="1" applyBorder="1" applyAlignment="1">
      <alignment vertical="center"/>
    </xf>
    <xf numFmtId="0" fontId="5" fillId="0" borderId="4" xfId="0" applyFont="1" applyBorder="1" applyAlignment="1">
      <alignment vertical="center"/>
    </xf>
    <xf numFmtId="0" fontId="5" fillId="0" borderId="32" xfId="0" applyFont="1" applyBorder="1" applyAlignment="1">
      <alignment vertical="center"/>
    </xf>
    <xf numFmtId="0" fontId="6" fillId="0" borderId="0" xfId="0" applyFont="1" applyAlignment="1">
      <alignment vertical="center"/>
    </xf>
    <xf numFmtId="0" fontId="5" fillId="0" borderId="6" xfId="0" applyFont="1" applyBorder="1" applyAlignment="1">
      <alignment vertical="center"/>
    </xf>
    <xf numFmtId="0" fontId="23" fillId="0" borderId="13" xfId="0" applyFont="1" applyBorder="1" applyAlignment="1">
      <alignment vertical="center"/>
    </xf>
    <xf numFmtId="0" fontId="27" fillId="0" borderId="0" xfId="0" applyFont="1" applyAlignment="1">
      <alignment vertical="center"/>
    </xf>
    <xf numFmtId="0" fontId="28" fillId="0" borderId="0" xfId="0" applyFont="1" applyAlignment="1">
      <alignment vertical="center"/>
    </xf>
    <xf numFmtId="0" fontId="5" fillId="0" borderId="29" xfId="0" applyFont="1" applyBorder="1" applyAlignment="1">
      <alignment horizontal="left" vertical="center" wrapText="1"/>
    </xf>
    <xf numFmtId="0" fontId="5" fillId="0" borderId="13" xfId="0" applyFont="1" applyBorder="1" applyAlignment="1">
      <alignment horizontal="left" vertical="center" wrapText="1"/>
    </xf>
    <xf numFmtId="0" fontId="5" fillId="0" borderId="28" xfId="0" applyFont="1" applyBorder="1" applyAlignment="1">
      <alignment horizontal="left" vertical="center" wrapText="1"/>
    </xf>
    <xf numFmtId="0" fontId="5" fillId="0" borderId="5" xfId="0" applyFont="1" applyBorder="1" applyAlignment="1">
      <alignment horizontal="left" vertical="center" wrapText="1"/>
    </xf>
    <xf numFmtId="49" fontId="5" fillId="0" borderId="28" xfId="0" applyNumberFormat="1" applyFont="1" applyBorder="1" applyAlignment="1">
      <alignment vertical="center"/>
    </xf>
    <xf numFmtId="49" fontId="5" fillId="0" borderId="44" xfId="0" applyNumberFormat="1" applyFont="1" applyBorder="1" applyAlignment="1">
      <alignment vertical="center"/>
    </xf>
    <xf numFmtId="49" fontId="5" fillId="0" borderId="12" xfId="0" applyNumberFormat="1" applyFont="1" applyBorder="1" applyAlignment="1">
      <alignment vertical="center"/>
    </xf>
    <xf numFmtId="49" fontId="5" fillId="0" borderId="32" xfId="0" applyNumberFormat="1" applyFont="1" applyBorder="1" applyAlignment="1">
      <alignment vertical="center"/>
    </xf>
    <xf numFmtId="49" fontId="5" fillId="0" borderId="13" xfId="0" applyNumberFormat="1" applyFont="1" applyBorder="1" applyAlignment="1">
      <alignment vertical="center"/>
    </xf>
    <xf numFmtId="49" fontId="5" fillId="0" borderId="7" xfId="0" applyNumberFormat="1" applyFont="1" applyBorder="1" applyAlignment="1">
      <alignment vertical="center"/>
    </xf>
    <xf numFmtId="49" fontId="5" fillId="0" borderId="15" xfId="0" applyNumberFormat="1" applyFont="1" applyBorder="1" applyAlignment="1">
      <alignment vertical="center"/>
    </xf>
    <xf numFmtId="0" fontId="5" fillId="0" borderId="6" xfId="0" applyFont="1" applyBorder="1" applyAlignment="1">
      <alignment horizontal="left" vertical="center"/>
    </xf>
    <xf numFmtId="0" fontId="5" fillId="7" borderId="3" xfId="0" applyFont="1" applyFill="1" applyBorder="1" applyAlignment="1">
      <alignment vertical="center"/>
    </xf>
    <xf numFmtId="0" fontId="5" fillId="7" borderId="27" xfId="0" applyFont="1" applyFill="1" applyBorder="1" applyAlignment="1">
      <alignment vertical="center"/>
    </xf>
    <xf numFmtId="0" fontId="5" fillId="7" borderId="4" xfId="0" applyFont="1" applyFill="1" applyBorder="1" applyAlignment="1">
      <alignment vertical="center"/>
    </xf>
    <xf numFmtId="0" fontId="5" fillId="7" borderId="6" xfId="0" applyFont="1" applyFill="1" applyBorder="1" applyAlignment="1">
      <alignment vertical="center"/>
    </xf>
    <xf numFmtId="0" fontId="5" fillId="7" borderId="28" xfId="0" applyFont="1" applyFill="1" applyBorder="1" applyAlignment="1">
      <alignment vertical="center"/>
    </xf>
    <xf numFmtId="0" fontId="5" fillId="7" borderId="5" xfId="0" applyFont="1" applyFill="1" applyBorder="1" applyAlignment="1">
      <alignment vertical="center"/>
    </xf>
    <xf numFmtId="0" fontId="5" fillId="30" borderId="28" xfId="0" applyFont="1" applyFill="1" applyBorder="1" applyAlignment="1">
      <alignment vertical="center"/>
    </xf>
    <xf numFmtId="0" fontId="5" fillId="30" borderId="5" xfId="0" applyFont="1" applyFill="1" applyBorder="1" applyAlignment="1">
      <alignment vertical="center"/>
    </xf>
    <xf numFmtId="0" fontId="5" fillId="0" borderId="6" xfId="0" applyFont="1" applyBorder="1" applyAlignment="1">
      <alignment vertical="top"/>
    </xf>
    <xf numFmtId="0" fontId="5" fillId="0" borderId="28" xfId="0" applyFont="1" applyBorder="1" applyAlignment="1">
      <alignment vertical="top"/>
    </xf>
    <xf numFmtId="0" fontId="5" fillId="0" borderId="5" xfId="0" applyFont="1" applyBorder="1" applyAlignment="1">
      <alignment vertical="top"/>
    </xf>
    <xf numFmtId="0" fontId="5" fillId="0" borderId="29" xfId="0" applyFont="1" applyBorder="1" applyAlignment="1">
      <alignment vertical="top"/>
    </xf>
    <xf numFmtId="0" fontId="5" fillId="0" borderId="0" xfId="0" applyFont="1" applyAlignment="1">
      <alignment vertical="top"/>
    </xf>
    <xf numFmtId="0" fontId="5" fillId="0" borderId="13" xfId="0" applyFont="1" applyBorder="1" applyAlignment="1">
      <alignment vertical="top"/>
    </xf>
    <xf numFmtId="0" fontId="5" fillId="2" borderId="0" xfId="0" applyFont="1" applyFill="1" applyAlignment="1">
      <alignment vertical="center"/>
    </xf>
    <xf numFmtId="0" fontId="5" fillId="2" borderId="13" xfId="0" applyFont="1" applyFill="1" applyBorder="1" applyAlignment="1">
      <alignment vertical="center"/>
    </xf>
    <xf numFmtId="0" fontId="5" fillId="30" borderId="6" xfId="0" applyFont="1" applyFill="1" applyBorder="1" applyAlignment="1">
      <alignment vertical="center"/>
    </xf>
    <xf numFmtId="0" fontId="48" fillId="0" borderId="0" xfId="0" applyFont="1" applyAlignment="1">
      <alignment vertical="center"/>
    </xf>
    <xf numFmtId="0" fontId="23" fillId="0" borderId="0" xfId="0" quotePrefix="1" applyFont="1" applyAlignment="1">
      <alignment vertical="center"/>
    </xf>
    <xf numFmtId="49" fontId="5" fillId="0" borderId="28" xfId="0" quotePrefix="1" applyNumberFormat="1" applyFont="1" applyBorder="1" applyAlignment="1">
      <alignment vertical="center"/>
    </xf>
    <xf numFmtId="0" fontId="50" fillId="0" borderId="0" xfId="0" applyFont="1" applyAlignment="1">
      <alignment vertical="center"/>
    </xf>
    <xf numFmtId="14" fontId="12" fillId="0" borderId="0" xfId="0" applyNumberFormat="1" applyFont="1" applyAlignment="1">
      <alignment horizontal="center" vertical="center"/>
    </xf>
    <xf numFmtId="0" fontId="10" fillId="0" borderId="0" xfId="0" applyFont="1" applyAlignment="1">
      <alignment horizontal="center" vertical="center"/>
    </xf>
    <xf numFmtId="0" fontId="10" fillId="0" borderId="50" xfId="0" applyFont="1" applyBorder="1" applyAlignment="1">
      <alignment horizontal="center" vertical="center"/>
    </xf>
    <xf numFmtId="0" fontId="11" fillId="0" borderId="6" xfId="0" applyFont="1" applyBorder="1" applyAlignment="1">
      <alignment horizontal="center" vertical="center" wrapText="1"/>
    </xf>
    <xf numFmtId="0" fontId="11" fillId="0" borderId="28" xfId="0" applyFont="1" applyBorder="1" applyAlignment="1">
      <alignment horizontal="center" vertical="center"/>
    </xf>
    <xf numFmtId="0" fontId="11" fillId="0" borderId="5" xfId="0" applyFont="1" applyBorder="1" applyAlignment="1">
      <alignment horizontal="center" vertical="center"/>
    </xf>
    <xf numFmtId="0" fontId="11" fillId="0" borderId="29" xfId="0" applyFont="1" applyBorder="1" applyAlignment="1">
      <alignment horizontal="center" vertical="center"/>
    </xf>
    <xf numFmtId="0" fontId="11" fillId="0" borderId="0" xfId="0" applyFont="1" applyAlignment="1">
      <alignment horizontal="center" vertical="center"/>
    </xf>
    <xf numFmtId="0" fontId="11" fillId="0" borderId="13" xfId="0" applyFont="1" applyBorder="1" applyAlignment="1">
      <alignment horizontal="center" vertical="center"/>
    </xf>
    <xf numFmtId="0" fontId="10" fillId="0" borderId="29" xfId="0" applyFont="1" applyBorder="1" applyAlignment="1">
      <alignment horizontal="center" vertical="center"/>
    </xf>
    <xf numFmtId="0" fontId="10" fillId="0" borderId="13" xfId="0" applyFont="1" applyBorder="1" applyAlignment="1">
      <alignment horizontal="center" vertical="center"/>
    </xf>
    <xf numFmtId="0" fontId="10" fillId="0" borderId="8" xfId="0" applyFont="1" applyBorder="1" applyAlignment="1">
      <alignment horizontal="center" vertical="center"/>
    </xf>
    <xf numFmtId="0" fontId="10" fillId="0" borderId="14" xfId="0" applyFont="1" applyBorder="1" applyAlignment="1">
      <alignment horizontal="center" vertical="center"/>
    </xf>
    <xf numFmtId="0" fontId="10" fillId="0" borderId="7" xfId="0" applyFont="1" applyBorder="1" applyAlignment="1">
      <alignment horizontal="center" vertical="center"/>
    </xf>
    <xf numFmtId="0" fontId="12" fillId="0" borderId="0" xfId="0" applyFont="1" applyAlignment="1">
      <alignment horizontal="center" vertical="center"/>
    </xf>
    <xf numFmtId="0" fontId="7" fillId="0" borderId="6" xfId="0" applyFont="1" applyBorder="1" applyAlignment="1">
      <alignment horizontal="center" vertical="center" wrapText="1"/>
    </xf>
    <xf numFmtId="0" fontId="7" fillId="0" borderId="28" xfId="0" applyFont="1" applyBorder="1" applyAlignment="1">
      <alignment horizontal="center" vertical="center"/>
    </xf>
    <xf numFmtId="0" fontId="7" fillId="0" borderId="5" xfId="0" applyFont="1" applyBorder="1" applyAlignment="1">
      <alignment horizontal="center" vertical="center"/>
    </xf>
    <xf numFmtId="0" fontId="7" fillId="0" borderId="29" xfId="0" applyFont="1" applyBorder="1" applyAlignment="1">
      <alignment horizontal="center" vertical="center"/>
    </xf>
    <xf numFmtId="0" fontId="7" fillId="0" borderId="0" xfId="0" applyFont="1" applyAlignment="1">
      <alignment horizontal="center" vertical="center"/>
    </xf>
    <xf numFmtId="0" fontId="7" fillId="0" borderId="13" xfId="0" applyFont="1" applyBorder="1" applyAlignment="1">
      <alignment horizontal="center" vertical="center"/>
    </xf>
    <xf numFmtId="0" fontId="7" fillId="0" borderId="8" xfId="0" applyFont="1" applyBorder="1" applyAlignment="1">
      <alignment horizontal="center" vertical="center"/>
    </xf>
    <xf numFmtId="0" fontId="7" fillId="0" borderId="14" xfId="0" applyFont="1" applyBorder="1" applyAlignment="1">
      <alignment horizontal="center" vertical="center"/>
    </xf>
    <xf numFmtId="0" fontId="7" fillId="0" borderId="7" xfId="0" applyFont="1" applyBorder="1" applyAlignment="1">
      <alignment horizontal="center" vertical="center"/>
    </xf>
    <xf numFmtId="0" fontId="7" fillId="4" borderId="14" xfId="0" applyFont="1" applyFill="1" applyBorder="1" applyAlignment="1">
      <alignment horizontal="center" vertical="center"/>
    </xf>
    <xf numFmtId="14" fontId="7" fillId="0" borderId="3" xfId="0" applyNumberFormat="1" applyFont="1" applyBorder="1" applyAlignment="1">
      <alignment horizontal="center" vertical="center"/>
    </xf>
    <xf numFmtId="14" fontId="7" fillId="0" borderId="27" xfId="0" applyNumberFormat="1" applyFont="1" applyBorder="1" applyAlignment="1">
      <alignment horizontal="center" vertical="center"/>
    </xf>
    <xf numFmtId="0" fontId="7" fillId="0" borderId="14" xfId="0" applyFont="1" applyBorder="1" applyAlignment="1">
      <alignment horizontal="center" vertical="center" wrapText="1"/>
    </xf>
    <xf numFmtId="14" fontId="7" fillId="0" borderId="4" xfId="0" applyNumberFormat="1" applyFont="1" applyBorder="1" applyAlignment="1">
      <alignment horizontal="center" vertical="center"/>
    </xf>
    <xf numFmtId="14" fontId="20" fillId="4" borderId="75" xfId="1" applyNumberFormat="1" applyFont="1" applyFill="1" applyBorder="1" applyAlignment="1">
      <alignment horizontal="left" vertical="center"/>
    </xf>
    <xf numFmtId="14" fontId="20" fillId="4" borderId="71" xfId="1" applyNumberFormat="1" applyFont="1" applyFill="1" applyBorder="1" applyAlignment="1">
      <alignment horizontal="left" vertical="center"/>
    </xf>
    <xf numFmtId="14" fontId="20" fillId="4" borderId="72" xfId="1" applyNumberFormat="1" applyFont="1" applyFill="1" applyBorder="1" applyAlignment="1">
      <alignment horizontal="left" vertical="center"/>
    </xf>
    <xf numFmtId="0" fontId="20" fillId="4" borderId="75" xfId="1" applyFont="1" applyFill="1" applyBorder="1" applyAlignment="1">
      <alignment horizontal="left" vertical="center"/>
    </xf>
    <xf numFmtId="0" fontId="20" fillId="4" borderId="71" xfId="1" applyFont="1" applyFill="1" applyBorder="1" applyAlignment="1">
      <alignment horizontal="left" vertical="center"/>
    </xf>
    <xf numFmtId="0" fontId="20" fillId="4" borderId="82" xfId="1" applyFont="1" applyFill="1" applyBorder="1" applyAlignment="1">
      <alignment horizontal="left" vertical="center"/>
    </xf>
    <xf numFmtId="0" fontId="20" fillId="4" borderId="73" xfId="1" applyFont="1" applyFill="1" applyBorder="1" applyAlignment="1">
      <alignment vertical="center" wrapText="1"/>
    </xf>
    <xf numFmtId="0" fontId="20" fillId="4" borderId="73" xfId="1" applyFont="1" applyFill="1" applyBorder="1">
      <alignment vertical="center"/>
    </xf>
    <xf numFmtId="0" fontId="20" fillId="4" borderId="75" xfId="1" applyFont="1" applyFill="1" applyBorder="1" applyAlignment="1">
      <alignment horizontal="center" vertical="center" wrapText="1"/>
    </xf>
    <xf numFmtId="0" fontId="20" fillId="4" borderId="71" xfId="1" applyFont="1" applyFill="1" applyBorder="1" applyAlignment="1">
      <alignment horizontal="center" vertical="center" wrapText="1"/>
    </xf>
    <xf numFmtId="0" fontId="20" fillId="4" borderId="82" xfId="1" applyFont="1" applyFill="1" applyBorder="1" applyAlignment="1">
      <alignment horizontal="center" vertical="center" wrapText="1"/>
    </xf>
    <xf numFmtId="49" fontId="20" fillId="4" borderId="74" xfId="1" applyNumberFormat="1" applyFont="1" applyFill="1" applyBorder="1" applyAlignment="1">
      <alignment horizontal="center" vertical="center"/>
    </xf>
    <xf numFmtId="49" fontId="20" fillId="4" borderId="71" xfId="1" applyNumberFormat="1" applyFont="1" applyFill="1" applyBorder="1" applyAlignment="1">
      <alignment horizontal="center" vertical="center"/>
    </xf>
    <xf numFmtId="49" fontId="20" fillId="4" borderId="82" xfId="1" applyNumberFormat="1" applyFont="1" applyFill="1" applyBorder="1" applyAlignment="1">
      <alignment horizontal="center" vertical="center"/>
    </xf>
    <xf numFmtId="14" fontId="20" fillId="4" borderId="65" xfId="1" applyNumberFormat="1" applyFont="1" applyFill="1" applyBorder="1" applyAlignment="1">
      <alignment horizontal="left" vertical="center"/>
    </xf>
    <xf numFmtId="14" fontId="20" fillId="4" borderId="66" xfId="1" applyNumberFormat="1" applyFont="1" applyFill="1" applyBorder="1" applyAlignment="1">
      <alignment horizontal="left" vertical="center"/>
    </xf>
    <xf numFmtId="14" fontId="20" fillId="4" borderId="76" xfId="1" applyNumberFormat="1" applyFont="1" applyFill="1" applyBorder="1" applyAlignment="1">
      <alignment horizontal="left" vertical="center"/>
    </xf>
    <xf numFmtId="0" fontId="20" fillId="4" borderId="65" xfId="1" applyFont="1" applyFill="1" applyBorder="1" applyAlignment="1">
      <alignment horizontal="left" vertical="center"/>
    </xf>
    <xf numFmtId="0" fontId="20" fillId="4" borderId="66" xfId="1" applyFont="1" applyFill="1" applyBorder="1" applyAlignment="1">
      <alignment horizontal="left" vertical="center"/>
    </xf>
    <xf numFmtId="0" fontId="20" fillId="4" borderId="67" xfId="1" applyFont="1" applyFill="1" applyBorder="1" applyAlignment="1">
      <alignment horizontal="left" vertical="center"/>
    </xf>
    <xf numFmtId="0" fontId="20" fillId="4" borderId="77" xfId="1" applyFont="1" applyFill="1" applyBorder="1">
      <alignment vertical="center"/>
    </xf>
    <xf numFmtId="0" fontId="20" fillId="4" borderId="65" xfId="1" applyFont="1" applyFill="1" applyBorder="1" applyAlignment="1">
      <alignment horizontal="center" vertical="center" wrapText="1"/>
    </xf>
    <xf numFmtId="0" fontId="20" fillId="4" borderId="66" xfId="1" applyFont="1" applyFill="1" applyBorder="1" applyAlignment="1">
      <alignment horizontal="center" vertical="center" wrapText="1"/>
    </xf>
    <xf numFmtId="0" fontId="20" fillId="4" borderId="67" xfId="1" applyFont="1" applyFill="1" applyBorder="1" applyAlignment="1">
      <alignment horizontal="center" vertical="center" wrapText="1"/>
    </xf>
    <xf numFmtId="49" fontId="20" fillId="4" borderId="83" xfId="1" applyNumberFormat="1" applyFont="1" applyFill="1" applyBorder="1" applyAlignment="1">
      <alignment horizontal="center" vertical="center"/>
    </xf>
    <xf numFmtId="49" fontId="20" fillId="4" borderId="66" xfId="1" applyNumberFormat="1" applyFont="1" applyFill="1" applyBorder="1" applyAlignment="1">
      <alignment horizontal="center" vertical="center"/>
    </xf>
    <xf numFmtId="49" fontId="20" fillId="4" borderId="67" xfId="1" applyNumberFormat="1" applyFont="1" applyFill="1" applyBorder="1" applyAlignment="1">
      <alignment horizontal="center" vertical="center"/>
    </xf>
    <xf numFmtId="0" fontId="21" fillId="4" borderId="73" xfId="1" applyFont="1" applyFill="1" applyBorder="1" applyAlignment="1">
      <alignment vertical="center" wrapText="1"/>
    </xf>
    <xf numFmtId="0" fontId="21" fillId="4" borderId="73" xfId="1" applyFont="1" applyFill="1" applyBorder="1">
      <alignment vertical="center"/>
    </xf>
    <xf numFmtId="14" fontId="20" fillId="4" borderId="84" xfId="1" applyNumberFormat="1" applyFont="1" applyFill="1" applyBorder="1" applyAlignment="1">
      <alignment horizontal="left" vertical="center"/>
    </xf>
    <xf numFmtId="14" fontId="20" fillId="4" borderId="85" xfId="1" applyNumberFormat="1" applyFont="1" applyFill="1" applyBorder="1" applyAlignment="1">
      <alignment horizontal="left" vertical="center"/>
    </xf>
    <xf numFmtId="14" fontId="20" fillId="4" borderId="86" xfId="1" applyNumberFormat="1" applyFont="1" applyFill="1" applyBorder="1" applyAlignment="1">
      <alignment horizontal="left" vertical="center"/>
    </xf>
    <xf numFmtId="0" fontId="20" fillId="4" borderId="84" xfId="1" applyFont="1" applyFill="1" applyBorder="1" applyAlignment="1">
      <alignment horizontal="left" vertical="center"/>
    </xf>
    <xf numFmtId="0" fontId="20" fillId="4" borderId="87" xfId="1" applyFont="1" applyFill="1" applyBorder="1" applyAlignment="1">
      <alignment horizontal="left" vertical="center"/>
    </xf>
    <xf numFmtId="0" fontId="20" fillId="4" borderId="88" xfId="1" applyFont="1" applyFill="1" applyBorder="1" applyAlignment="1">
      <alignment horizontal="left" vertical="center"/>
    </xf>
    <xf numFmtId="0" fontId="20" fillId="4" borderId="87" xfId="1" applyFont="1" applyFill="1" applyBorder="1">
      <alignment vertical="center"/>
    </xf>
    <xf numFmtId="0" fontId="20" fillId="4" borderId="84" xfId="1" applyFont="1" applyFill="1" applyBorder="1" applyAlignment="1">
      <alignment horizontal="center" vertical="center" wrapText="1"/>
    </xf>
    <xf numFmtId="0" fontId="20" fillId="4" borderId="85" xfId="1" applyFont="1" applyFill="1" applyBorder="1" applyAlignment="1">
      <alignment horizontal="center" vertical="center" wrapText="1"/>
    </xf>
    <xf numFmtId="0" fontId="20" fillId="4" borderId="89" xfId="1" applyFont="1" applyFill="1" applyBorder="1" applyAlignment="1">
      <alignment horizontal="center" vertical="center" wrapText="1"/>
    </xf>
    <xf numFmtId="49" fontId="20" fillId="4" borderId="90" xfId="1" applyNumberFormat="1" applyFont="1" applyFill="1" applyBorder="1" applyAlignment="1">
      <alignment horizontal="center" vertical="center"/>
    </xf>
    <xf numFmtId="49" fontId="20" fillId="4" borderId="85" xfId="1" applyNumberFormat="1" applyFont="1" applyFill="1" applyBorder="1" applyAlignment="1">
      <alignment horizontal="center" vertical="center"/>
    </xf>
    <xf numFmtId="49" fontId="20" fillId="4" borderId="89" xfId="1" applyNumberFormat="1" applyFont="1" applyFill="1" applyBorder="1" applyAlignment="1">
      <alignment horizontal="center" vertical="center"/>
    </xf>
    <xf numFmtId="0" fontId="20" fillId="4" borderId="75" xfId="1" applyFont="1" applyFill="1" applyBorder="1" applyAlignment="1">
      <alignment horizontal="left" vertical="center" wrapText="1"/>
    </xf>
    <xf numFmtId="0" fontId="4" fillId="4" borderId="68" xfId="1" applyFont="1" applyFill="1" applyBorder="1" applyAlignment="1">
      <alignment horizontal="center" vertical="center"/>
    </xf>
    <xf numFmtId="0" fontId="4" fillId="4" borderId="95" xfId="1" applyFont="1" applyFill="1" applyBorder="1" applyAlignment="1">
      <alignment horizontal="center" vertical="center"/>
    </xf>
    <xf numFmtId="0" fontId="4" fillId="4" borderId="69" xfId="1" applyFont="1" applyFill="1" applyBorder="1" applyAlignment="1">
      <alignment horizontal="center" vertical="center"/>
    </xf>
    <xf numFmtId="0" fontId="4" fillId="4" borderId="70" xfId="1" applyFont="1" applyFill="1" applyBorder="1" applyAlignment="1">
      <alignment horizontal="center" vertical="center"/>
    </xf>
    <xf numFmtId="0" fontId="8" fillId="3" borderId="56" xfId="1" applyFont="1" applyFill="1" applyBorder="1" applyAlignment="1">
      <alignment horizontal="center" vertical="center"/>
    </xf>
    <xf numFmtId="0" fontId="8" fillId="3" borderId="57" xfId="1" applyFont="1" applyFill="1" applyBorder="1" applyAlignment="1">
      <alignment horizontal="center" vertical="center"/>
    </xf>
    <xf numFmtId="0" fontId="8" fillId="3" borderId="91" xfId="1" applyFont="1" applyFill="1" applyBorder="1" applyAlignment="1">
      <alignment horizontal="center" vertical="center"/>
    </xf>
    <xf numFmtId="0" fontId="8" fillId="3" borderId="19" xfId="1" applyFont="1" applyFill="1" applyBorder="1" applyAlignment="1">
      <alignment horizontal="center" vertical="center"/>
    </xf>
    <xf numFmtId="0" fontId="8" fillId="3" borderId="16" xfId="1" applyFont="1" applyFill="1" applyBorder="1" applyAlignment="1">
      <alignment horizontal="center" vertical="center"/>
    </xf>
    <xf numFmtId="0" fontId="8" fillId="3" borderId="20" xfId="1" applyFont="1" applyFill="1" applyBorder="1" applyAlignment="1">
      <alignment horizontal="center" vertical="center"/>
    </xf>
    <xf numFmtId="0" fontId="8" fillId="3" borderId="58" xfId="1" applyFont="1" applyFill="1" applyBorder="1" applyAlignment="1">
      <alignment horizontal="center" vertical="center"/>
    </xf>
    <xf numFmtId="0" fontId="8" fillId="3" borderId="92" xfId="1" applyFont="1" applyFill="1" applyBorder="1" applyAlignment="1">
      <alignment horizontal="center" vertical="center"/>
    </xf>
    <xf numFmtId="0" fontId="13" fillId="3" borderId="56" xfId="1" applyFont="1" applyFill="1" applyBorder="1" applyAlignment="1">
      <alignment horizontal="center" vertical="center"/>
    </xf>
    <xf numFmtId="0" fontId="13" fillId="3" borderId="92" xfId="1" applyFont="1" applyFill="1" applyBorder="1" applyAlignment="1">
      <alignment horizontal="center" vertical="center"/>
    </xf>
    <xf numFmtId="0" fontId="13" fillId="3" borderId="57" xfId="1" applyFont="1" applyFill="1" applyBorder="1" applyAlignment="1">
      <alignment horizontal="center" vertical="center"/>
    </xf>
    <xf numFmtId="0" fontId="13" fillId="3" borderId="58" xfId="1" applyFont="1" applyFill="1" applyBorder="1" applyAlignment="1">
      <alignment horizontal="center" vertical="center"/>
    </xf>
    <xf numFmtId="0" fontId="4" fillId="0" borderId="21" xfId="0" applyFont="1" applyBorder="1" applyAlignment="1">
      <alignment horizontal="center" vertical="center" wrapText="1"/>
    </xf>
    <xf numFmtId="0" fontId="4" fillId="0" borderId="12" xfId="0" applyFont="1" applyBorder="1" applyAlignment="1">
      <alignment horizontal="center" vertical="center" wrapText="1"/>
    </xf>
    <xf numFmtId="0" fontId="4" fillId="0" borderId="22" xfId="0" applyFont="1" applyBorder="1" applyAlignment="1">
      <alignment horizontal="center" vertical="center" wrapText="1"/>
    </xf>
    <xf numFmtId="0" fontId="4" fillId="0" borderId="25" xfId="0" applyFont="1" applyBorder="1" applyAlignment="1">
      <alignment horizontal="center" vertical="center" wrapText="1"/>
    </xf>
    <xf numFmtId="0" fontId="4" fillId="0" borderId="11" xfId="0" applyFont="1" applyBorder="1" applyAlignment="1">
      <alignment horizontal="center" vertical="center" wrapText="1"/>
    </xf>
    <xf numFmtId="0" fontId="4" fillId="0" borderId="26" xfId="0" applyFont="1" applyBorder="1" applyAlignment="1">
      <alignment horizontal="center" vertical="center" wrapText="1"/>
    </xf>
    <xf numFmtId="0" fontId="4" fillId="0" borderId="21" xfId="0" quotePrefix="1" applyFont="1" applyBorder="1" applyAlignment="1">
      <alignment horizontal="center" vertical="center" wrapText="1"/>
    </xf>
    <xf numFmtId="0" fontId="4" fillId="0" borderId="12" xfId="0" quotePrefix="1" applyFont="1" applyBorder="1" applyAlignment="1">
      <alignment horizontal="center" vertical="center" wrapText="1"/>
    </xf>
    <xf numFmtId="0" fontId="4" fillId="0" borderId="22" xfId="0" quotePrefix="1" applyFont="1" applyBorder="1" applyAlignment="1">
      <alignment horizontal="center" vertical="center" wrapText="1"/>
    </xf>
    <xf numFmtId="0" fontId="4" fillId="0" borderId="25" xfId="0" quotePrefix="1" applyFont="1" applyBorder="1" applyAlignment="1">
      <alignment horizontal="center" vertical="center" wrapText="1"/>
    </xf>
    <xf numFmtId="0" fontId="4" fillId="0" borderId="11" xfId="0" quotePrefix="1" applyFont="1" applyBorder="1" applyAlignment="1">
      <alignment horizontal="center" vertical="center" wrapText="1"/>
    </xf>
    <xf numFmtId="0" fontId="4" fillId="0" borderId="26" xfId="0" quotePrefix="1" applyFont="1" applyBorder="1" applyAlignment="1">
      <alignment horizontal="center" vertical="center" wrapText="1"/>
    </xf>
    <xf numFmtId="0" fontId="18" fillId="4" borderId="59" xfId="1" applyFont="1" applyFill="1" applyBorder="1" applyAlignment="1">
      <alignment horizontal="center" vertical="center"/>
    </xf>
    <xf numFmtId="0" fontId="18" fillId="4" borderId="60" xfId="1" applyFont="1" applyFill="1" applyBorder="1" applyAlignment="1">
      <alignment horizontal="center" vertical="center"/>
    </xf>
    <xf numFmtId="176" fontId="4" fillId="4" borderId="60" xfId="1" applyNumberFormat="1" applyFont="1" applyFill="1" applyBorder="1" applyAlignment="1">
      <alignment horizontal="center" vertical="center"/>
    </xf>
    <xf numFmtId="176" fontId="4" fillId="4" borderId="61" xfId="1" applyNumberFormat="1" applyFont="1" applyFill="1" applyBorder="1" applyAlignment="1">
      <alignment horizontal="center" vertical="center"/>
    </xf>
    <xf numFmtId="0" fontId="4" fillId="4" borderId="62" xfId="1" applyFont="1" applyFill="1" applyBorder="1" applyAlignment="1">
      <alignment horizontal="center" vertical="center"/>
    </xf>
    <xf numFmtId="0" fontId="4" fillId="4" borderId="94" xfId="1" applyFont="1" applyFill="1" applyBorder="1" applyAlignment="1">
      <alignment horizontal="center" vertical="center"/>
    </xf>
    <xf numFmtId="0" fontId="4" fillId="4" borderId="63" xfId="1" applyFont="1" applyFill="1" applyBorder="1" applyAlignment="1">
      <alignment horizontal="center" vertical="center"/>
    </xf>
    <xf numFmtId="0" fontId="4" fillId="4" borderId="64" xfId="1" applyFont="1" applyFill="1" applyBorder="1" applyAlignment="1">
      <alignment horizontal="center" vertical="center"/>
    </xf>
    <xf numFmtId="0" fontId="18" fillId="4" borderId="65" xfId="1" applyFont="1" applyFill="1" applyBorder="1" applyAlignment="1">
      <alignment horizontal="center" vertical="center"/>
    </xf>
    <xf numFmtId="0" fontId="18" fillId="4" borderId="66" xfId="1" applyFont="1" applyFill="1" applyBorder="1" applyAlignment="1">
      <alignment horizontal="center" vertical="center"/>
    </xf>
    <xf numFmtId="176" fontId="4" fillId="4" borderId="66" xfId="1" applyNumberFormat="1" applyFont="1" applyFill="1" applyBorder="1" applyAlignment="1">
      <alignment horizontal="center" vertical="center"/>
    </xf>
    <xf numFmtId="176" fontId="4" fillId="4" borderId="67" xfId="1" applyNumberFormat="1" applyFont="1" applyFill="1" applyBorder="1" applyAlignment="1">
      <alignment horizontal="center" vertical="center"/>
    </xf>
    <xf numFmtId="0" fontId="13" fillId="3" borderId="21" xfId="0" applyFont="1" applyFill="1" applyBorder="1" applyAlignment="1">
      <alignment horizontal="center" vertical="center" wrapText="1"/>
    </xf>
    <xf numFmtId="0" fontId="13" fillId="3" borderId="12" xfId="0" applyFont="1" applyFill="1" applyBorder="1" applyAlignment="1">
      <alignment horizontal="center" vertical="center" wrapText="1"/>
    </xf>
    <xf numFmtId="0" fontId="13" fillId="3" borderId="22" xfId="0" applyFont="1" applyFill="1" applyBorder="1" applyAlignment="1">
      <alignment horizontal="center" vertical="center" wrapText="1"/>
    </xf>
    <xf numFmtId="0" fontId="13" fillId="3" borderId="23" xfId="0" applyFont="1" applyFill="1" applyBorder="1" applyAlignment="1">
      <alignment horizontal="center" vertical="center" wrapText="1"/>
    </xf>
    <xf numFmtId="0" fontId="13" fillId="3" borderId="0" xfId="0" applyFont="1" applyFill="1" applyAlignment="1">
      <alignment horizontal="center" vertical="center" wrapText="1"/>
    </xf>
    <xf numFmtId="0" fontId="13" fillId="3" borderId="24" xfId="0" applyFont="1" applyFill="1" applyBorder="1" applyAlignment="1">
      <alignment horizontal="center" vertical="center" wrapText="1"/>
    </xf>
    <xf numFmtId="0" fontId="13" fillId="3" borderId="25" xfId="0" applyFont="1" applyFill="1" applyBorder="1" applyAlignment="1">
      <alignment horizontal="center" vertical="center" wrapText="1"/>
    </xf>
    <xf numFmtId="0" fontId="13" fillId="3" borderId="11" xfId="0" applyFont="1" applyFill="1" applyBorder="1" applyAlignment="1">
      <alignment horizontal="center" vertical="center" wrapText="1"/>
    </xf>
    <xf numFmtId="0" fontId="13" fillId="3" borderId="26" xfId="0" applyFont="1" applyFill="1" applyBorder="1" applyAlignment="1">
      <alignment horizontal="center" vertical="center" wrapText="1"/>
    </xf>
    <xf numFmtId="0" fontId="13" fillId="3" borderId="19" xfId="0" applyFont="1" applyFill="1" applyBorder="1" applyAlignment="1">
      <alignment horizontal="center" vertical="center"/>
    </xf>
    <xf numFmtId="0" fontId="13" fillId="3" borderId="16" xfId="0" applyFont="1" applyFill="1" applyBorder="1" applyAlignment="1">
      <alignment horizontal="center" vertical="center"/>
    </xf>
    <xf numFmtId="0" fontId="13" fillId="3" borderId="20" xfId="0" applyFont="1" applyFill="1" applyBorder="1" applyAlignment="1">
      <alignment horizontal="center" vertical="center"/>
    </xf>
    <xf numFmtId="0" fontId="13" fillId="3" borderId="21" xfId="0" applyFont="1" applyFill="1" applyBorder="1" applyAlignment="1">
      <alignment horizontal="center" vertical="center"/>
    </xf>
    <xf numFmtId="0" fontId="13" fillId="3" borderId="12" xfId="0" applyFont="1" applyFill="1" applyBorder="1" applyAlignment="1">
      <alignment horizontal="center" vertical="center"/>
    </xf>
    <xf numFmtId="0" fontId="13" fillId="3" borderId="22" xfId="0" applyFont="1" applyFill="1" applyBorder="1" applyAlignment="1">
      <alignment horizontal="center" vertical="center"/>
    </xf>
    <xf numFmtId="0" fontId="13" fillId="3" borderId="53" xfId="1" applyFont="1" applyFill="1" applyBorder="1" applyAlignment="1">
      <alignment horizontal="center" vertical="center"/>
    </xf>
    <xf numFmtId="0" fontId="13" fillId="3" borderId="54" xfId="1" applyFont="1" applyFill="1" applyBorder="1" applyAlignment="1">
      <alignment horizontal="center" vertical="center"/>
    </xf>
    <xf numFmtId="0" fontId="13" fillId="3" borderId="55" xfId="1" applyFont="1" applyFill="1" applyBorder="1" applyAlignment="1">
      <alignment horizontal="center" vertical="center"/>
    </xf>
    <xf numFmtId="0" fontId="5" fillId="0" borderId="12" xfId="0" applyFont="1" applyBorder="1" applyAlignment="1">
      <alignment horizontal="left" vertical="center"/>
    </xf>
    <xf numFmtId="0" fontId="4" fillId="4" borderId="79" xfId="1" applyFont="1" applyFill="1" applyBorder="1" applyAlignment="1">
      <alignment horizontal="center" vertical="center"/>
    </xf>
    <xf numFmtId="0" fontId="4" fillId="4" borderId="80" xfId="1" applyFont="1" applyFill="1" applyBorder="1" applyAlignment="1">
      <alignment horizontal="center" vertical="center"/>
    </xf>
    <xf numFmtId="0" fontId="4" fillId="4" borderId="81" xfId="1" applyFont="1" applyFill="1" applyBorder="1" applyAlignment="1">
      <alignment horizontal="center" vertical="center"/>
    </xf>
    <xf numFmtId="176" fontId="4" fillId="4" borderId="76" xfId="1" applyNumberFormat="1" applyFont="1" applyFill="1" applyBorder="1" applyAlignment="1">
      <alignment horizontal="center" vertical="center"/>
    </xf>
    <xf numFmtId="176" fontId="4" fillId="4" borderId="77" xfId="1" applyNumberFormat="1" applyFont="1" applyFill="1" applyBorder="1" applyAlignment="1">
      <alignment horizontal="center" vertical="center"/>
    </xf>
    <xf numFmtId="176" fontId="4" fillId="4" borderId="78" xfId="1" applyNumberFormat="1" applyFont="1" applyFill="1" applyBorder="1" applyAlignment="1">
      <alignment horizontal="center" vertical="center"/>
    </xf>
    <xf numFmtId="0" fontId="8" fillId="3" borderId="19" xfId="0" applyFont="1" applyFill="1" applyBorder="1" applyAlignment="1">
      <alignment horizontal="center" vertical="center"/>
    </xf>
    <xf numFmtId="0" fontId="8" fillId="3" borderId="16" xfId="0" applyFont="1" applyFill="1" applyBorder="1" applyAlignment="1">
      <alignment horizontal="center" vertical="center"/>
    </xf>
    <xf numFmtId="0" fontId="8" fillId="3" borderId="20" xfId="0" applyFont="1" applyFill="1" applyBorder="1" applyAlignment="1">
      <alignment horizontal="center" vertical="center"/>
    </xf>
    <xf numFmtId="0" fontId="5" fillId="0" borderId="38" xfId="0" applyFont="1" applyBorder="1" applyAlignment="1">
      <alignment horizontal="center" vertical="center"/>
    </xf>
    <xf numFmtId="0" fontId="5" fillId="0" borderId="36" xfId="0" applyFont="1" applyBorder="1" applyAlignment="1">
      <alignment horizontal="center" vertical="center"/>
    </xf>
    <xf numFmtId="0" fontId="5" fillId="0" borderId="38" xfId="0" applyFont="1" applyBorder="1" applyAlignment="1">
      <alignment vertical="center"/>
    </xf>
    <xf numFmtId="0" fontId="5" fillId="0" borderId="27" xfId="0" applyFont="1" applyBorder="1" applyAlignment="1">
      <alignment vertical="center"/>
    </xf>
    <xf numFmtId="0" fontId="5" fillId="0" borderId="36" xfId="0" applyFont="1" applyBorder="1" applyAlignment="1">
      <alignment vertical="center"/>
    </xf>
    <xf numFmtId="0" fontId="8" fillId="3" borderId="21" xfId="0" applyFont="1" applyFill="1" applyBorder="1" applyAlignment="1">
      <alignment horizontal="center" vertical="center"/>
    </xf>
    <xf numFmtId="0" fontId="8" fillId="3" borderId="12" xfId="0" applyFont="1" applyFill="1" applyBorder="1" applyAlignment="1">
      <alignment horizontal="center" vertical="center"/>
    </xf>
    <xf numFmtId="0" fontId="8" fillId="3" borderId="22" xfId="0" applyFont="1" applyFill="1" applyBorder="1" applyAlignment="1">
      <alignment horizontal="center" vertical="center"/>
    </xf>
    <xf numFmtId="0" fontId="8" fillId="3" borderId="17" xfId="0" applyFont="1" applyFill="1" applyBorder="1" applyAlignment="1">
      <alignment horizontal="center" vertical="center"/>
    </xf>
    <xf numFmtId="0" fontId="8" fillId="3" borderId="10" xfId="0" applyFont="1" applyFill="1" applyBorder="1" applyAlignment="1">
      <alignment horizontal="center" vertical="center"/>
    </xf>
    <xf numFmtId="0" fontId="8" fillId="3" borderId="18" xfId="0" applyFont="1" applyFill="1" applyBorder="1" applyAlignment="1">
      <alignment horizontal="center" vertical="center"/>
    </xf>
    <xf numFmtId="0" fontId="5" fillId="0" borderId="40" xfId="0" applyFont="1" applyBorder="1" applyAlignment="1">
      <alignment vertical="center"/>
    </xf>
    <xf numFmtId="0" fontId="5" fillId="0" borderId="41" xfId="0" applyFont="1" applyBorder="1" applyAlignment="1">
      <alignment vertical="center"/>
    </xf>
    <xf numFmtId="0" fontId="5" fillId="0" borderId="42" xfId="0" applyFont="1" applyBorder="1" applyAlignment="1">
      <alignment vertical="center"/>
    </xf>
    <xf numFmtId="0" fontId="5" fillId="0" borderId="40" xfId="0" applyFont="1" applyBorder="1" applyAlignment="1">
      <alignment horizontal="left" vertical="center"/>
    </xf>
    <xf numFmtId="0" fontId="5" fillId="0" borderId="41" xfId="0" applyFont="1" applyBorder="1" applyAlignment="1">
      <alignment horizontal="left" vertical="center"/>
    </xf>
    <xf numFmtId="0" fontId="5" fillId="0" borderId="42" xfId="0" applyFont="1" applyBorder="1" applyAlignment="1">
      <alignment horizontal="left" vertical="center"/>
    </xf>
    <xf numFmtId="0" fontId="5" fillId="0" borderId="39" xfId="0" applyFont="1" applyBorder="1" applyAlignment="1">
      <alignment horizontal="right" vertical="center"/>
    </xf>
    <xf numFmtId="0" fontId="5" fillId="0" borderId="45" xfId="0" applyFont="1" applyBorder="1" applyAlignment="1">
      <alignment horizontal="right" vertical="center"/>
    </xf>
    <xf numFmtId="0" fontId="5" fillId="0" borderId="40" xfId="0" applyFont="1" applyBorder="1" applyAlignment="1">
      <alignment horizontal="center" vertical="center"/>
    </xf>
    <xf numFmtId="0" fontId="5" fillId="0" borderId="42" xfId="0" applyFont="1" applyBorder="1" applyAlignment="1">
      <alignment horizontal="center" vertical="center"/>
    </xf>
    <xf numFmtId="0" fontId="5" fillId="0" borderId="39" xfId="0" applyFont="1" applyBorder="1" applyAlignment="1">
      <alignment vertical="center"/>
    </xf>
    <xf numFmtId="0" fontId="5" fillId="0" borderId="35" xfId="0" applyFont="1" applyBorder="1" applyAlignment="1">
      <alignment vertical="center"/>
    </xf>
    <xf numFmtId="0" fontId="5" fillId="0" borderId="45" xfId="0" applyFont="1" applyBorder="1" applyAlignment="1">
      <alignment vertical="center"/>
    </xf>
    <xf numFmtId="0" fontId="5" fillId="0" borderId="37" xfId="0" applyFont="1" applyBorder="1" applyAlignment="1">
      <alignment horizontal="right" vertical="center"/>
    </xf>
    <xf numFmtId="0" fontId="5" fillId="0" borderId="33" xfId="0" applyFont="1" applyBorder="1" applyAlignment="1">
      <alignment horizontal="right" vertical="center"/>
    </xf>
    <xf numFmtId="0" fontId="5" fillId="0" borderId="38" xfId="0" applyFont="1" applyBorder="1" applyAlignment="1">
      <alignment horizontal="right" vertical="center"/>
    </xf>
    <xf numFmtId="0" fontId="5" fillId="0" borderId="36" xfId="0" applyFont="1" applyBorder="1" applyAlignment="1">
      <alignment horizontal="right" vertical="center"/>
    </xf>
    <xf numFmtId="0" fontId="5" fillId="0" borderId="38" xfId="0" applyFont="1" applyBorder="1" applyAlignment="1">
      <alignment horizontal="left" vertical="center"/>
    </xf>
    <xf numFmtId="0" fontId="5" fillId="0" borderId="27" xfId="0" applyFont="1" applyBorder="1" applyAlignment="1">
      <alignment horizontal="left" vertical="center"/>
    </xf>
    <xf numFmtId="0" fontId="5" fillId="0" borderId="36" xfId="0" applyFont="1" applyBorder="1" applyAlignment="1">
      <alignment horizontal="left" vertical="center"/>
    </xf>
    <xf numFmtId="0" fontId="5" fillId="0" borderId="39" xfId="0" applyFont="1" applyBorder="1" applyAlignment="1">
      <alignment horizontal="left" vertical="center"/>
    </xf>
    <xf numFmtId="0" fontId="5" fillId="0" borderId="35" xfId="0" applyFont="1" applyBorder="1" applyAlignment="1">
      <alignment horizontal="left" vertical="center"/>
    </xf>
    <xf numFmtId="0" fontId="5" fillId="0" borderId="45" xfId="0" applyFont="1" applyBorder="1" applyAlignment="1">
      <alignment horizontal="left" vertical="center"/>
    </xf>
    <xf numFmtId="0" fontId="5" fillId="0" borderId="39" xfId="0" applyFont="1" applyBorder="1" applyAlignment="1">
      <alignment horizontal="center" vertical="center"/>
    </xf>
    <xf numFmtId="0" fontId="5" fillId="0" borderId="45" xfId="0" applyFont="1" applyBorder="1" applyAlignment="1">
      <alignment horizontal="center" vertical="center"/>
    </xf>
    <xf numFmtId="0" fontId="5" fillId="0" borderId="41" xfId="0" applyFont="1" applyBorder="1" applyAlignment="1">
      <alignment horizontal="center" vertical="center"/>
    </xf>
    <xf numFmtId="0" fontId="5" fillId="0" borderId="6" xfId="0" applyFont="1" applyBorder="1" applyAlignment="1">
      <alignment vertical="top" wrapText="1"/>
    </xf>
    <xf numFmtId="0" fontId="5" fillId="0" borderId="28" xfId="0" applyFont="1" applyBorder="1" applyAlignment="1">
      <alignment vertical="top" wrapText="1"/>
    </xf>
    <xf numFmtId="0" fontId="5" fillId="0" borderId="5" xfId="0" applyFont="1" applyBorder="1" applyAlignment="1">
      <alignment vertical="top" wrapText="1"/>
    </xf>
    <xf numFmtId="0" fontId="5" fillId="0" borderId="29" xfId="0" applyFont="1" applyBorder="1" applyAlignment="1">
      <alignment vertical="top" wrapText="1"/>
    </xf>
    <xf numFmtId="0" fontId="5" fillId="0" borderId="0" xfId="0" applyFont="1" applyAlignment="1">
      <alignment vertical="top" wrapText="1"/>
    </xf>
    <xf numFmtId="0" fontId="5" fillId="0" borderId="13" xfId="0" applyFont="1" applyBorder="1" applyAlignment="1">
      <alignment vertical="top" wrapText="1"/>
    </xf>
    <xf numFmtId="0" fontId="5" fillId="0" borderId="6" xfId="0" applyFont="1" applyBorder="1" applyAlignment="1">
      <alignment horizontal="left" vertical="top" wrapText="1"/>
    </xf>
    <xf numFmtId="0" fontId="5" fillId="0" borderId="28" xfId="0" applyFont="1" applyBorder="1" applyAlignment="1">
      <alignment horizontal="left" vertical="top" wrapText="1"/>
    </xf>
    <xf numFmtId="0" fontId="5" fillId="0" borderId="5" xfId="0" applyFont="1" applyBorder="1" applyAlignment="1">
      <alignment horizontal="left" vertical="top" wrapText="1"/>
    </xf>
    <xf numFmtId="0" fontId="5" fillId="0" borderId="29" xfId="0" applyFont="1" applyBorder="1" applyAlignment="1">
      <alignment horizontal="left" vertical="top" wrapText="1"/>
    </xf>
    <xf numFmtId="0" fontId="5" fillId="0" borderId="0" xfId="0" applyFont="1" applyAlignment="1">
      <alignment horizontal="left" vertical="top" wrapText="1"/>
    </xf>
    <xf numFmtId="0" fontId="5" fillId="0" borderId="13" xfId="0" applyFont="1" applyBorder="1" applyAlignment="1">
      <alignment horizontal="left" vertical="top" wrapText="1"/>
    </xf>
    <xf numFmtId="0" fontId="5" fillId="0" borderId="6" xfId="0" applyFont="1" applyBorder="1" applyAlignment="1">
      <alignment horizontal="left" vertical="center" wrapText="1"/>
    </xf>
    <xf numFmtId="0" fontId="5" fillId="0" borderId="28" xfId="0" applyFont="1" applyBorder="1" applyAlignment="1">
      <alignment horizontal="left" vertical="center" wrapText="1"/>
    </xf>
    <xf numFmtId="0" fontId="5" fillId="0" borderId="5" xfId="0" applyFont="1" applyBorder="1" applyAlignment="1">
      <alignment horizontal="left" vertical="center" wrapText="1"/>
    </xf>
    <xf numFmtId="0" fontId="5" fillId="0" borderId="29" xfId="0" applyFont="1" applyBorder="1" applyAlignment="1">
      <alignment horizontal="left" vertical="center" wrapText="1"/>
    </xf>
    <xf numFmtId="0" fontId="5" fillId="0" borderId="0" xfId="0" applyFont="1" applyAlignment="1">
      <alignment horizontal="left" vertical="center" wrapText="1"/>
    </xf>
    <xf numFmtId="0" fontId="5" fillId="0" borderId="13" xfId="0" applyFont="1" applyBorder="1" applyAlignment="1">
      <alignment horizontal="left" vertical="center" wrapText="1"/>
    </xf>
    <xf numFmtId="49" fontId="8" fillId="3" borderId="18" xfId="0" applyNumberFormat="1" applyFont="1" applyFill="1" applyBorder="1" applyAlignment="1">
      <alignment horizontal="center" vertical="center"/>
    </xf>
    <xf numFmtId="49" fontId="8" fillId="3" borderId="16" xfId="0" applyNumberFormat="1" applyFont="1" applyFill="1" applyBorder="1" applyAlignment="1">
      <alignment horizontal="center" vertical="center"/>
    </xf>
    <xf numFmtId="49" fontId="8" fillId="3" borderId="20" xfId="0" applyNumberFormat="1" applyFont="1" applyFill="1" applyBorder="1" applyAlignment="1">
      <alignment horizontal="center" vertical="center"/>
    </xf>
    <xf numFmtId="49" fontId="8" fillId="3" borderId="17" xfId="0" applyNumberFormat="1" applyFont="1" applyFill="1" applyBorder="1" applyAlignment="1">
      <alignment horizontal="center" vertical="center"/>
    </xf>
    <xf numFmtId="49" fontId="8" fillId="3" borderId="19" xfId="0" applyNumberFormat="1" applyFont="1" applyFill="1" applyBorder="1" applyAlignment="1">
      <alignment horizontal="center" vertical="center"/>
    </xf>
    <xf numFmtId="0" fontId="5" fillId="7" borderId="3" xfId="0" applyFont="1" applyFill="1" applyBorder="1" applyAlignment="1">
      <alignment horizontal="center" vertical="center"/>
    </xf>
    <xf numFmtId="0" fontId="5" fillId="7" borderId="27" xfId="0" applyFont="1" applyFill="1" applyBorder="1" applyAlignment="1">
      <alignment horizontal="center" vertical="center"/>
    </xf>
    <xf numFmtId="0" fontId="5" fillId="7" borderId="4" xfId="0" applyFont="1" applyFill="1" applyBorder="1" applyAlignment="1">
      <alignment horizontal="center" vertical="center"/>
    </xf>
    <xf numFmtId="0" fontId="5" fillId="6" borderId="6" xfId="0" applyFont="1" applyFill="1" applyBorder="1" applyAlignment="1">
      <alignment horizontal="center" vertical="center"/>
    </xf>
    <xf numFmtId="0" fontId="5" fillId="6" borderId="28" xfId="0" applyFont="1" applyFill="1" applyBorder="1" applyAlignment="1">
      <alignment horizontal="center" vertical="center"/>
    </xf>
    <xf numFmtId="0" fontId="5" fillId="6" borderId="5" xfId="0" applyFont="1" applyFill="1" applyBorder="1" applyAlignment="1">
      <alignment horizontal="center" vertical="center"/>
    </xf>
    <xf numFmtId="0" fontId="5" fillId="6" borderId="3" xfId="0" applyFont="1" applyFill="1" applyBorder="1" applyAlignment="1">
      <alignment horizontal="center" vertical="center"/>
    </xf>
    <xf numFmtId="0" fontId="5" fillId="6" borderId="27" xfId="0" applyFont="1" applyFill="1" applyBorder="1" applyAlignment="1">
      <alignment horizontal="center" vertical="center"/>
    </xf>
    <xf numFmtId="0" fontId="5" fillId="6" borderId="4" xfId="0" applyFont="1" applyFill="1" applyBorder="1" applyAlignment="1">
      <alignment horizontal="center" vertical="center"/>
    </xf>
    <xf numFmtId="0" fontId="8" fillId="3" borderId="19" xfId="0" applyFont="1" applyFill="1" applyBorder="1" applyAlignment="1">
      <alignment horizontal="left" vertical="center"/>
    </xf>
    <xf numFmtId="0" fontId="8" fillId="3" borderId="16" xfId="0" applyFont="1" applyFill="1" applyBorder="1" applyAlignment="1">
      <alignment horizontal="left" vertical="center"/>
    </xf>
    <xf numFmtId="0" fontId="8" fillId="3" borderId="20" xfId="0" applyFont="1" applyFill="1" applyBorder="1" applyAlignment="1">
      <alignment horizontal="left" vertical="center"/>
    </xf>
    <xf numFmtId="0" fontId="8" fillId="3" borderId="25" xfId="0" applyFont="1" applyFill="1" applyBorder="1" applyAlignment="1">
      <alignment horizontal="left" vertical="center"/>
    </xf>
    <xf numFmtId="0" fontId="8" fillId="3" borderId="11" xfId="0" applyFont="1" applyFill="1" applyBorder="1" applyAlignment="1">
      <alignment horizontal="left" vertical="center"/>
    </xf>
    <xf numFmtId="0" fontId="8" fillId="3" borderId="26" xfId="0" applyFont="1" applyFill="1" applyBorder="1" applyAlignment="1">
      <alignment horizontal="left" vertical="center"/>
    </xf>
    <xf numFmtId="0" fontId="7" fillId="2" borderId="11" xfId="0" applyFont="1" applyFill="1" applyBorder="1" applyAlignment="1">
      <alignment horizontal="center" vertical="center"/>
    </xf>
    <xf numFmtId="0" fontId="7" fillId="2" borderId="16" xfId="0" applyFont="1" applyFill="1" applyBorder="1" applyAlignment="1">
      <alignment horizontal="center" vertical="center"/>
    </xf>
    <xf numFmtId="0" fontId="7" fillId="0" borderId="23" xfId="0" applyFont="1" applyBorder="1" applyAlignment="1">
      <alignment horizontal="center" vertical="center"/>
    </xf>
    <xf numFmtId="0" fontId="7" fillId="0" borderId="24" xfId="0" applyFont="1" applyBorder="1" applyAlignment="1">
      <alignment horizontal="center" vertical="center"/>
    </xf>
    <xf numFmtId="0" fontId="5" fillId="0" borderId="23" xfId="0" applyFont="1" applyBorder="1" applyAlignment="1">
      <alignment horizontal="center" vertical="center"/>
    </xf>
    <xf numFmtId="0" fontId="5" fillId="0" borderId="24" xfId="0" applyFont="1" applyBorder="1" applyAlignment="1">
      <alignment horizontal="center" vertical="center"/>
    </xf>
    <xf numFmtId="0" fontId="5" fillId="0" borderId="25" xfId="0" applyFont="1" applyBorder="1" applyAlignment="1">
      <alignment horizontal="center" vertical="center"/>
    </xf>
    <xf numFmtId="0" fontId="5" fillId="0" borderId="26" xfId="0" applyFont="1" applyBorder="1" applyAlignment="1">
      <alignment horizontal="center" vertical="center"/>
    </xf>
    <xf numFmtId="0" fontId="7" fillId="0" borderId="25" xfId="0" applyFont="1" applyBorder="1" applyAlignment="1">
      <alignment horizontal="center" vertical="center"/>
    </xf>
    <xf numFmtId="0" fontId="7" fillId="0" borderId="26" xfId="0" applyFont="1" applyBorder="1" applyAlignment="1">
      <alignment horizontal="center" vertical="center"/>
    </xf>
    <xf numFmtId="0" fontId="5" fillId="0" borderId="21" xfId="0" applyFont="1" applyBorder="1" applyAlignment="1">
      <alignment horizontal="center" vertical="center"/>
    </xf>
    <xf numFmtId="0" fontId="5" fillId="0" borderId="22" xfId="0" applyFont="1" applyBorder="1" applyAlignment="1">
      <alignment horizontal="center" vertical="center"/>
    </xf>
    <xf numFmtId="0" fontId="7" fillId="2" borderId="0" xfId="0" applyFont="1" applyFill="1" applyAlignment="1">
      <alignment horizontal="center" vertical="center"/>
    </xf>
    <xf numFmtId="0" fontId="8" fillId="3" borderId="23" xfId="0" applyFont="1" applyFill="1" applyBorder="1" applyAlignment="1">
      <alignment horizontal="center" vertical="center"/>
    </xf>
    <xf numFmtId="0" fontId="8" fillId="3" borderId="0" xfId="0" applyFont="1" applyFill="1" applyAlignment="1">
      <alignment horizontal="center" vertical="center"/>
    </xf>
    <xf numFmtId="0" fontId="8" fillId="3" borderId="24" xfId="0" applyFont="1" applyFill="1" applyBorder="1" applyAlignment="1">
      <alignment horizontal="center" vertical="center"/>
    </xf>
    <xf numFmtId="0" fontId="8" fillId="3" borderId="25" xfId="0" applyFont="1" applyFill="1" applyBorder="1" applyAlignment="1">
      <alignment horizontal="center" vertical="center"/>
    </xf>
    <xf numFmtId="0" fontId="8" fillId="3" borderId="11" xfId="0" applyFont="1" applyFill="1" applyBorder="1" applyAlignment="1">
      <alignment horizontal="center" vertical="center"/>
    </xf>
    <xf numFmtId="0" fontId="8" fillId="3" borderId="26" xfId="0" applyFont="1" applyFill="1" applyBorder="1" applyAlignment="1">
      <alignment horizontal="center" vertical="center"/>
    </xf>
    <xf numFmtId="0" fontId="5" fillId="0" borderId="21" xfId="0" applyFont="1" applyBorder="1" applyAlignment="1">
      <alignment vertical="center"/>
    </xf>
    <xf numFmtId="0" fontId="5" fillId="0" borderId="12" xfId="0" applyFont="1" applyBorder="1" applyAlignment="1">
      <alignment vertical="center"/>
    </xf>
    <xf numFmtId="0" fontId="5" fillId="0" borderId="22" xfId="0" applyFont="1" applyBorder="1" applyAlignment="1">
      <alignment vertical="center"/>
    </xf>
    <xf numFmtId="0" fontId="5" fillId="0" borderId="19" xfId="0" applyFont="1" applyBorder="1" applyAlignment="1">
      <alignment vertical="center"/>
    </xf>
    <xf numFmtId="0" fontId="5" fillId="0" borderId="16" xfId="0" applyFont="1" applyBorder="1" applyAlignment="1">
      <alignment vertical="center"/>
    </xf>
    <xf numFmtId="0" fontId="5" fillId="0" borderId="20" xfId="0" applyFont="1" applyBorder="1" applyAlignment="1">
      <alignment vertical="center"/>
    </xf>
    <xf numFmtId="0" fontId="5" fillId="0" borderId="21" xfId="0" applyFont="1" applyBorder="1" applyAlignment="1">
      <alignment horizontal="left" vertical="center"/>
    </xf>
    <xf numFmtId="0" fontId="8" fillId="3" borderId="105" xfId="0" applyFont="1" applyFill="1" applyBorder="1" applyAlignment="1">
      <alignment horizontal="center" vertical="center"/>
    </xf>
    <xf numFmtId="0" fontId="8" fillId="3" borderId="93" xfId="0" applyFont="1" applyFill="1" applyBorder="1" applyAlignment="1">
      <alignment horizontal="center" vertical="center"/>
    </xf>
    <xf numFmtId="0" fontId="8" fillId="3" borderId="104" xfId="0" applyFont="1" applyFill="1" applyBorder="1" applyAlignment="1">
      <alignment horizontal="center" vertical="center"/>
    </xf>
    <xf numFmtId="0" fontId="8" fillId="0" borderId="0" xfId="0" applyFont="1" applyAlignment="1">
      <alignment horizontal="center" vertical="center"/>
    </xf>
    <xf numFmtId="0" fontId="8" fillId="3" borderId="103" xfId="0" applyFont="1" applyFill="1" applyBorder="1" applyAlignment="1">
      <alignment horizontal="center" vertical="center"/>
    </xf>
    <xf numFmtId="0" fontId="8" fillId="3" borderId="101" xfId="0" applyFont="1" applyFill="1" applyBorder="1" applyAlignment="1">
      <alignment horizontal="center" vertical="center"/>
    </xf>
    <xf numFmtId="0" fontId="8" fillId="3" borderId="99" xfId="0" applyFont="1" applyFill="1" applyBorder="1" applyAlignment="1">
      <alignment horizontal="center" vertical="center"/>
    </xf>
    <xf numFmtId="0" fontId="8" fillId="3" borderId="97" xfId="0" applyFont="1" applyFill="1" applyBorder="1" applyAlignment="1">
      <alignment horizontal="center" vertical="center"/>
    </xf>
    <xf numFmtId="0" fontId="8" fillId="3" borderId="101" xfId="0" applyFont="1" applyFill="1" applyBorder="1" applyAlignment="1">
      <alignment horizontal="center" vertical="center" wrapText="1"/>
    </xf>
    <xf numFmtId="0" fontId="8" fillId="3" borderId="97" xfId="0" applyFont="1" applyFill="1" applyBorder="1" applyAlignment="1">
      <alignment horizontal="center" vertical="center" wrapText="1"/>
    </xf>
    <xf numFmtId="0" fontId="8" fillId="3" borderId="102" xfId="0" applyFont="1" applyFill="1" applyBorder="1" applyAlignment="1">
      <alignment horizontal="center" vertical="center" wrapText="1"/>
    </xf>
    <xf numFmtId="0" fontId="8" fillId="3" borderId="102" xfId="0" applyFont="1" applyFill="1" applyBorder="1" applyAlignment="1">
      <alignment horizontal="center" vertical="center"/>
    </xf>
    <xf numFmtId="0" fontId="8" fillId="3" borderId="100" xfId="0" applyFont="1" applyFill="1" applyBorder="1" applyAlignment="1">
      <alignment horizontal="center" vertical="center"/>
    </xf>
    <xf numFmtId="0" fontId="8" fillId="3" borderId="98" xfId="0" applyFont="1" applyFill="1" applyBorder="1" applyAlignment="1">
      <alignment horizontal="center" vertical="center"/>
    </xf>
    <xf numFmtId="0" fontId="5" fillId="0" borderId="23" xfId="0" applyFont="1" applyBorder="1" applyAlignment="1">
      <alignment horizontal="left" vertical="top" wrapText="1"/>
    </xf>
    <xf numFmtId="0" fontId="5" fillId="0" borderId="8" xfId="0" applyFont="1" applyBorder="1" applyAlignment="1">
      <alignment horizontal="right" vertical="center"/>
    </xf>
    <xf numFmtId="0" fontId="5" fillId="0" borderId="7" xfId="0" applyFont="1" applyBorder="1" applyAlignment="1">
      <alignment horizontal="right" vertical="center"/>
    </xf>
    <xf numFmtId="0" fontId="5" fillId="0" borderId="8" xfId="0" applyFont="1" applyBorder="1" applyAlignment="1">
      <alignment horizontal="left" vertical="center"/>
    </xf>
    <xf numFmtId="0" fontId="5" fillId="0" borderId="14" xfId="0" applyFont="1" applyBorder="1" applyAlignment="1">
      <alignment horizontal="left" vertical="center"/>
    </xf>
    <xf numFmtId="0" fontId="5" fillId="0" borderId="7" xfId="0" applyFont="1" applyBorder="1" applyAlignment="1">
      <alignment horizontal="lef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5" fillId="0" borderId="8" xfId="0" applyFont="1" applyBorder="1" applyAlignment="1">
      <alignment vertical="center"/>
    </xf>
    <xf numFmtId="0" fontId="5" fillId="0" borderId="14" xfId="0" applyFont="1" applyBorder="1" applyAlignment="1">
      <alignment vertical="center"/>
    </xf>
    <xf numFmtId="0" fontId="5" fillId="0" borderId="7" xfId="0" applyFont="1" applyBorder="1" applyAlignment="1">
      <alignment vertical="center"/>
    </xf>
    <xf numFmtId="0" fontId="5" fillId="0" borderId="8" xfId="0" applyFont="1" applyBorder="1" applyAlignment="1">
      <alignment horizontal="center" vertical="center"/>
    </xf>
    <xf numFmtId="0" fontId="5" fillId="0" borderId="14" xfId="0" applyFont="1" applyBorder="1" applyAlignment="1">
      <alignment horizontal="center" vertical="center"/>
    </xf>
    <xf numFmtId="0" fontId="5" fillId="0" borderId="7" xfId="0" applyFont="1" applyBorder="1" applyAlignment="1">
      <alignment horizontal="center" vertical="center"/>
    </xf>
    <xf numFmtId="0" fontId="5" fillId="0" borderId="33" xfId="0" applyFont="1" applyBorder="1" applyAlignment="1">
      <alignment vertical="center"/>
    </xf>
    <xf numFmtId="0" fontId="5" fillId="0" borderId="1" xfId="0" applyFont="1" applyBorder="1" applyAlignment="1">
      <alignment horizontal="left" vertical="center"/>
    </xf>
    <xf numFmtId="0" fontId="5" fillId="0" borderId="14" xfId="0" applyFont="1" applyBorder="1" applyAlignment="1">
      <alignment horizontal="right" vertical="center"/>
    </xf>
    <xf numFmtId="0" fontId="5" fillId="0" borderId="97" xfId="0" applyFont="1" applyBorder="1" applyAlignment="1">
      <alignment vertical="center"/>
    </xf>
    <xf numFmtId="0" fontId="5" fillId="0" borderId="3" xfId="0" applyFont="1" applyBorder="1" applyAlignment="1">
      <alignment horizontal="center" vertical="center"/>
    </xf>
    <xf numFmtId="0" fontId="5" fillId="0" borderId="27" xfId="0" applyFont="1" applyBorder="1" applyAlignment="1">
      <alignment horizontal="center" vertical="center"/>
    </xf>
    <xf numFmtId="0" fontId="5" fillId="0" borderId="4" xfId="0" applyFont="1" applyBorder="1" applyAlignment="1">
      <alignment horizontal="center" vertical="center"/>
    </xf>
    <xf numFmtId="49" fontId="5" fillId="0" borderId="3" xfId="0" applyNumberFormat="1" applyFont="1" applyBorder="1" applyAlignment="1">
      <alignment vertical="center"/>
    </xf>
    <xf numFmtId="49" fontId="5" fillId="0" borderId="27" xfId="0" applyNumberFormat="1" applyFont="1" applyBorder="1" applyAlignment="1">
      <alignment vertical="center"/>
    </xf>
    <xf numFmtId="49" fontId="5" fillId="0" borderId="4" xfId="0" applyNumberFormat="1" applyFont="1" applyBorder="1" applyAlignment="1">
      <alignment vertical="center"/>
    </xf>
    <xf numFmtId="49" fontId="5" fillId="0" borderId="36" xfId="0" applyNumberFormat="1" applyFont="1" applyBorder="1" applyAlignment="1">
      <alignment vertical="center"/>
    </xf>
    <xf numFmtId="0" fontId="5" fillId="0" borderId="3" xfId="0" applyFont="1" applyBorder="1" applyAlignment="1">
      <alignment horizontal="right" vertical="center"/>
    </xf>
    <xf numFmtId="0" fontId="5" fillId="0" borderId="27" xfId="0" applyFont="1" applyBorder="1" applyAlignment="1">
      <alignment horizontal="right" vertical="center"/>
    </xf>
    <xf numFmtId="0" fontId="5" fillId="0" borderId="4" xfId="0" applyFont="1" applyBorder="1" applyAlignment="1">
      <alignment horizontal="right" vertical="center"/>
    </xf>
    <xf numFmtId="0" fontId="5" fillId="0" borderId="1" xfId="0" applyFont="1" applyBorder="1" applyAlignment="1">
      <alignment vertical="center"/>
    </xf>
    <xf numFmtId="0" fontId="5" fillId="0" borderId="3" xfId="0" applyFont="1" applyBorder="1" applyAlignment="1">
      <alignment vertical="center"/>
    </xf>
    <xf numFmtId="0" fontId="5" fillId="0" borderId="4" xfId="0" applyFont="1" applyBorder="1" applyAlignment="1">
      <alignment vertical="center"/>
    </xf>
    <xf numFmtId="0" fontId="5" fillId="0" borderId="23" xfId="0" applyFont="1" applyBorder="1" applyAlignment="1">
      <alignment horizontal="left" vertical="top"/>
    </xf>
    <xf numFmtId="0" fontId="5" fillId="0" borderId="0" xfId="0" applyFont="1" applyAlignment="1">
      <alignment horizontal="left" vertical="top"/>
    </xf>
    <xf numFmtId="0" fontId="5" fillId="0" borderId="13" xfId="0" applyFont="1" applyBorder="1" applyAlignment="1">
      <alignment horizontal="left" vertical="top"/>
    </xf>
    <xf numFmtId="0" fontId="5" fillId="0" borderId="37" xfId="0" applyFont="1" applyBorder="1" applyAlignment="1">
      <alignment horizontal="left" vertical="top"/>
    </xf>
    <xf numFmtId="0" fontId="5" fillId="0" borderId="14" xfId="0" applyFont="1" applyBorder="1" applyAlignment="1">
      <alignment horizontal="left" vertical="top"/>
    </xf>
    <xf numFmtId="0" fontId="5" fillId="0" borderId="7" xfId="0" applyFont="1" applyBorder="1" applyAlignment="1">
      <alignment horizontal="left" vertical="top"/>
    </xf>
    <xf numFmtId="0" fontId="5" fillId="0" borderId="96" xfId="0" applyFont="1" applyBorder="1" applyAlignment="1">
      <alignment horizontal="left" vertical="center"/>
    </xf>
    <xf numFmtId="0" fontId="5" fillId="0" borderId="28" xfId="0" applyFont="1" applyBorder="1" applyAlignment="1">
      <alignment horizontal="left" vertical="center"/>
    </xf>
    <xf numFmtId="0" fontId="5" fillId="0" borderId="5" xfId="0" applyFont="1" applyBorder="1" applyAlignment="1">
      <alignment horizontal="left" vertical="center"/>
    </xf>
    <xf numFmtId="3" fontId="5" fillId="0" borderId="3" xfId="0" applyNumberFormat="1" applyFont="1" applyBorder="1" applyAlignment="1">
      <alignment vertical="center"/>
    </xf>
    <xf numFmtId="3" fontId="5" fillId="0" borderId="27" xfId="0" applyNumberFormat="1" applyFont="1" applyBorder="1" applyAlignment="1">
      <alignment vertical="center"/>
    </xf>
    <xf numFmtId="3" fontId="5" fillId="0" borderId="4" xfId="0" applyNumberFormat="1" applyFont="1" applyBorder="1" applyAlignment="1">
      <alignment vertical="center"/>
    </xf>
    <xf numFmtId="0" fontId="5" fillId="0" borderId="96" xfId="0" applyFont="1" applyBorder="1" applyAlignment="1">
      <alignment horizontal="left" vertical="top" wrapText="1"/>
    </xf>
    <xf numFmtId="0" fontId="5" fillId="0" borderId="25" xfId="0" applyFont="1" applyBorder="1" applyAlignment="1">
      <alignment horizontal="left" vertical="top" wrapText="1"/>
    </xf>
    <xf numFmtId="0" fontId="5" fillId="0" borderId="11" xfId="0" applyFont="1" applyBorder="1" applyAlignment="1">
      <alignment horizontal="left" vertical="top" wrapText="1"/>
    </xf>
    <xf numFmtId="0" fontId="5" fillId="0" borderId="15" xfId="0" applyFont="1" applyBorder="1" applyAlignment="1">
      <alignment horizontal="left" vertical="top" wrapText="1"/>
    </xf>
    <xf numFmtId="0" fontId="5" fillId="0" borderId="34" xfId="0" applyFont="1" applyBorder="1" applyAlignment="1">
      <alignment horizontal="right" vertical="center"/>
    </xf>
    <xf numFmtId="0" fontId="5" fillId="0" borderId="31" xfId="0" applyFont="1" applyBorder="1" applyAlignment="1">
      <alignment horizontal="right" vertical="center"/>
    </xf>
    <xf numFmtId="0" fontId="5" fillId="0" borderId="34" xfId="0" applyFont="1" applyBorder="1" applyAlignment="1">
      <alignment horizontal="left" vertical="center"/>
    </xf>
    <xf numFmtId="0" fontId="5" fillId="0" borderId="31" xfId="0" applyFont="1" applyBorder="1" applyAlignment="1">
      <alignment horizontal="left" vertical="center"/>
    </xf>
    <xf numFmtId="0" fontId="5" fillId="0" borderId="2" xfId="0" applyFont="1" applyBorder="1" applyAlignment="1">
      <alignment horizontal="left" vertical="center"/>
    </xf>
    <xf numFmtId="0" fontId="5" fillId="0" borderId="34" xfId="0" applyFont="1" applyBorder="1" applyAlignment="1">
      <alignment vertical="center"/>
    </xf>
    <xf numFmtId="0" fontId="5" fillId="0" borderId="31" xfId="0" applyFont="1" applyBorder="1" applyAlignment="1">
      <alignment vertical="center"/>
    </xf>
    <xf numFmtId="0" fontId="5" fillId="0" borderId="35" xfId="0" applyFont="1" applyBorder="1" applyAlignment="1">
      <alignment horizontal="right" vertical="center"/>
    </xf>
    <xf numFmtId="0" fontId="5" fillId="0" borderId="34" xfId="0" applyFont="1" applyBorder="1" applyAlignment="1">
      <alignment horizontal="center" vertical="center"/>
    </xf>
    <xf numFmtId="0" fontId="5" fillId="0" borderId="35" xfId="0" applyFont="1" applyBorder="1" applyAlignment="1">
      <alignment horizontal="center" vertical="center"/>
    </xf>
    <xf numFmtId="0" fontId="5" fillId="0" borderId="31" xfId="0" applyFont="1" applyBorder="1" applyAlignment="1">
      <alignment horizontal="center" vertical="center"/>
    </xf>
    <xf numFmtId="49" fontId="5" fillId="0" borderId="34" xfId="0" applyNumberFormat="1" applyFont="1" applyBorder="1" applyAlignment="1">
      <alignment vertical="center"/>
    </xf>
    <xf numFmtId="49" fontId="5" fillId="0" borderId="35" xfId="0" applyNumberFormat="1" applyFont="1" applyBorder="1" applyAlignment="1">
      <alignment vertical="center"/>
    </xf>
    <xf numFmtId="49" fontId="5" fillId="0" borderId="31" xfId="0" applyNumberFormat="1" applyFont="1" applyBorder="1" applyAlignment="1">
      <alignment vertical="center"/>
    </xf>
    <xf numFmtId="0" fontId="5" fillId="0" borderId="113" xfId="3" applyFont="1" applyBorder="1" applyAlignment="1">
      <alignment horizontal="right" vertical="center"/>
    </xf>
    <xf numFmtId="0" fontId="5" fillId="0" borderId="112" xfId="3" applyFont="1" applyBorder="1" applyAlignment="1">
      <alignment horizontal="right" vertical="center"/>
    </xf>
    <xf numFmtId="0" fontId="5" fillId="0" borderId="111" xfId="3" applyFont="1" applyBorder="1" applyAlignment="1">
      <alignment horizontal="center" vertical="top"/>
    </xf>
    <xf numFmtId="0" fontId="5" fillId="0" borderId="110" xfId="3" applyFont="1" applyBorder="1" applyAlignment="1">
      <alignment horizontal="center" vertical="top"/>
    </xf>
    <xf numFmtId="0" fontId="5" fillId="0" borderId="109" xfId="3" applyFont="1" applyBorder="1" applyAlignment="1">
      <alignment horizontal="center" vertical="top"/>
    </xf>
    <xf numFmtId="0" fontId="25" fillId="0" borderId="111" xfId="3" applyFont="1" applyBorder="1" applyAlignment="1">
      <alignment horizontal="right" vertical="top"/>
    </xf>
    <xf numFmtId="0" fontId="25" fillId="0" borderId="109" xfId="3" applyFont="1" applyBorder="1" applyAlignment="1">
      <alignment horizontal="right" vertical="top"/>
    </xf>
    <xf numFmtId="4" fontId="5" fillId="0" borderId="111" xfId="3" applyNumberFormat="1" applyFont="1" applyBorder="1" applyAlignment="1">
      <alignment horizontal="left" vertical="top"/>
    </xf>
    <xf numFmtId="0" fontId="5" fillId="0" borderId="110" xfId="3" applyFont="1" applyBorder="1" applyAlignment="1">
      <alignment horizontal="left" vertical="top"/>
    </xf>
    <xf numFmtId="0" fontId="5" fillId="0" borderId="109" xfId="3" applyFont="1" applyBorder="1" applyAlignment="1">
      <alignment horizontal="left" vertical="top"/>
    </xf>
    <xf numFmtId="0" fontId="5" fillId="0" borderId="25" xfId="3" applyFont="1" applyBorder="1" applyAlignment="1">
      <alignment horizontal="right" vertical="center"/>
    </xf>
    <xf numFmtId="0" fontId="5" fillId="0" borderId="26" xfId="3" applyFont="1" applyBorder="1" applyAlignment="1">
      <alignment horizontal="right" vertical="center"/>
    </xf>
    <xf numFmtId="0" fontId="5" fillId="0" borderId="108" xfId="3" applyFont="1" applyBorder="1" applyAlignment="1">
      <alignment horizontal="center" vertical="top"/>
    </xf>
    <xf numFmtId="0" fontId="5" fillId="0" borderId="107" xfId="3" applyFont="1" applyBorder="1" applyAlignment="1">
      <alignment horizontal="center" vertical="top"/>
    </xf>
    <xf numFmtId="0" fontId="5" fillId="0" borderId="106" xfId="3" applyFont="1" applyBorder="1" applyAlignment="1">
      <alignment horizontal="center" vertical="top"/>
    </xf>
    <xf numFmtId="0" fontId="25" fillId="0" borderId="108" xfId="3" applyFont="1" applyBorder="1" applyAlignment="1">
      <alignment horizontal="right" vertical="top"/>
    </xf>
    <xf numFmtId="0" fontId="25" fillId="0" borderId="106" xfId="3" applyFont="1" applyBorder="1" applyAlignment="1">
      <alignment horizontal="right" vertical="top"/>
    </xf>
    <xf numFmtId="4" fontId="5" fillId="0" borderId="108" xfId="3" applyNumberFormat="1" applyFont="1" applyBorder="1" applyAlignment="1">
      <alignment horizontal="left" vertical="top"/>
    </xf>
    <xf numFmtId="0" fontId="5" fillId="0" borderId="107" xfId="3" applyFont="1" applyBorder="1" applyAlignment="1">
      <alignment horizontal="left" vertical="top"/>
    </xf>
    <xf numFmtId="0" fontId="5" fillId="0" borderId="106" xfId="3" applyFont="1" applyBorder="1" applyAlignment="1">
      <alignment horizontal="left" vertical="top"/>
    </xf>
    <xf numFmtId="0" fontId="8" fillId="3" borderId="19" xfId="3" applyFont="1" applyFill="1" applyBorder="1" applyAlignment="1">
      <alignment horizontal="center" vertical="top"/>
    </xf>
    <xf numFmtId="0" fontId="8" fillId="3" borderId="16" xfId="3" applyFont="1" applyFill="1" applyBorder="1" applyAlignment="1">
      <alignment horizontal="center" vertical="top"/>
    </xf>
    <xf numFmtId="0" fontId="8" fillId="3" borderId="20" xfId="3" applyFont="1" applyFill="1" applyBorder="1" applyAlignment="1">
      <alignment horizontal="center" vertical="top"/>
    </xf>
    <xf numFmtId="0" fontId="25" fillId="0" borderId="116" xfId="3" applyFont="1" applyBorder="1" applyAlignment="1">
      <alignment horizontal="center" vertical="top"/>
    </xf>
    <xf numFmtId="0" fontId="25" fillId="0" borderId="115" xfId="3" applyFont="1" applyBorder="1" applyAlignment="1">
      <alignment horizontal="center" vertical="top"/>
    </xf>
    <xf numFmtId="0" fontId="25" fillId="0" borderId="114" xfId="3" applyFont="1" applyBorder="1" applyAlignment="1">
      <alignment horizontal="center" vertical="top"/>
    </xf>
    <xf numFmtId="0" fontId="25" fillId="0" borderId="116" xfId="3" applyFont="1" applyBorder="1" applyAlignment="1">
      <alignment horizontal="right" vertical="top"/>
    </xf>
    <xf numFmtId="0" fontId="25" fillId="0" borderId="114" xfId="3" applyFont="1" applyBorder="1" applyAlignment="1">
      <alignment horizontal="right" vertical="top"/>
    </xf>
    <xf numFmtId="0" fontId="25" fillId="0" borderId="116" xfId="3" applyFont="1" applyBorder="1" applyAlignment="1">
      <alignment horizontal="left" vertical="top"/>
    </xf>
    <xf numFmtId="0" fontId="25" fillId="0" borderId="115" xfId="3" applyFont="1" applyBorder="1" applyAlignment="1">
      <alignment horizontal="left" vertical="top"/>
    </xf>
    <xf numFmtId="0" fontId="25" fillId="0" borderId="114" xfId="3" applyFont="1" applyBorder="1" applyAlignment="1">
      <alignment horizontal="left" vertical="top"/>
    </xf>
    <xf numFmtId="0" fontId="5" fillId="0" borderId="16" xfId="3" applyFont="1" applyBorder="1" applyAlignment="1">
      <alignment horizontal="left" vertical="center"/>
    </xf>
    <xf numFmtId="0" fontId="5" fillId="0" borderId="20" xfId="3" applyFont="1" applyBorder="1" applyAlignment="1">
      <alignment horizontal="left" vertical="center"/>
    </xf>
    <xf numFmtId="0" fontId="8" fillId="3" borderId="19" xfId="3" applyFont="1" applyFill="1" applyBorder="1" applyAlignment="1">
      <alignment horizontal="center" vertical="center"/>
    </xf>
    <xf numFmtId="0" fontId="8" fillId="3" borderId="20" xfId="3" applyFont="1" applyFill="1" applyBorder="1" applyAlignment="1">
      <alignment horizontal="center" vertical="center"/>
    </xf>
    <xf numFmtId="0" fontId="5" fillId="0" borderId="40" xfId="0" applyFont="1" applyBorder="1" applyAlignment="1">
      <alignment horizontal="right" vertical="center"/>
    </xf>
    <xf numFmtId="0" fontId="5" fillId="0" borderId="42" xfId="0" applyFont="1" applyBorder="1" applyAlignment="1">
      <alignment horizontal="right" vertical="center"/>
    </xf>
    <xf numFmtId="0" fontId="5" fillId="0" borderId="16" xfId="0" applyFont="1" applyBorder="1" applyAlignment="1">
      <alignment horizontal="left" vertical="center"/>
    </xf>
    <xf numFmtId="0" fontId="5" fillId="0" borderId="25" xfId="0" applyFont="1" applyBorder="1" applyAlignment="1">
      <alignment horizontal="right" vertical="center"/>
    </xf>
    <xf numFmtId="0" fontId="5" fillId="0" borderId="26" xfId="0" applyFont="1" applyBorder="1" applyAlignment="1">
      <alignment horizontal="right" vertical="center"/>
    </xf>
    <xf numFmtId="14" fontId="5" fillId="0" borderId="2" xfId="0" applyNumberFormat="1" applyFont="1" applyBorder="1" applyAlignment="1">
      <alignment horizontal="left" vertical="center"/>
    </xf>
    <xf numFmtId="0" fontId="5" fillId="0" borderId="34" xfId="0" applyFont="1" applyBorder="1" applyAlignment="1">
      <alignment horizontal="left" vertical="center" wrapText="1"/>
    </xf>
    <xf numFmtId="0" fontId="5" fillId="0" borderId="35" xfId="0" applyFont="1" applyBorder="1" applyAlignment="1">
      <alignment horizontal="left" vertical="center" wrapText="1"/>
    </xf>
    <xf numFmtId="0" fontId="5" fillId="0" borderId="31" xfId="0" applyFont="1" applyBorder="1" applyAlignment="1">
      <alignment horizontal="left" vertical="center" wrapText="1"/>
    </xf>
    <xf numFmtId="0" fontId="5" fillId="0" borderId="3" xfId="0" applyFont="1" applyBorder="1" applyAlignment="1">
      <alignment horizontal="left" vertical="center" wrapText="1"/>
    </xf>
    <xf numFmtId="0" fontId="5" fillId="0" borderId="27" xfId="0" applyFont="1" applyBorder="1" applyAlignment="1">
      <alignment horizontal="left" vertical="center" wrapText="1"/>
    </xf>
    <xf numFmtId="0" fontId="5" fillId="0" borderId="4" xfId="0" applyFont="1" applyBorder="1" applyAlignment="1">
      <alignment horizontal="left" vertical="center" wrapText="1"/>
    </xf>
    <xf numFmtId="14" fontId="5" fillId="0" borderId="1" xfId="0" applyNumberFormat="1" applyFont="1" applyBorder="1" applyAlignment="1">
      <alignment horizontal="left" vertical="center"/>
    </xf>
    <xf numFmtId="0" fontId="4" fillId="0" borderId="1" xfId="0" applyFont="1" applyBorder="1" applyAlignment="1">
      <alignment horizontal="left" vertical="center"/>
    </xf>
    <xf numFmtId="0" fontId="22" fillId="0" borderId="1" xfId="0" applyFont="1" applyBorder="1" applyAlignment="1">
      <alignment horizontal="left" vertical="center"/>
    </xf>
    <xf numFmtId="14" fontId="22" fillId="0" borderId="1" xfId="0" applyNumberFormat="1" applyFont="1" applyBorder="1" applyAlignment="1">
      <alignment horizontal="left" vertical="center"/>
    </xf>
    <xf numFmtId="0" fontId="8" fillId="5" borderId="40" xfId="0" applyFont="1" applyFill="1" applyBorder="1" applyAlignment="1">
      <alignment horizontal="right" vertical="center"/>
    </xf>
    <xf numFmtId="0" fontId="8" fillId="5" borderId="49" xfId="0" applyFont="1" applyFill="1" applyBorder="1" applyAlignment="1">
      <alignment horizontal="right" vertical="center"/>
    </xf>
    <xf numFmtId="0" fontId="8" fillId="5" borderId="48" xfId="0" applyFont="1" applyFill="1" applyBorder="1" applyAlignment="1">
      <alignment horizontal="center" vertical="center"/>
    </xf>
    <xf numFmtId="0" fontId="8" fillId="5" borderId="41" xfId="0" applyFont="1" applyFill="1" applyBorder="1" applyAlignment="1">
      <alignment horizontal="center" vertical="center"/>
    </xf>
    <xf numFmtId="0" fontId="8" fillId="5" borderId="49" xfId="0" applyFont="1" applyFill="1" applyBorder="1" applyAlignment="1">
      <alignment horizontal="center" vertical="center"/>
    </xf>
    <xf numFmtId="0" fontId="8" fillId="5" borderId="93" xfId="0" applyFont="1" applyFill="1" applyBorder="1" applyAlignment="1">
      <alignment horizontal="center" vertical="center"/>
    </xf>
    <xf numFmtId="0" fontId="8" fillId="5" borderId="42" xfId="0" applyFont="1" applyFill="1" applyBorder="1" applyAlignment="1">
      <alignment horizontal="center" vertical="center"/>
    </xf>
    <xf numFmtId="0" fontId="22" fillId="0" borderId="3" xfId="0" applyFont="1" applyBorder="1" applyAlignment="1">
      <alignment horizontal="left" vertical="center"/>
    </xf>
    <xf numFmtId="0" fontId="22" fillId="0" borderId="27" xfId="0" applyFont="1" applyBorder="1" applyAlignment="1">
      <alignment horizontal="left" vertical="center"/>
    </xf>
    <xf numFmtId="0" fontId="22" fillId="0" borderId="36" xfId="0" applyFont="1" applyBorder="1" applyAlignment="1">
      <alignment horizontal="left" vertical="center"/>
    </xf>
    <xf numFmtId="0" fontId="22" fillId="0" borderId="34" xfId="0" applyFont="1" applyBorder="1" applyAlignment="1">
      <alignment horizontal="left" vertical="center"/>
    </xf>
    <xf numFmtId="0" fontId="22" fillId="0" borderId="35" xfId="0" applyFont="1" applyBorder="1" applyAlignment="1">
      <alignment horizontal="left" vertical="center"/>
    </xf>
    <xf numFmtId="0" fontId="22" fillId="0" borderId="45" xfId="0" applyFont="1" applyBorder="1" applyAlignment="1">
      <alignment horizontal="left" vertical="center"/>
    </xf>
    <xf numFmtId="49" fontId="8" fillId="3" borderId="48" xfId="0" applyNumberFormat="1" applyFont="1" applyFill="1" applyBorder="1" applyAlignment="1">
      <alignment horizontal="center" vertical="center"/>
    </xf>
    <xf numFmtId="49" fontId="8" fillId="3" borderId="41" xfId="0" applyNumberFormat="1" applyFont="1" applyFill="1" applyBorder="1" applyAlignment="1">
      <alignment horizontal="center" vertical="center"/>
    </xf>
    <xf numFmtId="49" fontId="8" fillId="3" borderId="49" xfId="0" applyNumberFormat="1" applyFont="1" applyFill="1" applyBorder="1" applyAlignment="1">
      <alignment horizontal="center" vertical="center"/>
    </xf>
    <xf numFmtId="49" fontId="8" fillId="3" borderId="42" xfId="0" applyNumberFormat="1" applyFont="1" applyFill="1" applyBorder="1" applyAlignment="1">
      <alignment horizontal="center" vertical="center"/>
    </xf>
    <xf numFmtId="49" fontId="8" fillId="3" borderId="21" xfId="0" applyNumberFormat="1" applyFont="1" applyFill="1" applyBorder="1" applyAlignment="1">
      <alignment horizontal="center" vertical="center"/>
    </xf>
    <xf numFmtId="49" fontId="8" fillId="3" borderId="32" xfId="0" applyNumberFormat="1" applyFont="1" applyFill="1" applyBorder="1" applyAlignment="1">
      <alignment horizontal="center" vertical="center"/>
    </xf>
    <xf numFmtId="0" fontId="5" fillId="0" borderId="38" xfId="0" quotePrefix="1" applyFont="1" applyBorder="1" applyAlignment="1">
      <alignment horizontal="right" vertical="center"/>
    </xf>
    <xf numFmtId="0" fontId="5" fillId="0" borderId="4" xfId="0" quotePrefix="1" applyFont="1" applyBorder="1" applyAlignment="1">
      <alignment horizontal="right" vertical="center"/>
    </xf>
    <xf numFmtId="0" fontId="5" fillId="0" borderId="39" xfId="0" quotePrefix="1" applyFont="1" applyBorder="1" applyAlignment="1">
      <alignment horizontal="right" vertical="center"/>
    </xf>
    <xf numFmtId="0" fontId="5" fillId="0" borderId="31" xfId="0" quotePrefix="1" applyFont="1" applyBorder="1" applyAlignment="1">
      <alignment horizontal="right" vertical="center"/>
    </xf>
    <xf numFmtId="0" fontId="5" fillId="0" borderId="51" xfId="0" applyFont="1" applyBorder="1" applyAlignment="1">
      <alignment vertical="center"/>
    </xf>
    <xf numFmtId="0" fontId="5" fillId="0" borderId="9" xfId="0" applyFont="1" applyBorder="1" applyAlignment="1">
      <alignment vertical="center"/>
    </xf>
    <xf numFmtId="0" fontId="5" fillId="0" borderId="2" xfId="0" applyFont="1" applyBorder="1" applyAlignment="1">
      <alignment vertical="center"/>
    </xf>
    <xf numFmtId="0" fontId="5" fillId="0" borderId="52" xfId="0" applyFont="1" applyBorder="1" applyAlignment="1">
      <alignment vertical="center"/>
    </xf>
  </cellXfs>
  <cellStyles count="51">
    <cellStyle name="20% - アクセント 1 2" xfId="5" xr:uid="{6F7CE648-3406-4753-90A2-239C7DEB7581}"/>
    <cellStyle name="20% - アクセント 2 2" xfId="6" xr:uid="{81E84961-D45D-410C-B830-4CE4E7328539}"/>
    <cellStyle name="20% - アクセント 3 2" xfId="7" xr:uid="{8EA1D319-DBEB-4B31-BCF1-12B0C9404580}"/>
    <cellStyle name="20% - アクセント 4 2" xfId="8" xr:uid="{713EC594-5BB1-4FAD-8CED-854F746B00C0}"/>
    <cellStyle name="20% - アクセント 5 2" xfId="9" xr:uid="{3098BA85-52B1-4B70-B63A-03238D1123FB}"/>
    <cellStyle name="20% - アクセント 6 2" xfId="10" xr:uid="{80FFCBC6-6740-4DEC-B283-AB156DC5BBE1}"/>
    <cellStyle name="40% - アクセント 1 2" xfId="11" xr:uid="{CA415FA7-E5AB-4540-B5CF-1CAB09464392}"/>
    <cellStyle name="40% - アクセント 2 2" xfId="12" xr:uid="{CA86911B-66F3-4475-8028-D4F95F86DB37}"/>
    <cellStyle name="40% - アクセント 3 2" xfId="13" xr:uid="{B0D26C1A-EA3A-45DA-BF9F-A178FA5FFDD3}"/>
    <cellStyle name="40% - アクセント 4 2" xfId="14" xr:uid="{9FE189F2-F5A0-46A1-9312-33B672AB8308}"/>
    <cellStyle name="40% - アクセント 5 2" xfId="15" xr:uid="{2A173C88-A5FF-4F9B-B97B-ECD2CB7991DB}"/>
    <cellStyle name="40% - アクセント 6 2" xfId="16" xr:uid="{465A48C8-C590-40D0-BA8B-AD7484E54EE8}"/>
    <cellStyle name="60% - アクセント 1 2" xfId="17" xr:uid="{D743700A-A07F-443E-82F0-3340D879B432}"/>
    <cellStyle name="60% - アクセント 2 2" xfId="18" xr:uid="{0DA23633-D300-42A6-BFA6-8E59C6068600}"/>
    <cellStyle name="60% - アクセント 3 2" xfId="19" xr:uid="{45ECC468-3874-4B4D-A0CF-7A51382DFD04}"/>
    <cellStyle name="60% - アクセント 4 2" xfId="20" xr:uid="{47D69249-FCFD-4716-A826-0B2837732A50}"/>
    <cellStyle name="60% - アクセント 5 2" xfId="21" xr:uid="{6FBE9A8D-F529-4245-BE4A-E27362A8A703}"/>
    <cellStyle name="60% - アクセント 6 2" xfId="22" xr:uid="{2191947F-7EAF-4AC9-B156-8A9112E3F657}"/>
    <cellStyle name="アクセント 1 2" xfId="23" xr:uid="{F4CC47AF-3CAB-4A35-A85E-09C720B58314}"/>
    <cellStyle name="アクセント 2 2" xfId="24" xr:uid="{B259FC50-1608-4810-9BCB-98CD6E300BF5}"/>
    <cellStyle name="アクセント 3 2" xfId="25" xr:uid="{DFFCCABF-C649-4693-A888-642F1470D3C3}"/>
    <cellStyle name="アクセント 4 2" xfId="26" xr:uid="{0632F4AB-2748-4986-AD61-771A7A2C0747}"/>
    <cellStyle name="アクセント 5 2" xfId="27" xr:uid="{FAC397C8-0309-4B60-A676-1E265F568CF4}"/>
    <cellStyle name="アクセント 6 2" xfId="28" xr:uid="{C66B8BA9-7FDC-4BB8-9922-D0F23C754E60}"/>
    <cellStyle name="タイトル 2" xfId="29" xr:uid="{B3CAEA93-84FF-4618-8318-80D78C4F4C51}"/>
    <cellStyle name="チェック セル 2" xfId="30" xr:uid="{06530312-EE47-43F5-8011-75034D8722CB}"/>
    <cellStyle name="どちらでもない 2" xfId="31" xr:uid="{965C6770-E586-406A-8BEF-74CE7A115A35}"/>
    <cellStyle name="メモ 2" xfId="32" xr:uid="{E4C9EE04-AC97-437C-91CF-D7978995782D}"/>
    <cellStyle name="リンク セル 2" xfId="33" xr:uid="{2B8CC1C8-E0A4-4E6B-B9CC-EBC810B60F95}"/>
    <cellStyle name="悪い 2" xfId="34" xr:uid="{3AB78B54-E4CD-48DC-994C-7D0153430F69}"/>
    <cellStyle name="計算 2" xfId="35" xr:uid="{0E636D88-1D88-4243-B050-BABBDCA1B268}"/>
    <cellStyle name="警告文 2" xfId="36" xr:uid="{F12E7BC3-6574-4A89-BDE3-A50099D0780F}"/>
    <cellStyle name="見出し 1 2" xfId="37" xr:uid="{AB93A8DD-0E31-4B8A-AC30-89063CC3EDF6}"/>
    <cellStyle name="見出し 2 2" xfId="38" xr:uid="{CED99A8F-6D6E-4F92-A285-1A7135B0BC03}"/>
    <cellStyle name="見出し 3 2" xfId="39" xr:uid="{78C0E8B3-1D3C-4EF0-B754-70B3105C6C07}"/>
    <cellStyle name="見出し 4 2" xfId="40" xr:uid="{34A84436-2E34-4448-A7D6-F84E5556DD05}"/>
    <cellStyle name="集計 2" xfId="41" xr:uid="{71890D28-9F08-44B0-A915-AE6DC82D6791}"/>
    <cellStyle name="出力 2" xfId="42" xr:uid="{8DEB6655-61F4-404B-A050-43ED36AB40AB}"/>
    <cellStyle name="説明文 2" xfId="43" xr:uid="{B73BD199-C4CE-41EF-97A9-5D94173763A1}"/>
    <cellStyle name="入力 2" xfId="44" xr:uid="{DE0FE164-67D4-411C-AC9F-C2DFB7C2A155}"/>
    <cellStyle name="標準" xfId="0" builtinId="0"/>
    <cellStyle name="標準 2" xfId="1" xr:uid="{ADD629DB-9BAF-4E7B-A4F3-D474DD1A057C}"/>
    <cellStyle name="標準 2 2" xfId="2" xr:uid="{CFF8D597-AD42-4216-9BC2-56164E145A4E}"/>
    <cellStyle name="標準 2 2 2" xfId="3" xr:uid="{90FF6260-A35C-46CF-96ED-37D64A25A59D}"/>
    <cellStyle name="標準 2 2 2 2" xfId="50" xr:uid="{686A1A2A-5390-4098-B975-EECF5B404A4A}"/>
    <cellStyle name="標準 2 2 3" xfId="46" xr:uid="{2BE34422-C007-4709-94B6-46CCA6D16479}"/>
    <cellStyle name="標準 2 3" xfId="45" xr:uid="{6E234935-CF81-466C-AA8A-84AED64DF069}"/>
    <cellStyle name="標準 2_標準構造取扱手順" xfId="49" xr:uid="{93029D87-6322-4A1B-B2A8-8487ECDD771E}"/>
    <cellStyle name="標準 3" xfId="47" xr:uid="{565118A0-BBBC-4DB6-8FD8-C8043B506181}"/>
    <cellStyle name="標準 4" xfId="4" xr:uid="{A962C7A6-B8A2-4B15-9F5F-13EC1029E0CC}"/>
    <cellStyle name="良い 2" xfId="48" xr:uid="{9A05B880-2389-4160-9987-0784FF55AEEC}"/>
  </cellStyles>
  <dxfs count="0"/>
  <tableStyles count="0" defaultTableStyle="TableStyleMedium2" defaultPivotStyle="PivotStyleLight16"/>
  <colors>
    <mruColors>
      <color rgb="FFCCCCFF"/>
      <color rgb="FFCC99FF"/>
      <color rgb="FF2F75B5"/>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drawings/_rels/drawing2.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0</xdr:colOff>
      <xdr:row>91</xdr:row>
      <xdr:rowOff>0</xdr:rowOff>
    </xdr:from>
    <xdr:to>
      <xdr:col>12</xdr:col>
      <xdr:colOff>176892</xdr:colOff>
      <xdr:row>92</xdr:row>
      <xdr:rowOff>106135</xdr:rowOff>
    </xdr:to>
    <xdr:sp macro="" textlink="">
      <xdr:nvSpPr>
        <xdr:cNvPr id="9" name="正方形/長方形 8">
          <a:extLst>
            <a:ext uri="{FF2B5EF4-FFF2-40B4-BE49-F238E27FC236}">
              <a16:creationId xmlns:a16="http://schemas.microsoft.com/office/drawing/2014/main" id="{4C08893D-DDA4-4E31-A416-DF4C36DB0464}"/>
            </a:ext>
          </a:extLst>
        </xdr:cNvPr>
        <xdr:cNvSpPr/>
      </xdr:nvSpPr>
      <xdr:spPr>
        <a:xfrm>
          <a:off x="190500" y="12573000"/>
          <a:ext cx="2272392" cy="296635"/>
        </a:xfrm>
        <a:prstGeom prst="rect">
          <a:avLst/>
        </a:prstGeom>
        <a:solidFill>
          <a:sysClr val="window" lastClr="FFFFFF"/>
        </a:solidFill>
        <a:ln w="12700" cap="flat" cmpd="sng" algn="ctr">
          <a:solidFill>
            <a:sysClr val="windowText" lastClr="000000"/>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9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rPr>
            <a:t>[</a:t>
          </a:r>
          <a:r>
            <a:rPr kumimoji="1" lang="ja-JP" altLang="en-US" sz="9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rPr>
            <a:t>番号</a:t>
          </a:r>
          <a:r>
            <a:rPr kumimoji="1" lang="en-US" altLang="ja-JP" sz="9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rPr>
            <a:t>.</a:t>
          </a:r>
          <a:r>
            <a:rPr kumimoji="1" lang="ja-JP" altLang="en-US" sz="9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rPr>
            <a:t>処理</a:t>
          </a:r>
          <a:r>
            <a:rPr kumimoji="1" lang="en-US" altLang="ja-JP" sz="9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rPr>
            <a:t>]</a:t>
          </a:r>
        </a:p>
      </xdr:txBody>
    </xdr:sp>
    <xdr:clientData/>
  </xdr:twoCellAnchor>
  <xdr:twoCellAnchor>
    <xdr:from>
      <xdr:col>54</xdr:col>
      <xdr:colOff>28575</xdr:colOff>
      <xdr:row>92</xdr:row>
      <xdr:rowOff>8664</xdr:rowOff>
    </xdr:from>
    <xdr:to>
      <xdr:col>58</xdr:col>
      <xdr:colOff>180975</xdr:colOff>
      <xdr:row>92</xdr:row>
      <xdr:rowOff>9525</xdr:rowOff>
    </xdr:to>
    <xdr:cxnSp macro="">
      <xdr:nvCxnSpPr>
        <xdr:cNvPr id="10" name="直線矢印コネクタ 9">
          <a:extLst>
            <a:ext uri="{FF2B5EF4-FFF2-40B4-BE49-F238E27FC236}">
              <a16:creationId xmlns:a16="http://schemas.microsoft.com/office/drawing/2014/main" id="{509D08FA-45C6-4FDD-BFB9-B83A6FE78F94}"/>
            </a:ext>
          </a:extLst>
        </xdr:cNvPr>
        <xdr:cNvCxnSpPr>
          <a:cxnSpLocks/>
        </xdr:cNvCxnSpPr>
      </xdr:nvCxnSpPr>
      <xdr:spPr>
        <a:xfrm>
          <a:off x="10315575" y="12772164"/>
          <a:ext cx="723900" cy="861"/>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38</xdr:col>
      <xdr:colOff>114300</xdr:colOff>
      <xdr:row>90</xdr:row>
      <xdr:rowOff>95250</xdr:rowOff>
    </xdr:from>
    <xdr:to>
      <xdr:col>49</xdr:col>
      <xdr:colOff>38099</xdr:colOff>
      <xdr:row>92</xdr:row>
      <xdr:rowOff>123825</xdr:rowOff>
    </xdr:to>
    <xdr:sp macro="" textlink="">
      <xdr:nvSpPr>
        <xdr:cNvPr id="11" name="正方形/長方形 10">
          <a:extLst>
            <a:ext uri="{FF2B5EF4-FFF2-40B4-BE49-F238E27FC236}">
              <a16:creationId xmlns:a16="http://schemas.microsoft.com/office/drawing/2014/main" id="{31B2B09E-5110-4025-A739-8C782B7677D9}"/>
            </a:ext>
          </a:extLst>
        </xdr:cNvPr>
        <xdr:cNvSpPr/>
      </xdr:nvSpPr>
      <xdr:spPr>
        <a:xfrm>
          <a:off x="7353300" y="12477750"/>
          <a:ext cx="2019299" cy="409575"/>
        </a:xfrm>
        <a:prstGeom prst="rect">
          <a:avLst/>
        </a:prstGeom>
        <a:noFill/>
        <a:ln>
          <a:solidFill>
            <a:schemeClr val="tx1"/>
          </a:solidFill>
        </a:ln>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kumimoji="1" lang="ja-JP" altLang="en-US" sz="900">
            <a:latin typeface="Meiryo UI" panose="020B0604030504040204" pitchFamily="50" charset="-128"/>
            <a:ea typeface="Meiryo UI" panose="020B0604030504040204" pitchFamily="50" charset="-128"/>
          </a:endParaRPr>
        </a:p>
      </xdr:txBody>
    </xdr:sp>
    <xdr:clientData/>
  </xdr:twoCellAnchor>
  <xdr:twoCellAnchor>
    <xdr:from>
      <xdr:col>29</xdr:col>
      <xdr:colOff>76200</xdr:colOff>
      <xdr:row>90</xdr:row>
      <xdr:rowOff>76200</xdr:rowOff>
    </xdr:from>
    <xdr:to>
      <xdr:col>35</xdr:col>
      <xdr:colOff>332</xdr:colOff>
      <xdr:row>93</xdr:row>
      <xdr:rowOff>94250</xdr:rowOff>
    </xdr:to>
    <xdr:grpSp>
      <xdr:nvGrpSpPr>
        <xdr:cNvPr id="12" name="グループ化 11">
          <a:extLst>
            <a:ext uri="{FF2B5EF4-FFF2-40B4-BE49-F238E27FC236}">
              <a16:creationId xmlns:a16="http://schemas.microsoft.com/office/drawing/2014/main" id="{A5238906-7878-47F5-8AB3-A715F2F1BCDC}"/>
            </a:ext>
          </a:extLst>
        </xdr:cNvPr>
        <xdr:cNvGrpSpPr/>
      </xdr:nvGrpSpPr>
      <xdr:grpSpPr>
        <a:xfrm>
          <a:off x="5600700" y="17221200"/>
          <a:ext cx="1067132" cy="589550"/>
          <a:chOff x="5600700" y="13982700"/>
          <a:chExt cx="1067132" cy="589550"/>
        </a:xfrm>
      </xdr:grpSpPr>
      <xdr:sp macro="" textlink="">
        <xdr:nvSpPr>
          <xdr:cNvPr id="13" name="円柱 12">
            <a:extLst>
              <a:ext uri="{FF2B5EF4-FFF2-40B4-BE49-F238E27FC236}">
                <a16:creationId xmlns:a16="http://schemas.microsoft.com/office/drawing/2014/main" id="{175C4FD3-BE4C-4050-A2B9-825A3B3065FB}"/>
              </a:ext>
            </a:extLst>
          </xdr:cNvPr>
          <xdr:cNvSpPr/>
        </xdr:nvSpPr>
        <xdr:spPr>
          <a:xfrm>
            <a:off x="5600700" y="13982700"/>
            <a:ext cx="1067132" cy="589550"/>
          </a:xfrm>
          <a:prstGeom prst="can">
            <a:avLst>
              <a:gd name="adj" fmla="val 26958"/>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endParaRPr kumimoji="1" lang="en-US" altLang="ja-JP" sz="900">
              <a:latin typeface="Meiryo UI" panose="020B0604030504040204" pitchFamily="50" charset="-128"/>
              <a:ea typeface="Meiryo UI" panose="020B0604030504040204" pitchFamily="50" charset="-128"/>
            </a:endParaRPr>
          </a:p>
        </xdr:txBody>
      </xdr:sp>
      <xdr:sp macro="" textlink="">
        <xdr:nvSpPr>
          <xdr:cNvPr id="14" name="テキスト ボックス 13">
            <a:extLst>
              <a:ext uri="{FF2B5EF4-FFF2-40B4-BE49-F238E27FC236}">
                <a16:creationId xmlns:a16="http://schemas.microsoft.com/office/drawing/2014/main" id="{B5CFD373-AFBB-4F4B-8567-5631CD9401DE}"/>
              </a:ext>
            </a:extLst>
          </xdr:cNvPr>
          <xdr:cNvSpPr txBox="1"/>
        </xdr:nvSpPr>
        <xdr:spPr>
          <a:xfrm>
            <a:off x="5705475" y="14116050"/>
            <a:ext cx="857250" cy="409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en-US" altLang="ja-JP" sz="900">
                <a:solidFill>
                  <a:schemeClr val="dk1"/>
                </a:solidFill>
                <a:effectLst/>
                <a:latin typeface="Meiryo UI" panose="020B0604030504040204" pitchFamily="50" charset="-128"/>
                <a:ea typeface="Meiryo UI" panose="020B0604030504040204" pitchFamily="50" charset="-128"/>
                <a:cs typeface="+mn-cs"/>
              </a:rPr>
              <a:t>[DB</a:t>
            </a:r>
            <a:r>
              <a:rPr kumimoji="1" lang="ja-JP" altLang="ja-JP" sz="900">
                <a:solidFill>
                  <a:schemeClr val="dk1"/>
                </a:solidFill>
                <a:effectLst/>
                <a:latin typeface="Meiryo UI" panose="020B0604030504040204" pitchFamily="50" charset="-128"/>
                <a:ea typeface="Meiryo UI" panose="020B0604030504040204" pitchFamily="50" charset="-128"/>
                <a:cs typeface="+mn-cs"/>
              </a:rPr>
              <a:t>論理名</a:t>
            </a:r>
            <a:r>
              <a:rPr kumimoji="1" lang="en-US" altLang="ja-JP" sz="900">
                <a:solidFill>
                  <a:schemeClr val="dk1"/>
                </a:solidFill>
                <a:effectLst/>
                <a:latin typeface="Meiryo UI" panose="020B0604030504040204" pitchFamily="50" charset="-128"/>
                <a:ea typeface="Meiryo UI" panose="020B0604030504040204" pitchFamily="50" charset="-128"/>
                <a:cs typeface="+mn-cs"/>
              </a:rPr>
              <a:t>]</a:t>
            </a:r>
            <a:endParaRPr lang="ja-JP" altLang="ja-JP" sz="900">
              <a:effectLst/>
              <a:latin typeface="Meiryo UI" panose="020B0604030504040204" pitchFamily="50" charset="-128"/>
              <a:ea typeface="Meiryo UI" panose="020B0604030504040204" pitchFamily="50" charset="-128"/>
            </a:endParaRPr>
          </a:p>
        </xdr:txBody>
      </xdr:sp>
    </xdr:grpSp>
    <xdr:clientData/>
  </xdr:twoCellAnchor>
  <xdr:twoCellAnchor>
    <xdr:from>
      <xdr:col>17</xdr:col>
      <xdr:colOff>190499</xdr:colOff>
      <xdr:row>90</xdr:row>
      <xdr:rowOff>66675</xdr:rowOff>
    </xdr:from>
    <xdr:to>
      <xdr:col>23</xdr:col>
      <xdr:colOff>152401</xdr:colOff>
      <xdr:row>93</xdr:row>
      <xdr:rowOff>133350</xdr:rowOff>
    </xdr:to>
    <xdr:grpSp>
      <xdr:nvGrpSpPr>
        <xdr:cNvPr id="15" name="グループ化 14">
          <a:extLst>
            <a:ext uri="{FF2B5EF4-FFF2-40B4-BE49-F238E27FC236}">
              <a16:creationId xmlns:a16="http://schemas.microsoft.com/office/drawing/2014/main" id="{1E7053BC-1EEA-4562-BD9A-2F31A9975422}"/>
            </a:ext>
          </a:extLst>
        </xdr:cNvPr>
        <xdr:cNvGrpSpPr/>
      </xdr:nvGrpSpPr>
      <xdr:grpSpPr>
        <a:xfrm>
          <a:off x="3428999" y="17211675"/>
          <a:ext cx="1104902" cy="638175"/>
          <a:chOff x="3428999" y="12449175"/>
          <a:chExt cx="1104902" cy="638175"/>
        </a:xfrm>
      </xdr:grpSpPr>
      <xdr:sp macro="" textlink="">
        <xdr:nvSpPr>
          <xdr:cNvPr id="16" name="フローチャート: 書類 15">
            <a:extLst>
              <a:ext uri="{FF2B5EF4-FFF2-40B4-BE49-F238E27FC236}">
                <a16:creationId xmlns:a16="http://schemas.microsoft.com/office/drawing/2014/main" id="{EA4DD5CE-EE6D-41AB-B650-5818F0F01422}"/>
              </a:ext>
            </a:extLst>
          </xdr:cNvPr>
          <xdr:cNvSpPr/>
        </xdr:nvSpPr>
        <xdr:spPr>
          <a:xfrm>
            <a:off x="3429000" y="12449175"/>
            <a:ext cx="1104901" cy="638175"/>
          </a:xfrm>
          <a:prstGeom prst="flowChartDocumen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l"/>
            <a:endParaRPr kumimoji="1" lang="ja-JP" altLang="en-US" sz="900">
              <a:latin typeface="Meiryo UI" panose="020B0604030504040204" pitchFamily="50" charset="-128"/>
              <a:ea typeface="Meiryo UI" panose="020B0604030504040204" pitchFamily="50" charset="-128"/>
            </a:endParaRPr>
          </a:p>
        </xdr:txBody>
      </xdr:sp>
      <xdr:sp macro="" textlink="">
        <xdr:nvSpPr>
          <xdr:cNvPr id="17" name="テキスト ボックス 16">
            <a:extLst>
              <a:ext uri="{FF2B5EF4-FFF2-40B4-BE49-F238E27FC236}">
                <a16:creationId xmlns:a16="http://schemas.microsoft.com/office/drawing/2014/main" id="{D746A278-7878-4EC4-B35D-12EE1F0F5779}"/>
              </a:ext>
            </a:extLst>
          </xdr:cNvPr>
          <xdr:cNvSpPr txBox="1"/>
        </xdr:nvSpPr>
        <xdr:spPr>
          <a:xfrm>
            <a:off x="3428999" y="12449176"/>
            <a:ext cx="1104901" cy="6000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en-US" altLang="ja-JP" sz="900">
                <a:solidFill>
                  <a:schemeClr val="dk1"/>
                </a:solidFill>
                <a:effectLst/>
                <a:latin typeface="Meiryo UI" panose="020B0604030504040204" pitchFamily="50" charset="-128"/>
                <a:ea typeface="Meiryo UI" panose="020B0604030504040204" pitchFamily="50" charset="-128"/>
                <a:cs typeface="+mn-cs"/>
              </a:rPr>
              <a:t>[</a:t>
            </a:r>
            <a:r>
              <a:rPr kumimoji="1" lang="ja-JP" altLang="en-US" sz="900">
                <a:solidFill>
                  <a:schemeClr val="dk1"/>
                </a:solidFill>
                <a:effectLst/>
                <a:latin typeface="Meiryo UI" panose="020B0604030504040204" pitchFamily="50" charset="-128"/>
                <a:ea typeface="Meiryo UI" panose="020B0604030504040204" pitchFamily="50" charset="-128"/>
                <a:cs typeface="+mn-cs"/>
              </a:rPr>
              <a:t>データファイル名</a:t>
            </a:r>
            <a:r>
              <a:rPr kumimoji="1" lang="en-US" altLang="ja-JP" sz="900">
                <a:solidFill>
                  <a:schemeClr val="dk1"/>
                </a:solidFill>
                <a:effectLst/>
                <a:latin typeface="Meiryo UI" panose="020B0604030504040204" pitchFamily="50" charset="-128"/>
                <a:ea typeface="Meiryo UI" panose="020B0604030504040204" pitchFamily="50" charset="-128"/>
                <a:cs typeface="+mn-cs"/>
              </a:rPr>
              <a:t>(</a:t>
            </a:r>
            <a:r>
              <a:rPr kumimoji="1" lang="ja-JP" altLang="en-US" sz="900">
                <a:solidFill>
                  <a:schemeClr val="dk1"/>
                </a:solidFill>
                <a:effectLst/>
                <a:latin typeface="Meiryo UI" panose="020B0604030504040204" pitchFamily="50" charset="-128"/>
                <a:ea typeface="Meiryo UI" panose="020B0604030504040204" pitchFamily="50" charset="-128"/>
                <a:cs typeface="+mn-cs"/>
              </a:rPr>
              <a:t>形式</a:t>
            </a:r>
            <a:r>
              <a:rPr kumimoji="1" lang="en-US" altLang="ja-JP" sz="900">
                <a:solidFill>
                  <a:schemeClr val="dk1"/>
                </a:solidFill>
                <a:effectLst/>
                <a:latin typeface="Meiryo UI" panose="020B0604030504040204" pitchFamily="50" charset="-128"/>
                <a:ea typeface="Meiryo UI" panose="020B0604030504040204" pitchFamily="50" charset="-128"/>
                <a:cs typeface="+mn-cs"/>
              </a:rPr>
              <a:t>)]</a:t>
            </a:r>
          </a:p>
        </xdr:txBody>
      </xdr:sp>
    </xdr:grpSp>
    <xdr:clientData/>
  </xdr:twoCellAnchor>
  <xdr:twoCellAnchor>
    <xdr:from>
      <xdr:col>1</xdr:col>
      <xdr:colOff>0</xdr:colOff>
      <xdr:row>6</xdr:row>
      <xdr:rowOff>0</xdr:rowOff>
    </xdr:from>
    <xdr:to>
      <xdr:col>12</xdr:col>
      <xdr:colOff>176892</xdr:colOff>
      <xdr:row>7</xdr:row>
      <xdr:rowOff>106135</xdr:rowOff>
    </xdr:to>
    <xdr:sp macro="" textlink="">
      <xdr:nvSpPr>
        <xdr:cNvPr id="2" name="正方形/長方形 1">
          <a:extLst>
            <a:ext uri="{FF2B5EF4-FFF2-40B4-BE49-F238E27FC236}">
              <a16:creationId xmlns:a16="http://schemas.microsoft.com/office/drawing/2014/main" id="{266BC492-F436-4B51-8BB8-08EB3FE9971B}"/>
            </a:ext>
          </a:extLst>
        </xdr:cNvPr>
        <xdr:cNvSpPr/>
      </xdr:nvSpPr>
      <xdr:spPr>
        <a:xfrm>
          <a:off x="190500" y="1143000"/>
          <a:ext cx="2272392" cy="296635"/>
        </a:xfrm>
        <a:prstGeom prst="rect">
          <a:avLst/>
        </a:prstGeom>
        <a:solidFill>
          <a:sysClr val="window" lastClr="FFFFFF"/>
        </a:solidFill>
        <a:ln w="12700" cap="flat" cmpd="sng" algn="ctr">
          <a:solidFill>
            <a:sysClr val="windowText" lastClr="000000"/>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9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rPr>
            <a:t>1.</a:t>
          </a:r>
          <a:r>
            <a:rPr kumimoji="1" lang="ja-JP" altLang="en-US" sz="9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rPr>
            <a:t>ファイル出力処理</a:t>
          </a:r>
          <a:endParaRPr kumimoji="1" lang="en-US" altLang="ja-JP" sz="9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endParaRPr>
        </a:p>
      </xdr:txBody>
    </xdr:sp>
    <xdr:clientData/>
  </xdr:twoCellAnchor>
  <xdr:twoCellAnchor>
    <xdr:from>
      <xdr:col>16</xdr:col>
      <xdr:colOff>0</xdr:colOff>
      <xdr:row>6</xdr:row>
      <xdr:rowOff>0</xdr:rowOff>
    </xdr:from>
    <xdr:to>
      <xdr:col>27</xdr:col>
      <xdr:colOff>176892</xdr:colOff>
      <xdr:row>7</xdr:row>
      <xdr:rowOff>106135</xdr:rowOff>
    </xdr:to>
    <xdr:sp macro="" textlink="">
      <xdr:nvSpPr>
        <xdr:cNvPr id="3" name="正方形/長方形 2">
          <a:extLst>
            <a:ext uri="{FF2B5EF4-FFF2-40B4-BE49-F238E27FC236}">
              <a16:creationId xmlns:a16="http://schemas.microsoft.com/office/drawing/2014/main" id="{4BD28742-AA97-4579-A93E-91DDC94FA092}"/>
            </a:ext>
          </a:extLst>
        </xdr:cNvPr>
        <xdr:cNvSpPr/>
      </xdr:nvSpPr>
      <xdr:spPr>
        <a:xfrm>
          <a:off x="3048000" y="1143000"/>
          <a:ext cx="2272392" cy="296635"/>
        </a:xfrm>
        <a:prstGeom prst="rect">
          <a:avLst/>
        </a:prstGeom>
        <a:solidFill>
          <a:sysClr val="window" lastClr="FFFFFF"/>
        </a:solidFill>
        <a:ln w="12700" cap="flat" cmpd="sng" algn="ctr">
          <a:solidFill>
            <a:sysClr val="windowText" lastClr="000000"/>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9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rPr>
            <a:t>ファイル出力内容</a:t>
          </a:r>
          <a:r>
            <a:rPr kumimoji="1" lang="en-US" altLang="ja-JP" sz="9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rPr>
            <a:t>(Container)</a:t>
          </a:r>
          <a:r>
            <a:rPr kumimoji="1" lang="ja-JP" altLang="en-US" sz="9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rPr>
            <a:t>作成</a:t>
          </a:r>
          <a:endParaRPr kumimoji="1" lang="en-US" altLang="ja-JP" sz="9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endParaRPr>
        </a:p>
      </xdr:txBody>
    </xdr:sp>
    <xdr:clientData/>
  </xdr:twoCellAnchor>
  <xdr:twoCellAnchor>
    <xdr:from>
      <xdr:col>16</xdr:col>
      <xdr:colOff>0</xdr:colOff>
      <xdr:row>10</xdr:row>
      <xdr:rowOff>0</xdr:rowOff>
    </xdr:from>
    <xdr:to>
      <xdr:col>27</xdr:col>
      <xdr:colOff>176892</xdr:colOff>
      <xdr:row>11</xdr:row>
      <xdr:rowOff>106135</xdr:rowOff>
    </xdr:to>
    <xdr:sp macro="" textlink="">
      <xdr:nvSpPr>
        <xdr:cNvPr id="4" name="正方形/長方形 3">
          <a:extLst>
            <a:ext uri="{FF2B5EF4-FFF2-40B4-BE49-F238E27FC236}">
              <a16:creationId xmlns:a16="http://schemas.microsoft.com/office/drawing/2014/main" id="{C2403330-8515-4203-8007-354B44947CD5}"/>
            </a:ext>
          </a:extLst>
        </xdr:cNvPr>
        <xdr:cNvSpPr/>
      </xdr:nvSpPr>
      <xdr:spPr>
        <a:xfrm>
          <a:off x="3048000" y="2095500"/>
          <a:ext cx="2272392" cy="296635"/>
        </a:xfrm>
        <a:prstGeom prst="rect">
          <a:avLst/>
        </a:prstGeom>
        <a:solidFill>
          <a:sysClr val="window" lastClr="FFFFFF"/>
        </a:solidFill>
        <a:ln w="12700" cap="flat" cmpd="sng" algn="ctr">
          <a:solidFill>
            <a:sysClr val="windowText" lastClr="000000"/>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9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rPr>
            <a:t>AzureFiles</a:t>
          </a:r>
          <a:r>
            <a:rPr kumimoji="1" lang="ja-JP" altLang="en-US" sz="9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rPr>
            <a:t>連携共通</a:t>
          </a:r>
          <a:r>
            <a:rPr kumimoji="1" lang="en-US" altLang="ja-JP" sz="9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rPr>
            <a:t>IF</a:t>
          </a:r>
          <a:r>
            <a:rPr kumimoji="1" lang="ja-JP" altLang="en-US" sz="9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rPr>
            <a:t>呼び出し</a:t>
          </a:r>
          <a:endParaRPr kumimoji="1" lang="en-US" altLang="ja-JP" sz="9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endParaRPr>
        </a:p>
      </xdr:txBody>
    </xdr:sp>
    <xdr:clientData/>
  </xdr:twoCellAnchor>
  <xdr:twoCellAnchor>
    <xdr:from>
      <xdr:col>12</xdr:col>
      <xdr:colOff>176892</xdr:colOff>
      <xdr:row>6</xdr:row>
      <xdr:rowOff>148318</xdr:rowOff>
    </xdr:from>
    <xdr:to>
      <xdr:col>16</xdr:col>
      <xdr:colOff>0</xdr:colOff>
      <xdr:row>6</xdr:row>
      <xdr:rowOff>148318</xdr:rowOff>
    </xdr:to>
    <xdr:cxnSp macro="">
      <xdr:nvCxnSpPr>
        <xdr:cNvPr id="5" name="直線矢印コネクタ 4">
          <a:extLst>
            <a:ext uri="{FF2B5EF4-FFF2-40B4-BE49-F238E27FC236}">
              <a16:creationId xmlns:a16="http://schemas.microsoft.com/office/drawing/2014/main" id="{0A3F269D-A43E-4450-BECF-1CF71E228CE8}"/>
            </a:ext>
          </a:extLst>
        </xdr:cNvPr>
        <xdr:cNvCxnSpPr>
          <a:cxnSpLocks/>
          <a:stCxn id="2" idx="3"/>
          <a:endCxn id="3" idx="1"/>
        </xdr:cNvCxnSpPr>
      </xdr:nvCxnSpPr>
      <xdr:spPr>
        <a:xfrm>
          <a:off x="2462892" y="1291318"/>
          <a:ext cx="585108" cy="0"/>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21</xdr:col>
      <xdr:colOff>183696</xdr:colOff>
      <xdr:row>7</xdr:row>
      <xdr:rowOff>106135</xdr:rowOff>
    </xdr:from>
    <xdr:to>
      <xdr:col>21</xdr:col>
      <xdr:colOff>183696</xdr:colOff>
      <xdr:row>10</xdr:row>
      <xdr:rowOff>0</xdr:rowOff>
    </xdr:to>
    <xdr:cxnSp macro="">
      <xdr:nvCxnSpPr>
        <xdr:cNvPr id="8" name="直線矢印コネクタ 7">
          <a:extLst>
            <a:ext uri="{FF2B5EF4-FFF2-40B4-BE49-F238E27FC236}">
              <a16:creationId xmlns:a16="http://schemas.microsoft.com/office/drawing/2014/main" id="{6CAAFDDF-6B5D-4BD5-905A-AF9DE37C4660}"/>
            </a:ext>
          </a:extLst>
        </xdr:cNvPr>
        <xdr:cNvCxnSpPr>
          <a:cxnSpLocks/>
          <a:stCxn id="3" idx="2"/>
          <a:endCxn id="4" idx="0"/>
        </xdr:cNvCxnSpPr>
      </xdr:nvCxnSpPr>
      <xdr:spPr>
        <a:xfrm>
          <a:off x="4184196" y="1439635"/>
          <a:ext cx="0" cy="65586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20</xdr:col>
      <xdr:colOff>133350</xdr:colOff>
      <xdr:row>16</xdr:row>
      <xdr:rowOff>57150</xdr:rowOff>
    </xdr:from>
    <xdr:to>
      <xdr:col>32</xdr:col>
      <xdr:colOff>119742</xdr:colOff>
      <xdr:row>17</xdr:row>
      <xdr:rowOff>163285</xdr:rowOff>
    </xdr:to>
    <xdr:sp macro="" textlink="">
      <xdr:nvSpPr>
        <xdr:cNvPr id="20" name="正方形/長方形 19">
          <a:extLst>
            <a:ext uri="{FF2B5EF4-FFF2-40B4-BE49-F238E27FC236}">
              <a16:creationId xmlns:a16="http://schemas.microsoft.com/office/drawing/2014/main" id="{3BC0AAA9-226A-4A3F-A116-4D589E20BC89}"/>
            </a:ext>
          </a:extLst>
        </xdr:cNvPr>
        <xdr:cNvSpPr/>
      </xdr:nvSpPr>
      <xdr:spPr>
        <a:xfrm>
          <a:off x="3943350" y="2724150"/>
          <a:ext cx="2272392" cy="296635"/>
        </a:xfrm>
        <a:prstGeom prst="rect">
          <a:avLst/>
        </a:prstGeom>
        <a:solidFill>
          <a:sysClr val="window" lastClr="FFFFFF"/>
        </a:solidFill>
        <a:ln w="12700" cap="flat" cmpd="sng" algn="ctr">
          <a:solidFill>
            <a:sysClr val="windowText" lastClr="000000"/>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9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rPr>
            <a:t>1-1. </a:t>
          </a:r>
          <a:r>
            <a:rPr kumimoji="1" lang="ja-JP" altLang="en-US" sz="9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rPr>
            <a:t>引数チェック</a:t>
          </a:r>
          <a:endParaRPr kumimoji="1" lang="en-US" altLang="ja-JP" sz="9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endParaRPr>
        </a:p>
      </xdr:txBody>
    </xdr:sp>
    <xdr:clientData/>
  </xdr:twoCellAnchor>
  <xdr:twoCellAnchor>
    <xdr:from>
      <xdr:col>21</xdr:col>
      <xdr:colOff>183697</xdr:colOff>
      <xdr:row>11</xdr:row>
      <xdr:rowOff>106134</xdr:rowOff>
    </xdr:from>
    <xdr:to>
      <xdr:col>26</xdr:col>
      <xdr:colOff>126547</xdr:colOff>
      <xdr:row>16</xdr:row>
      <xdr:rowOff>57149</xdr:rowOff>
    </xdr:to>
    <xdr:cxnSp macro="">
      <xdr:nvCxnSpPr>
        <xdr:cNvPr id="21" name="直線矢印コネクタ 20">
          <a:extLst>
            <a:ext uri="{FF2B5EF4-FFF2-40B4-BE49-F238E27FC236}">
              <a16:creationId xmlns:a16="http://schemas.microsoft.com/office/drawing/2014/main" id="{1FFEDD0D-618B-4831-A083-B05D5AA27952}"/>
            </a:ext>
          </a:extLst>
        </xdr:cNvPr>
        <xdr:cNvCxnSpPr>
          <a:cxnSpLocks/>
          <a:stCxn id="4" idx="2"/>
          <a:endCxn id="20" idx="0"/>
        </xdr:cNvCxnSpPr>
      </xdr:nvCxnSpPr>
      <xdr:spPr>
        <a:xfrm rot="16200000" flipH="1">
          <a:off x="4370614" y="2015217"/>
          <a:ext cx="522515" cy="895350"/>
        </a:xfrm>
        <a:prstGeom prst="bentConnector3">
          <a:avLst>
            <a:gd name="adj1" fmla="val 50000"/>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20</xdr:col>
      <xdr:colOff>133350</xdr:colOff>
      <xdr:row>20</xdr:row>
      <xdr:rowOff>101600</xdr:rowOff>
    </xdr:from>
    <xdr:to>
      <xdr:col>32</xdr:col>
      <xdr:colOff>119742</xdr:colOff>
      <xdr:row>22</xdr:row>
      <xdr:rowOff>17235</xdr:rowOff>
    </xdr:to>
    <xdr:sp macro="" textlink="">
      <xdr:nvSpPr>
        <xdr:cNvPr id="24" name="正方形/長方形 23">
          <a:extLst>
            <a:ext uri="{FF2B5EF4-FFF2-40B4-BE49-F238E27FC236}">
              <a16:creationId xmlns:a16="http://schemas.microsoft.com/office/drawing/2014/main" id="{4422E596-3072-4D46-955A-3A5A919DF41B}"/>
            </a:ext>
          </a:extLst>
        </xdr:cNvPr>
        <xdr:cNvSpPr/>
      </xdr:nvSpPr>
      <xdr:spPr>
        <a:xfrm>
          <a:off x="3943350" y="3530600"/>
          <a:ext cx="2272392" cy="296635"/>
        </a:xfrm>
        <a:prstGeom prst="rect">
          <a:avLst/>
        </a:prstGeom>
        <a:solidFill>
          <a:sysClr val="window" lastClr="FFFFFF"/>
        </a:solidFill>
        <a:ln w="12700" cap="flat" cmpd="sng" algn="ctr">
          <a:solidFill>
            <a:sysClr val="windowText" lastClr="000000"/>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9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rPr>
            <a:t>1-2.</a:t>
          </a:r>
          <a:r>
            <a:rPr kumimoji="1" lang="ja-JP" altLang="en-US" sz="9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rPr>
            <a:t> </a:t>
          </a:r>
          <a:r>
            <a:rPr kumimoji="1" lang="en-US" altLang="ja-JP" sz="9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rPr>
            <a:t>Azure Files</a:t>
          </a:r>
          <a:r>
            <a:rPr kumimoji="1" lang="ja-JP" altLang="en-US" sz="9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rPr>
            <a:t>認証</a:t>
          </a:r>
          <a:endParaRPr kumimoji="1" lang="en-US" altLang="ja-JP" sz="9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endParaRPr>
        </a:p>
      </xdr:txBody>
    </xdr:sp>
    <xdr:clientData/>
  </xdr:twoCellAnchor>
  <xdr:twoCellAnchor>
    <xdr:from>
      <xdr:col>26</xdr:col>
      <xdr:colOff>126546</xdr:colOff>
      <xdr:row>17</xdr:row>
      <xdr:rowOff>163285</xdr:rowOff>
    </xdr:from>
    <xdr:to>
      <xdr:col>26</xdr:col>
      <xdr:colOff>126546</xdr:colOff>
      <xdr:row>20</xdr:row>
      <xdr:rowOff>101600</xdr:rowOff>
    </xdr:to>
    <xdr:cxnSp macro="">
      <xdr:nvCxnSpPr>
        <xdr:cNvPr id="25" name="直線矢印コネクタ 24">
          <a:extLst>
            <a:ext uri="{FF2B5EF4-FFF2-40B4-BE49-F238E27FC236}">
              <a16:creationId xmlns:a16="http://schemas.microsoft.com/office/drawing/2014/main" id="{E04F3D23-694E-4877-A6FA-4D1B224F9AC4}"/>
            </a:ext>
          </a:extLst>
        </xdr:cNvPr>
        <xdr:cNvCxnSpPr>
          <a:cxnSpLocks/>
          <a:stCxn id="20" idx="2"/>
          <a:endCxn id="24" idx="0"/>
        </xdr:cNvCxnSpPr>
      </xdr:nvCxnSpPr>
      <xdr:spPr>
        <a:xfrm>
          <a:off x="5079546" y="3020785"/>
          <a:ext cx="0" cy="50981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20</xdr:col>
      <xdr:colOff>133350</xdr:colOff>
      <xdr:row>24</xdr:row>
      <xdr:rowOff>184150</xdr:rowOff>
    </xdr:from>
    <xdr:to>
      <xdr:col>32</xdr:col>
      <xdr:colOff>119742</xdr:colOff>
      <xdr:row>26</xdr:row>
      <xdr:rowOff>99785</xdr:rowOff>
    </xdr:to>
    <xdr:sp macro="" textlink="">
      <xdr:nvSpPr>
        <xdr:cNvPr id="28" name="正方形/長方形 27">
          <a:extLst>
            <a:ext uri="{FF2B5EF4-FFF2-40B4-BE49-F238E27FC236}">
              <a16:creationId xmlns:a16="http://schemas.microsoft.com/office/drawing/2014/main" id="{F12D631F-74DA-4B5A-B395-B705DF5AC8B8}"/>
            </a:ext>
          </a:extLst>
        </xdr:cNvPr>
        <xdr:cNvSpPr/>
      </xdr:nvSpPr>
      <xdr:spPr>
        <a:xfrm>
          <a:off x="3943350" y="4375150"/>
          <a:ext cx="2272392" cy="296635"/>
        </a:xfrm>
        <a:prstGeom prst="rect">
          <a:avLst/>
        </a:prstGeom>
        <a:solidFill>
          <a:sysClr val="window" lastClr="FFFFFF"/>
        </a:solidFill>
        <a:ln w="12700" cap="flat" cmpd="sng" algn="ctr">
          <a:solidFill>
            <a:sysClr val="windowText" lastClr="000000"/>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9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rPr>
            <a:t>1-3.</a:t>
          </a:r>
          <a:r>
            <a:rPr kumimoji="1" lang="ja-JP" altLang="en-US" sz="9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rPr>
            <a:t> フォルダ存在チェック</a:t>
          </a:r>
          <a:endParaRPr kumimoji="1" lang="en-US" altLang="ja-JP" sz="9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endParaRPr>
        </a:p>
      </xdr:txBody>
    </xdr:sp>
    <xdr:clientData/>
  </xdr:twoCellAnchor>
  <xdr:twoCellAnchor>
    <xdr:from>
      <xdr:col>26</xdr:col>
      <xdr:colOff>126546</xdr:colOff>
      <xdr:row>22</xdr:row>
      <xdr:rowOff>17235</xdr:rowOff>
    </xdr:from>
    <xdr:to>
      <xdr:col>26</xdr:col>
      <xdr:colOff>126546</xdr:colOff>
      <xdr:row>24</xdr:row>
      <xdr:rowOff>184150</xdr:rowOff>
    </xdr:to>
    <xdr:cxnSp macro="">
      <xdr:nvCxnSpPr>
        <xdr:cNvPr id="29" name="直線矢印コネクタ 28">
          <a:extLst>
            <a:ext uri="{FF2B5EF4-FFF2-40B4-BE49-F238E27FC236}">
              <a16:creationId xmlns:a16="http://schemas.microsoft.com/office/drawing/2014/main" id="{D1FE9938-D141-4EA3-906D-4A051DD7F905}"/>
            </a:ext>
          </a:extLst>
        </xdr:cNvPr>
        <xdr:cNvCxnSpPr>
          <a:cxnSpLocks/>
          <a:stCxn id="24" idx="2"/>
          <a:endCxn id="28" idx="0"/>
        </xdr:cNvCxnSpPr>
      </xdr:nvCxnSpPr>
      <xdr:spPr>
        <a:xfrm>
          <a:off x="5079546" y="3827235"/>
          <a:ext cx="0" cy="54791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20</xdr:col>
      <xdr:colOff>133350</xdr:colOff>
      <xdr:row>29</xdr:row>
      <xdr:rowOff>63500</xdr:rowOff>
    </xdr:from>
    <xdr:to>
      <xdr:col>32</xdr:col>
      <xdr:colOff>119742</xdr:colOff>
      <xdr:row>30</xdr:row>
      <xdr:rowOff>169635</xdr:rowOff>
    </xdr:to>
    <xdr:sp macro="" textlink="">
      <xdr:nvSpPr>
        <xdr:cNvPr id="32" name="正方形/長方形 31">
          <a:extLst>
            <a:ext uri="{FF2B5EF4-FFF2-40B4-BE49-F238E27FC236}">
              <a16:creationId xmlns:a16="http://schemas.microsoft.com/office/drawing/2014/main" id="{33DAC151-FDBA-4077-8054-E2C0238C6EA0}"/>
            </a:ext>
          </a:extLst>
        </xdr:cNvPr>
        <xdr:cNvSpPr/>
      </xdr:nvSpPr>
      <xdr:spPr>
        <a:xfrm>
          <a:off x="3943350" y="5207000"/>
          <a:ext cx="2272392" cy="296635"/>
        </a:xfrm>
        <a:prstGeom prst="rect">
          <a:avLst/>
        </a:prstGeom>
        <a:solidFill>
          <a:sysClr val="window" lastClr="FFFFFF"/>
        </a:solidFill>
        <a:ln w="12700" cap="flat" cmpd="sng" algn="ctr">
          <a:solidFill>
            <a:sysClr val="windowText" lastClr="000000"/>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9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rPr>
            <a:t>1-4.</a:t>
          </a:r>
          <a:r>
            <a:rPr kumimoji="1" lang="ja-JP" altLang="en-US" sz="9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rPr>
            <a:t> ファイル存在チェック</a:t>
          </a:r>
          <a:endParaRPr kumimoji="1" lang="en-US" altLang="ja-JP" sz="9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endParaRPr>
        </a:p>
      </xdr:txBody>
    </xdr:sp>
    <xdr:clientData/>
  </xdr:twoCellAnchor>
  <xdr:twoCellAnchor>
    <xdr:from>
      <xdr:col>26</xdr:col>
      <xdr:colOff>126546</xdr:colOff>
      <xdr:row>26</xdr:row>
      <xdr:rowOff>99785</xdr:rowOff>
    </xdr:from>
    <xdr:to>
      <xdr:col>26</xdr:col>
      <xdr:colOff>126546</xdr:colOff>
      <xdr:row>29</xdr:row>
      <xdr:rowOff>63500</xdr:rowOff>
    </xdr:to>
    <xdr:cxnSp macro="">
      <xdr:nvCxnSpPr>
        <xdr:cNvPr id="33" name="直線矢印コネクタ 32">
          <a:extLst>
            <a:ext uri="{FF2B5EF4-FFF2-40B4-BE49-F238E27FC236}">
              <a16:creationId xmlns:a16="http://schemas.microsoft.com/office/drawing/2014/main" id="{35A60777-9039-47F6-A371-C0C723521287}"/>
            </a:ext>
          </a:extLst>
        </xdr:cNvPr>
        <xdr:cNvCxnSpPr>
          <a:cxnSpLocks/>
          <a:stCxn id="28" idx="2"/>
          <a:endCxn id="32" idx="0"/>
        </xdr:cNvCxnSpPr>
      </xdr:nvCxnSpPr>
      <xdr:spPr>
        <a:xfrm>
          <a:off x="5079546" y="4671785"/>
          <a:ext cx="0" cy="53521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20</xdr:col>
      <xdr:colOff>133350</xdr:colOff>
      <xdr:row>33</xdr:row>
      <xdr:rowOff>171450</xdr:rowOff>
    </xdr:from>
    <xdr:to>
      <xdr:col>32</xdr:col>
      <xdr:colOff>119742</xdr:colOff>
      <xdr:row>35</xdr:row>
      <xdr:rowOff>87085</xdr:rowOff>
    </xdr:to>
    <xdr:sp macro="" textlink="">
      <xdr:nvSpPr>
        <xdr:cNvPr id="36" name="正方形/長方形 35">
          <a:extLst>
            <a:ext uri="{FF2B5EF4-FFF2-40B4-BE49-F238E27FC236}">
              <a16:creationId xmlns:a16="http://schemas.microsoft.com/office/drawing/2014/main" id="{53E2B537-46BD-4DC5-B377-DC1386854D8D}"/>
            </a:ext>
          </a:extLst>
        </xdr:cNvPr>
        <xdr:cNvSpPr/>
      </xdr:nvSpPr>
      <xdr:spPr>
        <a:xfrm>
          <a:off x="3943350" y="6076950"/>
          <a:ext cx="2272392" cy="296635"/>
        </a:xfrm>
        <a:prstGeom prst="rect">
          <a:avLst/>
        </a:prstGeom>
        <a:solidFill>
          <a:sysClr val="window" lastClr="FFFFFF"/>
        </a:solidFill>
        <a:ln w="12700" cap="flat" cmpd="sng" algn="ctr">
          <a:solidFill>
            <a:sysClr val="windowText" lastClr="000000"/>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9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rPr>
            <a:t>1-5.</a:t>
          </a:r>
          <a:r>
            <a:rPr kumimoji="1" lang="ja-JP" altLang="en-US" sz="9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rPr>
            <a:t> ファイル出力</a:t>
          </a:r>
          <a:endParaRPr kumimoji="1" lang="en-US" altLang="ja-JP" sz="9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endParaRPr>
        </a:p>
      </xdr:txBody>
    </xdr:sp>
    <xdr:clientData/>
  </xdr:twoCellAnchor>
  <xdr:twoCellAnchor>
    <xdr:from>
      <xdr:col>26</xdr:col>
      <xdr:colOff>126546</xdr:colOff>
      <xdr:row>30</xdr:row>
      <xdr:rowOff>169635</xdr:rowOff>
    </xdr:from>
    <xdr:to>
      <xdr:col>26</xdr:col>
      <xdr:colOff>126546</xdr:colOff>
      <xdr:row>33</xdr:row>
      <xdr:rowOff>171450</xdr:rowOff>
    </xdr:to>
    <xdr:cxnSp macro="">
      <xdr:nvCxnSpPr>
        <xdr:cNvPr id="37" name="直線矢印コネクタ 36">
          <a:extLst>
            <a:ext uri="{FF2B5EF4-FFF2-40B4-BE49-F238E27FC236}">
              <a16:creationId xmlns:a16="http://schemas.microsoft.com/office/drawing/2014/main" id="{289C4F1E-D093-402C-B799-8FDDA204C50F}"/>
            </a:ext>
          </a:extLst>
        </xdr:cNvPr>
        <xdr:cNvCxnSpPr>
          <a:cxnSpLocks/>
          <a:stCxn id="32" idx="2"/>
          <a:endCxn id="36" idx="0"/>
        </xdr:cNvCxnSpPr>
      </xdr:nvCxnSpPr>
      <xdr:spPr>
        <a:xfrm>
          <a:off x="5079546" y="5503635"/>
          <a:ext cx="0" cy="57331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20</xdr:col>
      <xdr:colOff>139700</xdr:colOff>
      <xdr:row>38</xdr:row>
      <xdr:rowOff>82550</xdr:rowOff>
    </xdr:from>
    <xdr:to>
      <xdr:col>32</xdr:col>
      <xdr:colOff>126092</xdr:colOff>
      <xdr:row>39</xdr:row>
      <xdr:rowOff>188685</xdr:rowOff>
    </xdr:to>
    <xdr:sp macro="" textlink="">
      <xdr:nvSpPr>
        <xdr:cNvPr id="40" name="正方形/長方形 39">
          <a:extLst>
            <a:ext uri="{FF2B5EF4-FFF2-40B4-BE49-F238E27FC236}">
              <a16:creationId xmlns:a16="http://schemas.microsoft.com/office/drawing/2014/main" id="{D55A3CC6-E38A-45CC-AF89-48629F9275F8}"/>
            </a:ext>
          </a:extLst>
        </xdr:cNvPr>
        <xdr:cNvSpPr/>
      </xdr:nvSpPr>
      <xdr:spPr>
        <a:xfrm>
          <a:off x="3949700" y="6940550"/>
          <a:ext cx="2272392" cy="296635"/>
        </a:xfrm>
        <a:prstGeom prst="rect">
          <a:avLst/>
        </a:prstGeom>
        <a:solidFill>
          <a:sysClr val="window" lastClr="FFFFFF"/>
        </a:solidFill>
        <a:ln w="12700" cap="flat" cmpd="sng" algn="ctr">
          <a:solidFill>
            <a:sysClr val="windowText" lastClr="000000"/>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9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rPr>
            <a:t>1-6.</a:t>
          </a:r>
          <a:r>
            <a:rPr kumimoji="1" lang="ja-JP" altLang="en-US" sz="9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rPr>
            <a:t> 戻り値の設定</a:t>
          </a:r>
          <a:endParaRPr kumimoji="1" lang="en-US" altLang="ja-JP" sz="9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endParaRPr>
        </a:p>
      </xdr:txBody>
    </xdr:sp>
    <xdr:clientData/>
  </xdr:twoCellAnchor>
  <xdr:twoCellAnchor>
    <xdr:from>
      <xdr:col>26</xdr:col>
      <xdr:colOff>126546</xdr:colOff>
      <xdr:row>35</xdr:row>
      <xdr:rowOff>87085</xdr:rowOff>
    </xdr:from>
    <xdr:to>
      <xdr:col>26</xdr:col>
      <xdr:colOff>132896</xdr:colOff>
      <xdr:row>38</xdr:row>
      <xdr:rowOff>82550</xdr:rowOff>
    </xdr:to>
    <xdr:cxnSp macro="">
      <xdr:nvCxnSpPr>
        <xdr:cNvPr id="41" name="直線矢印コネクタ 40">
          <a:extLst>
            <a:ext uri="{FF2B5EF4-FFF2-40B4-BE49-F238E27FC236}">
              <a16:creationId xmlns:a16="http://schemas.microsoft.com/office/drawing/2014/main" id="{A610D21B-DF59-417A-BB5A-1E824922D130}"/>
            </a:ext>
          </a:extLst>
        </xdr:cNvPr>
        <xdr:cNvCxnSpPr>
          <a:cxnSpLocks/>
          <a:stCxn id="36" idx="2"/>
          <a:endCxn id="40" idx="0"/>
        </xdr:cNvCxnSpPr>
      </xdr:nvCxnSpPr>
      <xdr:spPr>
        <a:xfrm>
          <a:off x="5079546" y="6373585"/>
          <a:ext cx="6350" cy="56696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17</xdr:col>
      <xdr:colOff>0</xdr:colOff>
      <xdr:row>44</xdr:row>
      <xdr:rowOff>0</xdr:rowOff>
    </xdr:from>
    <xdr:to>
      <xdr:col>28</xdr:col>
      <xdr:colOff>176892</xdr:colOff>
      <xdr:row>45</xdr:row>
      <xdr:rowOff>106135</xdr:rowOff>
    </xdr:to>
    <xdr:sp macro="" textlink="">
      <xdr:nvSpPr>
        <xdr:cNvPr id="44" name="正方形/長方形 43">
          <a:extLst>
            <a:ext uri="{FF2B5EF4-FFF2-40B4-BE49-F238E27FC236}">
              <a16:creationId xmlns:a16="http://schemas.microsoft.com/office/drawing/2014/main" id="{9A614164-C6D3-42B2-AF01-162FCC9A9703}"/>
            </a:ext>
          </a:extLst>
        </xdr:cNvPr>
        <xdr:cNvSpPr/>
      </xdr:nvSpPr>
      <xdr:spPr>
        <a:xfrm>
          <a:off x="3238500" y="7810500"/>
          <a:ext cx="2272392" cy="296635"/>
        </a:xfrm>
        <a:prstGeom prst="rect">
          <a:avLst/>
        </a:prstGeom>
        <a:solidFill>
          <a:sysClr val="window" lastClr="FFFFFF"/>
        </a:solidFill>
        <a:ln w="12700" cap="flat" cmpd="sng" algn="ctr">
          <a:solidFill>
            <a:sysClr val="windowText" lastClr="000000"/>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9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rPr>
            <a:t>後続処理</a:t>
          </a:r>
          <a:endParaRPr kumimoji="1" lang="en-US" altLang="ja-JP" sz="9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endParaRPr>
        </a:p>
      </xdr:txBody>
    </xdr:sp>
    <xdr:clientData/>
  </xdr:twoCellAnchor>
  <xdr:twoCellAnchor>
    <xdr:from>
      <xdr:col>22</xdr:col>
      <xdr:colOff>183697</xdr:colOff>
      <xdr:row>39</xdr:row>
      <xdr:rowOff>188684</xdr:rowOff>
    </xdr:from>
    <xdr:to>
      <xdr:col>26</xdr:col>
      <xdr:colOff>132897</xdr:colOff>
      <xdr:row>43</xdr:row>
      <xdr:rowOff>190499</xdr:rowOff>
    </xdr:to>
    <xdr:cxnSp macro="">
      <xdr:nvCxnSpPr>
        <xdr:cNvPr id="45" name="直線矢印コネクタ 20">
          <a:extLst>
            <a:ext uri="{FF2B5EF4-FFF2-40B4-BE49-F238E27FC236}">
              <a16:creationId xmlns:a16="http://schemas.microsoft.com/office/drawing/2014/main" id="{A08D2E68-8B5F-451E-8F1A-64D62F52F883}"/>
            </a:ext>
          </a:extLst>
        </xdr:cNvPr>
        <xdr:cNvCxnSpPr>
          <a:cxnSpLocks/>
          <a:stCxn id="40" idx="2"/>
          <a:endCxn id="44" idx="0"/>
        </xdr:cNvCxnSpPr>
      </xdr:nvCxnSpPr>
      <xdr:spPr>
        <a:xfrm rot="5400000">
          <a:off x="4443639" y="7168242"/>
          <a:ext cx="573315" cy="711200"/>
        </a:xfrm>
        <a:prstGeom prst="bentConnector3">
          <a:avLst>
            <a:gd name="adj1" fmla="val 50000"/>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39</xdr:col>
      <xdr:colOff>120650</xdr:colOff>
      <xdr:row>15</xdr:row>
      <xdr:rowOff>107950</xdr:rowOff>
    </xdr:from>
    <xdr:to>
      <xdr:col>45</xdr:col>
      <xdr:colOff>88899</xdr:colOff>
      <xdr:row>18</xdr:row>
      <xdr:rowOff>133350</xdr:rowOff>
    </xdr:to>
    <xdr:grpSp>
      <xdr:nvGrpSpPr>
        <xdr:cNvPr id="50" name="グループ化 49">
          <a:extLst>
            <a:ext uri="{FF2B5EF4-FFF2-40B4-BE49-F238E27FC236}">
              <a16:creationId xmlns:a16="http://schemas.microsoft.com/office/drawing/2014/main" id="{86745C5F-1E70-4E50-B78C-DCBB5DE2D2D7}"/>
            </a:ext>
          </a:extLst>
        </xdr:cNvPr>
        <xdr:cNvGrpSpPr/>
      </xdr:nvGrpSpPr>
      <xdr:grpSpPr>
        <a:xfrm>
          <a:off x="7550150" y="2965450"/>
          <a:ext cx="1111249" cy="596900"/>
          <a:chOff x="5588000" y="13982700"/>
          <a:chExt cx="1111249" cy="596900"/>
        </a:xfrm>
      </xdr:grpSpPr>
      <xdr:sp macro="" textlink="">
        <xdr:nvSpPr>
          <xdr:cNvPr id="51" name="円柱 50">
            <a:extLst>
              <a:ext uri="{FF2B5EF4-FFF2-40B4-BE49-F238E27FC236}">
                <a16:creationId xmlns:a16="http://schemas.microsoft.com/office/drawing/2014/main" id="{7DFACF22-3E20-B559-FF55-255E10F82644}"/>
              </a:ext>
            </a:extLst>
          </xdr:cNvPr>
          <xdr:cNvSpPr/>
        </xdr:nvSpPr>
        <xdr:spPr>
          <a:xfrm>
            <a:off x="5600700" y="13982700"/>
            <a:ext cx="1067132" cy="589550"/>
          </a:xfrm>
          <a:prstGeom prst="can">
            <a:avLst>
              <a:gd name="adj" fmla="val 26958"/>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endParaRPr kumimoji="1" lang="en-US" altLang="ja-JP" sz="900">
              <a:latin typeface="Meiryo UI" panose="020B0604030504040204" pitchFamily="50" charset="-128"/>
              <a:ea typeface="Meiryo UI" panose="020B0604030504040204" pitchFamily="50" charset="-128"/>
            </a:endParaRPr>
          </a:p>
        </xdr:txBody>
      </xdr:sp>
      <xdr:sp macro="" textlink="">
        <xdr:nvSpPr>
          <xdr:cNvPr id="52" name="テキスト ボックス 51">
            <a:extLst>
              <a:ext uri="{FF2B5EF4-FFF2-40B4-BE49-F238E27FC236}">
                <a16:creationId xmlns:a16="http://schemas.microsoft.com/office/drawing/2014/main" id="{F67D55B1-B05E-385F-B91B-ACDEC83BBB54}"/>
              </a:ext>
            </a:extLst>
          </xdr:cNvPr>
          <xdr:cNvSpPr txBox="1"/>
        </xdr:nvSpPr>
        <xdr:spPr>
          <a:xfrm>
            <a:off x="5588000" y="14084300"/>
            <a:ext cx="1111249" cy="495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en-US" altLang="ja-JP" sz="900">
                <a:solidFill>
                  <a:schemeClr val="dk1"/>
                </a:solidFill>
                <a:effectLst/>
                <a:latin typeface="Meiryo UI" panose="020B0604030504040204" pitchFamily="50" charset="-128"/>
                <a:ea typeface="Meiryo UI" panose="020B0604030504040204" pitchFamily="50" charset="-128"/>
                <a:cs typeface="+mn-cs"/>
              </a:rPr>
              <a:t>Azure Files</a:t>
            </a:r>
            <a:br>
              <a:rPr kumimoji="1" lang="en-US" altLang="ja-JP" sz="900">
                <a:solidFill>
                  <a:schemeClr val="dk1"/>
                </a:solidFill>
                <a:effectLst/>
                <a:latin typeface="Meiryo UI" panose="020B0604030504040204" pitchFamily="50" charset="-128"/>
                <a:ea typeface="Meiryo UI" panose="020B0604030504040204" pitchFamily="50" charset="-128"/>
                <a:cs typeface="+mn-cs"/>
              </a:rPr>
            </a:br>
            <a:r>
              <a:rPr kumimoji="1" lang="ja-JP" altLang="en-US" sz="900">
                <a:solidFill>
                  <a:schemeClr val="dk1"/>
                </a:solidFill>
                <a:effectLst/>
                <a:latin typeface="Meiryo UI" panose="020B0604030504040204" pitchFamily="50" charset="-128"/>
                <a:ea typeface="Meiryo UI" panose="020B0604030504040204" pitchFamily="50" charset="-128"/>
                <a:cs typeface="+mn-cs"/>
              </a:rPr>
              <a:t>マウント定義マスタ</a:t>
            </a:r>
            <a:endParaRPr lang="ja-JP" altLang="ja-JP" sz="900">
              <a:effectLst/>
              <a:latin typeface="Meiryo UI" panose="020B0604030504040204" pitchFamily="50" charset="-128"/>
              <a:ea typeface="Meiryo UI" panose="020B0604030504040204" pitchFamily="50" charset="-128"/>
            </a:endParaRPr>
          </a:p>
        </xdr:txBody>
      </xdr:sp>
    </xdr:grpSp>
    <xdr:clientData/>
  </xdr:twoCellAnchor>
  <xdr:twoCellAnchor>
    <xdr:from>
      <xdr:col>32</xdr:col>
      <xdr:colOff>119742</xdr:colOff>
      <xdr:row>17</xdr:row>
      <xdr:rowOff>14968</xdr:rowOff>
    </xdr:from>
    <xdr:to>
      <xdr:col>39</xdr:col>
      <xdr:colOff>63500</xdr:colOff>
      <xdr:row>17</xdr:row>
      <xdr:rowOff>15875</xdr:rowOff>
    </xdr:to>
    <xdr:cxnSp macro="">
      <xdr:nvCxnSpPr>
        <xdr:cNvPr id="53" name="直線矢印コネクタ 52">
          <a:extLst>
            <a:ext uri="{FF2B5EF4-FFF2-40B4-BE49-F238E27FC236}">
              <a16:creationId xmlns:a16="http://schemas.microsoft.com/office/drawing/2014/main" id="{4F22E11C-6E24-4170-8C9B-C63A63D96474}"/>
            </a:ext>
          </a:extLst>
        </xdr:cNvPr>
        <xdr:cNvCxnSpPr>
          <a:cxnSpLocks/>
          <a:stCxn id="49" idx="1"/>
          <a:endCxn id="20" idx="3"/>
        </xdr:cNvCxnSpPr>
      </xdr:nvCxnSpPr>
      <xdr:spPr>
        <a:xfrm flipH="1" flipV="1">
          <a:off x="6215742" y="2872468"/>
          <a:ext cx="1277258" cy="907"/>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45</xdr:col>
      <xdr:colOff>76200</xdr:colOff>
      <xdr:row>15</xdr:row>
      <xdr:rowOff>107950</xdr:rowOff>
    </xdr:from>
    <xdr:to>
      <xdr:col>51</xdr:col>
      <xdr:colOff>44449</xdr:colOff>
      <xdr:row>18</xdr:row>
      <xdr:rowOff>133350</xdr:rowOff>
    </xdr:to>
    <xdr:grpSp>
      <xdr:nvGrpSpPr>
        <xdr:cNvPr id="56" name="グループ化 55">
          <a:extLst>
            <a:ext uri="{FF2B5EF4-FFF2-40B4-BE49-F238E27FC236}">
              <a16:creationId xmlns:a16="http://schemas.microsoft.com/office/drawing/2014/main" id="{7C11303E-6F9A-4405-B2DE-F7D8545917C0}"/>
            </a:ext>
          </a:extLst>
        </xdr:cNvPr>
        <xdr:cNvGrpSpPr/>
      </xdr:nvGrpSpPr>
      <xdr:grpSpPr>
        <a:xfrm>
          <a:off x="8648700" y="2965450"/>
          <a:ext cx="1111249" cy="596900"/>
          <a:chOff x="5588000" y="13982700"/>
          <a:chExt cx="1111249" cy="596900"/>
        </a:xfrm>
      </xdr:grpSpPr>
      <xdr:sp macro="" textlink="">
        <xdr:nvSpPr>
          <xdr:cNvPr id="57" name="円柱 56">
            <a:extLst>
              <a:ext uri="{FF2B5EF4-FFF2-40B4-BE49-F238E27FC236}">
                <a16:creationId xmlns:a16="http://schemas.microsoft.com/office/drawing/2014/main" id="{249DC2AD-6739-40B3-00B7-50E92B0CB990}"/>
              </a:ext>
            </a:extLst>
          </xdr:cNvPr>
          <xdr:cNvSpPr/>
        </xdr:nvSpPr>
        <xdr:spPr>
          <a:xfrm>
            <a:off x="5600700" y="13982700"/>
            <a:ext cx="1067132" cy="589550"/>
          </a:xfrm>
          <a:prstGeom prst="can">
            <a:avLst>
              <a:gd name="adj" fmla="val 26958"/>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endParaRPr kumimoji="1" lang="en-US" altLang="ja-JP" sz="900">
              <a:latin typeface="Meiryo UI" panose="020B0604030504040204" pitchFamily="50" charset="-128"/>
              <a:ea typeface="Meiryo UI" panose="020B0604030504040204" pitchFamily="50" charset="-128"/>
            </a:endParaRPr>
          </a:p>
        </xdr:txBody>
      </xdr:sp>
      <xdr:sp macro="" textlink="">
        <xdr:nvSpPr>
          <xdr:cNvPr id="58" name="テキスト ボックス 57">
            <a:extLst>
              <a:ext uri="{FF2B5EF4-FFF2-40B4-BE49-F238E27FC236}">
                <a16:creationId xmlns:a16="http://schemas.microsoft.com/office/drawing/2014/main" id="{473B1674-51D7-6F14-D8EF-B75F42BD55F4}"/>
              </a:ext>
            </a:extLst>
          </xdr:cNvPr>
          <xdr:cNvSpPr txBox="1"/>
        </xdr:nvSpPr>
        <xdr:spPr>
          <a:xfrm>
            <a:off x="5588000" y="14103350"/>
            <a:ext cx="1111249" cy="476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900">
                <a:solidFill>
                  <a:schemeClr val="dk1"/>
                </a:solidFill>
                <a:effectLst/>
                <a:latin typeface="Meiryo UI" panose="020B0604030504040204" pitchFamily="50" charset="-128"/>
                <a:ea typeface="Meiryo UI" panose="020B0604030504040204" pitchFamily="50" charset="-128"/>
                <a:cs typeface="+mn-cs"/>
              </a:rPr>
              <a:t>ファイル出力</a:t>
            </a:r>
            <a:br>
              <a:rPr kumimoji="1" lang="en-US" altLang="ja-JP" sz="900">
                <a:solidFill>
                  <a:schemeClr val="dk1"/>
                </a:solidFill>
                <a:effectLst/>
                <a:latin typeface="Meiryo UI" panose="020B0604030504040204" pitchFamily="50" charset="-128"/>
                <a:ea typeface="Meiryo UI" panose="020B0604030504040204" pitchFamily="50" charset="-128"/>
                <a:cs typeface="+mn-cs"/>
              </a:rPr>
            </a:br>
            <a:r>
              <a:rPr kumimoji="1" lang="ja-JP" altLang="en-US" sz="900">
                <a:solidFill>
                  <a:schemeClr val="dk1"/>
                </a:solidFill>
                <a:effectLst/>
                <a:latin typeface="Meiryo UI" panose="020B0604030504040204" pitchFamily="50" charset="-128"/>
                <a:ea typeface="Meiryo UI" panose="020B0604030504040204" pitchFamily="50" charset="-128"/>
                <a:cs typeface="+mn-cs"/>
              </a:rPr>
              <a:t>定義マスタ</a:t>
            </a:r>
            <a:endParaRPr lang="ja-JP" altLang="ja-JP" sz="900">
              <a:effectLst/>
              <a:latin typeface="Meiryo UI" panose="020B0604030504040204" pitchFamily="50" charset="-128"/>
              <a:ea typeface="Meiryo UI" panose="020B0604030504040204" pitchFamily="50" charset="-128"/>
            </a:endParaRPr>
          </a:p>
        </xdr:txBody>
      </xdr:sp>
    </xdr:grpSp>
    <xdr:clientData/>
  </xdr:twoCellAnchor>
  <xdr:twoCellAnchor>
    <xdr:from>
      <xdr:col>39</xdr:col>
      <xdr:colOff>63500</xdr:colOff>
      <xdr:row>15</xdr:row>
      <xdr:rowOff>0</xdr:rowOff>
    </xdr:from>
    <xdr:to>
      <xdr:col>51</xdr:col>
      <xdr:colOff>101600</xdr:colOff>
      <xdr:row>19</xdr:row>
      <xdr:rowOff>31750</xdr:rowOff>
    </xdr:to>
    <xdr:sp macro="" textlink="">
      <xdr:nvSpPr>
        <xdr:cNvPr id="49" name="正方形/長方形 48">
          <a:extLst>
            <a:ext uri="{FF2B5EF4-FFF2-40B4-BE49-F238E27FC236}">
              <a16:creationId xmlns:a16="http://schemas.microsoft.com/office/drawing/2014/main" id="{4DB3B0B6-6A63-4A16-A359-7C4C6067E9D9}"/>
            </a:ext>
          </a:extLst>
        </xdr:cNvPr>
        <xdr:cNvSpPr/>
      </xdr:nvSpPr>
      <xdr:spPr>
        <a:xfrm>
          <a:off x="7493000" y="2476500"/>
          <a:ext cx="2324100" cy="793750"/>
        </a:xfrm>
        <a:prstGeom prst="rect">
          <a:avLst/>
        </a:prstGeom>
        <a:noFill/>
        <a:ln>
          <a:solidFill>
            <a:schemeClr val="tx1"/>
          </a:solidFill>
        </a:ln>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kumimoji="1" lang="ja-JP" altLang="en-US" sz="900">
            <a:latin typeface="Meiryo UI" panose="020B0604030504040204" pitchFamily="50" charset="-128"/>
            <a:ea typeface="Meiryo UI" panose="020B0604030504040204" pitchFamily="50" charset="-128"/>
          </a:endParaRPr>
        </a:p>
      </xdr:txBody>
    </xdr:sp>
    <xdr:clientData/>
  </xdr:twoCellAnchor>
  <xdr:twoCellAnchor>
    <xdr:from>
      <xdr:col>53</xdr:col>
      <xdr:colOff>25400</xdr:colOff>
      <xdr:row>28</xdr:row>
      <xdr:rowOff>114300</xdr:rowOff>
    </xdr:from>
    <xdr:to>
      <xdr:col>58</xdr:col>
      <xdr:colOff>177802</xdr:colOff>
      <xdr:row>31</xdr:row>
      <xdr:rowOff>180975</xdr:rowOff>
    </xdr:to>
    <xdr:grpSp>
      <xdr:nvGrpSpPr>
        <xdr:cNvPr id="61" name="グループ化 60">
          <a:extLst>
            <a:ext uri="{FF2B5EF4-FFF2-40B4-BE49-F238E27FC236}">
              <a16:creationId xmlns:a16="http://schemas.microsoft.com/office/drawing/2014/main" id="{8EC7585B-09E0-4336-AC79-0E62E4D211C2}"/>
            </a:ext>
          </a:extLst>
        </xdr:cNvPr>
        <xdr:cNvGrpSpPr/>
      </xdr:nvGrpSpPr>
      <xdr:grpSpPr>
        <a:xfrm>
          <a:off x="10121900" y="5448300"/>
          <a:ext cx="1104902" cy="638175"/>
          <a:chOff x="3428999" y="12449175"/>
          <a:chExt cx="1104902" cy="638175"/>
        </a:xfrm>
      </xdr:grpSpPr>
      <xdr:sp macro="" textlink="">
        <xdr:nvSpPr>
          <xdr:cNvPr id="62" name="フローチャート: 書類 61">
            <a:extLst>
              <a:ext uri="{FF2B5EF4-FFF2-40B4-BE49-F238E27FC236}">
                <a16:creationId xmlns:a16="http://schemas.microsoft.com/office/drawing/2014/main" id="{36F77E8D-35C6-8951-4B7C-9D80DDD98492}"/>
              </a:ext>
            </a:extLst>
          </xdr:cNvPr>
          <xdr:cNvSpPr/>
        </xdr:nvSpPr>
        <xdr:spPr>
          <a:xfrm>
            <a:off x="3429000" y="12449175"/>
            <a:ext cx="1104901" cy="638175"/>
          </a:xfrm>
          <a:prstGeom prst="flowChartDocumen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l"/>
            <a:endParaRPr kumimoji="1" lang="ja-JP" altLang="en-US" sz="900">
              <a:latin typeface="Meiryo UI" panose="020B0604030504040204" pitchFamily="50" charset="-128"/>
              <a:ea typeface="Meiryo UI" panose="020B0604030504040204" pitchFamily="50" charset="-128"/>
            </a:endParaRPr>
          </a:p>
        </xdr:txBody>
      </xdr:sp>
      <xdr:sp macro="" textlink="">
        <xdr:nvSpPr>
          <xdr:cNvPr id="63" name="テキスト ボックス 62">
            <a:extLst>
              <a:ext uri="{FF2B5EF4-FFF2-40B4-BE49-F238E27FC236}">
                <a16:creationId xmlns:a16="http://schemas.microsoft.com/office/drawing/2014/main" id="{CB79DF8E-2076-A85C-7DA7-67DE1BF5EF5A}"/>
              </a:ext>
            </a:extLst>
          </xdr:cNvPr>
          <xdr:cNvSpPr txBox="1"/>
        </xdr:nvSpPr>
        <xdr:spPr>
          <a:xfrm>
            <a:off x="3428999" y="12449176"/>
            <a:ext cx="1104901" cy="6000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900">
                <a:solidFill>
                  <a:schemeClr val="dk1"/>
                </a:solidFill>
                <a:effectLst/>
                <a:latin typeface="Meiryo UI" panose="020B0604030504040204" pitchFamily="50" charset="-128"/>
                <a:ea typeface="Meiryo UI" panose="020B0604030504040204" pitchFamily="50" charset="-128"/>
                <a:cs typeface="+mn-cs"/>
              </a:rPr>
              <a:t>各種ファイル</a:t>
            </a:r>
            <a:endParaRPr kumimoji="1" lang="en-US" altLang="ja-JP" sz="900">
              <a:solidFill>
                <a:schemeClr val="dk1"/>
              </a:solidFill>
              <a:effectLst/>
              <a:latin typeface="Meiryo UI" panose="020B0604030504040204" pitchFamily="50" charset="-128"/>
              <a:ea typeface="Meiryo UI" panose="020B0604030504040204" pitchFamily="50" charset="-128"/>
              <a:cs typeface="+mn-cs"/>
            </a:endParaRPr>
          </a:p>
        </xdr:txBody>
      </xdr:sp>
    </xdr:grpSp>
    <xdr:clientData/>
  </xdr:twoCellAnchor>
  <xdr:twoCellAnchor>
    <xdr:from>
      <xdr:col>32</xdr:col>
      <xdr:colOff>119742</xdr:colOff>
      <xdr:row>30</xdr:row>
      <xdr:rowOff>21318</xdr:rowOff>
    </xdr:from>
    <xdr:to>
      <xdr:col>53</xdr:col>
      <xdr:colOff>25400</xdr:colOff>
      <xdr:row>30</xdr:row>
      <xdr:rowOff>33338</xdr:rowOff>
    </xdr:to>
    <xdr:cxnSp macro="">
      <xdr:nvCxnSpPr>
        <xdr:cNvPr id="1024" name="直線矢印コネクタ 1023">
          <a:extLst>
            <a:ext uri="{FF2B5EF4-FFF2-40B4-BE49-F238E27FC236}">
              <a16:creationId xmlns:a16="http://schemas.microsoft.com/office/drawing/2014/main" id="{CF0360E2-A51C-4271-9B8A-6F4400A3966C}"/>
            </a:ext>
          </a:extLst>
        </xdr:cNvPr>
        <xdr:cNvCxnSpPr>
          <a:cxnSpLocks/>
          <a:stCxn id="63" idx="1"/>
          <a:endCxn id="32" idx="3"/>
        </xdr:cNvCxnSpPr>
      </xdr:nvCxnSpPr>
      <xdr:spPr>
        <a:xfrm flipH="1" flipV="1">
          <a:off x="6215742" y="5736318"/>
          <a:ext cx="3906158" cy="12020"/>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53</xdr:col>
      <xdr:colOff>32658</xdr:colOff>
      <xdr:row>33</xdr:row>
      <xdr:rowOff>38100</xdr:rowOff>
    </xdr:from>
    <xdr:to>
      <xdr:col>58</xdr:col>
      <xdr:colOff>185060</xdr:colOff>
      <xdr:row>36</xdr:row>
      <xdr:rowOff>104775</xdr:rowOff>
    </xdr:to>
    <xdr:grpSp>
      <xdr:nvGrpSpPr>
        <xdr:cNvPr id="1029" name="グループ化 1028">
          <a:extLst>
            <a:ext uri="{FF2B5EF4-FFF2-40B4-BE49-F238E27FC236}">
              <a16:creationId xmlns:a16="http://schemas.microsoft.com/office/drawing/2014/main" id="{DC64C8E2-7D90-45F5-BBEB-DA60A16D447D}"/>
            </a:ext>
          </a:extLst>
        </xdr:cNvPr>
        <xdr:cNvGrpSpPr/>
      </xdr:nvGrpSpPr>
      <xdr:grpSpPr>
        <a:xfrm>
          <a:off x="10129158" y="6324600"/>
          <a:ext cx="1104902" cy="638175"/>
          <a:chOff x="3428999" y="12449175"/>
          <a:chExt cx="1104902" cy="638175"/>
        </a:xfrm>
      </xdr:grpSpPr>
      <xdr:sp macro="" textlink="">
        <xdr:nvSpPr>
          <xdr:cNvPr id="1030" name="フローチャート: 書類 1029">
            <a:extLst>
              <a:ext uri="{FF2B5EF4-FFF2-40B4-BE49-F238E27FC236}">
                <a16:creationId xmlns:a16="http://schemas.microsoft.com/office/drawing/2014/main" id="{1A33757A-A571-2CC3-81A9-C61E2121D560}"/>
              </a:ext>
            </a:extLst>
          </xdr:cNvPr>
          <xdr:cNvSpPr/>
        </xdr:nvSpPr>
        <xdr:spPr>
          <a:xfrm>
            <a:off x="3429000" y="12449175"/>
            <a:ext cx="1104901" cy="638175"/>
          </a:xfrm>
          <a:prstGeom prst="flowChartDocumen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l"/>
            <a:endParaRPr kumimoji="1" lang="ja-JP" altLang="en-US" sz="900">
              <a:latin typeface="Meiryo UI" panose="020B0604030504040204" pitchFamily="50" charset="-128"/>
              <a:ea typeface="Meiryo UI" panose="020B0604030504040204" pitchFamily="50" charset="-128"/>
            </a:endParaRPr>
          </a:p>
        </xdr:txBody>
      </xdr:sp>
      <xdr:sp macro="" textlink="">
        <xdr:nvSpPr>
          <xdr:cNvPr id="1031" name="テキスト ボックス 1030">
            <a:extLst>
              <a:ext uri="{FF2B5EF4-FFF2-40B4-BE49-F238E27FC236}">
                <a16:creationId xmlns:a16="http://schemas.microsoft.com/office/drawing/2014/main" id="{248511AC-1DBF-6FF4-6182-E59D7F6A59F3}"/>
              </a:ext>
            </a:extLst>
          </xdr:cNvPr>
          <xdr:cNvSpPr txBox="1"/>
        </xdr:nvSpPr>
        <xdr:spPr>
          <a:xfrm>
            <a:off x="3428999" y="12449176"/>
            <a:ext cx="1104901" cy="6000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900">
                <a:solidFill>
                  <a:schemeClr val="dk1"/>
                </a:solidFill>
                <a:effectLst/>
                <a:latin typeface="Meiryo UI" panose="020B0604030504040204" pitchFamily="50" charset="-128"/>
                <a:ea typeface="Meiryo UI" panose="020B0604030504040204" pitchFamily="50" charset="-128"/>
                <a:cs typeface="+mn-cs"/>
              </a:rPr>
              <a:t>各種ファイル</a:t>
            </a:r>
            <a:endParaRPr kumimoji="1" lang="en-US" altLang="ja-JP" sz="900">
              <a:solidFill>
                <a:schemeClr val="dk1"/>
              </a:solidFill>
              <a:effectLst/>
              <a:latin typeface="Meiryo UI" panose="020B0604030504040204" pitchFamily="50" charset="-128"/>
              <a:ea typeface="Meiryo UI" panose="020B0604030504040204" pitchFamily="50" charset="-128"/>
              <a:cs typeface="+mn-cs"/>
            </a:endParaRPr>
          </a:p>
        </xdr:txBody>
      </xdr:sp>
    </xdr:grpSp>
    <xdr:clientData/>
  </xdr:twoCellAnchor>
  <xdr:twoCellAnchor>
    <xdr:from>
      <xdr:col>32</xdr:col>
      <xdr:colOff>119742</xdr:colOff>
      <xdr:row>34</xdr:row>
      <xdr:rowOff>129268</xdr:rowOff>
    </xdr:from>
    <xdr:to>
      <xdr:col>53</xdr:col>
      <xdr:colOff>32658</xdr:colOff>
      <xdr:row>34</xdr:row>
      <xdr:rowOff>147638</xdr:rowOff>
    </xdr:to>
    <xdr:cxnSp macro="">
      <xdr:nvCxnSpPr>
        <xdr:cNvPr id="1032" name="直線矢印コネクタ 1031">
          <a:extLst>
            <a:ext uri="{FF2B5EF4-FFF2-40B4-BE49-F238E27FC236}">
              <a16:creationId xmlns:a16="http://schemas.microsoft.com/office/drawing/2014/main" id="{FB5752BA-258B-4659-832A-3C817C57A348}"/>
            </a:ext>
          </a:extLst>
        </xdr:cNvPr>
        <xdr:cNvCxnSpPr>
          <a:cxnSpLocks/>
          <a:stCxn id="1031" idx="1"/>
          <a:endCxn id="36" idx="3"/>
        </xdr:cNvCxnSpPr>
      </xdr:nvCxnSpPr>
      <xdr:spPr>
        <a:xfrm flipH="1" flipV="1">
          <a:off x="6215742" y="6606268"/>
          <a:ext cx="3913416" cy="18370"/>
        </a:xfrm>
        <a:prstGeom prst="straightConnector1">
          <a:avLst/>
        </a:prstGeom>
        <a:ln>
          <a:headEnd type="triangle"/>
          <a:tailEnd type="none"/>
        </a:ln>
      </xdr:spPr>
      <xdr:style>
        <a:lnRef idx="2">
          <a:schemeClr val="dk1"/>
        </a:lnRef>
        <a:fillRef idx="0">
          <a:schemeClr val="dk1"/>
        </a:fillRef>
        <a:effectRef idx="1">
          <a:schemeClr val="dk1"/>
        </a:effectRef>
        <a:fontRef idx="minor">
          <a:schemeClr val="tx1"/>
        </a:fontRef>
      </xdr:style>
    </xdr:cxnSp>
    <xdr:clientData/>
  </xdr:twoCellAnchor>
  <xdr:twoCellAnchor>
    <xdr:from>
      <xdr:col>19</xdr:col>
      <xdr:colOff>127000</xdr:colOff>
      <xdr:row>12</xdr:row>
      <xdr:rowOff>76200</xdr:rowOff>
    </xdr:from>
    <xdr:to>
      <xdr:col>60</xdr:col>
      <xdr:colOff>19050</xdr:colOff>
      <xdr:row>42</xdr:row>
      <xdr:rowOff>171450</xdr:rowOff>
    </xdr:to>
    <xdr:grpSp>
      <xdr:nvGrpSpPr>
        <xdr:cNvPr id="1036" name="グループ化 1035">
          <a:extLst>
            <a:ext uri="{FF2B5EF4-FFF2-40B4-BE49-F238E27FC236}">
              <a16:creationId xmlns:a16="http://schemas.microsoft.com/office/drawing/2014/main" id="{3D686482-EA33-DD06-861F-70CBDDBCFDDA}"/>
            </a:ext>
          </a:extLst>
        </xdr:cNvPr>
        <xdr:cNvGrpSpPr/>
      </xdr:nvGrpSpPr>
      <xdr:grpSpPr>
        <a:xfrm>
          <a:off x="3746500" y="2362200"/>
          <a:ext cx="7702550" cy="5810250"/>
          <a:chOff x="3683000" y="2365039"/>
          <a:chExt cx="7766050" cy="5439111"/>
        </a:xfrm>
      </xdr:grpSpPr>
      <xdr:sp macro="" textlink="">
        <xdr:nvSpPr>
          <xdr:cNvPr id="1034" name="正方形/長方形 1033">
            <a:extLst>
              <a:ext uri="{FF2B5EF4-FFF2-40B4-BE49-F238E27FC236}">
                <a16:creationId xmlns:a16="http://schemas.microsoft.com/office/drawing/2014/main" id="{5CF1AF03-42C7-4A01-A89C-7DC7DF3EC7F5}"/>
              </a:ext>
            </a:extLst>
          </xdr:cNvPr>
          <xdr:cNvSpPr/>
        </xdr:nvSpPr>
        <xdr:spPr>
          <a:xfrm>
            <a:off x="3683000" y="2406650"/>
            <a:ext cx="7766050" cy="5397500"/>
          </a:xfrm>
          <a:prstGeom prst="rect">
            <a:avLst/>
          </a:prstGeom>
          <a:noFill/>
          <a:ln w="28575">
            <a:solidFill>
              <a:srgbClr val="FF0000"/>
            </a:solidFill>
            <a:prstDash val="dash"/>
          </a:ln>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kumimoji="1" lang="ja-JP" altLang="en-US" sz="900">
              <a:latin typeface="Meiryo UI" panose="020B0604030504040204" pitchFamily="50" charset="-128"/>
              <a:ea typeface="Meiryo UI" panose="020B0604030504040204" pitchFamily="50" charset="-128"/>
            </a:endParaRPr>
          </a:p>
        </xdr:txBody>
      </xdr:sp>
      <xdr:sp macro="" textlink="">
        <xdr:nvSpPr>
          <xdr:cNvPr id="1035" name="テキスト ボックス 1034">
            <a:extLst>
              <a:ext uri="{FF2B5EF4-FFF2-40B4-BE49-F238E27FC236}">
                <a16:creationId xmlns:a16="http://schemas.microsoft.com/office/drawing/2014/main" id="{58932739-5E95-AE02-E81B-DE835769C82F}"/>
              </a:ext>
            </a:extLst>
          </xdr:cNvPr>
          <xdr:cNvSpPr txBox="1"/>
        </xdr:nvSpPr>
        <xdr:spPr>
          <a:xfrm>
            <a:off x="5994348" y="2365039"/>
            <a:ext cx="160020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200" b="1">
                <a:latin typeface="Meiryo UI" panose="020B0604030504040204" pitchFamily="50" charset="-128"/>
                <a:ea typeface="Meiryo UI" panose="020B0604030504040204" pitchFamily="50" charset="-128"/>
              </a:rPr>
              <a:t>本機能の処理範囲</a:t>
            </a:r>
          </a:p>
        </xdr:txBody>
      </xdr:sp>
    </xdr:grpSp>
    <xdr:clientData/>
  </xdr:twoCellAnchor>
  <xdr:twoCellAnchor>
    <xdr:from>
      <xdr:col>1</xdr:col>
      <xdr:colOff>0</xdr:colOff>
      <xdr:row>49</xdr:row>
      <xdr:rowOff>0</xdr:rowOff>
    </xdr:from>
    <xdr:to>
      <xdr:col>12</xdr:col>
      <xdr:colOff>176892</xdr:colOff>
      <xdr:row>50</xdr:row>
      <xdr:rowOff>106135</xdr:rowOff>
    </xdr:to>
    <xdr:sp macro="" textlink="">
      <xdr:nvSpPr>
        <xdr:cNvPr id="1037" name="正方形/長方形 1036">
          <a:extLst>
            <a:ext uri="{FF2B5EF4-FFF2-40B4-BE49-F238E27FC236}">
              <a16:creationId xmlns:a16="http://schemas.microsoft.com/office/drawing/2014/main" id="{F9093B6B-8F75-49CF-BD7F-77C8D91CBAAF}"/>
            </a:ext>
          </a:extLst>
        </xdr:cNvPr>
        <xdr:cNvSpPr/>
      </xdr:nvSpPr>
      <xdr:spPr>
        <a:xfrm>
          <a:off x="190500" y="10096500"/>
          <a:ext cx="2272392" cy="296635"/>
        </a:xfrm>
        <a:prstGeom prst="rect">
          <a:avLst/>
        </a:prstGeom>
        <a:solidFill>
          <a:sysClr val="window" lastClr="FFFFFF"/>
        </a:solidFill>
        <a:ln w="12700" cap="flat" cmpd="sng" algn="ctr">
          <a:solidFill>
            <a:sysClr val="windowText" lastClr="000000"/>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9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rPr>
            <a:t>2.</a:t>
          </a:r>
          <a:r>
            <a:rPr kumimoji="1" lang="ja-JP" altLang="en-US" sz="9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rPr>
            <a:t>ファイル取込処理</a:t>
          </a:r>
          <a:endParaRPr kumimoji="1" lang="en-US" altLang="ja-JP" sz="9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endParaRPr>
        </a:p>
      </xdr:txBody>
    </xdr:sp>
    <xdr:clientData/>
  </xdr:twoCellAnchor>
  <xdr:twoCellAnchor>
    <xdr:from>
      <xdr:col>16</xdr:col>
      <xdr:colOff>0</xdr:colOff>
      <xdr:row>49</xdr:row>
      <xdr:rowOff>0</xdr:rowOff>
    </xdr:from>
    <xdr:to>
      <xdr:col>27</xdr:col>
      <xdr:colOff>176892</xdr:colOff>
      <xdr:row>50</xdr:row>
      <xdr:rowOff>106135</xdr:rowOff>
    </xdr:to>
    <xdr:sp macro="" textlink="">
      <xdr:nvSpPr>
        <xdr:cNvPr id="1039" name="正方形/長方形 1038">
          <a:extLst>
            <a:ext uri="{FF2B5EF4-FFF2-40B4-BE49-F238E27FC236}">
              <a16:creationId xmlns:a16="http://schemas.microsoft.com/office/drawing/2014/main" id="{1E105AF0-CEAD-4DBD-9AE2-F62E76A178CA}"/>
            </a:ext>
          </a:extLst>
        </xdr:cNvPr>
        <xdr:cNvSpPr/>
      </xdr:nvSpPr>
      <xdr:spPr>
        <a:xfrm>
          <a:off x="3048000" y="1905000"/>
          <a:ext cx="2272392" cy="296635"/>
        </a:xfrm>
        <a:prstGeom prst="rect">
          <a:avLst/>
        </a:prstGeom>
        <a:solidFill>
          <a:sysClr val="window" lastClr="FFFFFF"/>
        </a:solidFill>
        <a:ln w="12700" cap="flat" cmpd="sng" algn="ctr">
          <a:solidFill>
            <a:sysClr val="windowText" lastClr="000000"/>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9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rPr>
            <a:t>AzureFiles</a:t>
          </a:r>
          <a:r>
            <a:rPr kumimoji="1" lang="ja-JP" altLang="en-US" sz="9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rPr>
            <a:t>連携共通</a:t>
          </a:r>
          <a:r>
            <a:rPr kumimoji="1" lang="en-US" altLang="ja-JP" sz="9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rPr>
            <a:t>IF</a:t>
          </a:r>
          <a:r>
            <a:rPr kumimoji="1" lang="ja-JP" altLang="en-US" sz="9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rPr>
            <a:t>呼び出し</a:t>
          </a:r>
          <a:endParaRPr kumimoji="1" lang="en-US" altLang="ja-JP" sz="9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endParaRPr>
        </a:p>
      </xdr:txBody>
    </xdr:sp>
    <xdr:clientData/>
  </xdr:twoCellAnchor>
  <xdr:twoCellAnchor>
    <xdr:from>
      <xdr:col>12</xdr:col>
      <xdr:colOff>176892</xdr:colOff>
      <xdr:row>49</xdr:row>
      <xdr:rowOff>148318</xdr:rowOff>
    </xdr:from>
    <xdr:to>
      <xdr:col>16</xdr:col>
      <xdr:colOff>0</xdr:colOff>
      <xdr:row>49</xdr:row>
      <xdr:rowOff>148318</xdr:rowOff>
    </xdr:to>
    <xdr:cxnSp macro="">
      <xdr:nvCxnSpPr>
        <xdr:cNvPr id="1040" name="直線矢印コネクタ 1039">
          <a:extLst>
            <a:ext uri="{FF2B5EF4-FFF2-40B4-BE49-F238E27FC236}">
              <a16:creationId xmlns:a16="http://schemas.microsoft.com/office/drawing/2014/main" id="{5B0DFC05-5734-4874-9299-04840D1C526B}"/>
            </a:ext>
          </a:extLst>
        </xdr:cNvPr>
        <xdr:cNvCxnSpPr>
          <a:cxnSpLocks/>
          <a:stCxn id="1037" idx="3"/>
          <a:endCxn id="1039" idx="1"/>
        </xdr:cNvCxnSpPr>
      </xdr:nvCxnSpPr>
      <xdr:spPr>
        <a:xfrm>
          <a:off x="2462892" y="10244818"/>
          <a:ext cx="585108" cy="0"/>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20</xdr:col>
      <xdr:colOff>133350</xdr:colOff>
      <xdr:row>55</xdr:row>
      <xdr:rowOff>57150</xdr:rowOff>
    </xdr:from>
    <xdr:to>
      <xdr:col>32</xdr:col>
      <xdr:colOff>119742</xdr:colOff>
      <xdr:row>56</xdr:row>
      <xdr:rowOff>163285</xdr:rowOff>
    </xdr:to>
    <xdr:sp macro="" textlink="">
      <xdr:nvSpPr>
        <xdr:cNvPr id="1042" name="正方形/長方形 1041">
          <a:extLst>
            <a:ext uri="{FF2B5EF4-FFF2-40B4-BE49-F238E27FC236}">
              <a16:creationId xmlns:a16="http://schemas.microsoft.com/office/drawing/2014/main" id="{3E570244-56AA-4BC6-8227-8F621A7F0506}"/>
            </a:ext>
          </a:extLst>
        </xdr:cNvPr>
        <xdr:cNvSpPr/>
      </xdr:nvSpPr>
      <xdr:spPr>
        <a:xfrm>
          <a:off x="3943350" y="3105150"/>
          <a:ext cx="2272392" cy="296635"/>
        </a:xfrm>
        <a:prstGeom prst="rect">
          <a:avLst/>
        </a:prstGeom>
        <a:solidFill>
          <a:sysClr val="window" lastClr="FFFFFF"/>
        </a:solidFill>
        <a:ln w="12700" cap="flat" cmpd="sng" algn="ctr">
          <a:solidFill>
            <a:sysClr val="windowText" lastClr="000000"/>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9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rPr>
            <a:t>2-1. </a:t>
          </a:r>
          <a:r>
            <a:rPr kumimoji="1" lang="ja-JP" altLang="en-US" sz="9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rPr>
            <a:t>引数チェック</a:t>
          </a:r>
          <a:endParaRPr kumimoji="1" lang="en-US" altLang="ja-JP" sz="9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endParaRPr>
        </a:p>
      </xdr:txBody>
    </xdr:sp>
    <xdr:clientData/>
  </xdr:twoCellAnchor>
  <xdr:twoCellAnchor>
    <xdr:from>
      <xdr:col>21</xdr:col>
      <xdr:colOff>183697</xdr:colOff>
      <xdr:row>50</xdr:row>
      <xdr:rowOff>106134</xdr:rowOff>
    </xdr:from>
    <xdr:to>
      <xdr:col>26</xdr:col>
      <xdr:colOff>126547</xdr:colOff>
      <xdr:row>55</xdr:row>
      <xdr:rowOff>57149</xdr:rowOff>
    </xdr:to>
    <xdr:cxnSp macro="">
      <xdr:nvCxnSpPr>
        <xdr:cNvPr id="1043" name="直線矢印コネクタ 20">
          <a:extLst>
            <a:ext uri="{FF2B5EF4-FFF2-40B4-BE49-F238E27FC236}">
              <a16:creationId xmlns:a16="http://schemas.microsoft.com/office/drawing/2014/main" id="{EE5F7477-8575-45AE-AD0B-9DA84B1E0E19}"/>
            </a:ext>
          </a:extLst>
        </xdr:cNvPr>
        <xdr:cNvCxnSpPr>
          <a:cxnSpLocks/>
          <a:stCxn id="1039" idx="2"/>
          <a:endCxn id="1042" idx="0"/>
        </xdr:cNvCxnSpPr>
      </xdr:nvCxnSpPr>
      <xdr:spPr>
        <a:xfrm rot="16200000" flipH="1">
          <a:off x="4180114" y="2205717"/>
          <a:ext cx="903515" cy="895350"/>
        </a:xfrm>
        <a:prstGeom prst="bentConnector3">
          <a:avLst>
            <a:gd name="adj1" fmla="val 50000"/>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20</xdr:col>
      <xdr:colOff>133350</xdr:colOff>
      <xdr:row>59</xdr:row>
      <xdr:rowOff>101600</xdr:rowOff>
    </xdr:from>
    <xdr:to>
      <xdr:col>32</xdr:col>
      <xdr:colOff>119742</xdr:colOff>
      <xdr:row>61</xdr:row>
      <xdr:rowOff>17235</xdr:rowOff>
    </xdr:to>
    <xdr:sp macro="" textlink="">
      <xdr:nvSpPr>
        <xdr:cNvPr id="1044" name="正方形/長方形 1043">
          <a:extLst>
            <a:ext uri="{FF2B5EF4-FFF2-40B4-BE49-F238E27FC236}">
              <a16:creationId xmlns:a16="http://schemas.microsoft.com/office/drawing/2014/main" id="{AA23D918-E850-42EC-8F02-22A163B4ECC7}"/>
            </a:ext>
          </a:extLst>
        </xdr:cNvPr>
        <xdr:cNvSpPr/>
      </xdr:nvSpPr>
      <xdr:spPr>
        <a:xfrm>
          <a:off x="3943350" y="3911600"/>
          <a:ext cx="2272392" cy="296635"/>
        </a:xfrm>
        <a:prstGeom prst="rect">
          <a:avLst/>
        </a:prstGeom>
        <a:solidFill>
          <a:sysClr val="window" lastClr="FFFFFF"/>
        </a:solidFill>
        <a:ln w="12700" cap="flat" cmpd="sng" algn="ctr">
          <a:solidFill>
            <a:sysClr val="windowText" lastClr="000000"/>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9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rPr>
            <a:t>2-2.</a:t>
          </a:r>
          <a:r>
            <a:rPr kumimoji="1" lang="ja-JP" altLang="en-US" sz="9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rPr>
            <a:t> </a:t>
          </a:r>
          <a:r>
            <a:rPr kumimoji="1" lang="en-US" altLang="ja-JP" sz="9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rPr>
            <a:t>Azure Files</a:t>
          </a:r>
          <a:r>
            <a:rPr kumimoji="1" lang="ja-JP" altLang="en-US" sz="9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rPr>
            <a:t>認証</a:t>
          </a:r>
          <a:endParaRPr kumimoji="1" lang="en-US" altLang="ja-JP" sz="9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endParaRPr>
        </a:p>
      </xdr:txBody>
    </xdr:sp>
    <xdr:clientData/>
  </xdr:twoCellAnchor>
  <xdr:twoCellAnchor>
    <xdr:from>
      <xdr:col>26</xdr:col>
      <xdr:colOff>126546</xdr:colOff>
      <xdr:row>56</xdr:row>
      <xdr:rowOff>163285</xdr:rowOff>
    </xdr:from>
    <xdr:to>
      <xdr:col>26</xdr:col>
      <xdr:colOff>126546</xdr:colOff>
      <xdr:row>59</xdr:row>
      <xdr:rowOff>101600</xdr:rowOff>
    </xdr:to>
    <xdr:cxnSp macro="">
      <xdr:nvCxnSpPr>
        <xdr:cNvPr id="1045" name="直線矢印コネクタ 1044">
          <a:extLst>
            <a:ext uri="{FF2B5EF4-FFF2-40B4-BE49-F238E27FC236}">
              <a16:creationId xmlns:a16="http://schemas.microsoft.com/office/drawing/2014/main" id="{0D2ACB76-A189-4D2D-8CC7-40A0F5E8E81A}"/>
            </a:ext>
          </a:extLst>
        </xdr:cNvPr>
        <xdr:cNvCxnSpPr>
          <a:cxnSpLocks/>
          <a:stCxn id="1042" idx="2"/>
          <a:endCxn id="1044" idx="0"/>
        </xdr:cNvCxnSpPr>
      </xdr:nvCxnSpPr>
      <xdr:spPr>
        <a:xfrm>
          <a:off x="5079546" y="3401785"/>
          <a:ext cx="0" cy="50981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20</xdr:col>
      <xdr:colOff>133350</xdr:colOff>
      <xdr:row>63</xdr:row>
      <xdr:rowOff>184150</xdr:rowOff>
    </xdr:from>
    <xdr:to>
      <xdr:col>32</xdr:col>
      <xdr:colOff>119742</xdr:colOff>
      <xdr:row>65</xdr:row>
      <xdr:rowOff>99785</xdr:rowOff>
    </xdr:to>
    <xdr:sp macro="" textlink="">
      <xdr:nvSpPr>
        <xdr:cNvPr id="1046" name="正方形/長方形 1045">
          <a:extLst>
            <a:ext uri="{FF2B5EF4-FFF2-40B4-BE49-F238E27FC236}">
              <a16:creationId xmlns:a16="http://schemas.microsoft.com/office/drawing/2014/main" id="{44EBF13F-94EB-4354-9702-5D380743DF43}"/>
            </a:ext>
          </a:extLst>
        </xdr:cNvPr>
        <xdr:cNvSpPr/>
      </xdr:nvSpPr>
      <xdr:spPr>
        <a:xfrm>
          <a:off x="3943350" y="4756150"/>
          <a:ext cx="2272392" cy="296635"/>
        </a:xfrm>
        <a:prstGeom prst="rect">
          <a:avLst/>
        </a:prstGeom>
        <a:solidFill>
          <a:sysClr val="window" lastClr="FFFFFF"/>
        </a:solidFill>
        <a:ln w="12700" cap="flat" cmpd="sng" algn="ctr">
          <a:solidFill>
            <a:sysClr val="windowText" lastClr="000000"/>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9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rPr>
            <a:t>2-3.</a:t>
          </a:r>
          <a:r>
            <a:rPr kumimoji="1" lang="ja-JP" altLang="en-US" sz="9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rPr>
            <a:t> フォルダ存在チェック</a:t>
          </a:r>
          <a:endParaRPr kumimoji="1" lang="en-US" altLang="ja-JP" sz="9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endParaRPr>
        </a:p>
      </xdr:txBody>
    </xdr:sp>
    <xdr:clientData/>
  </xdr:twoCellAnchor>
  <xdr:twoCellAnchor>
    <xdr:from>
      <xdr:col>26</xdr:col>
      <xdr:colOff>126546</xdr:colOff>
      <xdr:row>61</xdr:row>
      <xdr:rowOff>17235</xdr:rowOff>
    </xdr:from>
    <xdr:to>
      <xdr:col>26</xdr:col>
      <xdr:colOff>126546</xdr:colOff>
      <xdr:row>63</xdr:row>
      <xdr:rowOff>184150</xdr:rowOff>
    </xdr:to>
    <xdr:cxnSp macro="">
      <xdr:nvCxnSpPr>
        <xdr:cNvPr id="1047" name="直線矢印コネクタ 1046">
          <a:extLst>
            <a:ext uri="{FF2B5EF4-FFF2-40B4-BE49-F238E27FC236}">
              <a16:creationId xmlns:a16="http://schemas.microsoft.com/office/drawing/2014/main" id="{9D06C950-0F8E-424B-A2C7-8BE18C06AC7A}"/>
            </a:ext>
          </a:extLst>
        </xdr:cNvPr>
        <xdr:cNvCxnSpPr>
          <a:cxnSpLocks/>
          <a:stCxn id="1044" idx="2"/>
          <a:endCxn id="1046" idx="0"/>
        </xdr:cNvCxnSpPr>
      </xdr:nvCxnSpPr>
      <xdr:spPr>
        <a:xfrm>
          <a:off x="5079546" y="4208235"/>
          <a:ext cx="0" cy="54791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20</xdr:col>
      <xdr:colOff>133350</xdr:colOff>
      <xdr:row>68</xdr:row>
      <xdr:rowOff>76200</xdr:rowOff>
    </xdr:from>
    <xdr:to>
      <xdr:col>32</xdr:col>
      <xdr:colOff>119742</xdr:colOff>
      <xdr:row>69</xdr:row>
      <xdr:rowOff>182335</xdr:rowOff>
    </xdr:to>
    <xdr:sp macro="" textlink="">
      <xdr:nvSpPr>
        <xdr:cNvPr id="1048" name="正方形/長方形 1047">
          <a:extLst>
            <a:ext uri="{FF2B5EF4-FFF2-40B4-BE49-F238E27FC236}">
              <a16:creationId xmlns:a16="http://schemas.microsoft.com/office/drawing/2014/main" id="{0E13E414-7761-414C-8CD4-D89DED79F6E7}"/>
            </a:ext>
          </a:extLst>
        </xdr:cNvPr>
        <xdr:cNvSpPr/>
      </xdr:nvSpPr>
      <xdr:spPr>
        <a:xfrm>
          <a:off x="3943350" y="13030200"/>
          <a:ext cx="2272392" cy="296635"/>
        </a:xfrm>
        <a:prstGeom prst="rect">
          <a:avLst/>
        </a:prstGeom>
        <a:solidFill>
          <a:sysClr val="window" lastClr="FFFFFF"/>
        </a:solidFill>
        <a:ln w="12700" cap="flat" cmpd="sng" algn="ctr">
          <a:solidFill>
            <a:sysClr val="windowText" lastClr="000000"/>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9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rPr>
            <a:t>2-4.</a:t>
          </a:r>
          <a:r>
            <a:rPr kumimoji="1" lang="ja-JP" altLang="en-US" sz="9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rPr>
            <a:t> ファイル存在チェック</a:t>
          </a:r>
          <a:endParaRPr kumimoji="1" lang="en-US" altLang="ja-JP" sz="9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endParaRPr>
        </a:p>
      </xdr:txBody>
    </xdr:sp>
    <xdr:clientData/>
  </xdr:twoCellAnchor>
  <xdr:twoCellAnchor>
    <xdr:from>
      <xdr:col>26</xdr:col>
      <xdr:colOff>126546</xdr:colOff>
      <xdr:row>65</xdr:row>
      <xdr:rowOff>99785</xdr:rowOff>
    </xdr:from>
    <xdr:to>
      <xdr:col>26</xdr:col>
      <xdr:colOff>126546</xdr:colOff>
      <xdr:row>68</xdr:row>
      <xdr:rowOff>76200</xdr:rowOff>
    </xdr:to>
    <xdr:cxnSp macro="">
      <xdr:nvCxnSpPr>
        <xdr:cNvPr id="1049" name="直線矢印コネクタ 1048">
          <a:extLst>
            <a:ext uri="{FF2B5EF4-FFF2-40B4-BE49-F238E27FC236}">
              <a16:creationId xmlns:a16="http://schemas.microsoft.com/office/drawing/2014/main" id="{93D43E16-F6F6-42D6-8EF3-AAE9998EF3AC}"/>
            </a:ext>
          </a:extLst>
        </xdr:cNvPr>
        <xdr:cNvCxnSpPr>
          <a:cxnSpLocks/>
          <a:stCxn id="1046" idx="2"/>
          <a:endCxn id="1048" idx="0"/>
        </xdr:cNvCxnSpPr>
      </xdr:nvCxnSpPr>
      <xdr:spPr>
        <a:xfrm>
          <a:off x="5079546" y="12482285"/>
          <a:ext cx="0" cy="54791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20</xdr:col>
      <xdr:colOff>133350</xdr:colOff>
      <xdr:row>73</xdr:row>
      <xdr:rowOff>0</xdr:rowOff>
    </xdr:from>
    <xdr:to>
      <xdr:col>32</xdr:col>
      <xdr:colOff>119742</xdr:colOff>
      <xdr:row>74</xdr:row>
      <xdr:rowOff>106135</xdr:rowOff>
    </xdr:to>
    <xdr:sp macro="" textlink="">
      <xdr:nvSpPr>
        <xdr:cNvPr id="1050" name="正方形/長方形 1049">
          <a:extLst>
            <a:ext uri="{FF2B5EF4-FFF2-40B4-BE49-F238E27FC236}">
              <a16:creationId xmlns:a16="http://schemas.microsoft.com/office/drawing/2014/main" id="{93B08567-687E-4450-9335-19176ABEADB8}"/>
            </a:ext>
          </a:extLst>
        </xdr:cNvPr>
        <xdr:cNvSpPr/>
      </xdr:nvSpPr>
      <xdr:spPr>
        <a:xfrm>
          <a:off x="3943350" y="13906500"/>
          <a:ext cx="2272392" cy="296635"/>
        </a:xfrm>
        <a:prstGeom prst="rect">
          <a:avLst/>
        </a:prstGeom>
        <a:solidFill>
          <a:sysClr val="window" lastClr="FFFFFF"/>
        </a:solidFill>
        <a:ln w="12700" cap="flat" cmpd="sng" algn="ctr">
          <a:solidFill>
            <a:sysClr val="windowText" lastClr="000000"/>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9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rPr>
            <a:t>2-5.</a:t>
          </a:r>
          <a:r>
            <a:rPr kumimoji="1" lang="ja-JP" altLang="en-US" sz="9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rPr>
            <a:t> ファイル読み込み</a:t>
          </a:r>
          <a:endParaRPr kumimoji="1" lang="en-US" altLang="ja-JP" sz="9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endParaRPr>
        </a:p>
      </xdr:txBody>
    </xdr:sp>
    <xdr:clientData/>
  </xdr:twoCellAnchor>
  <xdr:twoCellAnchor>
    <xdr:from>
      <xdr:col>26</xdr:col>
      <xdr:colOff>126546</xdr:colOff>
      <xdr:row>69</xdr:row>
      <xdr:rowOff>182335</xdr:rowOff>
    </xdr:from>
    <xdr:to>
      <xdr:col>26</xdr:col>
      <xdr:colOff>126546</xdr:colOff>
      <xdr:row>73</xdr:row>
      <xdr:rowOff>0</xdr:rowOff>
    </xdr:to>
    <xdr:cxnSp macro="">
      <xdr:nvCxnSpPr>
        <xdr:cNvPr id="1051" name="直線矢印コネクタ 1050">
          <a:extLst>
            <a:ext uri="{FF2B5EF4-FFF2-40B4-BE49-F238E27FC236}">
              <a16:creationId xmlns:a16="http://schemas.microsoft.com/office/drawing/2014/main" id="{A2E91428-8BA1-40BD-B97B-9C1CF49FCB23}"/>
            </a:ext>
          </a:extLst>
        </xdr:cNvPr>
        <xdr:cNvCxnSpPr>
          <a:cxnSpLocks/>
          <a:stCxn id="1048" idx="2"/>
          <a:endCxn id="1050" idx="0"/>
        </xdr:cNvCxnSpPr>
      </xdr:nvCxnSpPr>
      <xdr:spPr>
        <a:xfrm>
          <a:off x="5079546" y="13326835"/>
          <a:ext cx="0" cy="57966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20</xdr:col>
      <xdr:colOff>139700</xdr:colOff>
      <xdr:row>77</xdr:row>
      <xdr:rowOff>82550</xdr:rowOff>
    </xdr:from>
    <xdr:to>
      <xdr:col>32</xdr:col>
      <xdr:colOff>126092</xdr:colOff>
      <xdr:row>78</xdr:row>
      <xdr:rowOff>188685</xdr:rowOff>
    </xdr:to>
    <xdr:sp macro="" textlink="">
      <xdr:nvSpPr>
        <xdr:cNvPr id="1052" name="正方形/長方形 1051">
          <a:extLst>
            <a:ext uri="{FF2B5EF4-FFF2-40B4-BE49-F238E27FC236}">
              <a16:creationId xmlns:a16="http://schemas.microsoft.com/office/drawing/2014/main" id="{8DFC7005-064A-44DF-87DB-34062E99DC4B}"/>
            </a:ext>
          </a:extLst>
        </xdr:cNvPr>
        <xdr:cNvSpPr/>
      </xdr:nvSpPr>
      <xdr:spPr>
        <a:xfrm>
          <a:off x="3949700" y="7321550"/>
          <a:ext cx="2272392" cy="296635"/>
        </a:xfrm>
        <a:prstGeom prst="rect">
          <a:avLst/>
        </a:prstGeom>
        <a:solidFill>
          <a:sysClr val="window" lastClr="FFFFFF"/>
        </a:solidFill>
        <a:ln w="12700" cap="flat" cmpd="sng" algn="ctr">
          <a:solidFill>
            <a:sysClr val="windowText" lastClr="000000"/>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9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rPr>
            <a:t>2-6.</a:t>
          </a:r>
          <a:r>
            <a:rPr kumimoji="1" lang="ja-JP" altLang="en-US" sz="9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rPr>
            <a:t> 戻り値の設定</a:t>
          </a:r>
          <a:endParaRPr kumimoji="1" lang="en-US" altLang="ja-JP" sz="9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endParaRPr>
        </a:p>
      </xdr:txBody>
    </xdr:sp>
    <xdr:clientData/>
  </xdr:twoCellAnchor>
  <xdr:twoCellAnchor>
    <xdr:from>
      <xdr:col>26</xdr:col>
      <xdr:colOff>126546</xdr:colOff>
      <xdr:row>74</xdr:row>
      <xdr:rowOff>106135</xdr:rowOff>
    </xdr:from>
    <xdr:to>
      <xdr:col>26</xdr:col>
      <xdr:colOff>132896</xdr:colOff>
      <xdr:row>77</xdr:row>
      <xdr:rowOff>82550</xdr:rowOff>
    </xdr:to>
    <xdr:cxnSp macro="">
      <xdr:nvCxnSpPr>
        <xdr:cNvPr id="1053" name="直線矢印コネクタ 1052">
          <a:extLst>
            <a:ext uri="{FF2B5EF4-FFF2-40B4-BE49-F238E27FC236}">
              <a16:creationId xmlns:a16="http://schemas.microsoft.com/office/drawing/2014/main" id="{3122312B-5BD9-40A1-A1C3-030275EDE549}"/>
            </a:ext>
          </a:extLst>
        </xdr:cNvPr>
        <xdr:cNvCxnSpPr>
          <a:cxnSpLocks/>
          <a:stCxn id="1050" idx="2"/>
          <a:endCxn id="1052" idx="0"/>
        </xdr:cNvCxnSpPr>
      </xdr:nvCxnSpPr>
      <xdr:spPr>
        <a:xfrm>
          <a:off x="5079546" y="14203135"/>
          <a:ext cx="6350" cy="54791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17</xdr:col>
      <xdr:colOff>0</xdr:colOff>
      <xdr:row>83</xdr:row>
      <xdr:rowOff>0</xdr:rowOff>
    </xdr:from>
    <xdr:to>
      <xdr:col>28</xdr:col>
      <xdr:colOff>176892</xdr:colOff>
      <xdr:row>84</xdr:row>
      <xdr:rowOff>106135</xdr:rowOff>
    </xdr:to>
    <xdr:sp macro="" textlink="">
      <xdr:nvSpPr>
        <xdr:cNvPr id="1054" name="正方形/長方形 1053">
          <a:extLst>
            <a:ext uri="{FF2B5EF4-FFF2-40B4-BE49-F238E27FC236}">
              <a16:creationId xmlns:a16="http://schemas.microsoft.com/office/drawing/2014/main" id="{85FA4725-781B-47EF-AE3B-F722C2ADD358}"/>
            </a:ext>
          </a:extLst>
        </xdr:cNvPr>
        <xdr:cNvSpPr/>
      </xdr:nvSpPr>
      <xdr:spPr>
        <a:xfrm>
          <a:off x="3238500" y="8382000"/>
          <a:ext cx="2272392" cy="296635"/>
        </a:xfrm>
        <a:prstGeom prst="rect">
          <a:avLst/>
        </a:prstGeom>
        <a:solidFill>
          <a:sysClr val="window" lastClr="FFFFFF"/>
        </a:solidFill>
        <a:ln w="12700" cap="flat" cmpd="sng" algn="ctr">
          <a:solidFill>
            <a:sysClr val="windowText" lastClr="000000"/>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9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rPr>
            <a:t>後続処理</a:t>
          </a:r>
          <a:endParaRPr kumimoji="1" lang="en-US" altLang="ja-JP" sz="9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endParaRPr>
        </a:p>
      </xdr:txBody>
    </xdr:sp>
    <xdr:clientData/>
  </xdr:twoCellAnchor>
  <xdr:twoCellAnchor>
    <xdr:from>
      <xdr:col>22</xdr:col>
      <xdr:colOff>183697</xdr:colOff>
      <xdr:row>78</xdr:row>
      <xdr:rowOff>188684</xdr:rowOff>
    </xdr:from>
    <xdr:to>
      <xdr:col>26</xdr:col>
      <xdr:colOff>132897</xdr:colOff>
      <xdr:row>82</xdr:row>
      <xdr:rowOff>190499</xdr:rowOff>
    </xdr:to>
    <xdr:cxnSp macro="">
      <xdr:nvCxnSpPr>
        <xdr:cNvPr id="1055" name="直線矢印コネクタ 20">
          <a:extLst>
            <a:ext uri="{FF2B5EF4-FFF2-40B4-BE49-F238E27FC236}">
              <a16:creationId xmlns:a16="http://schemas.microsoft.com/office/drawing/2014/main" id="{34B4F9C9-3A7D-4C7D-B26E-71E7ECBFDC28}"/>
            </a:ext>
          </a:extLst>
        </xdr:cNvPr>
        <xdr:cNvCxnSpPr>
          <a:cxnSpLocks/>
          <a:stCxn id="1052" idx="2"/>
          <a:endCxn id="1054" idx="0"/>
        </xdr:cNvCxnSpPr>
      </xdr:nvCxnSpPr>
      <xdr:spPr>
        <a:xfrm rot="5400000">
          <a:off x="4348389" y="7644492"/>
          <a:ext cx="763815" cy="711200"/>
        </a:xfrm>
        <a:prstGeom prst="bentConnector3">
          <a:avLst>
            <a:gd name="adj1" fmla="val 50000"/>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39</xdr:col>
      <xdr:colOff>120650</xdr:colOff>
      <xdr:row>54</xdr:row>
      <xdr:rowOff>107950</xdr:rowOff>
    </xdr:from>
    <xdr:to>
      <xdr:col>45</xdr:col>
      <xdr:colOff>88899</xdr:colOff>
      <xdr:row>57</xdr:row>
      <xdr:rowOff>133350</xdr:rowOff>
    </xdr:to>
    <xdr:grpSp>
      <xdr:nvGrpSpPr>
        <xdr:cNvPr id="1056" name="グループ化 1055">
          <a:extLst>
            <a:ext uri="{FF2B5EF4-FFF2-40B4-BE49-F238E27FC236}">
              <a16:creationId xmlns:a16="http://schemas.microsoft.com/office/drawing/2014/main" id="{E96FF9A2-E16B-462A-B86A-D9850D60CA33}"/>
            </a:ext>
          </a:extLst>
        </xdr:cNvPr>
        <xdr:cNvGrpSpPr/>
      </xdr:nvGrpSpPr>
      <xdr:grpSpPr>
        <a:xfrm>
          <a:off x="7550150" y="10394950"/>
          <a:ext cx="1111249" cy="596900"/>
          <a:chOff x="5588000" y="13982700"/>
          <a:chExt cx="1111249" cy="596900"/>
        </a:xfrm>
      </xdr:grpSpPr>
      <xdr:sp macro="" textlink="">
        <xdr:nvSpPr>
          <xdr:cNvPr id="1057" name="円柱 1056">
            <a:extLst>
              <a:ext uri="{FF2B5EF4-FFF2-40B4-BE49-F238E27FC236}">
                <a16:creationId xmlns:a16="http://schemas.microsoft.com/office/drawing/2014/main" id="{B77CC38A-7F96-7063-D779-95B1506C7587}"/>
              </a:ext>
            </a:extLst>
          </xdr:cNvPr>
          <xdr:cNvSpPr/>
        </xdr:nvSpPr>
        <xdr:spPr>
          <a:xfrm>
            <a:off x="5600700" y="13982700"/>
            <a:ext cx="1067132" cy="589550"/>
          </a:xfrm>
          <a:prstGeom prst="can">
            <a:avLst>
              <a:gd name="adj" fmla="val 26958"/>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endParaRPr kumimoji="1" lang="en-US" altLang="ja-JP" sz="900">
              <a:latin typeface="Meiryo UI" panose="020B0604030504040204" pitchFamily="50" charset="-128"/>
              <a:ea typeface="Meiryo UI" panose="020B0604030504040204" pitchFamily="50" charset="-128"/>
            </a:endParaRPr>
          </a:p>
        </xdr:txBody>
      </xdr:sp>
      <xdr:sp macro="" textlink="">
        <xdr:nvSpPr>
          <xdr:cNvPr id="1058" name="テキスト ボックス 1057">
            <a:extLst>
              <a:ext uri="{FF2B5EF4-FFF2-40B4-BE49-F238E27FC236}">
                <a16:creationId xmlns:a16="http://schemas.microsoft.com/office/drawing/2014/main" id="{07B0F438-3B8E-B1F9-01E2-477D77715A45}"/>
              </a:ext>
            </a:extLst>
          </xdr:cNvPr>
          <xdr:cNvSpPr txBox="1"/>
        </xdr:nvSpPr>
        <xdr:spPr>
          <a:xfrm>
            <a:off x="5588000" y="14084300"/>
            <a:ext cx="1111249" cy="495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en-US" altLang="ja-JP" sz="900">
                <a:solidFill>
                  <a:schemeClr val="dk1"/>
                </a:solidFill>
                <a:effectLst/>
                <a:latin typeface="Meiryo UI" panose="020B0604030504040204" pitchFamily="50" charset="-128"/>
                <a:ea typeface="Meiryo UI" panose="020B0604030504040204" pitchFamily="50" charset="-128"/>
                <a:cs typeface="+mn-cs"/>
              </a:rPr>
              <a:t>Azure Files</a:t>
            </a:r>
            <a:br>
              <a:rPr kumimoji="1" lang="en-US" altLang="ja-JP" sz="900">
                <a:solidFill>
                  <a:schemeClr val="dk1"/>
                </a:solidFill>
                <a:effectLst/>
                <a:latin typeface="Meiryo UI" panose="020B0604030504040204" pitchFamily="50" charset="-128"/>
                <a:ea typeface="Meiryo UI" panose="020B0604030504040204" pitchFamily="50" charset="-128"/>
                <a:cs typeface="+mn-cs"/>
              </a:rPr>
            </a:br>
            <a:r>
              <a:rPr kumimoji="1" lang="ja-JP" altLang="en-US" sz="900">
                <a:solidFill>
                  <a:schemeClr val="dk1"/>
                </a:solidFill>
                <a:effectLst/>
                <a:latin typeface="Meiryo UI" panose="020B0604030504040204" pitchFamily="50" charset="-128"/>
                <a:ea typeface="Meiryo UI" panose="020B0604030504040204" pitchFamily="50" charset="-128"/>
                <a:cs typeface="+mn-cs"/>
              </a:rPr>
              <a:t>マウント定義マスタ</a:t>
            </a:r>
            <a:endParaRPr lang="ja-JP" altLang="ja-JP" sz="900">
              <a:effectLst/>
              <a:latin typeface="Meiryo UI" panose="020B0604030504040204" pitchFamily="50" charset="-128"/>
              <a:ea typeface="Meiryo UI" panose="020B0604030504040204" pitchFamily="50" charset="-128"/>
            </a:endParaRPr>
          </a:p>
        </xdr:txBody>
      </xdr:sp>
    </xdr:grpSp>
    <xdr:clientData/>
  </xdr:twoCellAnchor>
  <xdr:twoCellAnchor>
    <xdr:from>
      <xdr:col>32</xdr:col>
      <xdr:colOff>119742</xdr:colOff>
      <xdr:row>56</xdr:row>
      <xdr:rowOff>14968</xdr:rowOff>
    </xdr:from>
    <xdr:to>
      <xdr:col>39</xdr:col>
      <xdr:colOff>63500</xdr:colOff>
      <xdr:row>56</xdr:row>
      <xdr:rowOff>15875</xdr:rowOff>
    </xdr:to>
    <xdr:cxnSp macro="">
      <xdr:nvCxnSpPr>
        <xdr:cNvPr id="1059" name="直線矢印コネクタ 1058">
          <a:extLst>
            <a:ext uri="{FF2B5EF4-FFF2-40B4-BE49-F238E27FC236}">
              <a16:creationId xmlns:a16="http://schemas.microsoft.com/office/drawing/2014/main" id="{BC87761D-953D-4D60-B1B2-A9DC25EE3D16}"/>
            </a:ext>
          </a:extLst>
        </xdr:cNvPr>
        <xdr:cNvCxnSpPr>
          <a:cxnSpLocks/>
          <a:stCxn id="1063" idx="1"/>
          <a:endCxn id="1042" idx="3"/>
        </xdr:cNvCxnSpPr>
      </xdr:nvCxnSpPr>
      <xdr:spPr>
        <a:xfrm flipH="1" flipV="1">
          <a:off x="6215742" y="3253468"/>
          <a:ext cx="1277258" cy="907"/>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45</xdr:col>
      <xdr:colOff>76200</xdr:colOff>
      <xdr:row>54</xdr:row>
      <xdr:rowOff>107950</xdr:rowOff>
    </xdr:from>
    <xdr:to>
      <xdr:col>51</xdr:col>
      <xdr:colOff>44449</xdr:colOff>
      <xdr:row>57</xdr:row>
      <xdr:rowOff>133350</xdr:rowOff>
    </xdr:to>
    <xdr:grpSp>
      <xdr:nvGrpSpPr>
        <xdr:cNvPr id="1060" name="グループ化 1059">
          <a:extLst>
            <a:ext uri="{FF2B5EF4-FFF2-40B4-BE49-F238E27FC236}">
              <a16:creationId xmlns:a16="http://schemas.microsoft.com/office/drawing/2014/main" id="{4FB85142-FAED-4D51-8944-DDE896FB5DC5}"/>
            </a:ext>
          </a:extLst>
        </xdr:cNvPr>
        <xdr:cNvGrpSpPr/>
      </xdr:nvGrpSpPr>
      <xdr:grpSpPr>
        <a:xfrm>
          <a:off x="8648700" y="10394950"/>
          <a:ext cx="1111249" cy="596900"/>
          <a:chOff x="5588000" y="13982700"/>
          <a:chExt cx="1111249" cy="596900"/>
        </a:xfrm>
      </xdr:grpSpPr>
      <xdr:sp macro="" textlink="">
        <xdr:nvSpPr>
          <xdr:cNvPr id="1061" name="円柱 1060">
            <a:extLst>
              <a:ext uri="{FF2B5EF4-FFF2-40B4-BE49-F238E27FC236}">
                <a16:creationId xmlns:a16="http://schemas.microsoft.com/office/drawing/2014/main" id="{335651D5-D5AC-A724-E22F-A6E6ABC88A09}"/>
              </a:ext>
            </a:extLst>
          </xdr:cNvPr>
          <xdr:cNvSpPr/>
        </xdr:nvSpPr>
        <xdr:spPr>
          <a:xfrm>
            <a:off x="5600700" y="13982700"/>
            <a:ext cx="1067132" cy="589550"/>
          </a:xfrm>
          <a:prstGeom prst="can">
            <a:avLst>
              <a:gd name="adj" fmla="val 26958"/>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endParaRPr kumimoji="1" lang="en-US" altLang="ja-JP" sz="900">
              <a:latin typeface="Meiryo UI" panose="020B0604030504040204" pitchFamily="50" charset="-128"/>
              <a:ea typeface="Meiryo UI" panose="020B0604030504040204" pitchFamily="50" charset="-128"/>
            </a:endParaRPr>
          </a:p>
        </xdr:txBody>
      </xdr:sp>
      <xdr:sp macro="" textlink="">
        <xdr:nvSpPr>
          <xdr:cNvPr id="1062" name="テキスト ボックス 1061">
            <a:extLst>
              <a:ext uri="{FF2B5EF4-FFF2-40B4-BE49-F238E27FC236}">
                <a16:creationId xmlns:a16="http://schemas.microsoft.com/office/drawing/2014/main" id="{70450608-7956-432E-E0C7-0EDC7131EE1A}"/>
              </a:ext>
            </a:extLst>
          </xdr:cNvPr>
          <xdr:cNvSpPr txBox="1"/>
        </xdr:nvSpPr>
        <xdr:spPr>
          <a:xfrm>
            <a:off x="5588000" y="14103350"/>
            <a:ext cx="1111249" cy="476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900">
                <a:solidFill>
                  <a:schemeClr val="dk1"/>
                </a:solidFill>
                <a:effectLst/>
                <a:latin typeface="Meiryo UI" panose="020B0604030504040204" pitchFamily="50" charset="-128"/>
                <a:ea typeface="Meiryo UI" panose="020B0604030504040204" pitchFamily="50" charset="-128"/>
                <a:cs typeface="+mn-cs"/>
              </a:rPr>
              <a:t>ファイル取込</a:t>
            </a:r>
            <a:br>
              <a:rPr kumimoji="1" lang="en-US" altLang="ja-JP" sz="900">
                <a:solidFill>
                  <a:schemeClr val="dk1"/>
                </a:solidFill>
                <a:effectLst/>
                <a:latin typeface="Meiryo UI" panose="020B0604030504040204" pitchFamily="50" charset="-128"/>
                <a:ea typeface="Meiryo UI" panose="020B0604030504040204" pitchFamily="50" charset="-128"/>
                <a:cs typeface="+mn-cs"/>
              </a:rPr>
            </a:br>
            <a:r>
              <a:rPr kumimoji="1" lang="ja-JP" altLang="en-US" sz="900">
                <a:solidFill>
                  <a:schemeClr val="dk1"/>
                </a:solidFill>
                <a:effectLst/>
                <a:latin typeface="Meiryo UI" panose="020B0604030504040204" pitchFamily="50" charset="-128"/>
                <a:ea typeface="Meiryo UI" panose="020B0604030504040204" pitchFamily="50" charset="-128"/>
                <a:cs typeface="+mn-cs"/>
              </a:rPr>
              <a:t>定義マスタ</a:t>
            </a:r>
            <a:endParaRPr lang="ja-JP" altLang="ja-JP" sz="900">
              <a:effectLst/>
              <a:latin typeface="Meiryo UI" panose="020B0604030504040204" pitchFamily="50" charset="-128"/>
              <a:ea typeface="Meiryo UI" panose="020B0604030504040204" pitchFamily="50" charset="-128"/>
            </a:endParaRPr>
          </a:p>
        </xdr:txBody>
      </xdr:sp>
    </xdr:grpSp>
    <xdr:clientData/>
  </xdr:twoCellAnchor>
  <xdr:twoCellAnchor>
    <xdr:from>
      <xdr:col>39</xdr:col>
      <xdr:colOff>63500</xdr:colOff>
      <xdr:row>54</xdr:row>
      <xdr:rowOff>0</xdr:rowOff>
    </xdr:from>
    <xdr:to>
      <xdr:col>51</xdr:col>
      <xdr:colOff>101600</xdr:colOff>
      <xdr:row>58</xdr:row>
      <xdr:rowOff>31750</xdr:rowOff>
    </xdr:to>
    <xdr:sp macro="" textlink="">
      <xdr:nvSpPr>
        <xdr:cNvPr id="1063" name="正方形/長方形 1062">
          <a:extLst>
            <a:ext uri="{FF2B5EF4-FFF2-40B4-BE49-F238E27FC236}">
              <a16:creationId xmlns:a16="http://schemas.microsoft.com/office/drawing/2014/main" id="{CDB671A7-1F2A-4B56-9485-EE782A9EB3B6}"/>
            </a:ext>
          </a:extLst>
        </xdr:cNvPr>
        <xdr:cNvSpPr/>
      </xdr:nvSpPr>
      <xdr:spPr>
        <a:xfrm>
          <a:off x="7493000" y="2857500"/>
          <a:ext cx="2324100" cy="793750"/>
        </a:xfrm>
        <a:prstGeom prst="rect">
          <a:avLst/>
        </a:prstGeom>
        <a:noFill/>
        <a:ln>
          <a:solidFill>
            <a:schemeClr val="tx1"/>
          </a:solidFill>
        </a:ln>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kumimoji="1" lang="ja-JP" altLang="en-US" sz="900">
            <a:latin typeface="Meiryo UI" panose="020B0604030504040204" pitchFamily="50" charset="-128"/>
            <a:ea typeface="Meiryo UI" panose="020B0604030504040204" pitchFamily="50" charset="-128"/>
          </a:endParaRPr>
        </a:p>
      </xdr:txBody>
    </xdr:sp>
    <xdr:clientData/>
  </xdr:twoCellAnchor>
  <xdr:twoCellAnchor>
    <xdr:from>
      <xdr:col>53</xdr:col>
      <xdr:colOff>19050</xdr:colOff>
      <xdr:row>67</xdr:row>
      <xdr:rowOff>114300</xdr:rowOff>
    </xdr:from>
    <xdr:to>
      <xdr:col>58</xdr:col>
      <xdr:colOff>171452</xdr:colOff>
      <xdr:row>70</xdr:row>
      <xdr:rowOff>180975</xdr:rowOff>
    </xdr:to>
    <xdr:grpSp>
      <xdr:nvGrpSpPr>
        <xdr:cNvPr id="1064" name="グループ化 1063">
          <a:extLst>
            <a:ext uri="{FF2B5EF4-FFF2-40B4-BE49-F238E27FC236}">
              <a16:creationId xmlns:a16="http://schemas.microsoft.com/office/drawing/2014/main" id="{0076080D-0EE1-47AF-85FC-9840EFF1D6F5}"/>
            </a:ext>
          </a:extLst>
        </xdr:cNvPr>
        <xdr:cNvGrpSpPr/>
      </xdr:nvGrpSpPr>
      <xdr:grpSpPr>
        <a:xfrm>
          <a:off x="10115550" y="12877800"/>
          <a:ext cx="1104902" cy="638175"/>
          <a:chOff x="3428999" y="12449175"/>
          <a:chExt cx="1104902" cy="638175"/>
        </a:xfrm>
      </xdr:grpSpPr>
      <xdr:sp macro="" textlink="">
        <xdr:nvSpPr>
          <xdr:cNvPr id="1065" name="フローチャート: 書類 1064">
            <a:extLst>
              <a:ext uri="{FF2B5EF4-FFF2-40B4-BE49-F238E27FC236}">
                <a16:creationId xmlns:a16="http://schemas.microsoft.com/office/drawing/2014/main" id="{A9A41EC3-E8A8-DC5E-C6BD-C3BD43F45F75}"/>
              </a:ext>
            </a:extLst>
          </xdr:cNvPr>
          <xdr:cNvSpPr/>
        </xdr:nvSpPr>
        <xdr:spPr>
          <a:xfrm>
            <a:off x="3429000" y="12449175"/>
            <a:ext cx="1104901" cy="638175"/>
          </a:xfrm>
          <a:prstGeom prst="flowChartDocumen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l"/>
            <a:endParaRPr kumimoji="1" lang="ja-JP" altLang="en-US" sz="900">
              <a:latin typeface="Meiryo UI" panose="020B0604030504040204" pitchFamily="50" charset="-128"/>
              <a:ea typeface="Meiryo UI" panose="020B0604030504040204" pitchFamily="50" charset="-128"/>
            </a:endParaRPr>
          </a:p>
        </xdr:txBody>
      </xdr:sp>
      <xdr:sp macro="" textlink="">
        <xdr:nvSpPr>
          <xdr:cNvPr id="1066" name="テキスト ボックス 1065">
            <a:extLst>
              <a:ext uri="{FF2B5EF4-FFF2-40B4-BE49-F238E27FC236}">
                <a16:creationId xmlns:a16="http://schemas.microsoft.com/office/drawing/2014/main" id="{7317B396-3322-FAD3-A7A5-B3C5D6E72BBF}"/>
              </a:ext>
            </a:extLst>
          </xdr:cNvPr>
          <xdr:cNvSpPr txBox="1"/>
        </xdr:nvSpPr>
        <xdr:spPr>
          <a:xfrm>
            <a:off x="3428999" y="12449176"/>
            <a:ext cx="1104901" cy="6000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900">
                <a:solidFill>
                  <a:schemeClr val="dk1"/>
                </a:solidFill>
                <a:effectLst/>
                <a:latin typeface="Meiryo UI" panose="020B0604030504040204" pitchFamily="50" charset="-128"/>
                <a:ea typeface="Meiryo UI" panose="020B0604030504040204" pitchFamily="50" charset="-128"/>
                <a:cs typeface="+mn-cs"/>
              </a:rPr>
              <a:t>各種ファイル</a:t>
            </a:r>
            <a:endParaRPr kumimoji="1" lang="en-US" altLang="ja-JP" sz="900">
              <a:solidFill>
                <a:schemeClr val="dk1"/>
              </a:solidFill>
              <a:effectLst/>
              <a:latin typeface="Meiryo UI" panose="020B0604030504040204" pitchFamily="50" charset="-128"/>
              <a:ea typeface="Meiryo UI" panose="020B0604030504040204" pitchFamily="50" charset="-128"/>
              <a:cs typeface="+mn-cs"/>
            </a:endParaRPr>
          </a:p>
        </xdr:txBody>
      </xdr:sp>
    </xdr:grpSp>
    <xdr:clientData/>
  </xdr:twoCellAnchor>
  <xdr:twoCellAnchor>
    <xdr:from>
      <xdr:col>32</xdr:col>
      <xdr:colOff>119742</xdr:colOff>
      <xdr:row>69</xdr:row>
      <xdr:rowOff>33338</xdr:rowOff>
    </xdr:from>
    <xdr:to>
      <xdr:col>53</xdr:col>
      <xdr:colOff>19050</xdr:colOff>
      <xdr:row>69</xdr:row>
      <xdr:rowOff>34018</xdr:rowOff>
    </xdr:to>
    <xdr:cxnSp macro="">
      <xdr:nvCxnSpPr>
        <xdr:cNvPr id="1067" name="直線矢印コネクタ 1066">
          <a:extLst>
            <a:ext uri="{FF2B5EF4-FFF2-40B4-BE49-F238E27FC236}">
              <a16:creationId xmlns:a16="http://schemas.microsoft.com/office/drawing/2014/main" id="{9B9B8F2F-0F35-475C-BDBF-CCC47EC1278C}"/>
            </a:ext>
          </a:extLst>
        </xdr:cNvPr>
        <xdr:cNvCxnSpPr>
          <a:cxnSpLocks/>
          <a:stCxn id="1066" idx="1"/>
          <a:endCxn id="1048" idx="3"/>
        </xdr:cNvCxnSpPr>
      </xdr:nvCxnSpPr>
      <xdr:spPr>
        <a:xfrm flipH="1">
          <a:off x="6215742" y="13177838"/>
          <a:ext cx="3899808" cy="680"/>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53</xdr:col>
      <xdr:colOff>26308</xdr:colOff>
      <xdr:row>72</xdr:row>
      <xdr:rowOff>38100</xdr:rowOff>
    </xdr:from>
    <xdr:to>
      <xdr:col>58</xdr:col>
      <xdr:colOff>178710</xdr:colOff>
      <xdr:row>75</xdr:row>
      <xdr:rowOff>104775</xdr:rowOff>
    </xdr:to>
    <xdr:grpSp>
      <xdr:nvGrpSpPr>
        <xdr:cNvPr id="1068" name="グループ化 1067">
          <a:extLst>
            <a:ext uri="{FF2B5EF4-FFF2-40B4-BE49-F238E27FC236}">
              <a16:creationId xmlns:a16="http://schemas.microsoft.com/office/drawing/2014/main" id="{D9A212A1-78A2-4708-87A8-FB0FEC3533CE}"/>
            </a:ext>
          </a:extLst>
        </xdr:cNvPr>
        <xdr:cNvGrpSpPr/>
      </xdr:nvGrpSpPr>
      <xdr:grpSpPr>
        <a:xfrm>
          <a:off x="10122808" y="13754100"/>
          <a:ext cx="1104902" cy="638175"/>
          <a:chOff x="3428999" y="12449175"/>
          <a:chExt cx="1104902" cy="638175"/>
        </a:xfrm>
      </xdr:grpSpPr>
      <xdr:sp macro="" textlink="">
        <xdr:nvSpPr>
          <xdr:cNvPr id="1069" name="フローチャート: 書類 1068">
            <a:extLst>
              <a:ext uri="{FF2B5EF4-FFF2-40B4-BE49-F238E27FC236}">
                <a16:creationId xmlns:a16="http://schemas.microsoft.com/office/drawing/2014/main" id="{3E4A13F1-398F-4016-FC81-677F6C1CF862}"/>
              </a:ext>
            </a:extLst>
          </xdr:cNvPr>
          <xdr:cNvSpPr/>
        </xdr:nvSpPr>
        <xdr:spPr>
          <a:xfrm>
            <a:off x="3429000" y="12449175"/>
            <a:ext cx="1104901" cy="638175"/>
          </a:xfrm>
          <a:prstGeom prst="flowChartDocumen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l"/>
            <a:endParaRPr kumimoji="1" lang="ja-JP" altLang="en-US" sz="900">
              <a:latin typeface="Meiryo UI" panose="020B0604030504040204" pitchFamily="50" charset="-128"/>
              <a:ea typeface="Meiryo UI" panose="020B0604030504040204" pitchFamily="50" charset="-128"/>
            </a:endParaRPr>
          </a:p>
        </xdr:txBody>
      </xdr:sp>
      <xdr:sp macro="" textlink="">
        <xdr:nvSpPr>
          <xdr:cNvPr id="1070" name="テキスト ボックス 1069">
            <a:extLst>
              <a:ext uri="{FF2B5EF4-FFF2-40B4-BE49-F238E27FC236}">
                <a16:creationId xmlns:a16="http://schemas.microsoft.com/office/drawing/2014/main" id="{2CE2684A-C88B-019F-5C59-3779B899DFEE}"/>
              </a:ext>
            </a:extLst>
          </xdr:cNvPr>
          <xdr:cNvSpPr txBox="1"/>
        </xdr:nvSpPr>
        <xdr:spPr>
          <a:xfrm>
            <a:off x="3428999" y="12449176"/>
            <a:ext cx="1104901" cy="6000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900">
                <a:solidFill>
                  <a:schemeClr val="dk1"/>
                </a:solidFill>
                <a:effectLst/>
                <a:latin typeface="Meiryo UI" panose="020B0604030504040204" pitchFamily="50" charset="-128"/>
                <a:ea typeface="Meiryo UI" panose="020B0604030504040204" pitchFamily="50" charset="-128"/>
                <a:cs typeface="+mn-cs"/>
              </a:rPr>
              <a:t>各種ファイル</a:t>
            </a:r>
            <a:endParaRPr kumimoji="1" lang="en-US" altLang="ja-JP" sz="900">
              <a:solidFill>
                <a:schemeClr val="dk1"/>
              </a:solidFill>
              <a:effectLst/>
              <a:latin typeface="Meiryo UI" panose="020B0604030504040204" pitchFamily="50" charset="-128"/>
              <a:ea typeface="Meiryo UI" panose="020B0604030504040204" pitchFamily="50" charset="-128"/>
              <a:cs typeface="+mn-cs"/>
            </a:endParaRPr>
          </a:p>
        </xdr:txBody>
      </xdr:sp>
    </xdr:grpSp>
    <xdr:clientData/>
  </xdr:twoCellAnchor>
  <xdr:twoCellAnchor>
    <xdr:from>
      <xdr:col>32</xdr:col>
      <xdr:colOff>119742</xdr:colOff>
      <xdr:row>73</xdr:row>
      <xdr:rowOff>147638</xdr:rowOff>
    </xdr:from>
    <xdr:to>
      <xdr:col>53</xdr:col>
      <xdr:colOff>26308</xdr:colOff>
      <xdr:row>73</xdr:row>
      <xdr:rowOff>148318</xdr:rowOff>
    </xdr:to>
    <xdr:cxnSp macro="">
      <xdr:nvCxnSpPr>
        <xdr:cNvPr id="1071" name="直線矢印コネクタ 1070">
          <a:extLst>
            <a:ext uri="{FF2B5EF4-FFF2-40B4-BE49-F238E27FC236}">
              <a16:creationId xmlns:a16="http://schemas.microsoft.com/office/drawing/2014/main" id="{C14C1180-B33E-4C48-8F1F-E49FA6D3DB89}"/>
            </a:ext>
          </a:extLst>
        </xdr:cNvPr>
        <xdr:cNvCxnSpPr>
          <a:cxnSpLocks/>
          <a:stCxn id="1050" idx="3"/>
          <a:endCxn id="1070" idx="1"/>
        </xdr:cNvCxnSpPr>
      </xdr:nvCxnSpPr>
      <xdr:spPr>
        <a:xfrm flipV="1">
          <a:off x="6215742" y="14054138"/>
          <a:ext cx="3907066" cy="680"/>
        </a:xfrm>
        <a:prstGeom prst="straightConnector1">
          <a:avLst/>
        </a:prstGeom>
        <a:ln>
          <a:headEnd type="triangle"/>
          <a:tailEnd type="none"/>
        </a:ln>
      </xdr:spPr>
      <xdr:style>
        <a:lnRef idx="2">
          <a:schemeClr val="dk1"/>
        </a:lnRef>
        <a:fillRef idx="0">
          <a:schemeClr val="dk1"/>
        </a:fillRef>
        <a:effectRef idx="1">
          <a:schemeClr val="dk1"/>
        </a:effectRef>
        <a:fontRef idx="minor">
          <a:schemeClr val="tx1"/>
        </a:fontRef>
      </xdr:style>
    </xdr:cxnSp>
    <xdr:clientData/>
  </xdr:twoCellAnchor>
  <xdr:twoCellAnchor>
    <xdr:from>
      <xdr:col>19</xdr:col>
      <xdr:colOff>127000</xdr:colOff>
      <xdr:row>51</xdr:row>
      <xdr:rowOff>82550</xdr:rowOff>
    </xdr:from>
    <xdr:to>
      <xdr:col>60</xdr:col>
      <xdr:colOff>19050</xdr:colOff>
      <xdr:row>81</xdr:row>
      <xdr:rowOff>171450</xdr:rowOff>
    </xdr:to>
    <xdr:grpSp>
      <xdr:nvGrpSpPr>
        <xdr:cNvPr id="1072" name="グループ化 1071">
          <a:extLst>
            <a:ext uri="{FF2B5EF4-FFF2-40B4-BE49-F238E27FC236}">
              <a16:creationId xmlns:a16="http://schemas.microsoft.com/office/drawing/2014/main" id="{50B26305-59E6-4035-8B79-1B85114EC306}"/>
            </a:ext>
          </a:extLst>
        </xdr:cNvPr>
        <xdr:cNvGrpSpPr/>
      </xdr:nvGrpSpPr>
      <xdr:grpSpPr>
        <a:xfrm>
          <a:off x="3746500" y="9798050"/>
          <a:ext cx="7702550" cy="5803900"/>
          <a:chOff x="3683000" y="2370984"/>
          <a:chExt cx="7766050" cy="5433166"/>
        </a:xfrm>
      </xdr:grpSpPr>
      <xdr:sp macro="" textlink="">
        <xdr:nvSpPr>
          <xdr:cNvPr id="1073" name="正方形/長方形 1072">
            <a:extLst>
              <a:ext uri="{FF2B5EF4-FFF2-40B4-BE49-F238E27FC236}">
                <a16:creationId xmlns:a16="http://schemas.microsoft.com/office/drawing/2014/main" id="{4B755E85-880C-4648-9220-C66A9A5693AD}"/>
              </a:ext>
            </a:extLst>
          </xdr:cNvPr>
          <xdr:cNvSpPr/>
        </xdr:nvSpPr>
        <xdr:spPr>
          <a:xfrm>
            <a:off x="3683000" y="2406650"/>
            <a:ext cx="7766050" cy="5397500"/>
          </a:xfrm>
          <a:prstGeom prst="rect">
            <a:avLst/>
          </a:prstGeom>
          <a:noFill/>
          <a:ln w="28575">
            <a:solidFill>
              <a:srgbClr val="FF0000"/>
            </a:solidFill>
            <a:prstDash val="dash"/>
          </a:ln>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kumimoji="1" lang="ja-JP" altLang="en-US" sz="900">
              <a:latin typeface="Meiryo UI" panose="020B0604030504040204" pitchFamily="50" charset="-128"/>
              <a:ea typeface="Meiryo UI" panose="020B0604030504040204" pitchFamily="50" charset="-128"/>
            </a:endParaRPr>
          </a:p>
        </xdr:txBody>
      </xdr:sp>
      <xdr:sp macro="" textlink="">
        <xdr:nvSpPr>
          <xdr:cNvPr id="1074" name="テキスト ボックス 1073">
            <a:extLst>
              <a:ext uri="{FF2B5EF4-FFF2-40B4-BE49-F238E27FC236}">
                <a16:creationId xmlns:a16="http://schemas.microsoft.com/office/drawing/2014/main" id="{BCB0062F-EA8D-9234-6D23-DF55CC0D4719}"/>
              </a:ext>
            </a:extLst>
          </xdr:cNvPr>
          <xdr:cNvSpPr txBox="1"/>
        </xdr:nvSpPr>
        <xdr:spPr>
          <a:xfrm>
            <a:off x="6000750" y="2370984"/>
            <a:ext cx="160020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200" b="1">
                <a:latin typeface="Meiryo UI" panose="020B0604030504040204" pitchFamily="50" charset="-128"/>
                <a:ea typeface="Meiryo UI" panose="020B0604030504040204" pitchFamily="50" charset="-128"/>
              </a:rPr>
              <a:t>本機能の処理範囲</a:t>
            </a:r>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146050</xdr:colOff>
      <xdr:row>17</xdr:row>
      <xdr:rowOff>127000</xdr:rowOff>
    </xdr:from>
    <xdr:to>
      <xdr:col>14</xdr:col>
      <xdr:colOff>171450</xdr:colOff>
      <xdr:row>20</xdr:row>
      <xdr:rowOff>44450</xdr:rowOff>
    </xdr:to>
    <xdr:sp macro="" textlink="">
      <xdr:nvSpPr>
        <xdr:cNvPr id="2" name="正方形/長方形 1">
          <a:extLst>
            <a:ext uri="{FF2B5EF4-FFF2-40B4-BE49-F238E27FC236}">
              <a16:creationId xmlns:a16="http://schemas.microsoft.com/office/drawing/2014/main" id="{613DEAA3-5D29-51F8-7112-A00DAEEE8293}"/>
            </a:ext>
          </a:extLst>
        </xdr:cNvPr>
        <xdr:cNvSpPr/>
      </xdr:nvSpPr>
      <xdr:spPr>
        <a:xfrm>
          <a:off x="527050" y="3365500"/>
          <a:ext cx="1930400" cy="488950"/>
        </a:xfrm>
        <a:prstGeom prst="rect">
          <a:avLst/>
        </a:prstGeom>
        <a:no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solidFill>
                <a:sysClr val="windowText" lastClr="000000"/>
              </a:solidFill>
              <a:latin typeface="Meiryo UI" panose="020B0604030504040204" pitchFamily="50" charset="-128"/>
              <a:ea typeface="Meiryo UI" panose="020B0604030504040204" pitchFamily="50" charset="-128"/>
            </a:rPr>
            <a:t>ファイル出力内容</a:t>
          </a:r>
          <a:r>
            <a:rPr kumimoji="1" lang="en-US" altLang="ja-JP" sz="900">
              <a:solidFill>
                <a:sysClr val="windowText" lastClr="000000"/>
              </a:solidFill>
              <a:latin typeface="Meiryo UI" panose="020B0604030504040204" pitchFamily="50" charset="-128"/>
              <a:ea typeface="Meiryo UI" panose="020B0604030504040204" pitchFamily="50" charset="-128"/>
            </a:rPr>
            <a:t>(Container)</a:t>
          </a:r>
          <a:r>
            <a:rPr kumimoji="1" lang="ja-JP" altLang="en-US" sz="900">
              <a:solidFill>
                <a:sysClr val="windowText" lastClr="000000"/>
              </a:solidFill>
              <a:latin typeface="Meiryo UI" panose="020B0604030504040204" pitchFamily="50" charset="-128"/>
              <a:ea typeface="Meiryo UI" panose="020B0604030504040204" pitchFamily="50" charset="-128"/>
            </a:rPr>
            <a:t>作成</a:t>
          </a:r>
          <a:endParaRPr kumimoji="1" lang="en-US" altLang="ja-JP" sz="9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4</xdr:col>
      <xdr:colOff>146050</xdr:colOff>
      <xdr:row>22</xdr:row>
      <xdr:rowOff>50800</xdr:rowOff>
    </xdr:from>
    <xdr:to>
      <xdr:col>14</xdr:col>
      <xdr:colOff>171450</xdr:colOff>
      <xdr:row>24</xdr:row>
      <xdr:rowOff>158750</xdr:rowOff>
    </xdr:to>
    <xdr:sp macro="" textlink="">
      <xdr:nvSpPr>
        <xdr:cNvPr id="3" name="正方形/長方形 2">
          <a:extLst>
            <a:ext uri="{FF2B5EF4-FFF2-40B4-BE49-F238E27FC236}">
              <a16:creationId xmlns:a16="http://schemas.microsoft.com/office/drawing/2014/main" id="{456A373D-D0CA-41F6-3141-630D1B3CEA0C}"/>
            </a:ext>
          </a:extLst>
        </xdr:cNvPr>
        <xdr:cNvSpPr/>
      </xdr:nvSpPr>
      <xdr:spPr>
        <a:xfrm>
          <a:off x="527050" y="4241800"/>
          <a:ext cx="1930400" cy="488950"/>
        </a:xfrm>
        <a:prstGeom prst="rect">
          <a:avLst/>
        </a:prstGeom>
        <a:solidFill>
          <a:sysClr val="window" lastClr="FFFFFF"/>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900">
              <a:solidFill>
                <a:sysClr val="windowText" lastClr="000000"/>
              </a:solidFill>
              <a:latin typeface="Meiryo UI" panose="020B0604030504040204" pitchFamily="50" charset="-128"/>
              <a:ea typeface="Meiryo UI" panose="020B0604030504040204" pitchFamily="50" charset="-128"/>
            </a:rPr>
            <a:t>AzureFiles</a:t>
          </a:r>
          <a:r>
            <a:rPr kumimoji="1" lang="ja-JP" altLang="en-US" sz="900">
              <a:solidFill>
                <a:sysClr val="windowText" lastClr="000000"/>
              </a:solidFill>
              <a:latin typeface="Meiryo UI" panose="020B0604030504040204" pitchFamily="50" charset="-128"/>
              <a:ea typeface="Meiryo UI" panose="020B0604030504040204" pitchFamily="50" charset="-128"/>
            </a:rPr>
            <a:t>連携共通</a:t>
          </a:r>
          <a:r>
            <a:rPr kumimoji="1" lang="en-US" altLang="ja-JP" sz="900">
              <a:solidFill>
                <a:sysClr val="windowText" lastClr="000000"/>
              </a:solidFill>
              <a:latin typeface="Meiryo UI" panose="020B0604030504040204" pitchFamily="50" charset="-128"/>
              <a:ea typeface="Meiryo UI" panose="020B0604030504040204" pitchFamily="50" charset="-128"/>
            </a:rPr>
            <a:t>IF</a:t>
          </a:r>
          <a:r>
            <a:rPr kumimoji="1" lang="ja-JP" altLang="en-US" sz="900">
              <a:solidFill>
                <a:sysClr val="windowText" lastClr="000000"/>
              </a:solidFill>
              <a:latin typeface="Meiryo UI" panose="020B0604030504040204" pitchFamily="50" charset="-128"/>
              <a:ea typeface="Meiryo UI" panose="020B0604030504040204" pitchFamily="50" charset="-128"/>
            </a:rPr>
            <a:t>呼び出し</a:t>
          </a:r>
          <a:endParaRPr kumimoji="1" lang="en-US" altLang="ja-JP" sz="9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18</xdr:col>
      <xdr:colOff>171450</xdr:colOff>
      <xdr:row>27</xdr:row>
      <xdr:rowOff>31750</xdr:rowOff>
    </xdr:from>
    <xdr:to>
      <xdr:col>29</xdr:col>
      <xdr:colOff>6350</xdr:colOff>
      <xdr:row>29</xdr:row>
      <xdr:rowOff>139700</xdr:rowOff>
    </xdr:to>
    <xdr:sp macro="" textlink="">
      <xdr:nvSpPr>
        <xdr:cNvPr id="7" name="正方形/長方形 6">
          <a:extLst>
            <a:ext uri="{FF2B5EF4-FFF2-40B4-BE49-F238E27FC236}">
              <a16:creationId xmlns:a16="http://schemas.microsoft.com/office/drawing/2014/main" id="{E0774579-C120-1FCA-73C7-65B940521D7C}"/>
            </a:ext>
          </a:extLst>
        </xdr:cNvPr>
        <xdr:cNvSpPr/>
      </xdr:nvSpPr>
      <xdr:spPr>
        <a:xfrm>
          <a:off x="3219450" y="5175250"/>
          <a:ext cx="1930400" cy="488950"/>
        </a:xfrm>
        <a:prstGeom prst="rect">
          <a:avLst/>
        </a:prstGeom>
        <a:solidFill>
          <a:sysClr val="window" lastClr="FFFFFF"/>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900">
              <a:solidFill>
                <a:sysClr val="windowText" lastClr="000000"/>
              </a:solidFill>
              <a:latin typeface="Meiryo UI" panose="020B0604030504040204" pitchFamily="50" charset="-128"/>
              <a:ea typeface="Meiryo UI" panose="020B0604030504040204" pitchFamily="50" charset="-128"/>
            </a:rPr>
            <a:t>Azure Files</a:t>
          </a:r>
          <a:r>
            <a:rPr kumimoji="1" lang="ja-JP" altLang="en-US" sz="900">
              <a:solidFill>
                <a:sysClr val="windowText" lastClr="000000"/>
              </a:solidFill>
              <a:latin typeface="Meiryo UI" panose="020B0604030504040204" pitchFamily="50" charset="-128"/>
              <a:ea typeface="Meiryo UI" panose="020B0604030504040204" pitchFamily="50" charset="-128"/>
            </a:rPr>
            <a:t>認証</a:t>
          </a:r>
          <a:endParaRPr kumimoji="1" lang="en-US" altLang="ja-JP" sz="9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18</xdr:col>
      <xdr:colOff>171450</xdr:colOff>
      <xdr:row>32</xdr:row>
      <xdr:rowOff>171450</xdr:rowOff>
    </xdr:from>
    <xdr:to>
      <xdr:col>29</xdr:col>
      <xdr:colOff>6350</xdr:colOff>
      <xdr:row>35</xdr:row>
      <xdr:rowOff>88900</xdr:rowOff>
    </xdr:to>
    <xdr:sp macro="" textlink="">
      <xdr:nvSpPr>
        <xdr:cNvPr id="13" name="正方形/長方形 12">
          <a:extLst>
            <a:ext uri="{FF2B5EF4-FFF2-40B4-BE49-F238E27FC236}">
              <a16:creationId xmlns:a16="http://schemas.microsoft.com/office/drawing/2014/main" id="{B40E6CAB-B1C3-78F3-F105-2189120A9FA7}"/>
            </a:ext>
          </a:extLst>
        </xdr:cNvPr>
        <xdr:cNvSpPr/>
      </xdr:nvSpPr>
      <xdr:spPr>
        <a:xfrm>
          <a:off x="3219450" y="6267450"/>
          <a:ext cx="1930400" cy="488950"/>
        </a:xfrm>
        <a:prstGeom prst="rect">
          <a:avLst/>
        </a:prstGeom>
        <a:solidFill>
          <a:sysClr val="window" lastClr="FFFFFF"/>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solidFill>
                <a:sysClr val="windowText" lastClr="000000"/>
              </a:solidFill>
              <a:latin typeface="Meiryo UI" panose="020B0604030504040204" pitchFamily="50" charset="-128"/>
              <a:ea typeface="Meiryo UI" panose="020B0604030504040204" pitchFamily="50" charset="-128"/>
            </a:rPr>
            <a:t>連携ファイル出力</a:t>
          </a:r>
          <a:endParaRPr kumimoji="1" lang="en-US" altLang="ja-JP" sz="9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4</xdr:col>
      <xdr:colOff>146050</xdr:colOff>
      <xdr:row>38</xdr:row>
      <xdr:rowOff>88900</xdr:rowOff>
    </xdr:from>
    <xdr:to>
      <xdr:col>14</xdr:col>
      <xdr:colOff>171450</xdr:colOff>
      <xdr:row>41</xdr:row>
      <xdr:rowOff>6350</xdr:rowOff>
    </xdr:to>
    <xdr:sp macro="" textlink="">
      <xdr:nvSpPr>
        <xdr:cNvPr id="17" name="正方形/長方形 16">
          <a:extLst>
            <a:ext uri="{FF2B5EF4-FFF2-40B4-BE49-F238E27FC236}">
              <a16:creationId xmlns:a16="http://schemas.microsoft.com/office/drawing/2014/main" id="{4223AD7D-71A0-4012-86A0-BCA917F62EB3}"/>
            </a:ext>
          </a:extLst>
        </xdr:cNvPr>
        <xdr:cNvSpPr/>
      </xdr:nvSpPr>
      <xdr:spPr>
        <a:xfrm>
          <a:off x="527050" y="7327900"/>
          <a:ext cx="1930400" cy="488950"/>
        </a:xfrm>
        <a:prstGeom prst="rect">
          <a:avLst/>
        </a:prstGeom>
        <a:solidFill>
          <a:sysClr val="window" lastClr="FFFFFF"/>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900">
              <a:solidFill>
                <a:sysClr val="windowText" lastClr="000000"/>
              </a:solidFill>
              <a:latin typeface="Meiryo UI" panose="020B0604030504040204" pitchFamily="50" charset="-128"/>
              <a:ea typeface="Meiryo UI" panose="020B0604030504040204" pitchFamily="50" charset="-128"/>
            </a:rPr>
            <a:t>AzureFiles</a:t>
          </a:r>
          <a:r>
            <a:rPr kumimoji="1" lang="ja-JP" altLang="en-US" sz="900">
              <a:solidFill>
                <a:sysClr val="windowText" lastClr="000000"/>
              </a:solidFill>
              <a:latin typeface="Meiryo UI" panose="020B0604030504040204" pitchFamily="50" charset="-128"/>
              <a:ea typeface="Meiryo UI" panose="020B0604030504040204" pitchFamily="50" charset="-128"/>
            </a:rPr>
            <a:t>連携共通</a:t>
          </a:r>
          <a:r>
            <a:rPr kumimoji="1" lang="en-US" altLang="ja-JP" sz="900">
              <a:solidFill>
                <a:sysClr val="windowText" lastClr="000000"/>
              </a:solidFill>
              <a:latin typeface="Meiryo UI" panose="020B0604030504040204" pitchFamily="50" charset="-128"/>
              <a:ea typeface="Meiryo UI" panose="020B0604030504040204" pitchFamily="50" charset="-128"/>
            </a:rPr>
            <a:t>IF</a:t>
          </a:r>
          <a:r>
            <a:rPr kumimoji="1" lang="ja-JP" altLang="en-US" sz="900">
              <a:solidFill>
                <a:sysClr val="windowText" lastClr="000000"/>
              </a:solidFill>
              <a:latin typeface="Meiryo UI" panose="020B0604030504040204" pitchFamily="50" charset="-128"/>
              <a:ea typeface="Meiryo UI" panose="020B0604030504040204" pitchFamily="50" charset="-128"/>
            </a:rPr>
            <a:t>の結果</a:t>
          </a:r>
          <a:endParaRPr kumimoji="1" lang="en-US" altLang="ja-JP" sz="900">
            <a:solidFill>
              <a:sysClr val="windowText" lastClr="000000"/>
            </a:solidFill>
            <a:latin typeface="Meiryo UI" panose="020B0604030504040204" pitchFamily="50" charset="-128"/>
            <a:ea typeface="Meiryo UI" panose="020B0604030504040204" pitchFamily="50" charset="-128"/>
          </a:endParaRPr>
        </a:p>
        <a:p>
          <a:pPr algn="l"/>
          <a:r>
            <a:rPr kumimoji="1" lang="en-US" altLang="ja-JP" sz="900">
              <a:solidFill>
                <a:sysClr val="windowText" lastClr="000000"/>
              </a:solidFill>
              <a:latin typeface="Meiryo UI" panose="020B0604030504040204" pitchFamily="50" charset="-128"/>
              <a:ea typeface="Meiryo UI" panose="020B0604030504040204" pitchFamily="50" charset="-128"/>
            </a:rPr>
            <a:t>(</a:t>
          </a:r>
          <a:r>
            <a:rPr kumimoji="1" lang="ja-JP" altLang="en-US" sz="900">
              <a:solidFill>
                <a:sysClr val="windowText" lastClr="000000"/>
              </a:solidFill>
              <a:latin typeface="Meiryo UI" panose="020B0604030504040204" pitchFamily="50" charset="-128"/>
              <a:ea typeface="Meiryo UI" panose="020B0604030504040204" pitchFamily="50" charset="-128"/>
            </a:rPr>
            <a:t>成功</a:t>
          </a:r>
          <a:r>
            <a:rPr kumimoji="1" lang="en-US" altLang="ja-JP" sz="900">
              <a:solidFill>
                <a:sysClr val="windowText" lastClr="000000"/>
              </a:solidFill>
              <a:latin typeface="Meiryo UI" panose="020B0604030504040204" pitchFamily="50" charset="-128"/>
              <a:ea typeface="Meiryo UI" panose="020B0604030504040204" pitchFamily="50" charset="-128"/>
            </a:rPr>
            <a:t>/</a:t>
          </a:r>
          <a:r>
            <a:rPr kumimoji="1" lang="ja-JP" altLang="en-US" sz="900">
              <a:solidFill>
                <a:sysClr val="windowText" lastClr="000000"/>
              </a:solidFill>
              <a:latin typeface="Meiryo UI" panose="020B0604030504040204" pitchFamily="50" charset="-128"/>
              <a:ea typeface="Meiryo UI" panose="020B0604030504040204" pitchFamily="50" charset="-128"/>
            </a:rPr>
            <a:t>失敗</a:t>
          </a:r>
          <a:r>
            <a:rPr kumimoji="1" lang="en-US" altLang="ja-JP" sz="900">
              <a:solidFill>
                <a:sysClr val="windowText" lastClr="000000"/>
              </a:solidFill>
              <a:latin typeface="Meiryo UI" panose="020B0604030504040204" pitchFamily="50" charset="-128"/>
              <a:ea typeface="Meiryo UI" panose="020B0604030504040204" pitchFamily="50" charset="-128"/>
            </a:rPr>
            <a:t>)</a:t>
          </a:r>
          <a:r>
            <a:rPr kumimoji="1" lang="ja-JP" altLang="en-US" sz="900">
              <a:solidFill>
                <a:sysClr val="windowText" lastClr="000000"/>
              </a:solidFill>
              <a:latin typeface="Meiryo UI" panose="020B0604030504040204" pitchFamily="50" charset="-128"/>
              <a:ea typeface="Meiryo UI" panose="020B0604030504040204" pitchFamily="50" charset="-128"/>
            </a:rPr>
            <a:t>による後続処理</a:t>
          </a:r>
          <a:endParaRPr kumimoji="1" lang="en-US" altLang="ja-JP" sz="9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33</xdr:col>
      <xdr:colOff>152400</xdr:colOff>
      <xdr:row>32</xdr:row>
      <xdr:rowOff>177800</xdr:rowOff>
    </xdr:from>
    <xdr:to>
      <xdr:col>38</xdr:col>
      <xdr:colOff>57150</xdr:colOff>
      <xdr:row>35</xdr:row>
      <xdr:rowOff>111125</xdr:rowOff>
    </xdr:to>
    <xdr:grpSp>
      <xdr:nvGrpSpPr>
        <xdr:cNvPr id="29" name="グループ化 28">
          <a:extLst>
            <a:ext uri="{FF2B5EF4-FFF2-40B4-BE49-F238E27FC236}">
              <a16:creationId xmlns:a16="http://schemas.microsoft.com/office/drawing/2014/main" id="{4FC7A81E-2BA6-4A89-96B5-D2280C14F8FA}"/>
            </a:ext>
          </a:extLst>
        </xdr:cNvPr>
        <xdr:cNvGrpSpPr/>
      </xdr:nvGrpSpPr>
      <xdr:grpSpPr>
        <a:xfrm>
          <a:off x="6438900" y="6273800"/>
          <a:ext cx="857250" cy="504825"/>
          <a:chOff x="3428999" y="12449175"/>
          <a:chExt cx="1104902" cy="638175"/>
        </a:xfrm>
      </xdr:grpSpPr>
      <xdr:sp macro="" textlink="">
        <xdr:nvSpPr>
          <xdr:cNvPr id="30" name="フローチャート: 書類 29">
            <a:extLst>
              <a:ext uri="{FF2B5EF4-FFF2-40B4-BE49-F238E27FC236}">
                <a16:creationId xmlns:a16="http://schemas.microsoft.com/office/drawing/2014/main" id="{49FBD84E-F5ED-B48C-69A0-E208D01B281A}"/>
              </a:ext>
            </a:extLst>
          </xdr:cNvPr>
          <xdr:cNvSpPr/>
        </xdr:nvSpPr>
        <xdr:spPr>
          <a:xfrm>
            <a:off x="3429000" y="12449175"/>
            <a:ext cx="1104901" cy="638175"/>
          </a:xfrm>
          <a:prstGeom prst="flowChartDocumen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l"/>
            <a:endParaRPr kumimoji="1" lang="ja-JP" altLang="en-US" sz="900">
              <a:latin typeface="Meiryo UI" panose="020B0604030504040204" pitchFamily="50" charset="-128"/>
              <a:ea typeface="Meiryo UI" panose="020B0604030504040204" pitchFamily="50" charset="-128"/>
            </a:endParaRPr>
          </a:p>
        </xdr:txBody>
      </xdr:sp>
      <xdr:sp macro="" textlink="">
        <xdr:nvSpPr>
          <xdr:cNvPr id="31" name="テキスト ボックス 30">
            <a:extLst>
              <a:ext uri="{FF2B5EF4-FFF2-40B4-BE49-F238E27FC236}">
                <a16:creationId xmlns:a16="http://schemas.microsoft.com/office/drawing/2014/main" id="{8EDDACC8-6C02-C856-AC3A-43AAF38A7806}"/>
              </a:ext>
            </a:extLst>
          </xdr:cNvPr>
          <xdr:cNvSpPr txBox="1"/>
        </xdr:nvSpPr>
        <xdr:spPr>
          <a:xfrm>
            <a:off x="3428999" y="12449176"/>
            <a:ext cx="1104901" cy="6000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900">
                <a:solidFill>
                  <a:schemeClr val="dk1"/>
                </a:solidFill>
                <a:effectLst/>
                <a:latin typeface="Meiryo UI" panose="020B0604030504040204" pitchFamily="50" charset="-128"/>
                <a:ea typeface="Meiryo UI" panose="020B0604030504040204" pitchFamily="50" charset="-128"/>
                <a:cs typeface="+mn-cs"/>
              </a:rPr>
              <a:t>連携ファイル</a:t>
            </a:r>
            <a:endParaRPr kumimoji="1" lang="en-US" altLang="ja-JP" sz="900">
              <a:solidFill>
                <a:schemeClr val="dk1"/>
              </a:solidFill>
              <a:effectLst/>
              <a:latin typeface="Meiryo UI" panose="020B0604030504040204" pitchFamily="50" charset="-128"/>
              <a:ea typeface="Meiryo UI" panose="020B0604030504040204" pitchFamily="50" charset="-128"/>
              <a:cs typeface="+mn-cs"/>
            </a:endParaRPr>
          </a:p>
        </xdr:txBody>
      </xdr:sp>
    </xdr:grpSp>
    <xdr:clientData/>
  </xdr:twoCellAnchor>
  <xdr:twoCellAnchor>
    <xdr:from>
      <xdr:col>39</xdr:col>
      <xdr:colOff>171450</xdr:colOff>
      <xdr:row>32</xdr:row>
      <xdr:rowOff>177800</xdr:rowOff>
    </xdr:from>
    <xdr:to>
      <xdr:col>44</xdr:col>
      <xdr:colOff>76200</xdr:colOff>
      <xdr:row>35</xdr:row>
      <xdr:rowOff>111125</xdr:rowOff>
    </xdr:to>
    <xdr:grpSp>
      <xdr:nvGrpSpPr>
        <xdr:cNvPr id="32" name="グループ化 31">
          <a:extLst>
            <a:ext uri="{FF2B5EF4-FFF2-40B4-BE49-F238E27FC236}">
              <a16:creationId xmlns:a16="http://schemas.microsoft.com/office/drawing/2014/main" id="{46F7830C-2D18-7CE5-C96B-B224904863DA}"/>
            </a:ext>
          </a:extLst>
        </xdr:cNvPr>
        <xdr:cNvGrpSpPr/>
      </xdr:nvGrpSpPr>
      <xdr:grpSpPr>
        <a:xfrm>
          <a:off x="7600950" y="6273800"/>
          <a:ext cx="857250" cy="504825"/>
          <a:chOff x="3428999" y="12449175"/>
          <a:chExt cx="1104902" cy="638175"/>
        </a:xfrm>
      </xdr:grpSpPr>
      <xdr:sp macro="" textlink="">
        <xdr:nvSpPr>
          <xdr:cNvPr id="33" name="フローチャート: 書類 32">
            <a:extLst>
              <a:ext uri="{FF2B5EF4-FFF2-40B4-BE49-F238E27FC236}">
                <a16:creationId xmlns:a16="http://schemas.microsoft.com/office/drawing/2014/main" id="{46195847-6621-152D-6DE6-DFFFBEABD752}"/>
              </a:ext>
            </a:extLst>
          </xdr:cNvPr>
          <xdr:cNvSpPr/>
        </xdr:nvSpPr>
        <xdr:spPr>
          <a:xfrm>
            <a:off x="3429000" y="12449175"/>
            <a:ext cx="1104901" cy="638175"/>
          </a:xfrm>
          <a:prstGeom prst="flowChartDocumen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l"/>
            <a:endParaRPr kumimoji="1" lang="ja-JP" altLang="en-US" sz="900">
              <a:latin typeface="Meiryo UI" panose="020B0604030504040204" pitchFamily="50" charset="-128"/>
              <a:ea typeface="Meiryo UI" panose="020B0604030504040204" pitchFamily="50" charset="-128"/>
            </a:endParaRPr>
          </a:p>
        </xdr:txBody>
      </xdr:sp>
      <xdr:sp macro="" textlink="">
        <xdr:nvSpPr>
          <xdr:cNvPr id="34" name="テキスト ボックス 33">
            <a:extLst>
              <a:ext uri="{FF2B5EF4-FFF2-40B4-BE49-F238E27FC236}">
                <a16:creationId xmlns:a16="http://schemas.microsoft.com/office/drawing/2014/main" id="{E6429C66-F919-C673-F13A-CC7358CD3997}"/>
              </a:ext>
            </a:extLst>
          </xdr:cNvPr>
          <xdr:cNvSpPr txBox="1"/>
        </xdr:nvSpPr>
        <xdr:spPr>
          <a:xfrm>
            <a:off x="3428999" y="12449176"/>
            <a:ext cx="1104901" cy="6000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900">
                <a:solidFill>
                  <a:schemeClr val="dk1"/>
                </a:solidFill>
                <a:effectLst/>
                <a:latin typeface="Meiryo UI" panose="020B0604030504040204" pitchFamily="50" charset="-128"/>
                <a:ea typeface="Meiryo UI" panose="020B0604030504040204" pitchFamily="50" charset="-128"/>
                <a:cs typeface="+mn-cs"/>
              </a:rPr>
              <a:t>連携ファイル</a:t>
            </a:r>
            <a:endParaRPr kumimoji="1" lang="en-US" altLang="ja-JP" sz="900">
              <a:solidFill>
                <a:schemeClr val="dk1"/>
              </a:solidFill>
              <a:effectLst/>
              <a:latin typeface="Meiryo UI" panose="020B0604030504040204" pitchFamily="50" charset="-128"/>
              <a:ea typeface="Meiryo UI" panose="020B0604030504040204" pitchFamily="50" charset="-128"/>
              <a:cs typeface="+mn-cs"/>
            </a:endParaRPr>
          </a:p>
        </xdr:txBody>
      </xdr:sp>
    </xdr:grpSp>
    <xdr:clientData/>
  </xdr:twoCellAnchor>
  <xdr:twoCellAnchor>
    <xdr:from>
      <xdr:col>45</xdr:col>
      <xdr:colOff>133350</xdr:colOff>
      <xdr:row>32</xdr:row>
      <xdr:rowOff>177800</xdr:rowOff>
    </xdr:from>
    <xdr:to>
      <xdr:col>50</xdr:col>
      <xdr:colOff>38100</xdr:colOff>
      <xdr:row>35</xdr:row>
      <xdr:rowOff>111125</xdr:rowOff>
    </xdr:to>
    <xdr:grpSp>
      <xdr:nvGrpSpPr>
        <xdr:cNvPr id="35" name="グループ化 34">
          <a:extLst>
            <a:ext uri="{FF2B5EF4-FFF2-40B4-BE49-F238E27FC236}">
              <a16:creationId xmlns:a16="http://schemas.microsoft.com/office/drawing/2014/main" id="{50B19FF3-5327-EA68-4ED6-5B4E85F3902D}"/>
            </a:ext>
          </a:extLst>
        </xdr:cNvPr>
        <xdr:cNvGrpSpPr/>
      </xdr:nvGrpSpPr>
      <xdr:grpSpPr>
        <a:xfrm>
          <a:off x="8705850" y="6273800"/>
          <a:ext cx="857250" cy="504825"/>
          <a:chOff x="3428999" y="12449175"/>
          <a:chExt cx="1104902" cy="638175"/>
        </a:xfrm>
      </xdr:grpSpPr>
      <xdr:sp macro="" textlink="">
        <xdr:nvSpPr>
          <xdr:cNvPr id="36" name="フローチャート: 書類 35">
            <a:extLst>
              <a:ext uri="{FF2B5EF4-FFF2-40B4-BE49-F238E27FC236}">
                <a16:creationId xmlns:a16="http://schemas.microsoft.com/office/drawing/2014/main" id="{CC23B52B-22AD-8CDA-66E3-C245A8BD9EC2}"/>
              </a:ext>
            </a:extLst>
          </xdr:cNvPr>
          <xdr:cNvSpPr/>
        </xdr:nvSpPr>
        <xdr:spPr>
          <a:xfrm>
            <a:off x="3429000" y="12449175"/>
            <a:ext cx="1104901" cy="638175"/>
          </a:xfrm>
          <a:prstGeom prst="flowChartDocumen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l"/>
            <a:endParaRPr kumimoji="1" lang="ja-JP" altLang="en-US" sz="900">
              <a:latin typeface="Meiryo UI" panose="020B0604030504040204" pitchFamily="50" charset="-128"/>
              <a:ea typeface="Meiryo UI" panose="020B0604030504040204" pitchFamily="50" charset="-128"/>
            </a:endParaRPr>
          </a:p>
        </xdr:txBody>
      </xdr:sp>
      <xdr:sp macro="" textlink="">
        <xdr:nvSpPr>
          <xdr:cNvPr id="37" name="テキスト ボックス 36">
            <a:extLst>
              <a:ext uri="{FF2B5EF4-FFF2-40B4-BE49-F238E27FC236}">
                <a16:creationId xmlns:a16="http://schemas.microsoft.com/office/drawing/2014/main" id="{2BDADD50-0D0E-5716-015F-2E1276EBFD5E}"/>
              </a:ext>
            </a:extLst>
          </xdr:cNvPr>
          <xdr:cNvSpPr txBox="1"/>
        </xdr:nvSpPr>
        <xdr:spPr>
          <a:xfrm>
            <a:off x="3428999" y="12449176"/>
            <a:ext cx="1104901" cy="6000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900">
                <a:solidFill>
                  <a:schemeClr val="dk1"/>
                </a:solidFill>
                <a:effectLst/>
                <a:latin typeface="Meiryo UI" panose="020B0604030504040204" pitchFamily="50" charset="-128"/>
                <a:ea typeface="Meiryo UI" panose="020B0604030504040204" pitchFamily="50" charset="-128"/>
                <a:cs typeface="+mn-cs"/>
              </a:rPr>
              <a:t>連携ファイル</a:t>
            </a:r>
            <a:endParaRPr kumimoji="1" lang="en-US" altLang="ja-JP" sz="900">
              <a:solidFill>
                <a:schemeClr val="dk1"/>
              </a:solidFill>
              <a:effectLst/>
              <a:latin typeface="Meiryo UI" panose="020B0604030504040204" pitchFamily="50" charset="-128"/>
              <a:ea typeface="Meiryo UI" panose="020B0604030504040204" pitchFamily="50" charset="-128"/>
              <a:cs typeface="+mn-cs"/>
            </a:endParaRPr>
          </a:p>
        </xdr:txBody>
      </xdr:sp>
    </xdr:grpSp>
    <xdr:clientData/>
  </xdr:twoCellAnchor>
  <xdr:twoCellAnchor>
    <xdr:from>
      <xdr:col>51</xdr:col>
      <xdr:colOff>171450</xdr:colOff>
      <xdr:row>32</xdr:row>
      <xdr:rowOff>165100</xdr:rowOff>
    </xdr:from>
    <xdr:to>
      <xdr:col>56</xdr:col>
      <xdr:colOff>76200</xdr:colOff>
      <xdr:row>35</xdr:row>
      <xdr:rowOff>98425</xdr:rowOff>
    </xdr:to>
    <xdr:grpSp>
      <xdr:nvGrpSpPr>
        <xdr:cNvPr id="38" name="グループ化 37">
          <a:extLst>
            <a:ext uri="{FF2B5EF4-FFF2-40B4-BE49-F238E27FC236}">
              <a16:creationId xmlns:a16="http://schemas.microsoft.com/office/drawing/2014/main" id="{B600EDD7-1D84-D344-200C-01ED3910BE81}"/>
            </a:ext>
          </a:extLst>
        </xdr:cNvPr>
        <xdr:cNvGrpSpPr/>
      </xdr:nvGrpSpPr>
      <xdr:grpSpPr>
        <a:xfrm>
          <a:off x="9886950" y="6261100"/>
          <a:ext cx="857250" cy="504825"/>
          <a:chOff x="3428999" y="12449175"/>
          <a:chExt cx="1104902" cy="638175"/>
        </a:xfrm>
      </xdr:grpSpPr>
      <xdr:sp macro="" textlink="">
        <xdr:nvSpPr>
          <xdr:cNvPr id="39" name="フローチャート: 書類 38">
            <a:extLst>
              <a:ext uri="{FF2B5EF4-FFF2-40B4-BE49-F238E27FC236}">
                <a16:creationId xmlns:a16="http://schemas.microsoft.com/office/drawing/2014/main" id="{FAA3547E-DE70-768C-DA97-08E46542DD55}"/>
              </a:ext>
            </a:extLst>
          </xdr:cNvPr>
          <xdr:cNvSpPr/>
        </xdr:nvSpPr>
        <xdr:spPr>
          <a:xfrm>
            <a:off x="3429000" y="12449175"/>
            <a:ext cx="1104901" cy="638175"/>
          </a:xfrm>
          <a:prstGeom prst="flowChartDocumen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l"/>
            <a:endParaRPr kumimoji="1" lang="ja-JP" altLang="en-US" sz="900">
              <a:latin typeface="Meiryo UI" panose="020B0604030504040204" pitchFamily="50" charset="-128"/>
              <a:ea typeface="Meiryo UI" panose="020B0604030504040204" pitchFamily="50" charset="-128"/>
            </a:endParaRPr>
          </a:p>
        </xdr:txBody>
      </xdr:sp>
      <xdr:sp macro="" textlink="">
        <xdr:nvSpPr>
          <xdr:cNvPr id="40" name="テキスト ボックス 39">
            <a:extLst>
              <a:ext uri="{FF2B5EF4-FFF2-40B4-BE49-F238E27FC236}">
                <a16:creationId xmlns:a16="http://schemas.microsoft.com/office/drawing/2014/main" id="{C987C097-3B4C-1F8D-DDC3-9E3E9EB98AFC}"/>
              </a:ext>
            </a:extLst>
          </xdr:cNvPr>
          <xdr:cNvSpPr txBox="1"/>
        </xdr:nvSpPr>
        <xdr:spPr>
          <a:xfrm>
            <a:off x="3428999" y="12449176"/>
            <a:ext cx="1104901" cy="6000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900">
                <a:solidFill>
                  <a:schemeClr val="dk1"/>
                </a:solidFill>
                <a:effectLst/>
                <a:latin typeface="Meiryo UI" panose="020B0604030504040204" pitchFamily="50" charset="-128"/>
                <a:ea typeface="Meiryo UI" panose="020B0604030504040204" pitchFamily="50" charset="-128"/>
                <a:cs typeface="+mn-cs"/>
              </a:rPr>
              <a:t>連携ファイル</a:t>
            </a:r>
            <a:endParaRPr kumimoji="1" lang="en-US" altLang="ja-JP" sz="900">
              <a:solidFill>
                <a:schemeClr val="dk1"/>
              </a:solidFill>
              <a:effectLst/>
              <a:latin typeface="Meiryo UI" panose="020B0604030504040204" pitchFamily="50" charset="-128"/>
              <a:ea typeface="Meiryo UI" panose="020B0604030504040204" pitchFamily="50" charset="-128"/>
              <a:cs typeface="+mn-cs"/>
            </a:endParaRPr>
          </a:p>
        </xdr:txBody>
      </xdr:sp>
    </xdr:grpSp>
    <xdr:clientData/>
  </xdr:twoCellAnchor>
  <xdr:twoCellAnchor editAs="oneCell">
    <xdr:from>
      <xdr:col>43</xdr:col>
      <xdr:colOff>50800</xdr:colOff>
      <xdr:row>43</xdr:row>
      <xdr:rowOff>184150</xdr:rowOff>
    </xdr:from>
    <xdr:to>
      <xdr:col>48</xdr:col>
      <xdr:colOff>38100</xdr:colOff>
      <xdr:row>48</xdr:row>
      <xdr:rowOff>171450</xdr:rowOff>
    </xdr:to>
    <xdr:pic>
      <xdr:nvPicPr>
        <xdr:cNvPr id="42" name="グラフィックス 41" descr="コンピューター 単色塗りつぶし">
          <a:extLst>
            <a:ext uri="{FF2B5EF4-FFF2-40B4-BE49-F238E27FC236}">
              <a16:creationId xmlns:a16="http://schemas.microsoft.com/office/drawing/2014/main" id="{5861B579-CDF4-04CA-7535-30452E86BBF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7861300" y="8375650"/>
          <a:ext cx="939800" cy="939800"/>
        </a:xfrm>
        <a:prstGeom prst="rect">
          <a:avLst/>
        </a:prstGeom>
      </xdr:spPr>
    </xdr:pic>
    <xdr:clientData/>
  </xdr:twoCellAnchor>
  <xdr:twoCellAnchor>
    <xdr:from>
      <xdr:col>37</xdr:col>
      <xdr:colOff>0</xdr:colOff>
      <xdr:row>34</xdr:row>
      <xdr:rowOff>184150</xdr:rowOff>
    </xdr:from>
    <xdr:to>
      <xdr:col>41</xdr:col>
      <xdr:colOff>139700</xdr:colOff>
      <xdr:row>36</xdr:row>
      <xdr:rowOff>69850</xdr:rowOff>
    </xdr:to>
    <xdr:sp macro="" textlink="">
      <xdr:nvSpPr>
        <xdr:cNvPr id="15363" name="正方形/長方形 15362">
          <a:extLst>
            <a:ext uri="{FF2B5EF4-FFF2-40B4-BE49-F238E27FC236}">
              <a16:creationId xmlns:a16="http://schemas.microsoft.com/office/drawing/2014/main" id="{AFAEA5E3-48C1-3749-5410-71BC52374A4C}"/>
            </a:ext>
          </a:extLst>
        </xdr:cNvPr>
        <xdr:cNvSpPr/>
      </xdr:nvSpPr>
      <xdr:spPr>
        <a:xfrm>
          <a:off x="6667500" y="6661150"/>
          <a:ext cx="901700" cy="266700"/>
        </a:xfrm>
        <a:prstGeom prst="rect">
          <a:avLst/>
        </a:prstGeom>
        <a:solidFill>
          <a:schemeClr val="bg1">
            <a:lumMod val="85000"/>
          </a:schemeClr>
        </a:solidFill>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ctr"/>
        <a:lstStyle/>
        <a:p>
          <a:pPr algn="ctr"/>
          <a:r>
            <a:rPr kumimoji="1" lang="ja-JP" altLang="en-US" sz="900">
              <a:solidFill>
                <a:sysClr val="windowText" lastClr="000000"/>
              </a:solidFill>
              <a:latin typeface="Meiryo UI" panose="020B0604030504040204" pitchFamily="50" charset="-128"/>
              <a:ea typeface="Meiryo UI" panose="020B0604030504040204" pitchFamily="50" charset="-128"/>
            </a:rPr>
            <a:t>ファイル移動</a:t>
          </a:r>
        </a:p>
      </xdr:txBody>
    </xdr:sp>
    <xdr:clientData/>
  </xdr:twoCellAnchor>
  <xdr:twoCellAnchor>
    <xdr:from>
      <xdr:col>9</xdr:col>
      <xdr:colOff>158750</xdr:colOff>
      <xdr:row>20</xdr:row>
      <xdr:rowOff>44450</xdr:rowOff>
    </xdr:from>
    <xdr:to>
      <xdr:col>9</xdr:col>
      <xdr:colOff>158750</xdr:colOff>
      <xdr:row>22</xdr:row>
      <xdr:rowOff>50800</xdr:rowOff>
    </xdr:to>
    <xdr:cxnSp macro="">
      <xdr:nvCxnSpPr>
        <xdr:cNvPr id="15369" name="直線矢印コネクタ 20">
          <a:extLst>
            <a:ext uri="{FF2B5EF4-FFF2-40B4-BE49-F238E27FC236}">
              <a16:creationId xmlns:a16="http://schemas.microsoft.com/office/drawing/2014/main" id="{1BD5BCF9-33FE-44A5-9854-10417A8EC59A}"/>
            </a:ext>
          </a:extLst>
        </xdr:cNvPr>
        <xdr:cNvCxnSpPr>
          <a:cxnSpLocks/>
          <a:stCxn id="2" idx="2"/>
          <a:endCxn id="3" idx="0"/>
        </xdr:cNvCxnSpPr>
      </xdr:nvCxnSpPr>
      <xdr:spPr>
        <a:xfrm>
          <a:off x="1492250" y="3854450"/>
          <a:ext cx="0" cy="387350"/>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158750</xdr:colOff>
      <xdr:row>24</xdr:row>
      <xdr:rowOff>158750</xdr:rowOff>
    </xdr:from>
    <xdr:to>
      <xdr:col>23</xdr:col>
      <xdr:colOff>184150</xdr:colOff>
      <xdr:row>27</xdr:row>
      <xdr:rowOff>31750</xdr:rowOff>
    </xdr:to>
    <xdr:cxnSp macro="">
      <xdr:nvCxnSpPr>
        <xdr:cNvPr id="15373" name="直線矢印コネクタ 20">
          <a:extLst>
            <a:ext uri="{FF2B5EF4-FFF2-40B4-BE49-F238E27FC236}">
              <a16:creationId xmlns:a16="http://schemas.microsoft.com/office/drawing/2014/main" id="{551B201F-1236-4FD4-93BC-03DB03F35DA1}"/>
            </a:ext>
          </a:extLst>
        </xdr:cNvPr>
        <xdr:cNvCxnSpPr>
          <a:cxnSpLocks/>
          <a:stCxn id="3" idx="2"/>
          <a:endCxn id="7" idx="0"/>
        </xdr:cNvCxnSpPr>
      </xdr:nvCxnSpPr>
      <xdr:spPr>
        <a:xfrm rot="16200000" flipH="1">
          <a:off x="2616200" y="3606800"/>
          <a:ext cx="444500" cy="2692400"/>
        </a:xfrm>
        <a:prstGeom prst="bentConnector3">
          <a:avLst>
            <a:gd name="adj1" fmla="val 50000"/>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23</xdr:col>
      <xdr:colOff>184150</xdr:colOff>
      <xdr:row>29</xdr:row>
      <xdr:rowOff>139700</xdr:rowOff>
    </xdr:from>
    <xdr:to>
      <xdr:col>23</xdr:col>
      <xdr:colOff>184150</xdr:colOff>
      <xdr:row>32</xdr:row>
      <xdr:rowOff>171450</xdr:rowOff>
    </xdr:to>
    <xdr:cxnSp macro="">
      <xdr:nvCxnSpPr>
        <xdr:cNvPr id="15376" name="直線矢印コネクタ 20">
          <a:extLst>
            <a:ext uri="{FF2B5EF4-FFF2-40B4-BE49-F238E27FC236}">
              <a16:creationId xmlns:a16="http://schemas.microsoft.com/office/drawing/2014/main" id="{D3CFB8DE-E7A4-4815-A273-4D6265206156}"/>
            </a:ext>
          </a:extLst>
        </xdr:cNvPr>
        <xdr:cNvCxnSpPr>
          <a:cxnSpLocks/>
          <a:stCxn id="7" idx="2"/>
          <a:endCxn id="13" idx="0"/>
        </xdr:cNvCxnSpPr>
      </xdr:nvCxnSpPr>
      <xdr:spPr>
        <a:xfrm>
          <a:off x="4184650" y="5664200"/>
          <a:ext cx="0" cy="603250"/>
        </a:xfrm>
        <a:prstGeom prst="straightConnector1">
          <a:avLst/>
        </a:prstGeom>
        <a:ln>
          <a:solidFill>
            <a:srgbClr val="FF0000"/>
          </a:solidFill>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158750</xdr:colOff>
      <xdr:row>35</xdr:row>
      <xdr:rowOff>88900</xdr:rowOff>
    </xdr:from>
    <xdr:to>
      <xdr:col>23</xdr:col>
      <xdr:colOff>184150</xdr:colOff>
      <xdr:row>38</xdr:row>
      <xdr:rowOff>88900</xdr:rowOff>
    </xdr:to>
    <xdr:cxnSp macro="">
      <xdr:nvCxnSpPr>
        <xdr:cNvPr id="15379" name="直線矢印コネクタ 20">
          <a:extLst>
            <a:ext uri="{FF2B5EF4-FFF2-40B4-BE49-F238E27FC236}">
              <a16:creationId xmlns:a16="http://schemas.microsoft.com/office/drawing/2014/main" id="{D4890807-3174-42D5-8FFA-E05CA854AAB2}"/>
            </a:ext>
          </a:extLst>
        </xdr:cNvPr>
        <xdr:cNvCxnSpPr>
          <a:cxnSpLocks/>
          <a:stCxn id="13" idx="2"/>
          <a:endCxn id="17" idx="0"/>
        </xdr:cNvCxnSpPr>
      </xdr:nvCxnSpPr>
      <xdr:spPr>
        <a:xfrm rot="5400000">
          <a:off x="2552700" y="5695950"/>
          <a:ext cx="571500" cy="2692400"/>
        </a:xfrm>
        <a:prstGeom prst="bentConnector3">
          <a:avLst>
            <a:gd name="adj1" fmla="val 50000"/>
          </a:avLst>
        </a:prstGeom>
        <a:ln>
          <a:solidFill>
            <a:srgbClr val="FF0000"/>
          </a:solidFill>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29</xdr:col>
      <xdr:colOff>6350</xdr:colOff>
      <xdr:row>34</xdr:row>
      <xdr:rowOff>34144</xdr:rowOff>
    </xdr:from>
    <xdr:to>
      <xdr:col>33</xdr:col>
      <xdr:colOff>152400</xdr:colOff>
      <xdr:row>34</xdr:row>
      <xdr:rowOff>34925</xdr:rowOff>
    </xdr:to>
    <xdr:cxnSp macro="">
      <xdr:nvCxnSpPr>
        <xdr:cNvPr id="15382" name="直線矢印コネクタ 20">
          <a:extLst>
            <a:ext uri="{FF2B5EF4-FFF2-40B4-BE49-F238E27FC236}">
              <a16:creationId xmlns:a16="http://schemas.microsoft.com/office/drawing/2014/main" id="{8AF45FDB-E5E3-4D8E-8680-16EF79FC8029}"/>
            </a:ext>
          </a:extLst>
        </xdr:cNvPr>
        <xdr:cNvCxnSpPr>
          <a:cxnSpLocks/>
          <a:stCxn id="13" idx="3"/>
          <a:endCxn id="31" idx="1"/>
        </xdr:cNvCxnSpPr>
      </xdr:nvCxnSpPr>
      <xdr:spPr>
        <a:xfrm flipV="1">
          <a:off x="5149850" y="6511144"/>
          <a:ext cx="908050" cy="781"/>
        </a:xfrm>
        <a:prstGeom prst="straightConnector1">
          <a:avLst/>
        </a:prstGeom>
        <a:ln>
          <a:solidFill>
            <a:srgbClr val="FF0000"/>
          </a:solidFill>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42</xdr:col>
      <xdr:colOff>28574</xdr:colOff>
      <xdr:row>35</xdr:row>
      <xdr:rowOff>80986</xdr:rowOff>
    </xdr:from>
    <xdr:to>
      <xdr:col>43</xdr:col>
      <xdr:colOff>50799</xdr:colOff>
      <xdr:row>46</xdr:row>
      <xdr:rowOff>82550</xdr:rowOff>
    </xdr:to>
    <xdr:cxnSp macro="">
      <xdr:nvCxnSpPr>
        <xdr:cNvPr id="15385" name="直線矢印コネクタ 20">
          <a:extLst>
            <a:ext uri="{FF2B5EF4-FFF2-40B4-BE49-F238E27FC236}">
              <a16:creationId xmlns:a16="http://schemas.microsoft.com/office/drawing/2014/main" id="{C3E3B3A1-A06F-4D12-BDC5-92B9764A0909}"/>
            </a:ext>
          </a:extLst>
        </xdr:cNvPr>
        <xdr:cNvCxnSpPr>
          <a:cxnSpLocks/>
          <a:stCxn id="34" idx="2"/>
          <a:endCxn id="42" idx="1"/>
        </xdr:cNvCxnSpPr>
      </xdr:nvCxnSpPr>
      <xdr:spPr>
        <a:xfrm rot="16200000" flipH="1">
          <a:off x="6706405" y="7690655"/>
          <a:ext cx="2097064" cy="212725"/>
        </a:xfrm>
        <a:prstGeom prst="bentConnector2">
          <a:avLst/>
        </a:prstGeom>
        <a:ln>
          <a:solidFill>
            <a:schemeClr val="accent5"/>
          </a:solidFill>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45</xdr:col>
      <xdr:colOff>139703</xdr:colOff>
      <xdr:row>35</xdr:row>
      <xdr:rowOff>80986</xdr:rowOff>
    </xdr:from>
    <xdr:to>
      <xdr:col>47</xdr:col>
      <xdr:colOff>180975</xdr:colOff>
      <xdr:row>45</xdr:row>
      <xdr:rowOff>19050</xdr:rowOff>
    </xdr:to>
    <xdr:cxnSp macro="">
      <xdr:nvCxnSpPr>
        <xdr:cNvPr id="15388" name="直線矢印コネクタ 20">
          <a:extLst>
            <a:ext uri="{FF2B5EF4-FFF2-40B4-BE49-F238E27FC236}">
              <a16:creationId xmlns:a16="http://schemas.microsoft.com/office/drawing/2014/main" id="{76DA4276-9E22-44BB-ACB3-8B63B029FA1C}"/>
            </a:ext>
          </a:extLst>
        </xdr:cNvPr>
        <xdr:cNvCxnSpPr>
          <a:cxnSpLocks/>
          <a:endCxn id="37" idx="2"/>
        </xdr:cNvCxnSpPr>
      </xdr:nvCxnSpPr>
      <xdr:spPr>
        <a:xfrm rot="5400000" flipH="1" flipV="1">
          <a:off x="7620807" y="7458882"/>
          <a:ext cx="1843064" cy="422272"/>
        </a:xfrm>
        <a:prstGeom prst="bentConnector3">
          <a:avLst>
            <a:gd name="adj1" fmla="val 50000"/>
          </a:avLst>
        </a:prstGeom>
        <a:ln>
          <a:solidFill>
            <a:schemeClr val="accent5"/>
          </a:solidFill>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45</xdr:col>
      <xdr:colOff>152401</xdr:colOff>
      <xdr:row>35</xdr:row>
      <xdr:rowOff>68286</xdr:rowOff>
    </xdr:from>
    <xdr:to>
      <xdr:col>54</xdr:col>
      <xdr:colOff>28575</xdr:colOff>
      <xdr:row>45</xdr:row>
      <xdr:rowOff>38102</xdr:rowOff>
    </xdr:to>
    <xdr:cxnSp macro="">
      <xdr:nvCxnSpPr>
        <xdr:cNvPr id="15392" name="直線矢印コネクタ 20">
          <a:extLst>
            <a:ext uri="{FF2B5EF4-FFF2-40B4-BE49-F238E27FC236}">
              <a16:creationId xmlns:a16="http://schemas.microsoft.com/office/drawing/2014/main" id="{53237310-4041-4D60-A039-521649881E7B}"/>
            </a:ext>
          </a:extLst>
        </xdr:cNvPr>
        <xdr:cNvCxnSpPr>
          <a:cxnSpLocks/>
          <a:endCxn id="40" idx="2"/>
        </xdr:cNvCxnSpPr>
      </xdr:nvCxnSpPr>
      <xdr:spPr>
        <a:xfrm rot="5400000" flipH="1" flipV="1">
          <a:off x="8201830" y="6877857"/>
          <a:ext cx="1874816" cy="1590674"/>
        </a:xfrm>
        <a:prstGeom prst="bentConnector3">
          <a:avLst>
            <a:gd name="adj1" fmla="val 50000"/>
          </a:avLst>
        </a:prstGeom>
        <a:ln>
          <a:solidFill>
            <a:schemeClr val="accent5"/>
          </a:solidFill>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38</xdr:col>
      <xdr:colOff>57149</xdr:colOff>
      <xdr:row>34</xdr:row>
      <xdr:rowOff>34144</xdr:rowOff>
    </xdr:from>
    <xdr:to>
      <xdr:col>39</xdr:col>
      <xdr:colOff>171450</xdr:colOff>
      <xdr:row>34</xdr:row>
      <xdr:rowOff>34144</xdr:rowOff>
    </xdr:to>
    <xdr:cxnSp macro="">
      <xdr:nvCxnSpPr>
        <xdr:cNvPr id="15395" name="直線矢印コネクタ 20">
          <a:extLst>
            <a:ext uri="{FF2B5EF4-FFF2-40B4-BE49-F238E27FC236}">
              <a16:creationId xmlns:a16="http://schemas.microsoft.com/office/drawing/2014/main" id="{D9BDC72A-8379-4A56-87A2-8D40247772FD}"/>
            </a:ext>
          </a:extLst>
        </xdr:cNvPr>
        <xdr:cNvCxnSpPr>
          <a:cxnSpLocks/>
          <a:stCxn id="31" idx="3"/>
          <a:endCxn id="34" idx="1"/>
        </xdr:cNvCxnSpPr>
      </xdr:nvCxnSpPr>
      <xdr:spPr>
        <a:xfrm>
          <a:off x="6915149" y="6511144"/>
          <a:ext cx="304801" cy="0"/>
        </a:xfrm>
        <a:prstGeom prst="straightConnector1">
          <a:avLst/>
        </a:prstGeom>
        <a:ln>
          <a:solidFill>
            <a:srgbClr val="FF0000"/>
          </a:solidFill>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39</xdr:col>
      <xdr:colOff>133350</xdr:colOff>
      <xdr:row>43</xdr:row>
      <xdr:rowOff>57150</xdr:rowOff>
    </xdr:from>
    <xdr:to>
      <xdr:col>44</xdr:col>
      <xdr:colOff>82550</xdr:colOff>
      <xdr:row>44</xdr:row>
      <xdr:rowOff>133350</xdr:rowOff>
    </xdr:to>
    <xdr:sp macro="" textlink="">
      <xdr:nvSpPr>
        <xdr:cNvPr id="15398" name="正方形/長方形 15397">
          <a:extLst>
            <a:ext uri="{FF2B5EF4-FFF2-40B4-BE49-F238E27FC236}">
              <a16:creationId xmlns:a16="http://schemas.microsoft.com/office/drawing/2014/main" id="{F8443258-240D-9C4C-26D5-6015C6E3D6BD}"/>
            </a:ext>
          </a:extLst>
        </xdr:cNvPr>
        <xdr:cNvSpPr/>
      </xdr:nvSpPr>
      <xdr:spPr>
        <a:xfrm>
          <a:off x="7181850" y="8248650"/>
          <a:ext cx="901700" cy="266700"/>
        </a:xfrm>
        <a:prstGeom prst="rect">
          <a:avLst/>
        </a:prstGeom>
        <a:solidFill>
          <a:schemeClr val="bg1">
            <a:lumMod val="85000"/>
          </a:schemeClr>
        </a:solidFill>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ctr"/>
        <a:lstStyle/>
        <a:p>
          <a:pPr algn="ctr"/>
          <a:r>
            <a:rPr kumimoji="1" lang="ja-JP" altLang="en-US" sz="900">
              <a:solidFill>
                <a:sysClr val="windowText" lastClr="000000"/>
              </a:solidFill>
              <a:latin typeface="Meiryo UI" panose="020B0604030504040204" pitchFamily="50" charset="-128"/>
              <a:ea typeface="Meiryo UI" panose="020B0604030504040204" pitchFamily="50" charset="-128"/>
            </a:rPr>
            <a:t>ファイル取込</a:t>
          </a:r>
        </a:p>
      </xdr:txBody>
    </xdr:sp>
    <xdr:clientData/>
  </xdr:twoCellAnchor>
  <xdr:twoCellAnchor>
    <xdr:from>
      <xdr:col>44</xdr:col>
      <xdr:colOff>146050</xdr:colOff>
      <xdr:row>41</xdr:row>
      <xdr:rowOff>63500</xdr:rowOff>
    </xdr:from>
    <xdr:to>
      <xdr:col>49</xdr:col>
      <xdr:colOff>95250</xdr:colOff>
      <xdr:row>42</xdr:row>
      <xdr:rowOff>139700</xdr:rowOff>
    </xdr:to>
    <xdr:sp macro="" textlink="">
      <xdr:nvSpPr>
        <xdr:cNvPr id="15400" name="正方形/長方形 15399">
          <a:extLst>
            <a:ext uri="{FF2B5EF4-FFF2-40B4-BE49-F238E27FC236}">
              <a16:creationId xmlns:a16="http://schemas.microsoft.com/office/drawing/2014/main" id="{EAD8D031-3502-1E50-7C83-EB3C48EC4181}"/>
            </a:ext>
          </a:extLst>
        </xdr:cNvPr>
        <xdr:cNvSpPr/>
      </xdr:nvSpPr>
      <xdr:spPr>
        <a:xfrm>
          <a:off x="8147050" y="7874000"/>
          <a:ext cx="901700" cy="266700"/>
        </a:xfrm>
        <a:prstGeom prst="rect">
          <a:avLst/>
        </a:prstGeom>
        <a:solidFill>
          <a:schemeClr val="bg1">
            <a:lumMod val="85000"/>
          </a:schemeClr>
        </a:solidFill>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ctr"/>
        <a:lstStyle/>
        <a:p>
          <a:pPr algn="ctr"/>
          <a:r>
            <a:rPr kumimoji="1" lang="ja-JP" altLang="en-US" sz="900">
              <a:solidFill>
                <a:sysClr val="windowText" lastClr="000000"/>
              </a:solidFill>
              <a:latin typeface="Meiryo UI" panose="020B0604030504040204" pitchFamily="50" charset="-128"/>
              <a:ea typeface="Meiryo UI" panose="020B0604030504040204" pitchFamily="50" charset="-128"/>
            </a:rPr>
            <a:t>アーカイブ処理</a:t>
          </a:r>
        </a:p>
      </xdr:txBody>
    </xdr:sp>
    <xdr:clientData/>
  </xdr:twoCellAnchor>
  <xdr:twoCellAnchor>
    <xdr:from>
      <xdr:col>45</xdr:col>
      <xdr:colOff>107950</xdr:colOff>
      <xdr:row>31</xdr:row>
      <xdr:rowOff>76200</xdr:rowOff>
    </xdr:from>
    <xdr:to>
      <xdr:col>49</xdr:col>
      <xdr:colOff>63500</xdr:colOff>
      <xdr:row>33</xdr:row>
      <xdr:rowOff>12700</xdr:rowOff>
    </xdr:to>
    <xdr:sp macro="" textlink="">
      <xdr:nvSpPr>
        <xdr:cNvPr id="15401" name="テキスト ボックス 15400">
          <a:extLst>
            <a:ext uri="{FF2B5EF4-FFF2-40B4-BE49-F238E27FC236}">
              <a16:creationId xmlns:a16="http://schemas.microsoft.com/office/drawing/2014/main" id="{00E6F68C-0D0F-FA78-74E6-2036CFEDCA6E}"/>
            </a:ext>
          </a:extLst>
        </xdr:cNvPr>
        <xdr:cNvSpPr txBox="1"/>
      </xdr:nvSpPr>
      <xdr:spPr>
        <a:xfrm>
          <a:off x="8299450" y="5981700"/>
          <a:ext cx="717550" cy="317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000">
              <a:latin typeface="Meiryo UI" panose="020B0604030504040204" pitchFamily="50" charset="-128"/>
              <a:ea typeface="Meiryo UI" panose="020B0604030504040204" pitchFamily="50" charset="-128"/>
            </a:rPr>
            <a:t>成功時</a:t>
          </a:r>
        </a:p>
      </xdr:txBody>
    </xdr:sp>
    <xdr:clientData/>
  </xdr:twoCellAnchor>
  <xdr:twoCellAnchor>
    <xdr:from>
      <xdr:col>51</xdr:col>
      <xdr:colOff>152400</xdr:colOff>
      <xdr:row>31</xdr:row>
      <xdr:rowOff>63500</xdr:rowOff>
    </xdr:from>
    <xdr:to>
      <xdr:col>55</xdr:col>
      <xdr:colOff>107950</xdr:colOff>
      <xdr:row>33</xdr:row>
      <xdr:rowOff>0</xdr:rowOff>
    </xdr:to>
    <xdr:sp macro="" textlink="">
      <xdr:nvSpPr>
        <xdr:cNvPr id="15402" name="テキスト ボックス 15401">
          <a:extLst>
            <a:ext uri="{FF2B5EF4-FFF2-40B4-BE49-F238E27FC236}">
              <a16:creationId xmlns:a16="http://schemas.microsoft.com/office/drawing/2014/main" id="{E5C826AA-F5E3-C055-D8C4-EFC52F1DAD5B}"/>
            </a:ext>
          </a:extLst>
        </xdr:cNvPr>
        <xdr:cNvSpPr txBox="1"/>
      </xdr:nvSpPr>
      <xdr:spPr>
        <a:xfrm>
          <a:off x="9486900" y="5969000"/>
          <a:ext cx="717550" cy="317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000">
              <a:latin typeface="Meiryo UI" panose="020B0604030504040204" pitchFamily="50" charset="-128"/>
              <a:ea typeface="Meiryo UI" panose="020B0604030504040204" pitchFamily="50" charset="-128"/>
            </a:rPr>
            <a:t>失敗時</a:t>
          </a:r>
        </a:p>
      </xdr:txBody>
    </xdr:sp>
    <xdr:clientData/>
  </xdr:twoCellAnchor>
  <xdr:twoCellAnchor>
    <xdr:from>
      <xdr:col>33</xdr:col>
      <xdr:colOff>158750</xdr:colOff>
      <xdr:row>28</xdr:row>
      <xdr:rowOff>6350</xdr:rowOff>
    </xdr:from>
    <xdr:to>
      <xdr:col>43</xdr:col>
      <xdr:colOff>69850</xdr:colOff>
      <xdr:row>31</xdr:row>
      <xdr:rowOff>38100</xdr:rowOff>
    </xdr:to>
    <xdr:sp macro="" textlink="">
      <xdr:nvSpPr>
        <xdr:cNvPr id="15403" name="吹き出し: 四角形 15402">
          <a:extLst>
            <a:ext uri="{FF2B5EF4-FFF2-40B4-BE49-F238E27FC236}">
              <a16:creationId xmlns:a16="http://schemas.microsoft.com/office/drawing/2014/main" id="{3E5CF1DB-22F5-88FD-C195-DA6F9B4EDEBB}"/>
            </a:ext>
          </a:extLst>
        </xdr:cNvPr>
        <xdr:cNvSpPr/>
      </xdr:nvSpPr>
      <xdr:spPr>
        <a:xfrm>
          <a:off x="6064250" y="5340350"/>
          <a:ext cx="1816100" cy="603250"/>
        </a:xfrm>
        <a:prstGeom prst="wedgeRectCallout">
          <a:avLst>
            <a:gd name="adj1" fmla="val -30639"/>
            <a:gd name="adj2" fmla="val 94538"/>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kumimoji="1" lang="en-US" altLang="ja-JP" sz="1100">
              <a:latin typeface="Meiryo UI" panose="020B0604030504040204" pitchFamily="50" charset="-128"/>
              <a:ea typeface="Meiryo UI" panose="020B0604030504040204" pitchFamily="50" charset="-128"/>
            </a:rPr>
            <a:t>Azure Files</a:t>
          </a:r>
          <a:r>
            <a:rPr kumimoji="1" lang="ja-JP" altLang="en-US" sz="1100">
              <a:latin typeface="Meiryo UI" panose="020B0604030504040204" pitchFamily="50" charset="-128"/>
              <a:ea typeface="Meiryo UI" panose="020B0604030504040204" pitchFamily="50" charset="-128"/>
            </a:rPr>
            <a:t>⇔</a:t>
          </a:r>
          <a:r>
            <a:rPr kumimoji="1" lang="en-US" altLang="ja-JP" sz="1100">
              <a:latin typeface="Meiryo UI" panose="020B0604030504040204" pitchFamily="50" charset="-128"/>
              <a:ea typeface="Meiryo UI" panose="020B0604030504040204" pitchFamily="50" charset="-128"/>
            </a:rPr>
            <a:t>D365</a:t>
          </a:r>
          <a:r>
            <a:rPr kumimoji="1" lang="ja-JP" altLang="en-US" sz="1100">
              <a:latin typeface="Meiryo UI" panose="020B0604030504040204" pitchFamily="50" charset="-128"/>
              <a:ea typeface="Meiryo UI" panose="020B0604030504040204" pitchFamily="50" charset="-128"/>
            </a:rPr>
            <a:t>は</a:t>
          </a:r>
          <a:endParaRPr kumimoji="1" lang="en-US" altLang="ja-JP" sz="1100">
            <a:latin typeface="Meiryo UI" panose="020B0604030504040204" pitchFamily="50" charset="-128"/>
            <a:ea typeface="Meiryo UI" panose="020B0604030504040204" pitchFamily="50" charset="-128"/>
          </a:endParaRPr>
        </a:p>
        <a:p>
          <a:pPr algn="l"/>
          <a:r>
            <a:rPr kumimoji="1" lang="ja-JP" altLang="en-US" sz="1100">
              <a:latin typeface="Meiryo UI" panose="020B0604030504040204" pitchFamily="50" charset="-128"/>
              <a:ea typeface="Meiryo UI" panose="020B0604030504040204" pitchFamily="50" charset="-128"/>
            </a:rPr>
            <a:t>ワークフォルダを介する運用</a:t>
          </a:r>
        </a:p>
      </xdr:txBody>
    </xdr:sp>
    <xdr:clientData/>
  </xdr:twoCellAnchor>
  <xdr:twoCellAnchor>
    <xdr:from>
      <xdr:col>44</xdr:col>
      <xdr:colOff>19050</xdr:colOff>
      <xdr:row>48</xdr:row>
      <xdr:rowOff>6350</xdr:rowOff>
    </xdr:from>
    <xdr:to>
      <xdr:col>49</xdr:col>
      <xdr:colOff>31750</xdr:colOff>
      <xdr:row>49</xdr:row>
      <xdr:rowOff>133350</xdr:rowOff>
    </xdr:to>
    <xdr:sp macro="" textlink="">
      <xdr:nvSpPr>
        <xdr:cNvPr id="15404" name="テキスト ボックス 15403">
          <a:extLst>
            <a:ext uri="{FF2B5EF4-FFF2-40B4-BE49-F238E27FC236}">
              <a16:creationId xmlns:a16="http://schemas.microsoft.com/office/drawing/2014/main" id="{1669498F-F923-4E05-AA0E-63701279843B}"/>
            </a:ext>
          </a:extLst>
        </xdr:cNvPr>
        <xdr:cNvSpPr txBox="1"/>
      </xdr:nvSpPr>
      <xdr:spPr>
        <a:xfrm>
          <a:off x="8020050" y="9150350"/>
          <a:ext cx="965200" cy="317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000">
              <a:latin typeface="Meiryo UI" panose="020B0604030504040204" pitchFamily="50" charset="-128"/>
              <a:ea typeface="Meiryo UI" panose="020B0604030504040204" pitchFamily="50" charset="-128"/>
            </a:rPr>
            <a:t>外部システム</a:t>
          </a:r>
        </a:p>
      </xdr:txBody>
    </xdr:sp>
    <xdr:clientData/>
  </xdr:twoCellAnchor>
  <xdr:twoCellAnchor>
    <xdr:from>
      <xdr:col>48</xdr:col>
      <xdr:colOff>6350</xdr:colOff>
      <xdr:row>44</xdr:row>
      <xdr:rowOff>127000</xdr:rowOff>
    </xdr:from>
    <xdr:to>
      <xdr:col>53</xdr:col>
      <xdr:colOff>146050</xdr:colOff>
      <xdr:row>48</xdr:row>
      <xdr:rowOff>44450</xdr:rowOff>
    </xdr:to>
    <xdr:sp macro="" textlink="">
      <xdr:nvSpPr>
        <xdr:cNvPr id="15405" name="テキスト ボックス 15404">
          <a:extLst>
            <a:ext uri="{FF2B5EF4-FFF2-40B4-BE49-F238E27FC236}">
              <a16:creationId xmlns:a16="http://schemas.microsoft.com/office/drawing/2014/main" id="{0B3916A9-1BF4-42C7-8EF0-C0C09E5740C7}"/>
            </a:ext>
          </a:extLst>
        </xdr:cNvPr>
        <xdr:cNvSpPr txBox="1"/>
      </xdr:nvSpPr>
      <xdr:spPr>
        <a:xfrm>
          <a:off x="8769350" y="8509000"/>
          <a:ext cx="1092200" cy="679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000">
              <a:latin typeface="Meiryo UI" panose="020B0604030504040204" pitchFamily="50" charset="-128"/>
              <a:ea typeface="Meiryo UI" panose="020B0604030504040204" pitchFamily="50" charset="-128"/>
            </a:rPr>
            <a:t>アーカイブ処理は受信側が行う</a:t>
          </a:r>
        </a:p>
      </xdr:txBody>
    </xdr:sp>
    <xdr:clientData/>
  </xdr:twoCellAnchor>
  <xdr:twoCellAnchor>
    <xdr:from>
      <xdr:col>4</xdr:col>
      <xdr:colOff>146050</xdr:colOff>
      <xdr:row>60</xdr:row>
      <xdr:rowOff>19050</xdr:rowOff>
    </xdr:from>
    <xdr:to>
      <xdr:col>14</xdr:col>
      <xdr:colOff>171450</xdr:colOff>
      <xdr:row>62</xdr:row>
      <xdr:rowOff>127000</xdr:rowOff>
    </xdr:to>
    <xdr:sp macro="" textlink="">
      <xdr:nvSpPr>
        <xdr:cNvPr id="15407" name="正方形/長方形 15406">
          <a:extLst>
            <a:ext uri="{FF2B5EF4-FFF2-40B4-BE49-F238E27FC236}">
              <a16:creationId xmlns:a16="http://schemas.microsoft.com/office/drawing/2014/main" id="{1ECDB684-6983-4831-A9CF-5B9D5BF11816}"/>
            </a:ext>
          </a:extLst>
        </xdr:cNvPr>
        <xdr:cNvSpPr/>
      </xdr:nvSpPr>
      <xdr:spPr>
        <a:xfrm>
          <a:off x="527050" y="11258550"/>
          <a:ext cx="1930400" cy="488950"/>
        </a:xfrm>
        <a:prstGeom prst="rect">
          <a:avLst/>
        </a:prstGeom>
        <a:solidFill>
          <a:sysClr val="window" lastClr="FFFFFF"/>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900">
              <a:solidFill>
                <a:sysClr val="windowText" lastClr="000000"/>
              </a:solidFill>
              <a:latin typeface="Meiryo UI" panose="020B0604030504040204" pitchFamily="50" charset="-128"/>
              <a:ea typeface="Meiryo UI" panose="020B0604030504040204" pitchFamily="50" charset="-128"/>
            </a:rPr>
            <a:t>AzureFiles</a:t>
          </a:r>
          <a:r>
            <a:rPr kumimoji="1" lang="ja-JP" altLang="en-US" sz="900">
              <a:solidFill>
                <a:sysClr val="windowText" lastClr="000000"/>
              </a:solidFill>
              <a:latin typeface="Meiryo UI" panose="020B0604030504040204" pitchFamily="50" charset="-128"/>
              <a:ea typeface="Meiryo UI" panose="020B0604030504040204" pitchFamily="50" charset="-128"/>
            </a:rPr>
            <a:t>連携共通</a:t>
          </a:r>
          <a:r>
            <a:rPr kumimoji="1" lang="en-US" altLang="ja-JP" sz="900">
              <a:solidFill>
                <a:sysClr val="windowText" lastClr="000000"/>
              </a:solidFill>
              <a:latin typeface="Meiryo UI" panose="020B0604030504040204" pitchFamily="50" charset="-128"/>
              <a:ea typeface="Meiryo UI" panose="020B0604030504040204" pitchFamily="50" charset="-128"/>
            </a:rPr>
            <a:t>IF</a:t>
          </a:r>
          <a:r>
            <a:rPr kumimoji="1" lang="ja-JP" altLang="en-US" sz="900">
              <a:solidFill>
                <a:sysClr val="windowText" lastClr="000000"/>
              </a:solidFill>
              <a:latin typeface="Meiryo UI" panose="020B0604030504040204" pitchFamily="50" charset="-128"/>
              <a:ea typeface="Meiryo UI" panose="020B0604030504040204" pitchFamily="50" charset="-128"/>
            </a:rPr>
            <a:t>呼び出し</a:t>
          </a:r>
          <a:endParaRPr kumimoji="1" lang="en-US" altLang="ja-JP" sz="9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18</xdr:col>
      <xdr:colOff>171450</xdr:colOff>
      <xdr:row>65</xdr:row>
      <xdr:rowOff>82550</xdr:rowOff>
    </xdr:from>
    <xdr:to>
      <xdr:col>29</xdr:col>
      <xdr:colOff>6350</xdr:colOff>
      <xdr:row>68</xdr:row>
      <xdr:rowOff>0</xdr:rowOff>
    </xdr:to>
    <xdr:sp macro="" textlink="">
      <xdr:nvSpPr>
        <xdr:cNvPr id="15408" name="正方形/長方形 15407">
          <a:extLst>
            <a:ext uri="{FF2B5EF4-FFF2-40B4-BE49-F238E27FC236}">
              <a16:creationId xmlns:a16="http://schemas.microsoft.com/office/drawing/2014/main" id="{4771EC1C-7EDD-4A78-BC2E-28333FAE0DAA}"/>
            </a:ext>
          </a:extLst>
        </xdr:cNvPr>
        <xdr:cNvSpPr/>
      </xdr:nvSpPr>
      <xdr:spPr>
        <a:xfrm>
          <a:off x="3219450" y="12274550"/>
          <a:ext cx="1930400" cy="488950"/>
        </a:xfrm>
        <a:prstGeom prst="rect">
          <a:avLst/>
        </a:prstGeom>
        <a:solidFill>
          <a:sysClr val="window" lastClr="FFFFFF"/>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900">
              <a:solidFill>
                <a:sysClr val="windowText" lastClr="000000"/>
              </a:solidFill>
              <a:latin typeface="Meiryo UI" panose="020B0604030504040204" pitchFamily="50" charset="-128"/>
              <a:ea typeface="Meiryo UI" panose="020B0604030504040204" pitchFamily="50" charset="-128"/>
            </a:rPr>
            <a:t>Azure Files</a:t>
          </a:r>
          <a:r>
            <a:rPr kumimoji="1" lang="ja-JP" altLang="en-US" sz="900">
              <a:solidFill>
                <a:sysClr val="windowText" lastClr="000000"/>
              </a:solidFill>
              <a:latin typeface="Meiryo UI" panose="020B0604030504040204" pitchFamily="50" charset="-128"/>
              <a:ea typeface="Meiryo UI" panose="020B0604030504040204" pitchFamily="50" charset="-128"/>
            </a:rPr>
            <a:t>認証</a:t>
          </a:r>
          <a:endParaRPr kumimoji="1" lang="en-US" altLang="ja-JP" sz="9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18</xdr:col>
      <xdr:colOff>171450</xdr:colOff>
      <xdr:row>74</xdr:row>
      <xdr:rowOff>171450</xdr:rowOff>
    </xdr:from>
    <xdr:to>
      <xdr:col>29</xdr:col>
      <xdr:colOff>6350</xdr:colOff>
      <xdr:row>77</xdr:row>
      <xdr:rowOff>88900</xdr:rowOff>
    </xdr:to>
    <xdr:sp macro="" textlink="">
      <xdr:nvSpPr>
        <xdr:cNvPr id="15409" name="正方形/長方形 15408">
          <a:extLst>
            <a:ext uri="{FF2B5EF4-FFF2-40B4-BE49-F238E27FC236}">
              <a16:creationId xmlns:a16="http://schemas.microsoft.com/office/drawing/2014/main" id="{C8050E1F-C397-4610-904C-38C55D8F4DC8}"/>
            </a:ext>
          </a:extLst>
        </xdr:cNvPr>
        <xdr:cNvSpPr/>
      </xdr:nvSpPr>
      <xdr:spPr>
        <a:xfrm>
          <a:off x="3219450" y="14077950"/>
          <a:ext cx="1930400" cy="488950"/>
        </a:xfrm>
        <a:prstGeom prst="rect">
          <a:avLst/>
        </a:prstGeom>
        <a:solidFill>
          <a:sysClr val="window" lastClr="FFFFFF"/>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solidFill>
                <a:sysClr val="windowText" lastClr="000000"/>
              </a:solidFill>
              <a:latin typeface="Meiryo UI" panose="020B0604030504040204" pitchFamily="50" charset="-128"/>
              <a:ea typeface="Meiryo UI" panose="020B0604030504040204" pitchFamily="50" charset="-128"/>
            </a:rPr>
            <a:t>アーカイブ処理</a:t>
          </a:r>
          <a:endParaRPr kumimoji="1" lang="en-US" altLang="ja-JP" sz="9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4</xdr:col>
      <xdr:colOff>146050</xdr:colOff>
      <xdr:row>80</xdr:row>
      <xdr:rowOff>88900</xdr:rowOff>
    </xdr:from>
    <xdr:to>
      <xdr:col>14</xdr:col>
      <xdr:colOff>171450</xdr:colOff>
      <xdr:row>83</xdr:row>
      <xdr:rowOff>6350</xdr:rowOff>
    </xdr:to>
    <xdr:sp macro="" textlink="">
      <xdr:nvSpPr>
        <xdr:cNvPr id="15410" name="正方形/長方形 15409">
          <a:extLst>
            <a:ext uri="{FF2B5EF4-FFF2-40B4-BE49-F238E27FC236}">
              <a16:creationId xmlns:a16="http://schemas.microsoft.com/office/drawing/2014/main" id="{7686B019-F109-44E6-A7D7-9F8651EF044B}"/>
            </a:ext>
          </a:extLst>
        </xdr:cNvPr>
        <xdr:cNvSpPr/>
      </xdr:nvSpPr>
      <xdr:spPr>
        <a:xfrm>
          <a:off x="527050" y="15138400"/>
          <a:ext cx="1930400" cy="488950"/>
        </a:xfrm>
        <a:prstGeom prst="rect">
          <a:avLst/>
        </a:prstGeom>
        <a:solidFill>
          <a:sysClr val="window" lastClr="FFFFFF"/>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900">
              <a:solidFill>
                <a:sysClr val="windowText" lastClr="000000"/>
              </a:solidFill>
              <a:latin typeface="Meiryo UI" panose="020B0604030504040204" pitchFamily="50" charset="-128"/>
              <a:ea typeface="Meiryo UI" panose="020B0604030504040204" pitchFamily="50" charset="-128"/>
            </a:rPr>
            <a:t>AzureFiles</a:t>
          </a:r>
          <a:r>
            <a:rPr kumimoji="1" lang="ja-JP" altLang="en-US" sz="900">
              <a:solidFill>
                <a:sysClr val="windowText" lastClr="000000"/>
              </a:solidFill>
              <a:latin typeface="Meiryo UI" panose="020B0604030504040204" pitchFamily="50" charset="-128"/>
              <a:ea typeface="Meiryo UI" panose="020B0604030504040204" pitchFamily="50" charset="-128"/>
            </a:rPr>
            <a:t>連携共通</a:t>
          </a:r>
          <a:r>
            <a:rPr kumimoji="1" lang="en-US" altLang="ja-JP" sz="900">
              <a:solidFill>
                <a:sysClr val="windowText" lastClr="000000"/>
              </a:solidFill>
              <a:latin typeface="Meiryo UI" panose="020B0604030504040204" pitchFamily="50" charset="-128"/>
              <a:ea typeface="Meiryo UI" panose="020B0604030504040204" pitchFamily="50" charset="-128"/>
            </a:rPr>
            <a:t>IF</a:t>
          </a:r>
          <a:r>
            <a:rPr kumimoji="1" lang="ja-JP" altLang="en-US" sz="900">
              <a:solidFill>
                <a:sysClr val="windowText" lastClr="000000"/>
              </a:solidFill>
              <a:latin typeface="Meiryo UI" panose="020B0604030504040204" pitchFamily="50" charset="-128"/>
              <a:ea typeface="Meiryo UI" panose="020B0604030504040204" pitchFamily="50" charset="-128"/>
            </a:rPr>
            <a:t>の結果</a:t>
          </a:r>
          <a:endParaRPr kumimoji="1" lang="en-US" altLang="ja-JP" sz="900">
            <a:solidFill>
              <a:sysClr val="windowText" lastClr="000000"/>
            </a:solidFill>
            <a:latin typeface="Meiryo UI" panose="020B0604030504040204" pitchFamily="50" charset="-128"/>
            <a:ea typeface="Meiryo UI" panose="020B0604030504040204" pitchFamily="50" charset="-128"/>
          </a:endParaRPr>
        </a:p>
        <a:p>
          <a:pPr algn="l"/>
          <a:r>
            <a:rPr kumimoji="1" lang="en-US" altLang="ja-JP" sz="900">
              <a:solidFill>
                <a:sysClr val="windowText" lastClr="000000"/>
              </a:solidFill>
              <a:latin typeface="Meiryo UI" panose="020B0604030504040204" pitchFamily="50" charset="-128"/>
              <a:ea typeface="Meiryo UI" panose="020B0604030504040204" pitchFamily="50" charset="-128"/>
            </a:rPr>
            <a:t>(</a:t>
          </a:r>
          <a:r>
            <a:rPr kumimoji="1" lang="ja-JP" altLang="en-US" sz="900">
              <a:solidFill>
                <a:sysClr val="windowText" lastClr="000000"/>
              </a:solidFill>
              <a:latin typeface="Meiryo UI" panose="020B0604030504040204" pitchFamily="50" charset="-128"/>
              <a:ea typeface="Meiryo UI" panose="020B0604030504040204" pitchFamily="50" charset="-128"/>
            </a:rPr>
            <a:t>成功</a:t>
          </a:r>
          <a:r>
            <a:rPr kumimoji="1" lang="en-US" altLang="ja-JP" sz="900">
              <a:solidFill>
                <a:sysClr val="windowText" lastClr="000000"/>
              </a:solidFill>
              <a:latin typeface="Meiryo UI" panose="020B0604030504040204" pitchFamily="50" charset="-128"/>
              <a:ea typeface="Meiryo UI" panose="020B0604030504040204" pitchFamily="50" charset="-128"/>
            </a:rPr>
            <a:t>/</a:t>
          </a:r>
          <a:r>
            <a:rPr kumimoji="1" lang="ja-JP" altLang="en-US" sz="900">
              <a:solidFill>
                <a:sysClr val="windowText" lastClr="000000"/>
              </a:solidFill>
              <a:latin typeface="Meiryo UI" panose="020B0604030504040204" pitchFamily="50" charset="-128"/>
              <a:ea typeface="Meiryo UI" panose="020B0604030504040204" pitchFamily="50" charset="-128"/>
            </a:rPr>
            <a:t>失敗</a:t>
          </a:r>
          <a:r>
            <a:rPr kumimoji="1" lang="en-US" altLang="ja-JP" sz="900">
              <a:solidFill>
                <a:sysClr val="windowText" lastClr="000000"/>
              </a:solidFill>
              <a:latin typeface="Meiryo UI" panose="020B0604030504040204" pitchFamily="50" charset="-128"/>
              <a:ea typeface="Meiryo UI" panose="020B0604030504040204" pitchFamily="50" charset="-128"/>
            </a:rPr>
            <a:t>)</a:t>
          </a:r>
          <a:r>
            <a:rPr kumimoji="1" lang="ja-JP" altLang="en-US" sz="900">
              <a:solidFill>
                <a:sysClr val="windowText" lastClr="000000"/>
              </a:solidFill>
              <a:latin typeface="Meiryo UI" panose="020B0604030504040204" pitchFamily="50" charset="-128"/>
              <a:ea typeface="Meiryo UI" panose="020B0604030504040204" pitchFamily="50" charset="-128"/>
            </a:rPr>
            <a:t>による後続処理</a:t>
          </a:r>
          <a:endParaRPr kumimoji="1" lang="en-US" altLang="ja-JP" sz="9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33</xdr:col>
      <xdr:colOff>152400</xdr:colOff>
      <xdr:row>74</xdr:row>
      <xdr:rowOff>177800</xdr:rowOff>
    </xdr:from>
    <xdr:to>
      <xdr:col>38</xdr:col>
      <xdr:colOff>57150</xdr:colOff>
      <xdr:row>77</xdr:row>
      <xdr:rowOff>111125</xdr:rowOff>
    </xdr:to>
    <xdr:grpSp>
      <xdr:nvGrpSpPr>
        <xdr:cNvPr id="15411" name="グループ化 15410">
          <a:extLst>
            <a:ext uri="{FF2B5EF4-FFF2-40B4-BE49-F238E27FC236}">
              <a16:creationId xmlns:a16="http://schemas.microsoft.com/office/drawing/2014/main" id="{0725601A-BCDF-4B65-8ED9-944BA03FC8BD}"/>
            </a:ext>
          </a:extLst>
        </xdr:cNvPr>
        <xdr:cNvGrpSpPr/>
      </xdr:nvGrpSpPr>
      <xdr:grpSpPr>
        <a:xfrm>
          <a:off x="6438900" y="14274800"/>
          <a:ext cx="857250" cy="504825"/>
          <a:chOff x="3428999" y="12449175"/>
          <a:chExt cx="1104902" cy="638175"/>
        </a:xfrm>
      </xdr:grpSpPr>
      <xdr:sp macro="" textlink="">
        <xdr:nvSpPr>
          <xdr:cNvPr id="15412" name="フローチャート: 書類 15411">
            <a:extLst>
              <a:ext uri="{FF2B5EF4-FFF2-40B4-BE49-F238E27FC236}">
                <a16:creationId xmlns:a16="http://schemas.microsoft.com/office/drawing/2014/main" id="{7105FDA0-F415-8982-BA54-68C12855BB9E}"/>
              </a:ext>
            </a:extLst>
          </xdr:cNvPr>
          <xdr:cNvSpPr/>
        </xdr:nvSpPr>
        <xdr:spPr>
          <a:xfrm>
            <a:off x="3429000" y="12449175"/>
            <a:ext cx="1104901" cy="638175"/>
          </a:xfrm>
          <a:prstGeom prst="flowChartDocumen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900">
              <a:latin typeface="Meiryo UI" panose="020B0604030504040204" pitchFamily="50" charset="-128"/>
              <a:ea typeface="Meiryo UI" panose="020B0604030504040204" pitchFamily="50" charset="-128"/>
            </a:endParaRPr>
          </a:p>
        </xdr:txBody>
      </xdr:sp>
      <xdr:sp macro="" textlink="">
        <xdr:nvSpPr>
          <xdr:cNvPr id="15413" name="テキスト ボックス 15412">
            <a:extLst>
              <a:ext uri="{FF2B5EF4-FFF2-40B4-BE49-F238E27FC236}">
                <a16:creationId xmlns:a16="http://schemas.microsoft.com/office/drawing/2014/main" id="{7E3048CC-D148-E173-5903-AE41329DE0F5}"/>
              </a:ext>
            </a:extLst>
          </xdr:cNvPr>
          <xdr:cNvSpPr txBox="1"/>
        </xdr:nvSpPr>
        <xdr:spPr>
          <a:xfrm>
            <a:off x="3428999" y="12449176"/>
            <a:ext cx="1104901" cy="6000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900">
                <a:solidFill>
                  <a:schemeClr val="dk1"/>
                </a:solidFill>
                <a:effectLst/>
                <a:latin typeface="Meiryo UI" panose="020B0604030504040204" pitchFamily="50" charset="-128"/>
                <a:ea typeface="Meiryo UI" panose="020B0604030504040204" pitchFamily="50" charset="-128"/>
                <a:cs typeface="+mn-cs"/>
              </a:rPr>
              <a:t>連携ファイル</a:t>
            </a:r>
            <a:endParaRPr kumimoji="1" lang="en-US" altLang="ja-JP" sz="900">
              <a:solidFill>
                <a:schemeClr val="dk1"/>
              </a:solidFill>
              <a:effectLst/>
              <a:latin typeface="Meiryo UI" panose="020B0604030504040204" pitchFamily="50" charset="-128"/>
              <a:ea typeface="Meiryo UI" panose="020B0604030504040204" pitchFamily="50" charset="-128"/>
              <a:cs typeface="+mn-cs"/>
            </a:endParaRPr>
          </a:p>
        </xdr:txBody>
      </xdr:sp>
    </xdr:grpSp>
    <xdr:clientData/>
  </xdr:twoCellAnchor>
  <xdr:twoCellAnchor>
    <xdr:from>
      <xdr:col>45</xdr:col>
      <xdr:colOff>165100</xdr:colOff>
      <xdr:row>79</xdr:row>
      <xdr:rowOff>158750</xdr:rowOff>
    </xdr:from>
    <xdr:to>
      <xdr:col>50</xdr:col>
      <xdr:colOff>69850</xdr:colOff>
      <xdr:row>82</xdr:row>
      <xdr:rowOff>92075</xdr:rowOff>
    </xdr:to>
    <xdr:grpSp>
      <xdr:nvGrpSpPr>
        <xdr:cNvPr id="15414" name="グループ化 15413">
          <a:extLst>
            <a:ext uri="{FF2B5EF4-FFF2-40B4-BE49-F238E27FC236}">
              <a16:creationId xmlns:a16="http://schemas.microsoft.com/office/drawing/2014/main" id="{39FE94E4-F522-4C10-A1E7-D562F1351A48}"/>
            </a:ext>
          </a:extLst>
        </xdr:cNvPr>
        <xdr:cNvGrpSpPr/>
      </xdr:nvGrpSpPr>
      <xdr:grpSpPr>
        <a:xfrm>
          <a:off x="8737600" y="15208250"/>
          <a:ext cx="857250" cy="504825"/>
          <a:chOff x="3428999" y="12449175"/>
          <a:chExt cx="1104902" cy="638175"/>
        </a:xfrm>
      </xdr:grpSpPr>
      <xdr:sp macro="" textlink="">
        <xdr:nvSpPr>
          <xdr:cNvPr id="15415" name="フローチャート: 書類 15414">
            <a:extLst>
              <a:ext uri="{FF2B5EF4-FFF2-40B4-BE49-F238E27FC236}">
                <a16:creationId xmlns:a16="http://schemas.microsoft.com/office/drawing/2014/main" id="{45EE76B9-F3F7-62B1-B3A0-C1019D628F7B}"/>
              </a:ext>
            </a:extLst>
          </xdr:cNvPr>
          <xdr:cNvSpPr/>
        </xdr:nvSpPr>
        <xdr:spPr>
          <a:xfrm>
            <a:off x="3429000" y="12449175"/>
            <a:ext cx="1104901" cy="638175"/>
          </a:xfrm>
          <a:prstGeom prst="flowChartDocumen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900">
              <a:latin typeface="Meiryo UI" panose="020B0604030504040204" pitchFamily="50" charset="-128"/>
              <a:ea typeface="Meiryo UI" panose="020B0604030504040204" pitchFamily="50" charset="-128"/>
            </a:endParaRPr>
          </a:p>
        </xdr:txBody>
      </xdr:sp>
      <xdr:sp macro="" textlink="">
        <xdr:nvSpPr>
          <xdr:cNvPr id="15416" name="テキスト ボックス 15415">
            <a:extLst>
              <a:ext uri="{FF2B5EF4-FFF2-40B4-BE49-F238E27FC236}">
                <a16:creationId xmlns:a16="http://schemas.microsoft.com/office/drawing/2014/main" id="{4E96C460-4D66-115B-4899-259527D0F3DB}"/>
              </a:ext>
            </a:extLst>
          </xdr:cNvPr>
          <xdr:cNvSpPr txBox="1"/>
        </xdr:nvSpPr>
        <xdr:spPr>
          <a:xfrm>
            <a:off x="3428999" y="12449176"/>
            <a:ext cx="1104901" cy="6000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900">
                <a:solidFill>
                  <a:schemeClr val="dk1"/>
                </a:solidFill>
                <a:effectLst/>
                <a:latin typeface="Meiryo UI" panose="020B0604030504040204" pitchFamily="50" charset="-128"/>
                <a:ea typeface="Meiryo UI" panose="020B0604030504040204" pitchFamily="50" charset="-128"/>
                <a:cs typeface="+mn-cs"/>
              </a:rPr>
              <a:t>連携ファイル</a:t>
            </a:r>
            <a:endParaRPr kumimoji="1" lang="en-US" altLang="ja-JP" sz="900">
              <a:solidFill>
                <a:schemeClr val="dk1"/>
              </a:solidFill>
              <a:effectLst/>
              <a:latin typeface="Meiryo UI" panose="020B0604030504040204" pitchFamily="50" charset="-128"/>
              <a:ea typeface="Meiryo UI" panose="020B0604030504040204" pitchFamily="50" charset="-128"/>
              <a:cs typeface="+mn-cs"/>
            </a:endParaRPr>
          </a:p>
        </xdr:txBody>
      </xdr:sp>
    </xdr:grpSp>
    <xdr:clientData/>
  </xdr:twoCellAnchor>
  <xdr:twoCellAnchor>
    <xdr:from>
      <xdr:col>51</xdr:col>
      <xdr:colOff>171450</xdr:colOff>
      <xdr:row>79</xdr:row>
      <xdr:rowOff>165100</xdr:rowOff>
    </xdr:from>
    <xdr:to>
      <xdr:col>56</xdr:col>
      <xdr:colOff>76200</xdr:colOff>
      <xdr:row>82</xdr:row>
      <xdr:rowOff>98425</xdr:rowOff>
    </xdr:to>
    <xdr:grpSp>
      <xdr:nvGrpSpPr>
        <xdr:cNvPr id="15420" name="グループ化 15419">
          <a:extLst>
            <a:ext uri="{FF2B5EF4-FFF2-40B4-BE49-F238E27FC236}">
              <a16:creationId xmlns:a16="http://schemas.microsoft.com/office/drawing/2014/main" id="{8CF78776-2F24-45E5-B0D2-BA524A92717B}"/>
            </a:ext>
          </a:extLst>
        </xdr:cNvPr>
        <xdr:cNvGrpSpPr/>
      </xdr:nvGrpSpPr>
      <xdr:grpSpPr>
        <a:xfrm>
          <a:off x="9886950" y="15214600"/>
          <a:ext cx="857250" cy="504825"/>
          <a:chOff x="3428999" y="12449175"/>
          <a:chExt cx="1104902" cy="638175"/>
        </a:xfrm>
      </xdr:grpSpPr>
      <xdr:sp macro="" textlink="">
        <xdr:nvSpPr>
          <xdr:cNvPr id="15421" name="フローチャート: 書類 15420">
            <a:extLst>
              <a:ext uri="{FF2B5EF4-FFF2-40B4-BE49-F238E27FC236}">
                <a16:creationId xmlns:a16="http://schemas.microsoft.com/office/drawing/2014/main" id="{25DAE3A8-F086-B6DA-E18E-595A524713D9}"/>
              </a:ext>
            </a:extLst>
          </xdr:cNvPr>
          <xdr:cNvSpPr/>
        </xdr:nvSpPr>
        <xdr:spPr>
          <a:xfrm>
            <a:off x="3429000" y="12449175"/>
            <a:ext cx="1104901" cy="638175"/>
          </a:xfrm>
          <a:prstGeom prst="flowChartDocumen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900">
              <a:latin typeface="Meiryo UI" panose="020B0604030504040204" pitchFamily="50" charset="-128"/>
              <a:ea typeface="Meiryo UI" panose="020B0604030504040204" pitchFamily="50" charset="-128"/>
            </a:endParaRPr>
          </a:p>
        </xdr:txBody>
      </xdr:sp>
      <xdr:sp macro="" textlink="">
        <xdr:nvSpPr>
          <xdr:cNvPr id="15422" name="テキスト ボックス 15421">
            <a:extLst>
              <a:ext uri="{FF2B5EF4-FFF2-40B4-BE49-F238E27FC236}">
                <a16:creationId xmlns:a16="http://schemas.microsoft.com/office/drawing/2014/main" id="{61A045B4-4D45-EF40-DCA6-003A5EBE5A47}"/>
              </a:ext>
            </a:extLst>
          </xdr:cNvPr>
          <xdr:cNvSpPr txBox="1"/>
        </xdr:nvSpPr>
        <xdr:spPr>
          <a:xfrm>
            <a:off x="3428999" y="12449176"/>
            <a:ext cx="1104901" cy="6000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900">
                <a:solidFill>
                  <a:schemeClr val="dk1"/>
                </a:solidFill>
                <a:effectLst/>
                <a:latin typeface="Meiryo UI" panose="020B0604030504040204" pitchFamily="50" charset="-128"/>
                <a:ea typeface="Meiryo UI" panose="020B0604030504040204" pitchFamily="50" charset="-128"/>
                <a:cs typeface="+mn-cs"/>
              </a:rPr>
              <a:t>連携ファイル</a:t>
            </a:r>
            <a:endParaRPr kumimoji="1" lang="en-US" altLang="ja-JP" sz="900">
              <a:solidFill>
                <a:schemeClr val="dk1"/>
              </a:solidFill>
              <a:effectLst/>
              <a:latin typeface="Meiryo UI" panose="020B0604030504040204" pitchFamily="50" charset="-128"/>
              <a:ea typeface="Meiryo UI" panose="020B0604030504040204" pitchFamily="50" charset="-128"/>
              <a:cs typeface="+mn-cs"/>
            </a:endParaRPr>
          </a:p>
        </xdr:txBody>
      </xdr:sp>
    </xdr:grpSp>
    <xdr:clientData/>
  </xdr:twoCellAnchor>
  <xdr:twoCellAnchor>
    <xdr:from>
      <xdr:col>9</xdr:col>
      <xdr:colOff>158750</xdr:colOff>
      <xdr:row>62</xdr:row>
      <xdr:rowOff>127000</xdr:rowOff>
    </xdr:from>
    <xdr:to>
      <xdr:col>23</xdr:col>
      <xdr:colOff>184150</xdr:colOff>
      <xdr:row>65</xdr:row>
      <xdr:rowOff>82550</xdr:rowOff>
    </xdr:to>
    <xdr:cxnSp macro="">
      <xdr:nvCxnSpPr>
        <xdr:cNvPr id="15425" name="直線矢印コネクタ 20">
          <a:extLst>
            <a:ext uri="{FF2B5EF4-FFF2-40B4-BE49-F238E27FC236}">
              <a16:creationId xmlns:a16="http://schemas.microsoft.com/office/drawing/2014/main" id="{057151E8-A2BC-4AA3-B558-9BCB2314E4CD}"/>
            </a:ext>
          </a:extLst>
        </xdr:cNvPr>
        <xdr:cNvCxnSpPr>
          <a:cxnSpLocks/>
          <a:stCxn id="15407" idx="2"/>
          <a:endCxn id="15408" idx="0"/>
        </xdr:cNvCxnSpPr>
      </xdr:nvCxnSpPr>
      <xdr:spPr>
        <a:xfrm rot="16200000" flipH="1">
          <a:off x="2574925" y="10664825"/>
          <a:ext cx="527050" cy="2692400"/>
        </a:xfrm>
        <a:prstGeom prst="bentConnector3">
          <a:avLst>
            <a:gd name="adj1" fmla="val 50000"/>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23</xdr:col>
      <xdr:colOff>184150</xdr:colOff>
      <xdr:row>68</xdr:row>
      <xdr:rowOff>0</xdr:rowOff>
    </xdr:from>
    <xdr:to>
      <xdr:col>23</xdr:col>
      <xdr:colOff>184150</xdr:colOff>
      <xdr:row>70</xdr:row>
      <xdr:rowOff>19050</xdr:rowOff>
    </xdr:to>
    <xdr:cxnSp macro="">
      <xdr:nvCxnSpPr>
        <xdr:cNvPr id="15426" name="直線矢印コネクタ 20">
          <a:extLst>
            <a:ext uri="{FF2B5EF4-FFF2-40B4-BE49-F238E27FC236}">
              <a16:creationId xmlns:a16="http://schemas.microsoft.com/office/drawing/2014/main" id="{3852A544-C9F1-4F0B-9501-66BA4B3F132F}"/>
            </a:ext>
          </a:extLst>
        </xdr:cNvPr>
        <xdr:cNvCxnSpPr>
          <a:cxnSpLocks/>
          <a:stCxn id="15408" idx="2"/>
          <a:endCxn id="15434" idx="0"/>
        </xdr:cNvCxnSpPr>
      </xdr:nvCxnSpPr>
      <xdr:spPr>
        <a:xfrm>
          <a:off x="4184650" y="12763500"/>
          <a:ext cx="0" cy="400050"/>
        </a:xfrm>
        <a:prstGeom prst="straightConnector1">
          <a:avLst/>
        </a:prstGeom>
        <a:ln>
          <a:solidFill>
            <a:srgbClr val="FF0000"/>
          </a:solidFill>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158750</xdr:colOff>
      <xdr:row>77</xdr:row>
      <xdr:rowOff>88900</xdr:rowOff>
    </xdr:from>
    <xdr:to>
      <xdr:col>23</xdr:col>
      <xdr:colOff>184150</xdr:colOff>
      <xdr:row>80</xdr:row>
      <xdr:rowOff>88900</xdr:rowOff>
    </xdr:to>
    <xdr:cxnSp macro="">
      <xdr:nvCxnSpPr>
        <xdr:cNvPr id="15427" name="直線矢印コネクタ 20">
          <a:extLst>
            <a:ext uri="{FF2B5EF4-FFF2-40B4-BE49-F238E27FC236}">
              <a16:creationId xmlns:a16="http://schemas.microsoft.com/office/drawing/2014/main" id="{D1599B80-75D9-40BC-ADB5-083684196AC2}"/>
            </a:ext>
          </a:extLst>
        </xdr:cNvPr>
        <xdr:cNvCxnSpPr>
          <a:cxnSpLocks/>
          <a:stCxn id="15409" idx="2"/>
          <a:endCxn id="15410" idx="0"/>
        </xdr:cNvCxnSpPr>
      </xdr:nvCxnSpPr>
      <xdr:spPr>
        <a:xfrm rot="5400000">
          <a:off x="2552700" y="13506450"/>
          <a:ext cx="571500" cy="2692400"/>
        </a:xfrm>
        <a:prstGeom prst="bentConnector3">
          <a:avLst>
            <a:gd name="adj1" fmla="val 50000"/>
          </a:avLst>
        </a:prstGeom>
        <a:ln>
          <a:solidFill>
            <a:srgbClr val="FF0000"/>
          </a:solidFill>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29</xdr:col>
      <xdr:colOff>6350</xdr:colOff>
      <xdr:row>76</xdr:row>
      <xdr:rowOff>34144</xdr:rowOff>
    </xdr:from>
    <xdr:to>
      <xdr:col>33</xdr:col>
      <xdr:colOff>152400</xdr:colOff>
      <xdr:row>76</xdr:row>
      <xdr:rowOff>34925</xdr:rowOff>
    </xdr:to>
    <xdr:cxnSp macro="">
      <xdr:nvCxnSpPr>
        <xdr:cNvPr id="15428" name="直線矢印コネクタ 20">
          <a:extLst>
            <a:ext uri="{FF2B5EF4-FFF2-40B4-BE49-F238E27FC236}">
              <a16:creationId xmlns:a16="http://schemas.microsoft.com/office/drawing/2014/main" id="{42C479CC-A1A2-4067-B36C-B2D0B2E9459B}"/>
            </a:ext>
          </a:extLst>
        </xdr:cNvPr>
        <xdr:cNvCxnSpPr>
          <a:cxnSpLocks/>
          <a:stCxn id="15409" idx="3"/>
          <a:endCxn id="15413" idx="1"/>
        </xdr:cNvCxnSpPr>
      </xdr:nvCxnSpPr>
      <xdr:spPr>
        <a:xfrm flipV="1">
          <a:off x="5149850" y="14321644"/>
          <a:ext cx="908050" cy="781"/>
        </a:xfrm>
        <a:prstGeom prst="straightConnector1">
          <a:avLst/>
        </a:prstGeom>
        <a:ln>
          <a:solidFill>
            <a:srgbClr val="FF0000"/>
          </a:solidFill>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38</xdr:col>
      <xdr:colOff>57149</xdr:colOff>
      <xdr:row>76</xdr:row>
      <xdr:rowOff>34144</xdr:rowOff>
    </xdr:from>
    <xdr:to>
      <xdr:col>48</xdr:col>
      <xdr:colOff>22225</xdr:colOff>
      <xdr:row>79</xdr:row>
      <xdr:rowOff>158751</xdr:rowOff>
    </xdr:to>
    <xdr:cxnSp macro="">
      <xdr:nvCxnSpPr>
        <xdr:cNvPr id="15429" name="直線矢印コネクタ 20">
          <a:extLst>
            <a:ext uri="{FF2B5EF4-FFF2-40B4-BE49-F238E27FC236}">
              <a16:creationId xmlns:a16="http://schemas.microsoft.com/office/drawing/2014/main" id="{D0BFB02A-463E-4F9E-B09D-D1B2C418BEA7}"/>
            </a:ext>
          </a:extLst>
        </xdr:cNvPr>
        <xdr:cNvCxnSpPr>
          <a:cxnSpLocks/>
          <a:stCxn id="15413" idx="3"/>
          <a:endCxn id="15416" idx="0"/>
        </xdr:cNvCxnSpPr>
      </xdr:nvCxnSpPr>
      <xdr:spPr>
        <a:xfrm>
          <a:off x="6915149" y="14321644"/>
          <a:ext cx="1870076" cy="696107"/>
        </a:xfrm>
        <a:prstGeom prst="bentConnector2">
          <a:avLst/>
        </a:prstGeom>
        <a:ln>
          <a:solidFill>
            <a:srgbClr val="FF0000"/>
          </a:solidFill>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45</xdr:col>
      <xdr:colOff>152400</xdr:colOff>
      <xdr:row>82</xdr:row>
      <xdr:rowOff>50800</xdr:rowOff>
    </xdr:from>
    <xdr:to>
      <xdr:col>49</xdr:col>
      <xdr:colOff>107950</xdr:colOff>
      <xdr:row>83</xdr:row>
      <xdr:rowOff>177800</xdr:rowOff>
    </xdr:to>
    <xdr:sp macro="" textlink="">
      <xdr:nvSpPr>
        <xdr:cNvPr id="15431" name="テキスト ボックス 15430">
          <a:extLst>
            <a:ext uri="{FF2B5EF4-FFF2-40B4-BE49-F238E27FC236}">
              <a16:creationId xmlns:a16="http://schemas.microsoft.com/office/drawing/2014/main" id="{68922D3C-34F7-4D34-A386-EC5D615E75DB}"/>
            </a:ext>
          </a:extLst>
        </xdr:cNvPr>
        <xdr:cNvSpPr txBox="1"/>
      </xdr:nvSpPr>
      <xdr:spPr>
        <a:xfrm>
          <a:off x="8343900" y="15481300"/>
          <a:ext cx="717550" cy="317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000">
              <a:latin typeface="Meiryo UI" panose="020B0604030504040204" pitchFamily="50" charset="-128"/>
              <a:ea typeface="Meiryo UI" panose="020B0604030504040204" pitchFamily="50" charset="-128"/>
            </a:rPr>
            <a:t>成功時</a:t>
          </a:r>
        </a:p>
      </xdr:txBody>
    </xdr:sp>
    <xdr:clientData/>
  </xdr:twoCellAnchor>
  <xdr:twoCellAnchor>
    <xdr:from>
      <xdr:col>52</xdr:col>
      <xdr:colOff>6350</xdr:colOff>
      <xdr:row>82</xdr:row>
      <xdr:rowOff>38100</xdr:rowOff>
    </xdr:from>
    <xdr:to>
      <xdr:col>55</xdr:col>
      <xdr:colOff>152400</xdr:colOff>
      <xdr:row>83</xdr:row>
      <xdr:rowOff>165100</xdr:rowOff>
    </xdr:to>
    <xdr:sp macro="" textlink="">
      <xdr:nvSpPr>
        <xdr:cNvPr id="15432" name="テキスト ボックス 15431">
          <a:extLst>
            <a:ext uri="{FF2B5EF4-FFF2-40B4-BE49-F238E27FC236}">
              <a16:creationId xmlns:a16="http://schemas.microsoft.com/office/drawing/2014/main" id="{4E36FB04-F747-40D3-8969-D968B119F04F}"/>
            </a:ext>
          </a:extLst>
        </xdr:cNvPr>
        <xdr:cNvSpPr txBox="1"/>
      </xdr:nvSpPr>
      <xdr:spPr>
        <a:xfrm>
          <a:off x="9531350" y="15468600"/>
          <a:ext cx="717550" cy="317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000">
              <a:latin typeface="Meiryo UI" panose="020B0604030504040204" pitchFamily="50" charset="-128"/>
              <a:ea typeface="Meiryo UI" panose="020B0604030504040204" pitchFamily="50" charset="-128"/>
            </a:rPr>
            <a:t>失敗時</a:t>
          </a:r>
        </a:p>
      </xdr:txBody>
    </xdr:sp>
    <xdr:clientData/>
  </xdr:twoCellAnchor>
  <xdr:twoCellAnchor>
    <xdr:from>
      <xdr:col>34</xdr:col>
      <xdr:colOff>44450</xdr:colOff>
      <xdr:row>60</xdr:row>
      <xdr:rowOff>69850</xdr:rowOff>
    </xdr:from>
    <xdr:to>
      <xdr:col>43</xdr:col>
      <xdr:colOff>146050</xdr:colOff>
      <xdr:row>63</xdr:row>
      <xdr:rowOff>101600</xdr:rowOff>
    </xdr:to>
    <xdr:sp macro="" textlink="">
      <xdr:nvSpPr>
        <xdr:cNvPr id="15433" name="吹き出し: 四角形 15432">
          <a:extLst>
            <a:ext uri="{FF2B5EF4-FFF2-40B4-BE49-F238E27FC236}">
              <a16:creationId xmlns:a16="http://schemas.microsoft.com/office/drawing/2014/main" id="{AD3430C7-47E8-4190-A9AF-D56B062CD473}"/>
            </a:ext>
          </a:extLst>
        </xdr:cNvPr>
        <xdr:cNvSpPr/>
      </xdr:nvSpPr>
      <xdr:spPr>
        <a:xfrm>
          <a:off x="6140450" y="11309350"/>
          <a:ext cx="1816100" cy="603250"/>
        </a:xfrm>
        <a:prstGeom prst="wedgeRectCallout">
          <a:avLst>
            <a:gd name="adj1" fmla="val -30639"/>
            <a:gd name="adj2" fmla="val 94538"/>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kumimoji="1" lang="en-US" altLang="ja-JP" sz="1100">
              <a:latin typeface="Meiryo UI" panose="020B0604030504040204" pitchFamily="50" charset="-128"/>
              <a:ea typeface="Meiryo UI" panose="020B0604030504040204" pitchFamily="50" charset="-128"/>
            </a:rPr>
            <a:t>Azure Files</a:t>
          </a:r>
          <a:r>
            <a:rPr kumimoji="1" lang="ja-JP" altLang="en-US" sz="1100">
              <a:latin typeface="Meiryo UI" panose="020B0604030504040204" pitchFamily="50" charset="-128"/>
              <a:ea typeface="Meiryo UI" panose="020B0604030504040204" pitchFamily="50" charset="-128"/>
            </a:rPr>
            <a:t>⇔</a:t>
          </a:r>
          <a:r>
            <a:rPr kumimoji="1" lang="en-US" altLang="ja-JP" sz="1100">
              <a:latin typeface="Meiryo UI" panose="020B0604030504040204" pitchFamily="50" charset="-128"/>
              <a:ea typeface="Meiryo UI" panose="020B0604030504040204" pitchFamily="50" charset="-128"/>
            </a:rPr>
            <a:t>D365</a:t>
          </a:r>
          <a:r>
            <a:rPr kumimoji="1" lang="ja-JP" altLang="en-US" sz="1100">
              <a:latin typeface="Meiryo UI" panose="020B0604030504040204" pitchFamily="50" charset="-128"/>
              <a:ea typeface="Meiryo UI" panose="020B0604030504040204" pitchFamily="50" charset="-128"/>
            </a:rPr>
            <a:t>は</a:t>
          </a:r>
          <a:endParaRPr kumimoji="1" lang="en-US" altLang="ja-JP" sz="1100">
            <a:latin typeface="Meiryo UI" panose="020B0604030504040204" pitchFamily="50" charset="-128"/>
            <a:ea typeface="Meiryo UI" panose="020B0604030504040204" pitchFamily="50" charset="-128"/>
          </a:endParaRPr>
        </a:p>
        <a:p>
          <a:pPr algn="l"/>
          <a:r>
            <a:rPr kumimoji="1" lang="ja-JP" altLang="en-US" sz="1100">
              <a:latin typeface="Meiryo UI" panose="020B0604030504040204" pitchFamily="50" charset="-128"/>
              <a:ea typeface="Meiryo UI" panose="020B0604030504040204" pitchFamily="50" charset="-128"/>
            </a:rPr>
            <a:t>ワークフォルダを介する運用</a:t>
          </a:r>
        </a:p>
      </xdr:txBody>
    </xdr:sp>
    <xdr:clientData/>
  </xdr:twoCellAnchor>
  <xdr:twoCellAnchor>
    <xdr:from>
      <xdr:col>18</xdr:col>
      <xdr:colOff>171450</xdr:colOff>
      <xdr:row>70</xdr:row>
      <xdr:rowOff>19050</xdr:rowOff>
    </xdr:from>
    <xdr:to>
      <xdr:col>29</xdr:col>
      <xdr:colOff>6350</xdr:colOff>
      <xdr:row>72</xdr:row>
      <xdr:rowOff>127000</xdr:rowOff>
    </xdr:to>
    <xdr:sp macro="" textlink="">
      <xdr:nvSpPr>
        <xdr:cNvPr id="15434" name="正方形/長方形 15433">
          <a:extLst>
            <a:ext uri="{FF2B5EF4-FFF2-40B4-BE49-F238E27FC236}">
              <a16:creationId xmlns:a16="http://schemas.microsoft.com/office/drawing/2014/main" id="{CB3A42B2-614B-4D04-A2A6-286A23E2260E}"/>
            </a:ext>
          </a:extLst>
        </xdr:cNvPr>
        <xdr:cNvSpPr/>
      </xdr:nvSpPr>
      <xdr:spPr>
        <a:xfrm>
          <a:off x="3219450" y="13163550"/>
          <a:ext cx="1930400" cy="488950"/>
        </a:xfrm>
        <a:prstGeom prst="rect">
          <a:avLst/>
        </a:prstGeom>
        <a:solidFill>
          <a:sysClr val="window" lastClr="FFFFFF"/>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solidFill>
                <a:sysClr val="windowText" lastClr="000000"/>
              </a:solidFill>
              <a:latin typeface="Meiryo UI" panose="020B0604030504040204" pitchFamily="50" charset="-128"/>
              <a:ea typeface="Meiryo UI" panose="020B0604030504040204" pitchFamily="50" charset="-128"/>
            </a:rPr>
            <a:t>連携ファイル読み込み</a:t>
          </a:r>
          <a:br>
            <a:rPr kumimoji="1" lang="en-US" altLang="ja-JP" sz="900">
              <a:solidFill>
                <a:sysClr val="windowText" lastClr="000000"/>
              </a:solidFill>
              <a:latin typeface="Meiryo UI" panose="020B0604030504040204" pitchFamily="50" charset="-128"/>
              <a:ea typeface="Meiryo UI" panose="020B0604030504040204" pitchFamily="50" charset="-128"/>
            </a:rPr>
          </a:br>
          <a:r>
            <a:rPr kumimoji="1" lang="en-US" altLang="ja-JP" sz="900">
              <a:solidFill>
                <a:sysClr val="windowText" lastClr="000000"/>
              </a:solidFill>
              <a:latin typeface="Meiryo UI" panose="020B0604030504040204" pitchFamily="50" charset="-128"/>
              <a:ea typeface="Meiryo UI" panose="020B0604030504040204" pitchFamily="50" charset="-128"/>
            </a:rPr>
            <a:t>(Container</a:t>
          </a:r>
          <a:r>
            <a:rPr kumimoji="1" lang="ja-JP" altLang="en-US" sz="900">
              <a:solidFill>
                <a:sysClr val="windowText" lastClr="000000"/>
              </a:solidFill>
              <a:latin typeface="Meiryo UI" panose="020B0604030504040204" pitchFamily="50" charset="-128"/>
              <a:ea typeface="Meiryo UI" panose="020B0604030504040204" pitchFamily="50" charset="-128"/>
            </a:rPr>
            <a:t>に格納</a:t>
          </a:r>
          <a:r>
            <a:rPr kumimoji="1" lang="en-US" altLang="ja-JP" sz="900">
              <a:solidFill>
                <a:sysClr val="windowText" lastClr="000000"/>
              </a:solidFill>
              <a:latin typeface="Meiryo UI" panose="020B0604030504040204" pitchFamily="50" charset="-128"/>
              <a:ea typeface="Meiryo UI" panose="020B0604030504040204" pitchFamily="50" charset="-128"/>
            </a:rPr>
            <a:t>)</a:t>
          </a:r>
        </a:p>
      </xdr:txBody>
    </xdr:sp>
    <xdr:clientData/>
  </xdr:twoCellAnchor>
  <xdr:twoCellAnchor>
    <xdr:from>
      <xdr:col>23</xdr:col>
      <xdr:colOff>184150</xdr:colOff>
      <xdr:row>72</xdr:row>
      <xdr:rowOff>127000</xdr:rowOff>
    </xdr:from>
    <xdr:to>
      <xdr:col>23</xdr:col>
      <xdr:colOff>184150</xdr:colOff>
      <xdr:row>74</xdr:row>
      <xdr:rowOff>171450</xdr:rowOff>
    </xdr:to>
    <xdr:cxnSp macro="">
      <xdr:nvCxnSpPr>
        <xdr:cNvPr id="15436" name="直線矢印コネクタ 20">
          <a:extLst>
            <a:ext uri="{FF2B5EF4-FFF2-40B4-BE49-F238E27FC236}">
              <a16:creationId xmlns:a16="http://schemas.microsoft.com/office/drawing/2014/main" id="{751C4F69-EF16-4042-8AEF-AB02AB92D035}"/>
            </a:ext>
          </a:extLst>
        </xdr:cNvPr>
        <xdr:cNvCxnSpPr>
          <a:cxnSpLocks/>
          <a:stCxn id="15434" idx="2"/>
          <a:endCxn id="15409" idx="0"/>
        </xdr:cNvCxnSpPr>
      </xdr:nvCxnSpPr>
      <xdr:spPr>
        <a:xfrm>
          <a:off x="4184650" y="13652500"/>
          <a:ext cx="0" cy="425450"/>
        </a:xfrm>
        <a:prstGeom prst="straightConnector1">
          <a:avLst/>
        </a:prstGeom>
        <a:ln>
          <a:solidFill>
            <a:srgbClr val="FF0000"/>
          </a:solidFill>
          <a:tailEnd type="triangle"/>
        </a:ln>
      </xdr:spPr>
      <xdr:style>
        <a:lnRef idx="2">
          <a:schemeClr val="dk1"/>
        </a:lnRef>
        <a:fillRef idx="0">
          <a:schemeClr val="dk1"/>
        </a:fillRef>
        <a:effectRef idx="1">
          <a:schemeClr val="dk1"/>
        </a:effectRef>
        <a:fontRef idx="minor">
          <a:schemeClr val="tx1"/>
        </a:fontRef>
      </xdr:style>
    </xdr:cxnSp>
    <xdr:clientData/>
  </xdr:twoCellAnchor>
  <xdr:twoCellAnchor editAs="oneCell">
    <xdr:from>
      <xdr:col>42</xdr:col>
      <xdr:colOff>182335</xdr:colOff>
      <xdr:row>50</xdr:row>
      <xdr:rowOff>9072</xdr:rowOff>
    </xdr:from>
    <xdr:to>
      <xdr:col>47</xdr:col>
      <xdr:colOff>169635</xdr:colOff>
      <xdr:row>54</xdr:row>
      <xdr:rowOff>186872</xdr:rowOff>
    </xdr:to>
    <xdr:pic>
      <xdr:nvPicPr>
        <xdr:cNvPr id="15441" name="グラフィックス 15440" descr="コンピューター 単色塗りつぶし">
          <a:extLst>
            <a:ext uri="{FF2B5EF4-FFF2-40B4-BE49-F238E27FC236}">
              <a16:creationId xmlns:a16="http://schemas.microsoft.com/office/drawing/2014/main" id="{9CE53A35-ABE7-E3A4-DE4C-39F09057F14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8183335" y="9534072"/>
          <a:ext cx="939800" cy="939800"/>
        </a:xfrm>
        <a:prstGeom prst="rect">
          <a:avLst/>
        </a:prstGeom>
      </xdr:spPr>
    </xdr:pic>
    <xdr:clientData/>
  </xdr:twoCellAnchor>
  <xdr:twoCellAnchor>
    <xdr:from>
      <xdr:col>43</xdr:col>
      <xdr:colOff>150585</xdr:colOff>
      <xdr:row>54</xdr:row>
      <xdr:rowOff>21772</xdr:rowOff>
    </xdr:from>
    <xdr:to>
      <xdr:col>48</xdr:col>
      <xdr:colOff>163285</xdr:colOff>
      <xdr:row>55</xdr:row>
      <xdr:rowOff>148772</xdr:rowOff>
    </xdr:to>
    <xdr:sp macro="" textlink="">
      <xdr:nvSpPr>
        <xdr:cNvPr id="15442" name="テキスト ボックス 15441">
          <a:extLst>
            <a:ext uri="{FF2B5EF4-FFF2-40B4-BE49-F238E27FC236}">
              <a16:creationId xmlns:a16="http://schemas.microsoft.com/office/drawing/2014/main" id="{D22AFF33-8937-B5DD-09FC-72B388B1FA5E}"/>
            </a:ext>
          </a:extLst>
        </xdr:cNvPr>
        <xdr:cNvSpPr txBox="1"/>
      </xdr:nvSpPr>
      <xdr:spPr>
        <a:xfrm>
          <a:off x="8342085" y="10308772"/>
          <a:ext cx="965200" cy="317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000">
              <a:latin typeface="Meiryo UI" panose="020B0604030504040204" pitchFamily="50" charset="-128"/>
              <a:ea typeface="Meiryo UI" panose="020B0604030504040204" pitchFamily="50" charset="-128"/>
            </a:rPr>
            <a:t>外部システム</a:t>
          </a:r>
        </a:p>
      </xdr:txBody>
    </xdr:sp>
    <xdr:clientData/>
  </xdr:twoCellAnchor>
  <xdr:twoCellAnchor>
    <xdr:from>
      <xdr:col>44</xdr:col>
      <xdr:colOff>38099</xdr:colOff>
      <xdr:row>52</xdr:row>
      <xdr:rowOff>97972</xdr:rowOff>
    </xdr:from>
    <xdr:to>
      <xdr:col>47</xdr:col>
      <xdr:colOff>169635</xdr:colOff>
      <xdr:row>66</xdr:row>
      <xdr:rowOff>135744</xdr:rowOff>
    </xdr:to>
    <xdr:cxnSp macro="">
      <xdr:nvCxnSpPr>
        <xdr:cNvPr id="15443" name="直線矢印コネクタ 20">
          <a:extLst>
            <a:ext uri="{FF2B5EF4-FFF2-40B4-BE49-F238E27FC236}">
              <a16:creationId xmlns:a16="http://schemas.microsoft.com/office/drawing/2014/main" id="{42047867-8F08-4371-A75D-125219AD841B}"/>
            </a:ext>
          </a:extLst>
        </xdr:cNvPr>
        <xdr:cNvCxnSpPr>
          <a:cxnSpLocks/>
          <a:stCxn id="15441" idx="3"/>
          <a:endCxn id="15451" idx="3"/>
        </xdr:cNvCxnSpPr>
      </xdr:nvCxnSpPr>
      <xdr:spPr>
        <a:xfrm flipH="1">
          <a:off x="8420099" y="10003972"/>
          <a:ext cx="703036" cy="2704772"/>
        </a:xfrm>
        <a:prstGeom prst="bentConnector3">
          <a:avLst>
            <a:gd name="adj1" fmla="val -280258"/>
          </a:avLst>
        </a:prstGeom>
        <a:ln>
          <a:solidFill>
            <a:schemeClr val="accent5"/>
          </a:solidFill>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33</xdr:col>
      <xdr:colOff>152400</xdr:colOff>
      <xdr:row>65</xdr:row>
      <xdr:rowOff>88900</xdr:rowOff>
    </xdr:from>
    <xdr:to>
      <xdr:col>38</xdr:col>
      <xdr:colOff>57150</xdr:colOff>
      <xdr:row>68</xdr:row>
      <xdr:rowOff>22225</xdr:rowOff>
    </xdr:to>
    <xdr:grpSp>
      <xdr:nvGrpSpPr>
        <xdr:cNvPr id="15446" name="グループ化 15445">
          <a:extLst>
            <a:ext uri="{FF2B5EF4-FFF2-40B4-BE49-F238E27FC236}">
              <a16:creationId xmlns:a16="http://schemas.microsoft.com/office/drawing/2014/main" id="{22C9EE45-74C7-4E08-9434-8786DE85C20A}"/>
            </a:ext>
          </a:extLst>
        </xdr:cNvPr>
        <xdr:cNvGrpSpPr/>
      </xdr:nvGrpSpPr>
      <xdr:grpSpPr>
        <a:xfrm>
          <a:off x="6438900" y="12471400"/>
          <a:ext cx="857250" cy="504825"/>
          <a:chOff x="3428999" y="12449175"/>
          <a:chExt cx="1104902" cy="638175"/>
        </a:xfrm>
      </xdr:grpSpPr>
      <xdr:sp macro="" textlink="">
        <xdr:nvSpPr>
          <xdr:cNvPr id="15447" name="フローチャート: 書類 15446">
            <a:extLst>
              <a:ext uri="{FF2B5EF4-FFF2-40B4-BE49-F238E27FC236}">
                <a16:creationId xmlns:a16="http://schemas.microsoft.com/office/drawing/2014/main" id="{F9789624-C2A3-DA61-1D1A-21231A902914}"/>
              </a:ext>
            </a:extLst>
          </xdr:cNvPr>
          <xdr:cNvSpPr/>
        </xdr:nvSpPr>
        <xdr:spPr>
          <a:xfrm>
            <a:off x="3429000" y="12449175"/>
            <a:ext cx="1104901" cy="638175"/>
          </a:xfrm>
          <a:prstGeom prst="flowChartDocumen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900">
              <a:latin typeface="Meiryo UI" panose="020B0604030504040204" pitchFamily="50" charset="-128"/>
              <a:ea typeface="Meiryo UI" panose="020B0604030504040204" pitchFamily="50" charset="-128"/>
            </a:endParaRPr>
          </a:p>
        </xdr:txBody>
      </xdr:sp>
      <xdr:sp macro="" textlink="">
        <xdr:nvSpPr>
          <xdr:cNvPr id="15448" name="テキスト ボックス 15447">
            <a:extLst>
              <a:ext uri="{FF2B5EF4-FFF2-40B4-BE49-F238E27FC236}">
                <a16:creationId xmlns:a16="http://schemas.microsoft.com/office/drawing/2014/main" id="{00B46D8E-616F-8FAC-7062-3E421CE46992}"/>
              </a:ext>
            </a:extLst>
          </xdr:cNvPr>
          <xdr:cNvSpPr txBox="1"/>
        </xdr:nvSpPr>
        <xdr:spPr>
          <a:xfrm>
            <a:off x="3428999" y="12449176"/>
            <a:ext cx="1104901" cy="6000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900">
                <a:solidFill>
                  <a:schemeClr val="dk1"/>
                </a:solidFill>
                <a:effectLst/>
                <a:latin typeface="Meiryo UI" panose="020B0604030504040204" pitchFamily="50" charset="-128"/>
                <a:ea typeface="Meiryo UI" panose="020B0604030504040204" pitchFamily="50" charset="-128"/>
                <a:cs typeface="+mn-cs"/>
              </a:rPr>
              <a:t>連携ファイル</a:t>
            </a:r>
            <a:endParaRPr kumimoji="1" lang="en-US" altLang="ja-JP" sz="900">
              <a:solidFill>
                <a:schemeClr val="dk1"/>
              </a:solidFill>
              <a:effectLst/>
              <a:latin typeface="Meiryo UI" panose="020B0604030504040204" pitchFamily="50" charset="-128"/>
              <a:ea typeface="Meiryo UI" panose="020B0604030504040204" pitchFamily="50" charset="-128"/>
              <a:cs typeface="+mn-cs"/>
            </a:endParaRPr>
          </a:p>
        </xdr:txBody>
      </xdr:sp>
    </xdr:grpSp>
    <xdr:clientData/>
  </xdr:twoCellAnchor>
  <xdr:twoCellAnchor>
    <xdr:from>
      <xdr:col>39</xdr:col>
      <xdr:colOff>133350</xdr:colOff>
      <xdr:row>65</xdr:row>
      <xdr:rowOff>88900</xdr:rowOff>
    </xdr:from>
    <xdr:to>
      <xdr:col>44</xdr:col>
      <xdr:colOff>38100</xdr:colOff>
      <xdr:row>68</xdr:row>
      <xdr:rowOff>22225</xdr:rowOff>
    </xdr:to>
    <xdr:grpSp>
      <xdr:nvGrpSpPr>
        <xdr:cNvPr id="15449" name="グループ化 15448">
          <a:extLst>
            <a:ext uri="{FF2B5EF4-FFF2-40B4-BE49-F238E27FC236}">
              <a16:creationId xmlns:a16="http://schemas.microsoft.com/office/drawing/2014/main" id="{11E201F8-AD7E-F26F-4DC5-8B73077591ED}"/>
            </a:ext>
          </a:extLst>
        </xdr:cNvPr>
        <xdr:cNvGrpSpPr/>
      </xdr:nvGrpSpPr>
      <xdr:grpSpPr>
        <a:xfrm>
          <a:off x="7562850" y="12471400"/>
          <a:ext cx="857250" cy="504825"/>
          <a:chOff x="3428999" y="12449175"/>
          <a:chExt cx="1104902" cy="638175"/>
        </a:xfrm>
      </xdr:grpSpPr>
      <xdr:sp macro="" textlink="">
        <xdr:nvSpPr>
          <xdr:cNvPr id="15450" name="フローチャート: 書類 15449">
            <a:extLst>
              <a:ext uri="{FF2B5EF4-FFF2-40B4-BE49-F238E27FC236}">
                <a16:creationId xmlns:a16="http://schemas.microsoft.com/office/drawing/2014/main" id="{A1148133-1DF8-3EDD-167F-3D44103D09CE}"/>
              </a:ext>
            </a:extLst>
          </xdr:cNvPr>
          <xdr:cNvSpPr/>
        </xdr:nvSpPr>
        <xdr:spPr>
          <a:xfrm>
            <a:off x="3429000" y="12449175"/>
            <a:ext cx="1104901" cy="638175"/>
          </a:xfrm>
          <a:prstGeom prst="flowChartDocumen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900">
              <a:latin typeface="Meiryo UI" panose="020B0604030504040204" pitchFamily="50" charset="-128"/>
              <a:ea typeface="Meiryo UI" panose="020B0604030504040204" pitchFamily="50" charset="-128"/>
            </a:endParaRPr>
          </a:p>
        </xdr:txBody>
      </xdr:sp>
      <xdr:sp macro="" textlink="">
        <xdr:nvSpPr>
          <xdr:cNvPr id="15451" name="テキスト ボックス 15450">
            <a:extLst>
              <a:ext uri="{FF2B5EF4-FFF2-40B4-BE49-F238E27FC236}">
                <a16:creationId xmlns:a16="http://schemas.microsoft.com/office/drawing/2014/main" id="{3D2102E1-5701-73F1-210A-1127E528A710}"/>
              </a:ext>
            </a:extLst>
          </xdr:cNvPr>
          <xdr:cNvSpPr txBox="1"/>
        </xdr:nvSpPr>
        <xdr:spPr>
          <a:xfrm>
            <a:off x="3428999" y="12449176"/>
            <a:ext cx="1104901" cy="6000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900">
                <a:solidFill>
                  <a:schemeClr val="dk1"/>
                </a:solidFill>
                <a:effectLst/>
                <a:latin typeface="Meiryo UI" panose="020B0604030504040204" pitchFamily="50" charset="-128"/>
                <a:ea typeface="Meiryo UI" panose="020B0604030504040204" pitchFamily="50" charset="-128"/>
                <a:cs typeface="+mn-cs"/>
              </a:rPr>
              <a:t>連携ファイル</a:t>
            </a:r>
            <a:endParaRPr kumimoji="1" lang="en-US" altLang="ja-JP" sz="900">
              <a:solidFill>
                <a:schemeClr val="dk1"/>
              </a:solidFill>
              <a:effectLst/>
              <a:latin typeface="Meiryo UI" panose="020B0604030504040204" pitchFamily="50" charset="-128"/>
              <a:ea typeface="Meiryo UI" panose="020B0604030504040204" pitchFamily="50" charset="-128"/>
              <a:cs typeface="+mn-cs"/>
            </a:endParaRPr>
          </a:p>
        </xdr:txBody>
      </xdr:sp>
    </xdr:grpSp>
    <xdr:clientData/>
  </xdr:twoCellAnchor>
  <xdr:twoCellAnchor>
    <xdr:from>
      <xdr:col>38</xdr:col>
      <xdr:colOff>57149</xdr:colOff>
      <xdr:row>66</xdr:row>
      <xdr:rowOff>135744</xdr:rowOff>
    </xdr:from>
    <xdr:to>
      <xdr:col>39</xdr:col>
      <xdr:colOff>133350</xdr:colOff>
      <xdr:row>66</xdr:row>
      <xdr:rowOff>135744</xdr:rowOff>
    </xdr:to>
    <xdr:cxnSp macro="">
      <xdr:nvCxnSpPr>
        <xdr:cNvPr id="15453" name="直線矢印コネクタ 20">
          <a:extLst>
            <a:ext uri="{FF2B5EF4-FFF2-40B4-BE49-F238E27FC236}">
              <a16:creationId xmlns:a16="http://schemas.microsoft.com/office/drawing/2014/main" id="{47AD0618-92F3-4014-B300-AD79DB3E1CEA}"/>
            </a:ext>
          </a:extLst>
        </xdr:cNvPr>
        <xdr:cNvCxnSpPr>
          <a:cxnSpLocks/>
          <a:stCxn id="15451" idx="1"/>
          <a:endCxn id="15448" idx="3"/>
        </xdr:cNvCxnSpPr>
      </xdr:nvCxnSpPr>
      <xdr:spPr>
        <a:xfrm flipH="1">
          <a:off x="6915149" y="12518244"/>
          <a:ext cx="266701" cy="0"/>
        </a:xfrm>
        <a:prstGeom prst="straightConnector1">
          <a:avLst/>
        </a:prstGeom>
        <a:ln>
          <a:solidFill>
            <a:srgbClr val="FF0000"/>
          </a:solidFill>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29</xdr:col>
      <xdr:colOff>6350</xdr:colOff>
      <xdr:row>66</xdr:row>
      <xdr:rowOff>135744</xdr:rowOff>
    </xdr:from>
    <xdr:to>
      <xdr:col>33</xdr:col>
      <xdr:colOff>152400</xdr:colOff>
      <xdr:row>66</xdr:row>
      <xdr:rowOff>136525</xdr:rowOff>
    </xdr:to>
    <xdr:cxnSp macro="">
      <xdr:nvCxnSpPr>
        <xdr:cNvPr id="15456" name="直線矢印コネクタ 20">
          <a:extLst>
            <a:ext uri="{FF2B5EF4-FFF2-40B4-BE49-F238E27FC236}">
              <a16:creationId xmlns:a16="http://schemas.microsoft.com/office/drawing/2014/main" id="{72DF6613-639C-4E4A-8EF7-851C379F237F}"/>
            </a:ext>
          </a:extLst>
        </xdr:cNvPr>
        <xdr:cNvCxnSpPr>
          <a:cxnSpLocks/>
          <a:stCxn id="15448" idx="1"/>
          <a:endCxn id="15408" idx="3"/>
        </xdr:cNvCxnSpPr>
      </xdr:nvCxnSpPr>
      <xdr:spPr>
        <a:xfrm flipH="1">
          <a:off x="5149850" y="12518244"/>
          <a:ext cx="908050" cy="781"/>
        </a:xfrm>
        <a:prstGeom prst="straightConnector1">
          <a:avLst/>
        </a:prstGeom>
        <a:ln>
          <a:solidFill>
            <a:srgbClr val="FF0000"/>
          </a:solidFill>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36</xdr:col>
      <xdr:colOff>120650</xdr:colOff>
      <xdr:row>67</xdr:row>
      <xdr:rowOff>82550</xdr:rowOff>
    </xdr:from>
    <xdr:to>
      <xdr:col>41</xdr:col>
      <xdr:colOff>69850</xdr:colOff>
      <xdr:row>68</xdr:row>
      <xdr:rowOff>158750</xdr:rowOff>
    </xdr:to>
    <xdr:sp macro="" textlink="">
      <xdr:nvSpPr>
        <xdr:cNvPr id="15459" name="正方形/長方形 15458">
          <a:extLst>
            <a:ext uri="{FF2B5EF4-FFF2-40B4-BE49-F238E27FC236}">
              <a16:creationId xmlns:a16="http://schemas.microsoft.com/office/drawing/2014/main" id="{CB50539C-534D-539C-9411-CD1AF88EFB76}"/>
            </a:ext>
          </a:extLst>
        </xdr:cNvPr>
        <xdr:cNvSpPr/>
      </xdr:nvSpPr>
      <xdr:spPr>
        <a:xfrm>
          <a:off x="6597650" y="12655550"/>
          <a:ext cx="901700" cy="266700"/>
        </a:xfrm>
        <a:prstGeom prst="rect">
          <a:avLst/>
        </a:prstGeom>
        <a:solidFill>
          <a:schemeClr val="bg1">
            <a:lumMod val="85000"/>
          </a:schemeClr>
        </a:solidFill>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ctr"/>
        <a:lstStyle/>
        <a:p>
          <a:pPr algn="ctr"/>
          <a:r>
            <a:rPr kumimoji="1" lang="ja-JP" altLang="en-US" sz="900">
              <a:solidFill>
                <a:sysClr val="windowText" lastClr="000000"/>
              </a:solidFill>
              <a:latin typeface="Meiryo UI" panose="020B0604030504040204" pitchFamily="50" charset="-128"/>
              <a:ea typeface="Meiryo UI" panose="020B0604030504040204" pitchFamily="50" charset="-128"/>
            </a:rPr>
            <a:t>ファイル移動</a:t>
          </a:r>
        </a:p>
      </xdr:txBody>
    </xdr:sp>
    <xdr:clientData/>
  </xdr:twoCellAnchor>
  <xdr:twoCellAnchor>
    <xdr:from>
      <xdr:col>38</xdr:col>
      <xdr:colOff>57149</xdr:colOff>
      <xdr:row>76</xdr:row>
      <xdr:rowOff>34144</xdr:rowOff>
    </xdr:from>
    <xdr:to>
      <xdr:col>54</xdr:col>
      <xdr:colOff>28575</xdr:colOff>
      <xdr:row>79</xdr:row>
      <xdr:rowOff>165101</xdr:rowOff>
    </xdr:to>
    <xdr:cxnSp macro="">
      <xdr:nvCxnSpPr>
        <xdr:cNvPr id="15473" name="直線矢印コネクタ 20">
          <a:extLst>
            <a:ext uri="{FF2B5EF4-FFF2-40B4-BE49-F238E27FC236}">
              <a16:creationId xmlns:a16="http://schemas.microsoft.com/office/drawing/2014/main" id="{33601773-FAAE-4648-8ABA-0F762F6BCDC7}"/>
            </a:ext>
          </a:extLst>
        </xdr:cNvPr>
        <xdr:cNvCxnSpPr>
          <a:cxnSpLocks/>
          <a:stCxn id="15413" idx="3"/>
          <a:endCxn id="15422" idx="0"/>
        </xdr:cNvCxnSpPr>
      </xdr:nvCxnSpPr>
      <xdr:spPr>
        <a:xfrm>
          <a:off x="6915149" y="14321644"/>
          <a:ext cx="3019426" cy="702457"/>
        </a:xfrm>
        <a:prstGeom prst="bentConnector2">
          <a:avLst/>
        </a:prstGeom>
        <a:ln>
          <a:solidFill>
            <a:srgbClr val="FF0000"/>
          </a:solidFill>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39</xdr:col>
      <xdr:colOff>139700</xdr:colOff>
      <xdr:row>75</xdr:row>
      <xdr:rowOff>76200</xdr:rowOff>
    </xdr:from>
    <xdr:to>
      <xdr:col>44</xdr:col>
      <xdr:colOff>88900</xdr:colOff>
      <xdr:row>76</xdr:row>
      <xdr:rowOff>152400</xdr:rowOff>
    </xdr:to>
    <xdr:sp macro="" textlink="">
      <xdr:nvSpPr>
        <xdr:cNvPr id="15423" name="正方形/長方形 15422">
          <a:extLst>
            <a:ext uri="{FF2B5EF4-FFF2-40B4-BE49-F238E27FC236}">
              <a16:creationId xmlns:a16="http://schemas.microsoft.com/office/drawing/2014/main" id="{2713DF58-E6DC-4488-B9FD-35BA2C3B5C11}"/>
            </a:ext>
          </a:extLst>
        </xdr:cNvPr>
        <xdr:cNvSpPr/>
      </xdr:nvSpPr>
      <xdr:spPr>
        <a:xfrm>
          <a:off x="7188200" y="14173200"/>
          <a:ext cx="901700" cy="266700"/>
        </a:xfrm>
        <a:prstGeom prst="rect">
          <a:avLst/>
        </a:prstGeom>
        <a:solidFill>
          <a:schemeClr val="bg1">
            <a:lumMod val="85000"/>
          </a:schemeClr>
        </a:solidFill>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ctr"/>
        <a:lstStyle/>
        <a:p>
          <a:pPr algn="ctr"/>
          <a:r>
            <a:rPr kumimoji="1" lang="ja-JP" altLang="en-US" sz="900">
              <a:solidFill>
                <a:sysClr val="windowText" lastClr="000000"/>
              </a:solidFill>
              <a:latin typeface="Meiryo UI" panose="020B0604030504040204" pitchFamily="50" charset="-128"/>
              <a:ea typeface="Meiryo UI" panose="020B0604030504040204" pitchFamily="50" charset="-128"/>
            </a:rPr>
            <a:t>ファイル移動</a:t>
          </a:r>
        </a:p>
      </xdr:txBody>
    </xdr:sp>
    <xdr:clientData/>
  </xdr:twoCellAnchor>
  <xdr:twoCellAnchor>
    <xdr:from>
      <xdr:col>49</xdr:col>
      <xdr:colOff>21772</xdr:colOff>
      <xdr:row>51</xdr:row>
      <xdr:rowOff>139700</xdr:rowOff>
    </xdr:from>
    <xdr:to>
      <xdr:col>53</xdr:col>
      <xdr:colOff>161472</xdr:colOff>
      <xdr:row>53</xdr:row>
      <xdr:rowOff>25400</xdr:rowOff>
    </xdr:to>
    <xdr:sp macro="" textlink="">
      <xdr:nvSpPr>
        <xdr:cNvPr id="15477" name="正方形/長方形 15476">
          <a:extLst>
            <a:ext uri="{FF2B5EF4-FFF2-40B4-BE49-F238E27FC236}">
              <a16:creationId xmlns:a16="http://schemas.microsoft.com/office/drawing/2014/main" id="{B747AD13-B5AE-4139-9A5E-52F0E257D7FE}"/>
            </a:ext>
          </a:extLst>
        </xdr:cNvPr>
        <xdr:cNvSpPr/>
      </xdr:nvSpPr>
      <xdr:spPr>
        <a:xfrm>
          <a:off x="9356272" y="9855200"/>
          <a:ext cx="901700" cy="266700"/>
        </a:xfrm>
        <a:prstGeom prst="rect">
          <a:avLst/>
        </a:prstGeom>
        <a:solidFill>
          <a:schemeClr val="bg1">
            <a:lumMod val="85000"/>
          </a:schemeClr>
        </a:solidFill>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ctr"/>
        <a:lstStyle/>
        <a:p>
          <a:pPr algn="ctr"/>
          <a:r>
            <a:rPr kumimoji="1" lang="ja-JP" altLang="en-US" sz="900">
              <a:solidFill>
                <a:sysClr val="windowText" lastClr="000000"/>
              </a:solidFill>
              <a:latin typeface="Meiryo UI" panose="020B0604030504040204" pitchFamily="50" charset="-128"/>
              <a:ea typeface="Meiryo UI" panose="020B0604030504040204" pitchFamily="50" charset="-128"/>
            </a:rPr>
            <a:t>ファイル出力</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8</xdr:col>
      <xdr:colOff>0</xdr:colOff>
      <xdr:row>9</xdr:row>
      <xdr:rowOff>0</xdr:rowOff>
    </xdr:from>
    <xdr:to>
      <xdr:col>48</xdr:col>
      <xdr:colOff>120650</xdr:colOff>
      <xdr:row>28</xdr:row>
      <xdr:rowOff>95250</xdr:rowOff>
    </xdr:to>
    <xdr:sp macro="" textlink="">
      <xdr:nvSpPr>
        <xdr:cNvPr id="2" name="正方形/長方形 1">
          <a:extLst>
            <a:ext uri="{FF2B5EF4-FFF2-40B4-BE49-F238E27FC236}">
              <a16:creationId xmlns:a16="http://schemas.microsoft.com/office/drawing/2014/main" id="{E93ABE22-F4EF-49DA-8CE8-FBDF80E0CF13}"/>
            </a:ext>
          </a:extLst>
        </xdr:cNvPr>
        <xdr:cNvSpPr/>
      </xdr:nvSpPr>
      <xdr:spPr>
        <a:xfrm>
          <a:off x="1524000" y="1714500"/>
          <a:ext cx="7740650" cy="3714750"/>
        </a:xfrm>
        <a:prstGeom prst="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ctr"/>
        <a:lstStyle/>
        <a:p>
          <a:pPr algn="ctr"/>
          <a:r>
            <a:rPr kumimoji="1" lang="ja-JP" altLang="en-US" sz="6000">
              <a:latin typeface="Meiryo UI" panose="020B0604030504040204" pitchFamily="50" charset="-128"/>
              <a:ea typeface="Meiryo UI" panose="020B0604030504040204" pitchFamily="50" charset="-128"/>
            </a:rPr>
            <a:t>未使用</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10</xdr:col>
      <xdr:colOff>38100</xdr:colOff>
      <xdr:row>8</xdr:row>
      <xdr:rowOff>139700</xdr:rowOff>
    </xdr:from>
    <xdr:to>
      <xdr:col>50</xdr:col>
      <xdr:colOff>158750</xdr:colOff>
      <xdr:row>28</xdr:row>
      <xdr:rowOff>44450</xdr:rowOff>
    </xdr:to>
    <xdr:sp macro="" textlink="">
      <xdr:nvSpPr>
        <xdr:cNvPr id="2" name="正方形/長方形 1">
          <a:extLst>
            <a:ext uri="{FF2B5EF4-FFF2-40B4-BE49-F238E27FC236}">
              <a16:creationId xmlns:a16="http://schemas.microsoft.com/office/drawing/2014/main" id="{DD8CFEC1-98D2-40E8-92CA-892E42D6E030}"/>
            </a:ext>
          </a:extLst>
        </xdr:cNvPr>
        <xdr:cNvSpPr/>
      </xdr:nvSpPr>
      <xdr:spPr>
        <a:xfrm>
          <a:off x="1943100" y="1663700"/>
          <a:ext cx="7740650" cy="3714750"/>
        </a:xfrm>
        <a:prstGeom prst="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ctr"/>
        <a:lstStyle/>
        <a:p>
          <a:pPr algn="ctr"/>
          <a:r>
            <a:rPr kumimoji="1" lang="ja-JP" altLang="en-US" sz="6000">
              <a:latin typeface="Meiryo UI" panose="020B0604030504040204" pitchFamily="50" charset="-128"/>
              <a:ea typeface="Meiryo UI" panose="020B0604030504040204" pitchFamily="50" charset="-128"/>
            </a:rPr>
            <a:t>未使用</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6</xdr:col>
      <xdr:colOff>82550</xdr:colOff>
      <xdr:row>4</xdr:row>
      <xdr:rowOff>82550</xdr:rowOff>
    </xdr:from>
    <xdr:to>
      <xdr:col>47</xdr:col>
      <xdr:colOff>12700</xdr:colOff>
      <xdr:row>23</xdr:row>
      <xdr:rowOff>177800</xdr:rowOff>
    </xdr:to>
    <xdr:sp macro="" textlink="">
      <xdr:nvSpPr>
        <xdr:cNvPr id="2" name="正方形/長方形 1">
          <a:extLst>
            <a:ext uri="{FF2B5EF4-FFF2-40B4-BE49-F238E27FC236}">
              <a16:creationId xmlns:a16="http://schemas.microsoft.com/office/drawing/2014/main" id="{D34F340E-6AAF-BF10-9D2D-1B04DDC90176}"/>
            </a:ext>
          </a:extLst>
        </xdr:cNvPr>
        <xdr:cNvSpPr/>
      </xdr:nvSpPr>
      <xdr:spPr>
        <a:xfrm>
          <a:off x="1225550" y="844550"/>
          <a:ext cx="7740650" cy="3714750"/>
        </a:xfrm>
        <a:prstGeom prst="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ctr"/>
        <a:lstStyle/>
        <a:p>
          <a:pPr algn="ctr"/>
          <a:r>
            <a:rPr kumimoji="1" lang="ja-JP" altLang="en-US" sz="6000">
              <a:latin typeface="Meiryo UI" panose="020B0604030504040204" pitchFamily="50" charset="-128"/>
              <a:ea typeface="Meiryo UI" panose="020B0604030504040204" pitchFamily="50" charset="-128"/>
            </a:rPr>
            <a:t>未使用</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7</xdr:col>
      <xdr:colOff>0</xdr:colOff>
      <xdr:row>5</xdr:row>
      <xdr:rowOff>101600</xdr:rowOff>
    </xdr:from>
    <xdr:to>
      <xdr:col>47</xdr:col>
      <xdr:colOff>120650</xdr:colOff>
      <xdr:row>25</xdr:row>
      <xdr:rowOff>6350</xdr:rowOff>
    </xdr:to>
    <xdr:sp macro="" textlink="">
      <xdr:nvSpPr>
        <xdr:cNvPr id="3" name="正方形/長方形 2">
          <a:extLst>
            <a:ext uri="{FF2B5EF4-FFF2-40B4-BE49-F238E27FC236}">
              <a16:creationId xmlns:a16="http://schemas.microsoft.com/office/drawing/2014/main" id="{94C8BDAE-9FB6-4026-B498-10A15121A47D}"/>
            </a:ext>
          </a:extLst>
        </xdr:cNvPr>
        <xdr:cNvSpPr/>
      </xdr:nvSpPr>
      <xdr:spPr>
        <a:xfrm>
          <a:off x="1333500" y="1054100"/>
          <a:ext cx="7740650" cy="3714750"/>
        </a:xfrm>
        <a:prstGeom prst="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ctr"/>
        <a:lstStyle/>
        <a:p>
          <a:pPr algn="ctr"/>
          <a:r>
            <a:rPr kumimoji="1" lang="ja-JP" altLang="en-US" sz="6000">
              <a:latin typeface="Meiryo UI" panose="020B0604030504040204" pitchFamily="50" charset="-128"/>
              <a:ea typeface="Meiryo UI" panose="020B0604030504040204" pitchFamily="50" charset="-128"/>
            </a:rPr>
            <a:t>未使用</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6</xdr:col>
      <xdr:colOff>95250</xdr:colOff>
      <xdr:row>4</xdr:row>
      <xdr:rowOff>177800</xdr:rowOff>
    </xdr:from>
    <xdr:to>
      <xdr:col>47</xdr:col>
      <xdr:colOff>25400</xdr:colOff>
      <xdr:row>24</xdr:row>
      <xdr:rowOff>82550</xdr:rowOff>
    </xdr:to>
    <xdr:sp macro="" textlink="">
      <xdr:nvSpPr>
        <xdr:cNvPr id="2" name="正方形/長方形 1">
          <a:extLst>
            <a:ext uri="{FF2B5EF4-FFF2-40B4-BE49-F238E27FC236}">
              <a16:creationId xmlns:a16="http://schemas.microsoft.com/office/drawing/2014/main" id="{B3EC147E-3A3F-4614-A6F6-573E845775D3}"/>
            </a:ext>
          </a:extLst>
        </xdr:cNvPr>
        <xdr:cNvSpPr/>
      </xdr:nvSpPr>
      <xdr:spPr>
        <a:xfrm>
          <a:off x="1238250" y="939800"/>
          <a:ext cx="7740650" cy="3714750"/>
        </a:xfrm>
        <a:prstGeom prst="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ctr"/>
        <a:lstStyle/>
        <a:p>
          <a:pPr algn="ctr"/>
          <a:r>
            <a:rPr kumimoji="1" lang="ja-JP" altLang="en-US" sz="6000">
              <a:latin typeface="Meiryo UI" panose="020B0604030504040204" pitchFamily="50" charset="-128"/>
              <a:ea typeface="Meiryo UI" panose="020B0604030504040204" pitchFamily="50" charset="-128"/>
            </a:rPr>
            <a:t>未使用</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8</xdr:col>
      <xdr:colOff>184150</xdr:colOff>
      <xdr:row>7</xdr:row>
      <xdr:rowOff>177800</xdr:rowOff>
    </xdr:from>
    <xdr:to>
      <xdr:col>49</xdr:col>
      <xdr:colOff>114300</xdr:colOff>
      <xdr:row>29</xdr:row>
      <xdr:rowOff>82550</xdr:rowOff>
    </xdr:to>
    <xdr:sp macro="" textlink="">
      <xdr:nvSpPr>
        <xdr:cNvPr id="2" name="正方形/長方形 1">
          <a:extLst>
            <a:ext uri="{FF2B5EF4-FFF2-40B4-BE49-F238E27FC236}">
              <a16:creationId xmlns:a16="http://schemas.microsoft.com/office/drawing/2014/main" id="{F209C9E7-6008-476A-8473-304152E19077}"/>
            </a:ext>
          </a:extLst>
        </xdr:cNvPr>
        <xdr:cNvSpPr/>
      </xdr:nvSpPr>
      <xdr:spPr>
        <a:xfrm>
          <a:off x="1708150" y="1511300"/>
          <a:ext cx="7740650" cy="3714750"/>
        </a:xfrm>
        <a:prstGeom prst="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ctr"/>
        <a:lstStyle/>
        <a:p>
          <a:pPr algn="ctr"/>
          <a:r>
            <a:rPr kumimoji="1" lang="ja-JP" altLang="en-US" sz="6000">
              <a:latin typeface="Meiryo UI" panose="020B0604030504040204" pitchFamily="50" charset="-128"/>
              <a:ea typeface="Meiryo UI" panose="020B0604030504040204" pitchFamily="50" charset="-128"/>
            </a:rPr>
            <a:t>未使用</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2</xdr:col>
      <xdr:colOff>19050</xdr:colOff>
      <xdr:row>295</xdr:row>
      <xdr:rowOff>9525</xdr:rowOff>
    </xdr:from>
    <xdr:to>
      <xdr:col>8</xdr:col>
      <xdr:colOff>1007</xdr:colOff>
      <xdr:row>297</xdr:row>
      <xdr:rowOff>0</xdr:rowOff>
    </xdr:to>
    <xdr:grpSp>
      <xdr:nvGrpSpPr>
        <xdr:cNvPr id="65" name="グループ化 64">
          <a:extLst>
            <a:ext uri="{FF2B5EF4-FFF2-40B4-BE49-F238E27FC236}">
              <a16:creationId xmlns:a16="http://schemas.microsoft.com/office/drawing/2014/main" id="{69097F7D-ABEA-4AAA-AA1A-36932E089374}"/>
            </a:ext>
          </a:extLst>
        </xdr:cNvPr>
        <xdr:cNvGrpSpPr/>
      </xdr:nvGrpSpPr>
      <xdr:grpSpPr>
        <a:xfrm>
          <a:off x="400050" y="56207025"/>
          <a:ext cx="1124957" cy="371475"/>
          <a:chOff x="381000" y="6477000"/>
          <a:chExt cx="1123950" cy="371475"/>
        </a:xfrm>
      </xdr:grpSpPr>
      <xdr:sp macro="" textlink="">
        <xdr:nvSpPr>
          <xdr:cNvPr id="66" name="四角形: 角を丸くする 65">
            <a:extLst>
              <a:ext uri="{FF2B5EF4-FFF2-40B4-BE49-F238E27FC236}">
                <a16:creationId xmlns:a16="http://schemas.microsoft.com/office/drawing/2014/main" id="{B3097AC4-DFB5-4BE0-9F60-7EA7F9868FA8}"/>
              </a:ext>
            </a:extLst>
          </xdr:cNvPr>
          <xdr:cNvSpPr/>
        </xdr:nvSpPr>
        <xdr:spPr>
          <a:xfrm>
            <a:off x="381000" y="6477000"/>
            <a:ext cx="1123950" cy="371475"/>
          </a:xfrm>
          <a:prstGeom prst="roundRect">
            <a:avLst>
              <a:gd name="adj" fmla="val 50000"/>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en-US" altLang="ja-JP" sz="1000">
              <a:solidFill>
                <a:schemeClr val="tx1"/>
              </a:solidFill>
              <a:latin typeface="Meiryo UI" panose="020B0604030504040204" pitchFamily="50" charset="-128"/>
              <a:ea typeface="Meiryo UI" panose="020B0604030504040204" pitchFamily="50" charset="-128"/>
            </a:endParaRPr>
          </a:p>
        </xdr:txBody>
      </xdr:sp>
      <xdr:sp macro="" textlink="">
        <xdr:nvSpPr>
          <xdr:cNvPr id="67" name="テキスト ボックス 66">
            <a:extLst>
              <a:ext uri="{FF2B5EF4-FFF2-40B4-BE49-F238E27FC236}">
                <a16:creationId xmlns:a16="http://schemas.microsoft.com/office/drawing/2014/main" id="{84887489-462A-4FC7-9268-B0A952C33EC7}"/>
              </a:ext>
            </a:extLst>
          </xdr:cNvPr>
          <xdr:cNvSpPr txBox="1"/>
        </xdr:nvSpPr>
        <xdr:spPr>
          <a:xfrm>
            <a:off x="533400" y="6486525"/>
            <a:ext cx="828675"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000">
                <a:latin typeface="Meiryo UI" panose="020B0604030504040204" pitchFamily="50" charset="-128"/>
                <a:ea typeface="Meiryo UI" panose="020B0604030504040204" pitchFamily="50" charset="-128"/>
              </a:rPr>
              <a:t>開始</a:t>
            </a:r>
          </a:p>
        </xdr:txBody>
      </xdr:sp>
    </xdr:grpSp>
    <xdr:clientData/>
  </xdr:twoCellAnchor>
  <xdr:twoCellAnchor>
    <xdr:from>
      <xdr:col>11</xdr:col>
      <xdr:colOff>161925</xdr:colOff>
      <xdr:row>295</xdr:row>
      <xdr:rowOff>19050</xdr:rowOff>
    </xdr:from>
    <xdr:to>
      <xdr:col>17</xdr:col>
      <xdr:colOff>142875</xdr:colOff>
      <xdr:row>297</xdr:row>
      <xdr:rowOff>9525</xdr:rowOff>
    </xdr:to>
    <xdr:grpSp>
      <xdr:nvGrpSpPr>
        <xdr:cNvPr id="68" name="グループ化 67">
          <a:extLst>
            <a:ext uri="{FF2B5EF4-FFF2-40B4-BE49-F238E27FC236}">
              <a16:creationId xmlns:a16="http://schemas.microsoft.com/office/drawing/2014/main" id="{DD8A9F87-C7C8-48FA-8721-30013F3C2DF3}"/>
            </a:ext>
          </a:extLst>
        </xdr:cNvPr>
        <xdr:cNvGrpSpPr/>
      </xdr:nvGrpSpPr>
      <xdr:grpSpPr>
        <a:xfrm>
          <a:off x="2257425" y="56216550"/>
          <a:ext cx="1123950" cy="371475"/>
          <a:chOff x="381000" y="6477000"/>
          <a:chExt cx="1123950" cy="371475"/>
        </a:xfrm>
      </xdr:grpSpPr>
      <xdr:sp macro="" textlink="">
        <xdr:nvSpPr>
          <xdr:cNvPr id="69" name="四角形: 角を丸くする 68">
            <a:extLst>
              <a:ext uri="{FF2B5EF4-FFF2-40B4-BE49-F238E27FC236}">
                <a16:creationId xmlns:a16="http://schemas.microsoft.com/office/drawing/2014/main" id="{2CD358FD-591E-4950-BA48-F37DE0453B32}"/>
              </a:ext>
            </a:extLst>
          </xdr:cNvPr>
          <xdr:cNvSpPr/>
        </xdr:nvSpPr>
        <xdr:spPr>
          <a:xfrm>
            <a:off x="381000" y="6477000"/>
            <a:ext cx="1123950" cy="371475"/>
          </a:xfrm>
          <a:prstGeom prst="roundRect">
            <a:avLst>
              <a:gd name="adj" fmla="val 50000"/>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en-US" altLang="ja-JP" sz="1000">
              <a:solidFill>
                <a:schemeClr val="tx1"/>
              </a:solidFill>
              <a:latin typeface="Meiryo UI" panose="020B0604030504040204" pitchFamily="50" charset="-128"/>
              <a:ea typeface="Meiryo UI" panose="020B0604030504040204" pitchFamily="50" charset="-128"/>
            </a:endParaRPr>
          </a:p>
        </xdr:txBody>
      </xdr:sp>
      <xdr:sp macro="" textlink="">
        <xdr:nvSpPr>
          <xdr:cNvPr id="70" name="テキスト ボックス 69">
            <a:extLst>
              <a:ext uri="{FF2B5EF4-FFF2-40B4-BE49-F238E27FC236}">
                <a16:creationId xmlns:a16="http://schemas.microsoft.com/office/drawing/2014/main" id="{65D6141A-6EB3-4E5F-9272-7375427D60FF}"/>
              </a:ext>
            </a:extLst>
          </xdr:cNvPr>
          <xdr:cNvSpPr txBox="1"/>
        </xdr:nvSpPr>
        <xdr:spPr>
          <a:xfrm>
            <a:off x="533400" y="6486525"/>
            <a:ext cx="828675"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000">
                <a:latin typeface="Meiryo UI" panose="020B0604030504040204" pitchFamily="50" charset="-128"/>
                <a:ea typeface="Meiryo UI" panose="020B0604030504040204" pitchFamily="50" charset="-128"/>
              </a:rPr>
              <a:t>終了</a:t>
            </a:r>
          </a:p>
        </xdr:txBody>
      </xdr:sp>
    </xdr:grpSp>
    <xdr:clientData/>
  </xdr:twoCellAnchor>
  <xdr:twoCellAnchor>
    <xdr:from>
      <xdr:col>21</xdr:col>
      <xdr:colOff>132504</xdr:colOff>
      <xdr:row>294</xdr:row>
      <xdr:rowOff>171448</xdr:rowOff>
    </xdr:from>
    <xdr:to>
      <xdr:col>28</xdr:col>
      <xdr:colOff>37704</xdr:colOff>
      <xdr:row>297</xdr:row>
      <xdr:rowOff>5471</xdr:rowOff>
    </xdr:to>
    <xdr:grpSp>
      <xdr:nvGrpSpPr>
        <xdr:cNvPr id="71" name="グループ化 70">
          <a:extLst>
            <a:ext uri="{FF2B5EF4-FFF2-40B4-BE49-F238E27FC236}">
              <a16:creationId xmlns:a16="http://schemas.microsoft.com/office/drawing/2014/main" id="{CB4D0A76-0595-4A3B-8FF6-39621B8E9C57}"/>
            </a:ext>
          </a:extLst>
        </xdr:cNvPr>
        <xdr:cNvGrpSpPr/>
      </xdr:nvGrpSpPr>
      <xdr:grpSpPr>
        <a:xfrm>
          <a:off x="4133004" y="56178448"/>
          <a:ext cx="1238700" cy="405523"/>
          <a:chOff x="4133004" y="6457948"/>
          <a:chExt cx="1238700" cy="405523"/>
        </a:xfrm>
      </xdr:grpSpPr>
      <xdr:sp macro="" textlink="">
        <xdr:nvSpPr>
          <xdr:cNvPr id="72" name="正方形/長方形 71">
            <a:extLst>
              <a:ext uri="{FF2B5EF4-FFF2-40B4-BE49-F238E27FC236}">
                <a16:creationId xmlns:a16="http://schemas.microsoft.com/office/drawing/2014/main" id="{9C9EC2E7-130B-459B-B169-C954CFCEADFD}"/>
              </a:ext>
            </a:extLst>
          </xdr:cNvPr>
          <xdr:cNvSpPr/>
        </xdr:nvSpPr>
        <xdr:spPr>
          <a:xfrm>
            <a:off x="4133004" y="6457948"/>
            <a:ext cx="1238700" cy="405523"/>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1000">
              <a:solidFill>
                <a:schemeClr val="tx1"/>
              </a:solidFill>
              <a:latin typeface="Meiryo UI" panose="020B0604030504040204" pitchFamily="50" charset="-128"/>
              <a:ea typeface="Meiryo UI" panose="020B0604030504040204" pitchFamily="50" charset="-128"/>
            </a:endParaRPr>
          </a:p>
        </xdr:txBody>
      </xdr:sp>
      <xdr:sp macro="" textlink="">
        <xdr:nvSpPr>
          <xdr:cNvPr id="73" name="テキスト ボックス 72">
            <a:extLst>
              <a:ext uri="{FF2B5EF4-FFF2-40B4-BE49-F238E27FC236}">
                <a16:creationId xmlns:a16="http://schemas.microsoft.com/office/drawing/2014/main" id="{CAB7EEF0-B2AB-42D9-BB41-FC9B98B7A2E6}"/>
              </a:ext>
            </a:extLst>
          </xdr:cNvPr>
          <xdr:cNvSpPr txBox="1"/>
        </xdr:nvSpPr>
        <xdr:spPr>
          <a:xfrm>
            <a:off x="4145757" y="6465095"/>
            <a:ext cx="1216818" cy="3857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latin typeface="Meiryo UI" panose="020B0604030504040204" pitchFamily="50" charset="-128"/>
                <a:ea typeface="Meiryo UI" panose="020B0604030504040204" pitchFamily="50" charset="-128"/>
              </a:rPr>
              <a:t>[</a:t>
            </a:r>
            <a:r>
              <a:rPr kumimoji="1" lang="ja-JP" altLang="en-US" sz="1000">
                <a:latin typeface="Meiryo UI" panose="020B0604030504040204" pitchFamily="50" charset="-128"/>
                <a:ea typeface="Meiryo UI" panose="020B0604030504040204" pitchFamily="50" charset="-128"/>
              </a:rPr>
              <a:t>処理</a:t>
            </a:r>
            <a:r>
              <a:rPr kumimoji="1" lang="en-US" altLang="ja-JP" sz="1000">
                <a:latin typeface="Meiryo UI" panose="020B0604030504040204" pitchFamily="50" charset="-128"/>
                <a:ea typeface="Meiryo UI" panose="020B0604030504040204" pitchFamily="50" charset="-128"/>
              </a:rPr>
              <a:t>]</a:t>
            </a:r>
            <a:endParaRPr kumimoji="1" lang="ja-JP" altLang="en-US" sz="1000">
              <a:latin typeface="Meiryo UI" panose="020B0604030504040204" pitchFamily="50" charset="-128"/>
              <a:ea typeface="Meiryo UI" panose="020B0604030504040204" pitchFamily="50" charset="-128"/>
            </a:endParaRPr>
          </a:p>
        </xdr:txBody>
      </xdr:sp>
    </xdr:grpSp>
    <xdr:clientData/>
  </xdr:twoCellAnchor>
  <xdr:twoCellAnchor>
    <xdr:from>
      <xdr:col>31</xdr:col>
      <xdr:colOff>80635</xdr:colOff>
      <xdr:row>294</xdr:row>
      <xdr:rowOff>85675</xdr:rowOff>
    </xdr:from>
    <xdr:to>
      <xdr:col>38</xdr:col>
      <xdr:colOff>95754</xdr:colOff>
      <xdr:row>297</xdr:row>
      <xdr:rowOff>95754</xdr:rowOff>
    </xdr:to>
    <xdr:grpSp>
      <xdr:nvGrpSpPr>
        <xdr:cNvPr id="74" name="グループ化 73">
          <a:extLst>
            <a:ext uri="{FF2B5EF4-FFF2-40B4-BE49-F238E27FC236}">
              <a16:creationId xmlns:a16="http://schemas.microsoft.com/office/drawing/2014/main" id="{FF0D0B22-6536-4027-B86A-174FC6CCB3DC}"/>
            </a:ext>
          </a:extLst>
        </xdr:cNvPr>
        <xdr:cNvGrpSpPr/>
      </xdr:nvGrpSpPr>
      <xdr:grpSpPr>
        <a:xfrm>
          <a:off x="5986135" y="56092675"/>
          <a:ext cx="1348619" cy="581579"/>
          <a:chOff x="6017381" y="6405437"/>
          <a:chExt cx="1355675" cy="584603"/>
        </a:xfrm>
      </xdr:grpSpPr>
      <xdr:sp macro="" textlink="">
        <xdr:nvSpPr>
          <xdr:cNvPr id="75" name="ひし形 74">
            <a:extLst>
              <a:ext uri="{FF2B5EF4-FFF2-40B4-BE49-F238E27FC236}">
                <a16:creationId xmlns:a16="http://schemas.microsoft.com/office/drawing/2014/main" id="{E18A5881-AD07-4725-A486-3699BC026356}"/>
              </a:ext>
            </a:extLst>
          </xdr:cNvPr>
          <xdr:cNvSpPr/>
        </xdr:nvSpPr>
        <xdr:spPr>
          <a:xfrm>
            <a:off x="6028662" y="6407868"/>
            <a:ext cx="1337699" cy="579287"/>
          </a:xfrm>
          <a:prstGeom prst="diamond">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en-US" altLang="ja-JP" sz="1000">
              <a:solidFill>
                <a:schemeClr val="tx1"/>
              </a:solidFill>
              <a:latin typeface="Meiryo UI" panose="020B0604030504040204" pitchFamily="50" charset="-128"/>
              <a:ea typeface="Meiryo UI" panose="020B0604030504040204" pitchFamily="50" charset="-128"/>
            </a:endParaRPr>
          </a:p>
        </xdr:txBody>
      </xdr:sp>
      <xdr:sp macro="" textlink="">
        <xdr:nvSpPr>
          <xdr:cNvPr id="76" name="テキスト ボックス 75">
            <a:extLst>
              <a:ext uri="{FF2B5EF4-FFF2-40B4-BE49-F238E27FC236}">
                <a16:creationId xmlns:a16="http://schemas.microsoft.com/office/drawing/2014/main" id="{88F0D330-3FC2-44F7-901F-FB10BFFF772C}"/>
              </a:ext>
            </a:extLst>
          </xdr:cNvPr>
          <xdr:cNvSpPr txBox="1"/>
        </xdr:nvSpPr>
        <xdr:spPr>
          <a:xfrm>
            <a:off x="6017381" y="6405437"/>
            <a:ext cx="1355675" cy="5846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latin typeface="Meiryo UI" panose="020B0604030504040204" pitchFamily="50" charset="-128"/>
                <a:ea typeface="Meiryo UI" panose="020B0604030504040204" pitchFamily="50" charset="-128"/>
              </a:rPr>
              <a:t>[</a:t>
            </a:r>
            <a:r>
              <a:rPr kumimoji="1" lang="ja-JP" altLang="en-US" sz="1000">
                <a:latin typeface="Meiryo UI" panose="020B0604030504040204" pitchFamily="50" charset="-128"/>
                <a:ea typeface="Meiryo UI" panose="020B0604030504040204" pitchFamily="50" charset="-128"/>
              </a:rPr>
              <a:t>条件</a:t>
            </a:r>
            <a:r>
              <a:rPr kumimoji="1" lang="en-US" altLang="ja-JP" sz="1000">
                <a:latin typeface="Meiryo UI" panose="020B0604030504040204" pitchFamily="50" charset="-128"/>
                <a:ea typeface="Meiryo UI" panose="020B0604030504040204" pitchFamily="50" charset="-128"/>
              </a:rPr>
              <a:t>]</a:t>
            </a:r>
            <a:endParaRPr kumimoji="1" lang="ja-JP" altLang="en-US" sz="1000">
              <a:latin typeface="Meiryo UI" panose="020B0604030504040204" pitchFamily="50" charset="-128"/>
              <a:ea typeface="Meiryo UI" panose="020B0604030504040204" pitchFamily="50" charset="-128"/>
            </a:endParaRPr>
          </a:p>
        </xdr:txBody>
      </xdr:sp>
    </xdr:grpSp>
    <xdr:clientData/>
  </xdr:twoCellAnchor>
  <xdr:twoCellAnchor>
    <xdr:from>
      <xdr:col>41</xdr:col>
      <xdr:colOff>176389</xdr:colOff>
      <xdr:row>294</xdr:row>
      <xdr:rowOff>155789</xdr:rowOff>
    </xdr:from>
    <xdr:to>
      <xdr:col>47</xdr:col>
      <xdr:colOff>176389</xdr:colOff>
      <xdr:row>297</xdr:row>
      <xdr:rowOff>25115</xdr:rowOff>
    </xdr:to>
    <xdr:grpSp>
      <xdr:nvGrpSpPr>
        <xdr:cNvPr id="77" name="グループ化 76">
          <a:extLst>
            <a:ext uri="{FF2B5EF4-FFF2-40B4-BE49-F238E27FC236}">
              <a16:creationId xmlns:a16="http://schemas.microsoft.com/office/drawing/2014/main" id="{6B0A9875-3176-4593-A59D-BAB5BA7D8786}"/>
            </a:ext>
          </a:extLst>
        </xdr:cNvPr>
        <xdr:cNvGrpSpPr/>
      </xdr:nvGrpSpPr>
      <xdr:grpSpPr>
        <a:xfrm>
          <a:off x="7986889" y="56162789"/>
          <a:ext cx="1143000" cy="440826"/>
          <a:chOff x="8028214" y="6489874"/>
          <a:chExt cx="1149048" cy="443850"/>
        </a:xfrm>
      </xdr:grpSpPr>
      <xdr:sp macro="" textlink="">
        <xdr:nvSpPr>
          <xdr:cNvPr id="78" name="四角形: 上の 2 つの角を切り取る 77">
            <a:extLst>
              <a:ext uri="{FF2B5EF4-FFF2-40B4-BE49-F238E27FC236}">
                <a16:creationId xmlns:a16="http://schemas.microsoft.com/office/drawing/2014/main" id="{9D644EB0-5787-498F-BD60-4A379AC39818}"/>
              </a:ext>
            </a:extLst>
          </xdr:cNvPr>
          <xdr:cNvSpPr/>
        </xdr:nvSpPr>
        <xdr:spPr>
          <a:xfrm>
            <a:off x="8036794" y="6489874"/>
            <a:ext cx="1131534" cy="443850"/>
          </a:xfrm>
          <a:prstGeom prst="snip2SameRect">
            <a:avLst>
              <a:gd name="adj1" fmla="val 38096"/>
              <a:gd name="adj2" fmla="val 0"/>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1000">
              <a:solidFill>
                <a:schemeClr val="tx1"/>
              </a:solidFill>
              <a:latin typeface="Meiryo UI" panose="020B0604030504040204" pitchFamily="50" charset="-128"/>
              <a:ea typeface="Meiryo UI" panose="020B0604030504040204" pitchFamily="50" charset="-128"/>
            </a:endParaRPr>
          </a:p>
        </xdr:txBody>
      </xdr:sp>
      <xdr:sp macro="" textlink="">
        <xdr:nvSpPr>
          <xdr:cNvPr id="79" name="テキスト ボックス 78">
            <a:extLst>
              <a:ext uri="{FF2B5EF4-FFF2-40B4-BE49-F238E27FC236}">
                <a16:creationId xmlns:a16="http://schemas.microsoft.com/office/drawing/2014/main" id="{DE7B027C-905D-4E00-8DA2-58A98252C25F}"/>
              </a:ext>
            </a:extLst>
          </xdr:cNvPr>
          <xdr:cNvSpPr txBox="1"/>
        </xdr:nvSpPr>
        <xdr:spPr>
          <a:xfrm>
            <a:off x="8028214" y="6546548"/>
            <a:ext cx="1149048" cy="3853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latin typeface="Meiryo UI" panose="020B0604030504040204" pitchFamily="50" charset="-128"/>
                <a:ea typeface="Meiryo UI" panose="020B0604030504040204" pitchFamily="50" charset="-128"/>
              </a:rPr>
              <a:t>[</a:t>
            </a:r>
            <a:r>
              <a:rPr kumimoji="1" lang="ja-JP" altLang="en-US" sz="1000">
                <a:latin typeface="Meiryo UI" panose="020B0604030504040204" pitchFamily="50" charset="-128"/>
                <a:ea typeface="Meiryo UI" panose="020B0604030504040204" pitchFamily="50" charset="-128"/>
              </a:rPr>
              <a:t>ループ名</a:t>
            </a:r>
            <a:r>
              <a:rPr kumimoji="1" lang="en-US" altLang="ja-JP" sz="1000">
                <a:latin typeface="Meiryo UI" panose="020B0604030504040204" pitchFamily="50" charset="-128"/>
                <a:ea typeface="Meiryo UI" panose="020B0604030504040204" pitchFamily="50" charset="-128"/>
              </a:rPr>
              <a:t>]</a:t>
            </a:r>
            <a:endParaRPr kumimoji="1" lang="ja-JP" altLang="en-US" sz="1000">
              <a:latin typeface="Meiryo UI" panose="020B0604030504040204" pitchFamily="50" charset="-128"/>
              <a:ea typeface="Meiryo UI" panose="020B0604030504040204" pitchFamily="50" charset="-128"/>
            </a:endParaRPr>
          </a:p>
        </xdr:txBody>
      </xdr:sp>
    </xdr:grpSp>
    <xdr:clientData/>
  </xdr:twoCellAnchor>
  <xdr:twoCellAnchor>
    <xdr:from>
      <xdr:col>52</xdr:col>
      <xdr:colOff>16710</xdr:colOff>
      <xdr:row>294</xdr:row>
      <xdr:rowOff>162950</xdr:rowOff>
    </xdr:from>
    <xdr:to>
      <xdr:col>58</xdr:col>
      <xdr:colOff>18510</xdr:colOff>
      <xdr:row>297</xdr:row>
      <xdr:rowOff>32276</xdr:rowOff>
    </xdr:to>
    <xdr:grpSp>
      <xdr:nvGrpSpPr>
        <xdr:cNvPr id="80" name="グループ化 79">
          <a:extLst>
            <a:ext uri="{FF2B5EF4-FFF2-40B4-BE49-F238E27FC236}">
              <a16:creationId xmlns:a16="http://schemas.microsoft.com/office/drawing/2014/main" id="{2922C360-5833-485E-917F-717FA438C598}"/>
            </a:ext>
          </a:extLst>
        </xdr:cNvPr>
        <xdr:cNvGrpSpPr/>
      </xdr:nvGrpSpPr>
      <xdr:grpSpPr>
        <a:xfrm>
          <a:off x="9922710" y="56169950"/>
          <a:ext cx="1144800" cy="440826"/>
          <a:chOff x="9948334" y="6489874"/>
          <a:chExt cx="1149048" cy="443850"/>
        </a:xfrm>
      </xdr:grpSpPr>
      <xdr:sp macro="" textlink="">
        <xdr:nvSpPr>
          <xdr:cNvPr id="81" name="四角形: 上の 2 つの角を切り取る 80">
            <a:extLst>
              <a:ext uri="{FF2B5EF4-FFF2-40B4-BE49-F238E27FC236}">
                <a16:creationId xmlns:a16="http://schemas.microsoft.com/office/drawing/2014/main" id="{A2EF9082-CC53-4BD4-AABE-1C051C7FB242}"/>
              </a:ext>
            </a:extLst>
          </xdr:cNvPr>
          <xdr:cNvSpPr/>
        </xdr:nvSpPr>
        <xdr:spPr>
          <a:xfrm>
            <a:off x="9951874" y="6489874"/>
            <a:ext cx="1131533" cy="443850"/>
          </a:xfrm>
          <a:prstGeom prst="snip2SameRect">
            <a:avLst>
              <a:gd name="adj1" fmla="val 0"/>
              <a:gd name="adj2" fmla="val 37500"/>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1000">
              <a:solidFill>
                <a:schemeClr val="tx1"/>
              </a:solidFill>
              <a:latin typeface="Meiryo UI" panose="020B0604030504040204" pitchFamily="50" charset="-128"/>
              <a:ea typeface="Meiryo UI" panose="020B0604030504040204" pitchFamily="50" charset="-128"/>
            </a:endParaRPr>
          </a:p>
        </xdr:txBody>
      </xdr:sp>
      <xdr:sp macro="" textlink="">
        <xdr:nvSpPr>
          <xdr:cNvPr id="82" name="テキスト ボックス 81">
            <a:extLst>
              <a:ext uri="{FF2B5EF4-FFF2-40B4-BE49-F238E27FC236}">
                <a16:creationId xmlns:a16="http://schemas.microsoft.com/office/drawing/2014/main" id="{329B5029-1526-46E5-A57A-981F1B8F1306}"/>
              </a:ext>
            </a:extLst>
          </xdr:cNvPr>
          <xdr:cNvSpPr txBox="1"/>
        </xdr:nvSpPr>
        <xdr:spPr>
          <a:xfrm>
            <a:off x="9948334" y="6496151"/>
            <a:ext cx="1149048" cy="3853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latin typeface="Meiryo UI" panose="020B0604030504040204" pitchFamily="50" charset="-128"/>
                <a:ea typeface="Meiryo UI" panose="020B0604030504040204" pitchFamily="50" charset="-128"/>
              </a:rPr>
              <a:t>[</a:t>
            </a:r>
            <a:r>
              <a:rPr kumimoji="1" lang="ja-JP" altLang="en-US" sz="1000">
                <a:latin typeface="Meiryo UI" panose="020B0604030504040204" pitchFamily="50" charset="-128"/>
                <a:ea typeface="Meiryo UI" panose="020B0604030504040204" pitchFamily="50" charset="-128"/>
              </a:rPr>
              <a:t>ループ名</a:t>
            </a:r>
            <a:r>
              <a:rPr kumimoji="1" lang="en-US" altLang="ja-JP" sz="1000">
                <a:latin typeface="Meiryo UI" panose="020B0604030504040204" pitchFamily="50" charset="-128"/>
                <a:ea typeface="Meiryo UI" panose="020B0604030504040204" pitchFamily="50" charset="-128"/>
              </a:rPr>
              <a:t>]</a:t>
            </a:r>
            <a:endParaRPr kumimoji="1" lang="ja-JP" altLang="en-US" sz="1000">
              <a:latin typeface="Meiryo UI" panose="020B0604030504040204" pitchFamily="50" charset="-128"/>
              <a:ea typeface="Meiryo UI" panose="020B0604030504040204" pitchFamily="50" charset="-128"/>
            </a:endParaRPr>
          </a:p>
        </xdr:txBody>
      </xdr:sp>
    </xdr:grpSp>
    <xdr:clientData/>
  </xdr:twoCellAnchor>
  <xdr:twoCellAnchor>
    <xdr:from>
      <xdr:col>22</xdr:col>
      <xdr:colOff>57559</xdr:colOff>
      <xdr:row>298</xdr:row>
      <xdr:rowOff>136261</xdr:rowOff>
    </xdr:from>
    <xdr:to>
      <xdr:col>27</xdr:col>
      <xdr:colOff>127525</xdr:colOff>
      <xdr:row>301</xdr:row>
      <xdr:rowOff>68563</xdr:rowOff>
    </xdr:to>
    <xdr:grpSp>
      <xdr:nvGrpSpPr>
        <xdr:cNvPr id="83" name="グループ化 82">
          <a:extLst>
            <a:ext uri="{FF2B5EF4-FFF2-40B4-BE49-F238E27FC236}">
              <a16:creationId xmlns:a16="http://schemas.microsoft.com/office/drawing/2014/main" id="{1EC54B6E-5700-4FF1-B143-3813EB67E72E}"/>
            </a:ext>
          </a:extLst>
        </xdr:cNvPr>
        <xdr:cNvGrpSpPr/>
      </xdr:nvGrpSpPr>
      <xdr:grpSpPr>
        <a:xfrm>
          <a:off x="4248559" y="56905261"/>
          <a:ext cx="1022466" cy="503802"/>
          <a:chOff x="4263571" y="7214893"/>
          <a:chExt cx="1027505" cy="506825"/>
        </a:xfrm>
      </xdr:grpSpPr>
      <xdr:sp macro="" textlink="">
        <xdr:nvSpPr>
          <xdr:cNvPr id="84" name="フローチャート: 他ページ結合子 83">
            <a:extLst>
              <a:ext uri="{FF2B5EF4-FFF2-40B4-BE49-F238E27FC236}">
                <a16:creationId xmlns:a16="http://schemas.microsoft.com/office/drawing/2014/main" id="{B131A4CB-D6C3-46D6-AFC0-A57FDC8C86D0}"/>
              </a:ext>
            </a:extLst>
          </xdr:cNvPr>
          <xdr:cNvSpPr/>
        </xdr:nvSpPr>
        <xdr:spPr>
          <a:xfrm>
            <a:off x="4264264" y="7214893"/>
            <a:ext cx="1026812" cy="506825"/>
          </a:xfrm>
          <a:prstGeom prst="flowChartOffpageConnector">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endParaRPr lang="ja-JP" altLang="ja-JP" sz="900">
              <a:solidFill>
                <a:schemeClr val="tx1"/>
              </a:solidFill>
              <a:effectLst/>
              <a:latin typeface="Meiryo UI" panose="020B0604030504040204" pitchFamily="50" charset="-128"/>
              <a:ea typeface="Meiryo UI" panose="020B0604030504040204" pitchFamily="50" charset="-128"/>
            </a:endParaRPr>
          </a:p>
        </xdr:txBody>
      </xdr:sp>
      <xdr:sp macro="" textlink="">
        <xdr:nvSpPr>
          <xdr:cNvPr id="85" name="テキスト ボックス 84">
            <a:extLst>
              <a:ext uri="{FF2B5EF4-FFF2-40B4-BE49-F238E27FC236}">
                <a16:creationId xmlns:a16="http://schemas.microsoft.com/office/drawing/2014/main" id="{30975A29-82CF-4FF4-8204-D9B8A13104CF}"/>
              </a:ext>
            </a:extLst>
          </xdr:cNvPr>
          <xdr:cNvSpPr txBox="1"/>
        </xdr:nvSpPr>
        <xdr:spPr>
          <a:xfrm>
            <a:off x="4263571" y="7231944"/>
            <a:ext cx="1023056" cy="360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latin typeface="Meiryo UI" panose="020B0604030504040204" pitchFamily="50" charset="-128"/>
                <a:ea typeface="Meiryo UI" panose="020B0604030504040204" pitchFamily="50" charset="-128"/>
              </a:rPr>
              <a:t>[</a:t>
            </a:r>
            <a:r>
              <a:rPr kumimoji="1" lang="ja-JP" altLang="en-US" sz="1000">
                <a:latin typeface="Meiryo UI" panose="020B0604030504040204" pitchFamily="50" charset="-128"/>
                <a:ea typeface="Meiryo UI" panose="020B0604030504040204" pitchFamily="50" charset="-128"/>
              </a:rPr>
              <a:t>参照</a:t>
            </a:r>
            <a:r>
              <a:rPr kumimoji="1" lang="en-US" altLang="ja-JP" sz="1000">
                <a:latin typeface="Meiryo UI" panose="020B0604030504040204" pitchFamily="50" charset="-128"/>
                <a:ea typeface="Meiryo UI" panose="020B0604030504040204" pitchFamily="50" charset="-128"/>
              </a:rPr>
              <a:t>]</a:t>
            </a:r>
            <a:endParaRPr kumimoji="1" lang="ja-JP" altLang="en-US" sz="1000">
              <a:latin typeface="Meiryo UI" panose="020B0604030504040204" pitchFamily="50" charset="-128"/>
              <a:ea typeface="Meiryo UI" panose="020B0604030504040204" pitchFamily="50" charset="-128"/>
            </a:endParaRPr>
          </a:p>
        </xdr:txBody>
      </xdr:sp>
    </xdr:grpSp>
    <xdr:clientData/>
  </xdr:twoCellAnchor>
  <xdr:twoCellAnchor>
    <xdr:from>
      <xdr:col>13</xdr:col>
      <xdr:colOff>5772</xdr:colOff>
      <xdr:row>298</xdr:row>
      <xdr:rowOff>40318</xdr:rowOff>
    </xdr:from>
    <xdr:to>
      <xdr:col>16</xdr:col>
      <xdr:colOff>104507</xdr:colOff>
      <xdr:row>301</xdr:row>
      <xdr:rowOff>151192</xdr:rowOff>
    </xdr:to>
    <xdr:grpSp>
      <xdr:nvGrpSpPr>
        <xdr:cNvPr id="86" name="グループ化 85">
          <a:extLst>
            <a:ext uri="{FF2B5EF4-FFF2-40B4-BE49-F238E27FC236}">
              <a16:creationId xmlns:a16="http://schemas.microsoft.com/office/drawing/2014/main" id="{A69027DD-1DA3-443E-97EB-F9E32EA312B5}"/>
            </a:ext>
          </a:extLst>
        </xdr:cNvPr>
        <xdr:cNvGrpSpPr/>
      </xdr:nvGrpSpPr>
      <xdr:grpSpPr>
        <a:xfrm>
          <a:off x="2482272" y="56809318"/>
          <a:ext cx="670235" cy="682374"/>
          <a:chOff x="2516860" y="7126111"/>
          <a:chExt cx="673259" cy="685397"/>
        </a:xfrm>
      </xdr:grpSpPr>
      <xdr:sp macro="" textlink="">
        <xdr:nvSpPr>
          <xdr:cNvPr id="87" name="フローチャート: 結合子 86">
            <a:extLst>
              <a:ext uri="{FF2B5EF4-FFF2-40B4-BE49-F238E27FC236}">
                <a16:creationId xmlns:a16="http://schemas.microsoft.com/office/drawing/2014/main" id="{9FC354E9-F774-428F-AC64-A8D889E6B898}"/>
              </a:ext>
            </a:extLst>
          </xdr:cNvPr>
          <xdr:cNvSpPr>
            <a:spLocks noChangeAspect="1"/>
          </xdr:cNvSpPr>
        </xdr:nvSpPr>
        <xdr:spPr>
          <a:xfrm>
            <a:off x="2516860" y="7132101"/>
            <a:ext cx="672410" cy="672409"/>
          </a:xfrm>
          <a:prstGeom prst="flowChartConnector">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rIns="36000" rtlCol="0" anchor="ctr" anchorCtr="1"/>
          <a:lstStyle/>
          <a:p>
            <a:pPr algn="ctr"/>
            <a:endParaRPr kumimoji="1" lang="en-US" altLang="ja-JP" sz="1000">
              <a:solidFill>
                <a:schemeClr val="tx1"/>
              </a:solidFill>
              <a:latin typeface="Meiryo UI" panose="020B0604030504040204" pitchFamily="50" charset="-128"/>
              <a:ea typeface="Meiryo UI" panose="020B0604030504040204" pitchFamily="50" charset="-128"/>
            </a:endParaRPr>
          </a:p>
        </xdr:txBody>
      </xdr:sp>
      <xdr:sp macro="" textlink="">
        <xdr:nvSpPr>
          <xdr:cNvPr id="88" name="テキスト ボックス 87">
            <a:extLst>
              <a:ext uri="{FF2B5EF4-FFF2-40B4-BE49-F238E27FC236}">
                <a16:creationId xmlns:a16="http://schemas.microsoft.com/office/drawing/2014/main" id="{34363D54-9E45-4731-B8A0-D3DD01765B53}"/>
              </a:ext>
            </a:extLst>
          </xdr:cNvPr>
          <xdr:cNvSpPr txBox="1"/>
        </xdr:nvSpPr>
        <xdr:spPr>
          <a:xfrm>
            <a:off x="2524881" y="7126111"/>
            <a:ext cx="665238" cy="6853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latin typeface="Meiryo UI" panose="020B0604030504040204" pitchFamily="50" charset="-128"/>
                <a:ea typeface="Meiryo UI" panose="020B0604030504040204" pitchFamily="50" charset="-128"/>
              </a:rPr>
              <a:t>[</a:t>
            </a:r>
            <a:r>
              <a:rPr kumimoji="1" lang="ja-JP" altLang="en-US" sz="1000">
                <a:latin typeface="Meiryo UI" panose="020B0604030504040204" pitchFamily="50" charset="-128"/>
                <a:ea typeface="Meiryo UI" panose="020B0604030504040204" pitchFamily="50" charset="-128"/>
              </a:rPr>
              <a:t>参照</a:t>
            </a:r>
            <a:r>
              <a:rPr kumimoji="1" lang="en-US" altLang="ja-JP" sz="1000">
                <a:latin typeface="Meiryo UI" panose="020B0604030504040204" pitchFamily="50" charset="-128"/>
                <a:ea typeface="Meiryo UI" panose="020B0604030504040204" pitchFamily="50" charset="-128"/>
              </a:rPr>
              <a:t>]</a:t>
            </a:r>
            <a:endParaRPr kumimoji="1" lang="ja-JP" altLang="en-US" sz="1000">
              <a:latin typeface="Meiryo UI" panose="020B0604030504040204" pitchFamily="50" charset="-128"/>
              <a:ea typeface="Meiryo UI" panose="020B0604030504040204" pitchFamily="50" charset="-128"/>
            </a:endParaRPr>
          </a:p>
        </xdr:txBody>
      </xdr:sp>
    </xdr:grpSp>
    <xdr:clientData/>
  </xdr:twoCellAnchor>
  <xdr:twoCellAnchor>
    <xdr:from>
      <xdr:col>0</xdr:col>
      <xdr:colOff>159561</xdr:colOff>
      <xdr:row>298</xdr:row>
      <xdr:rowOff>154798</xdr:rowOff>
    </xdr:from>
    <xdr:to>
      <xdr:col>9</xdr:col>
      <xdr:colOff>45261</xdr:colOff>
      <xdr:row>301</xdr:row>
      <xdr:rowOff>59548</xdr:rowOff>
    </xdr:to>
    <xdr:grpSp>
      <xdr:nvGrpSpPr>
        <xdr:cNvPr id="89" name="グループ化 88">
          <a:extLst>
            <a:ext uri="{FF2B5EF4-FFF2-40B4-BE49-F238E27FC236}">
              <a16:creationId xmlns:a16="http://schemas.microsoft.com/office/drawing/2014/main" id="{DD05DF0A-EE77-4B78-B557-132D1B746BC8}"/>
            </a:ext>
          </a:extLst>
        </xdr:cNvPr>
        <xdr:cNvGrpSpPr/>
      </xdr:nvGrpSpPr>
      <xdr:grpSpPr>
        <a:xfrm>
          <a:off x="159561" y="56923798"/>
          <a:ext cx="1600200" cy="476250"/>
          <a:chOff x="152400" y="7233431"/>
          <a:chExt cx="1609271" cy="479273"/>
        </a:xfrm>
      </xdr:grpSpPr>
      <xdr:sp macro="" textlink="">
        <xdr:nvSpPr>
          <xdr:cNvPr id="90" name="フローチャート: データ 89">
            <a:extLst>
              <a:ext uri="{FF2B5EF4-FFF2-40B4-BE49-F238E27FC236}">
                <a16:creationId xmlns:a16="http://schemas.microsoft.com/office/drawing/2014/main" id="{59AD1333-4847-42DE-8D55-C12EA1A3763B}"/>
              </a:ext>
            </a:extLst>
          </xdr:cNvPr>
          <xdr:cNvSpPr/>
        </xdr:nvSpPr>
        <xdr:spPr>
          <a:xfrm>
            <a:off x="152400" y="7233431"/>
            <a:ext cx="1609271" cy="479273"/>
          </a:xfrm>
          <a:prstGeom prst="flowChartInputOutpu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1000">
              <a:solidFill>
                <a:schemeClr val="tx1"/>
              </a:solidFill>
              <a:latin typeface="Meiryo UI" panose="020B0604030504040204" pitchFamily="50" charset="-128"/>
              <a:ea typeface="Meiryo UI" panose="020B0604030504040204" pitchFamily="50" charset="-128"/>
            </a:endParaRPr>
          </a:p>
        </xdr:txBody>
      </xdr:sp>
      <xdr:sp macro="" textlink="">
        <xdr:nvSpPr>
          <xdr:cNvPr id="91" name="テキスト ボックス 90">
            <a:extLst>
              <a:ext uri="{FF2B5EF4-FFF2-40B4-BE49-F238E27FC236}">
                <a16:creationId xmlns:a16="http://schemas.microsoft.com/office/drawing/2014/main" id="{6A9BB429-110B-4699-B15A-04AA40615226}"/>
              </a:ext>
            </a:extLst>
          </xdr:cNvPr>
          <xdr:cNvSpPr txBox="1"/>
        </xdr:nvSpPr>
        <xdr:spPr>
          <a:xfrm>
            <a:off x="468689" y="7236985"/>
            <a:ext cx="972660" cy="463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latin typeface="Meiryo UI" panose="020B0604030504040204" pitchFamily="50" charset="-128"/>
                <a:ea typeface="Meiryo UI" panose="020B0604030504040204" pitchFamily="50" charset="-128"/>
              </a:rPr>
              <a:t>[</a:t>
            </a:r>
            <a:r>
              <a:rPr kumimoji="1" lang="ja-JP" altLang="en-US" sz="1000">
                <a:latin typeface="Meiryo UI" panose="020B0604030504040204" pitchFamily="50" charset="-128"/>
                <a:ea typeface="Meiryo UI" panose="020B0604030504040204" pitchFamily="50" charset="-128"/>
              </a:rPr>
              <a:t>入出力内容</a:t>
            </a:r>
            <a:r>
              <a:rPr kumimoji="1" lang="en-US" altLang="ja-JP" sz="1000">
                <a:latin typeface="Meiryo UI" panose="020B0604030504040204" pitchFamily="50" charset="-128"/>
                <a:ea typeface="Meiryo UI" panose="020B0604030504040204" pitchFamily="50" charset="-128"/>
              </a:rPr>
              <a:t>]</a:t>
            </a:r>
            <a:endParaRPr kumimoji="1" lang="ja-JP" altLang="en-US" sz="1000">
              <a:latin typeface="Meiryo UI" panose="020B0604030504040204" pitchFamily="50" charset="-128"/>
              <a:ea typeface="Meiryo UI" panose="020B0604030504040204" pitchFamily="50" charset="-128"/>
            </a:endParaRPr>
          </a:p>
        </xdr:txBody>
      </xdr:sp>
    </xdr:grpSp>
    <xdr:clientData/>
  </xdr:twoCellAnchor>
  <xdr:twoCellAnchor>
    <xdr:from>
      <xdr:col>32</xdr:col>
      <xdr:colOff>123825</xdr:colOff>
      <xdr:row>300</xdr:row>
      <xdr:rowOff>9525</xdr:rowOff>
    </xdr:from>
    <xdr:to>
      <xdr:col>36</xdr:col>
      <xdr:colOff>85725</xdr:colOff>
      <xdr:row>300</xdr:row>
      <xdr:rowOff>10386</xdr:rowOff>
    </xdr:to>
    <xdr:cxnSp macro="">
      <xdr:nvCxnSpPr>
        <xdr:cNvPr id="92" name="直線矢印コネクタ 91">
          <a:extLst>
            <a:ext uri="{FF2B5EF4-FFF2-40B4-BE49-F238E27FC236}">
              <a16:creationId xmlns:a16="http://schemas.microsoft.com/office/drawing/2014/main" id="{099A5149-1AC9-4457-A1F7-E82056D94192}"/>
            </a:ext>
          </a:extLst>
        </xdr:cNvPr>
        <xdr:cNvCxnSpPr>
          <a:cxnSpLocks/>
        </xdr:cNvCxnSpPr>
      </xdr:nvCxnSpPr>
      <xdr:spPr>
        <a:xfrm>
          <a:off x="6219825" y="6867525"/>
          <a:ext cx="723900" cy="861"/>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5</xdr:col>
      <xdr:colOff>76200</xdr:colOff>
      <xdr:row>8</xdr:row>
      <xdr:rowOff>34925</xdr:rowOff>
    </xdr:from>
    <xdr:to>
      <xdr:col>11</xdr:col>
      <xdr:colOff>58157</xdr:colOff>
      <xdr:row>10</xdr:row>
      <xdr:rowOff>25400</xdr:rowOff>
    </xdr:to>
    <xdr:grpSp>
      <xdr:nvGrpSpPr>
        <xdr:cNvPr id="3" name="グループ化 2">
          <a:extLst>
            <a:ext uri="{FF2B5EF4-FFF2-40B4-BE49-F238E27FC236}">
              <a16:creationId xmlns:a16="http://schemas.microsoft.com/office/drawing/2014/main" id="{D2C759CA-1F45-4834-A6B5-8880CF54682E}"/>
            </a:ext>
          </a:extLst>
        </xdr:cNvPr>
        <xdr:cNvGrpSpPr/>
      </xdr:nvGrpSpPr>
      <xdr:grpSpPr>
        <a:xfrm>
          <a:off x="1028700" y="1558925"/>
          <a:ext cx="1124957" cy="371475"/>
          <a:chOff x="381000" y="6477000"/>
          <a:chExt cx="1123950" cy="371475"/>
        </a:xfrm>
      </xdr:grpSpPr>
      <xdr:sp macro="" textlink="">
        <xdr:nvSpPr>
          <xdr:cNvPr id="4" name="四角形: 角を丸くする 3">
            <a:extLst>
              <a:ext uri="{FF2B5EF4-FFF2-40B4-BE49-F238E27FC236}">
                <a16:creationId xmlns:a16="http://schemas.microsoft.com/office/drawing/2014/main" id="{670846C1-66EF-8A85-DCCF-E26A6615423C}"/>
              </a:ext>
            </a:extLst>
          </xdr:cNvPr>
          <xdr:cNvSpPr/>
        </xdr:nvSpPr>
        <xdr:spPr>
          <a:xfrm>
            <a:off x="381000" y="6477000"/>
            <a:ext cx="1123950" cy="371475"/>
          </a:xfrm>
          <a:prstGeom prst="roundRect">
            <a:avLst>
              <a:gd name="adj" fmla="val 50000"/>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en-US" altLang="ja-JP" sz="1000">
              <a:solidFill>
                <a:schemeClr val="tx1"/>
              </a:solidFill>
              <a:latin typeface="Meiryo UI" panose="020B0604030504040204" pitchFamily="50" charset="-128"/>
              <a:ea typeface="Meiryo UI" panose="020B0604030504040204" pitchFamily="50" charset="-128"/>
            </a:endParaRPr>
          </a:p>
        </xdr:txBody>
      </xdr:sp>
      <xdr:sp macro="" textlink="">
        <xdr:nvSpPr>
          <xdr:cNvPr id="5" name="テキスト ボックス 4">
            <a:extLst>
              <a:ext uri="{FF2B5EF4-FFF2-40B4-BE49-F238E27FC236}">
                <a16:creationId xmlns:a16="http://schemas.microsoft.com/office/drawing/2014/main" id="{63F0FAA5-15C4-BE3E-3463-68C78B18377A}"/>
              </a:ext>
            </a:extLst>
          </xdr:cNvPr>
          <xdr:cNvSpPr txBox="1"/>
        </xdr:nvSpPr>
        <xdr:spPr>
          <a:xfrm>
            <a:off x="533400" y="6486525"/>
            <a:ext cx="828675"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000">
                <a:latin typeface="Meiryo UI" panose="020B0604030504040204" pitchFamily="50" charset="-128"/>
                <a:ea typeface="Meiryo UI" panose="020B0604030504040204" pitchFamily="50" charset="-128"/>
              </a:rPr>
              <a:t>開始</a:t>
            </a:r>
          </a:p>
        </xdr:txBody>
      </xdr:sp>
    </xdr:grpSp>
    <xdr:clientData/>
  </xdr:twoCellAnchor>
  <xdr:twoCellAnchor>
    <xdr:from>
      <xdr:col>5</xdr:col>
      <xdr:colOff>15875</xdr:colOff>
      <xdr:row>12</xdr:row>
      <xdr:rowOff>28575</xdr:rowOff>
    </xdr:from>
    <xdr:to>
      <xdr:col>11</xdr:col>
      <xdr:colOff>111575</xdr:colOff>
      <xdr:row>14</xdr:row>
      <xdr:rowOff>59448</xdr:rowOff>
    </xdr:to>
    <xdr:grpSp>
      <xdr:nvGrpSpPr>
        <xdr:cNvPr id="6" name="グループ化 5">
          <a:extLst>
            <a:ext uri="{FF2B5EF4-FFF2-40B4-BE49-F238E27FC236}">
              <a16:creationId xmlns:a16="http://schemas.microsoft.com/office/drawing/2014/main" id="{C3FFBE14-7C5A-4893-899A-7B73BAD8A73F}"/>
            </a:ext>
          </a:extLst>
        </xdr:cNvPr>
        <xdr:cNvGrpSpPr/>
      </xdr:nvGrpSpPr>
      <xdr:grpSpPr>
        <a:xfrm>
          <a:off x="968375" y="2314575"/>
          <a:ext cx="1238700" cy="411873"/>
          <a:chOff x="4133004" y="6457948"/>
          <a:chExt cx="1238700" cy="405523"/>
        </a:xfrm>
      </xdr:grpSpPr>
      <xdr:sp macro="" textlink="">
        <xdr:nvSpPr>
          <xdr:cNvPr id="7" name="正方形/長方形 6">
            <a:extLst>
              <a:ext uri="{FF2B5EF4-FFF2-40B4-BE49-F238E27FC236}">
                <a16:creationId xmlns:a16="http://schemas.microsoft.com/office/drawing/2014/main" id="{3A3FD018-4B60-7F79-A88E-578204BAE908}"/>
              </a:ext>
            </a:extLst>
          </xdr:cNvPr>
          <xdr:cNvSpPr/>
        </xdr:nvSpPr>
        <xdr:spPr>
          <a:xfrm>
            <a:off x="4133004" y="6457948"/>
            <a:ext cx="1238700" cy="405523"/>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1000">
              <a:solidFill>
                <a:schemeClr val="tx1"/>
              </a:solidFill>
              <a:latin typeface="Meiryo UI" panose="020B0604030504040204" pitchFamily="50" charset="-128"/>
              <a:ea typeface="Meiryo UI" panose="020B0604030504040204" pitchFamily="50" charset="-128"/>
            </a:endParaRPr>
          </a:p>
        </xdr:txBody>
      </xdr:sp>
      <xdr:sp macro="" textlink="">
        <xdr:nvSpPr>
          <xdr:cNvPr id="8" name="テキスト ボックス 7">
            <a:extLst>
              <a:ext uri="{FF2B5EF4-FFF2-40B4-BE49-F238E27FC236}">
                <a16:creationId xmlns:a16="http://schemas.microsoft.com/office/drawing/2014/main" id="{B20D0FCD-AC57-5551-EDD5-66FAED9F0210}"/>
              </a:ext>
            </a:extLst>
          </xdr:cNvPr>
          <xdr:cNvSpPr txBox="1"/>
        </xdr:nvSpPr>
        <xdr:spPr>
          <a:xfrm>
            <a:off x="4145757" y="6465095"/>
            <a:ext cx="1216818" cy="3857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700">
                <a:latin typeface="Meiryo UI" panose="020B0604030504040204" pitchFamily="50" charset="-128"/>
                <a:ea typeface="Meiryo UI" panose="020B0604030504040204" pitchFamily="50" charset="-128"/>
              </a:rPr>
              <a:t>共通処理必要情報の取得</a:t>
            </a:r>
          </a:p>
        </xdr:txBody>
      </xdr:sp>
    </xdr:grpSp>
    <xdr:clientData/>
  </xdr:twoCellAnchor>
  <xdr:twoCellAnchor>
    <xdr:from>
      <xdr:col>8</xdr:col>
      <xdr:colOff>65537</xdr:colOff>
      <xdr:row>10</xdr:row>
      <xdr:rowOff>28575</xdr:rowOff>
    </xdr:from>
    <xdr:to>
      <xdr:col>8</xdr:col>
      <xdr:colOff>67179</xdr:colOff>
      <xdr:row>12</xdr:row>
      <xdr:rowOff>35834</xdr:rowOff>
    </xdr:to>
    <xdr:cxnSp macro="">
      <xdr:nvCxnSpPr>
        <xdr:cNvPr id="9" name="直線矢印コネクタ 8">
          <a:extLst>
            <a:ext uri="{FF2B5EF4-FFF2-40B4-BE49-F238E27FC236}">
              <a16:creationId xmlns:a16="http://schemas.microsoft.com/office/drawing/2014/main" id="{6844EB5A-374C-425B-8083-E48623925126}"/>
            </a:ext>
          </a:extLst>
        </xdr:cNvPr>
        <xdr:cNvCxnSpPr>
          <a:cxnSpLocks/>
          <a:stCxn id="4" idx="2"/>
          <a:endCxn id="8" idx="0"/>
        </xdr:cNvCxnSpPr>
      </xdr:nvCxnSpPr>
      <xdr:spPr>
        <a:xfrm flipH="1">
          <a:off x="1589537" y="1933575"/>
          <a:ext cx="1642" cy="388259"/>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158750</xdr:colOff>
      <xdr:row>16</xdr:row>
      <xdr:rowOff>101600</xdr:rowOff>
    </xdr:from>
    <xdr:to>
      <xdr:col>11</xdr:col>
      <xdr:colOff>173869</xdr:colOff>
      <xdr:row>19</xdr:row>
      <xdr:rowOff>111679</xdr:rowOff>
    </xdr:to>
    <xdr:grpSp>
      <xdr:nvGrpSpPr>
        <xdr:cNvPr id="12" name="グループ化 11">
          <a:extLst>
            <a:ext uri="{FF2B5EF4-FFF2-40B4-BE49-F238E27FC236}">
              <a16:creationId xmlns:a16="http://schemas.microsoft.com/office/drawing/2014/main" id="{171BBBCF-8A3C-41A6-81FD-2A3A8EBD1128}"/>
            </a:ext>
          </a:extLst>
        </xdr:cNvPr>
        <xdr:cNvGrpSpPr/>
      </xdr:nvGrpSpPr>
      <xdr:grpSpPr>
        <a:xfrm>
          <a:off x="920750" y="3149600"/>
          <a:ext cx="1348619" cy="581579"/>
          <a:chOff x="6017381" y="6405437"/>
          <a:chExt cx="1355675" cy="584603"/>
        </a:xfrm>
      </xdr:grpSpPr>
      <xdr:sp macro="" textlink="">
        <xdr:nvSpPr>
          <xdr:cNvPr id="13" name="ひし形 12">
            <a:extLst>
              <a:ext uri="{FF2B5EF4-FFF2-40B4-BE49-F238E27FC236}">
                <a16:creationId xmlns:a16="http://schemas.microsoft.com/office/drawing/2014/main" id="{1CF1DB4A-0EDE-CBEB-D173-DA00D5053425}"/>
              </a:ext>
            </a:extLst>
          </xdr:cNvPr>
          <xdr:cNvSpPr/>
        </xdr:nvSpPr>
        <xdr:spPr>
          <a:xfrm>
            <a:off x="6028662" y="6407868"/>
            <a:ext cx="1337699" cy="579287"/>
          </a:xfrm>
          <a:prstGeom prst="diamond">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en-US" altLang="ja-JP" sz="1000">
              <a:solidFill>
                <a:schemeClr val="tx1"/>
              </a:solidFill>
              <a:latin typeface="Meiryo UI" panose="020B0604030504040204" pitchFamily="50" charset="-128"/>
              <a:ea typeface="Meiryo UI" panose="020B0604030504040204" pitchFamily="50" charset="-128"/>
            </a:endParaRPr>
          </a:p>
        </xdr:txBody>
      </xdr:sp>
      <xdr:sp macro="" textlink="">
        <xdr:nvSpPr>
          <xdr:cNvPr id="14" name="テキスト ボックス 13">
            <a:extLst>
              <a:ext uri="{FF2B5EF4-FFF2-40B4-BE49-F238E27FC236}">
                <a16:creationId xmlns:a16="http://schemas.microsoft.com/office/drawing/2014/main" id="{D14E6785-1CDB-BEFD-576C-7A2B2C137C78}"/>
              </a:ext>
            </a:extLst>
          </xdr:cNvPr>
          <xdr:cNvSpPr txBox="1"/>
        </xdr:nvSpPr>
        <xdr:spPr>
          <a:xfrm>
            <a:off x="6017381" y="6405437"/>
            <a:ext cx="1355675" cy="5846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700">
                <a:latin typeface="Meiryo UI" panose="020B0604030504040204" pitchFamily="50" charset="-128"/>
                <a:ea typeface="Meiryo UI" panose="020B0604030504040204" pitchFamily="50" charset="-128"/>
              </a:rPr>
              <a:t>対象データが存在するか</a:t>
            </a:r>
          </a:p>
        </xdr:txBody>
      </xdr:sp>
    </xdr:grpSp>
    <xdr:clientData/>
  </xdr:twoCellAnchor>
  <xdr:twoCellAnchor>
    <xdr:from>
      <xdr:col>8</xdr:col>
      <xdr:colOff>65537</xdr:colOff>
      <xdr:row>14</xdr:row>
      <xdr:rowOff>46538</xdr:rowOff>
    </xdr:from>
    <xdr:to>
      <xdr:col>8</xdr:col>
      <xdr:colOff>71060</xdr:colOff>
      <xdr:row>16</xdr:row>
      <xdr:rowOff>101600</xdr:rowOff>
    </xdr:to>
    <xdr:cxnSp macro="">
      <xdr:nvCxnSpPr>
        <xdr:cNvPr id="15" name="直線矢印コネクタ 14">
          <a:extLst>
            <a:ext uri="{FF2B5EF4-FFF2-40B4-BE49-F238E27FC236}">
              <a16:creationId xmlns:a16="http://schemas.microsoft.com/office/drawing/2014/main" id="{3D9A8743-3070-4D20-A8DC-4C5D98DA8A48}"/>
            </a:ext>
          </a:extLst>
        </xdr:cNvPr>
        <xdr:cNvCxnSpPr>
          <a:cxnSpLocks/>
          <a:stCxn id="8" idx="2"/>
          <a:endCxn id="14" idx="0"/>
        </xdr:cNvCxnSpPr>
      </xdr:nvCxnSpPr>
      <xdr:spPr>
        <a:xfrm>
          <a:off x="1589537" y="2713538"/>
          <a:ext cx="5523" cy="436062"/>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11</xdr:col>
      <xdr:colOff>173869</xdr:colOff>
      <xdr:row>18</xdr:row>
      <xdr:rowOff>12977</xdr:rowOff>
    </xdr:from>
    <xdr:to>
      <xdr:col>49</xdr:col>
      <xdr:colOff>87202</xdr:colOff>
      <xdr:row>81</xdr:row>
      <xdr:rowOff>175609</xdr:rowOff>
    </xdr:to>
    <xdr:cxnSp macro="">
      <xdr:nvCxnSpPr>
        <xdr:cNvPr id="18" name="コネクタ: カギ線 17">
          <a:extLst>
            <a:ext uri="{FF2B5EF4-FFF2-40B4-BE49-F238E27FC236}">
              <a16:creationId xmlns:a16="http://schemas.microsoft.com/office/drawing/2014/main" id="{C6673DD2-71AC-4E29-9062-A1F7C3805A18}"/>
            </a:ext>
          </a:extLst>
        </xdr:cNvPr>
        <xdr:cNvCxnSpPr>
          <a:cxnSpLocks/>
          <a:stCxn id="14" idx="3"/>
          <a:endCxn id="42" idx="0"/>
        </xdr:cNvCxnSpPr>
      </xdr:nvCxnSpPr>
      <xdr:spPr>
        <a:xfrm>
          <a:off x="2269369" y="3441977"/>
          <a:ext cx="7152333" cy="12545132"/>
        </a:xfrm>
        <a:prstGeom prst="bentConnector2">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19050</xdr:colOff>
      <xdr:row>22</xdr:row>
      <xdr:rowOff>9525</xdr:rowOff>
    </xdr:from>
    <xdr:to>
      <xdr:col>11</xdr:col>
      <xdr:colOff>114750</xdr:colOff>
      <xdr:row>24</xdr:row>
      <xdr:rowOff>37223</xdr:rowOff>
    </xdr:to>
    <xdr:grpSp>
      <xdr:nvGrpSpPr>
        <xdr:cNvPr id="21" name="グループ化 20">
          <a:extLst>
            <a:ext uri="{FF2B5EF4-FFF2-40B4-BE49-F238E27FC236}">
              <a16:creationId xmlns:a16="http://schemas.microsoft.com/office/drawing/2014/main" id="{7B27CEC3-43B3-429C-974A-B1ABE5B3DA4B}"/>
            </a:ext>
          </a:extLst>
        </xdr:cNvPr>
        <xdr:cNvGrpSpPr/>
      </xdr:nvGrpSpPr>
      <xdr:grpSpPr>
        <a:xfrm>
          <a:off x="971550" y="4200525"/>
          <a:ext cx="1238700" cy="408698"/>
          <a:chOff x="4133004" y="6457948"/>
          <a:chExt cx="1238700" cy="405523"/>
        </a:xfrm>
      </xdr:grpSpPr>
      <xdr:sp macro="" textlink="">
        <xdr:nvSpPr>
          <xdr:cNvPr id="22" name="正方形/長方形 21">
            <a:extLst>
              <a:ext uri="{FF2B5EF4-FFF2-40B4-BE49-F238E27FC236}">
                <a16:creationId xmlns:a16="http://schemas.microsoft.com/office/drawing/2014/main" id="{81B8B5DB-D303-4A6D-8652-8A7A73E59A90}"/>
              </a:ext>
            </a:extLst>
          </xdr:cNvPr>
          <xdr:cNvSpPr/>
        </xdr:nvSpPr>
        <xdr:spPr>
          <a:xfrm>
            <a:off x="4133004" y="6457948"/>
            <a:ext cx="1238700" cy="405523"/>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1000">
              <a:solidFill>
                <a:schemeClr val="tx1"/>
              </a:solidFill>
              <a:latin typeface="Meiryo UI" panose="020B0604030504040204" pitchFamily="50" charset="-128"/>
              <a:ea typeface="Meiryo UI" panose="020B0604030504040204" pitchFamily="50" charset="-128"/>
            </a:endParaRPr>
          </a:p>
        </xdr:txBody>
      </xdr:sp>
      <xdr:sp macro="" textlink="">
        <xdr:nvSpPr>
          <xdr:cNvPr id="23" name="テキスト ボックス 22">
            <a:extLst>
              <a:ext uri="{FF2B5EF4-FFF2-40B4-BE49-F238E27FC236}">
                <a16:creationId xmlns:a16="http://schemas.microsoft.com/office/drawing/2014/main" id="{754C070E-68AF-5171-07AC-E25842197DD7}"/>
              </a:ext>
            </a:extLst>
          </xdr:cNvPr>
          <xdr:cNvSpPr txBox="1"/>
        </xdr:nvSpPr>
        <xdr:spPr>
          <a:xfrm>
            <a:off x="4145757" y="6465095"/>
            <a:ext cx="1216818" cy="3857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700">
                <a:latin typeface="Meiryo UI" panose="020B0604030504040204" pitchFamily="50" charset="-128"/>
                <a:ea typeface="Meiryo UI" panose="020B0604030504040204" pitchFamily="50" charset="-128"/>
              </a:rPr>
              <a:t>Azure Files</a:t>
            </a:r>
            <a:r>
              <a:rPr kumimoji="1" lang="ja-JP" altLang="en-US" sz="700">
                <a:latin typeface="Meiryo UI" panose="020B0604030504040204" pitchFamily="50" charset="-128"/>
                <a:ea typeface="Meiryo UI" panose="020B0604030504040204" pitchFamily="50" charset="-128"/>
              </a:rPr>
              <a:t>認証</a:t>
            </a:r>
          </a:p>
        </xdr:txBody>
      </xdr:sp>
    </xdr:grpSp>
    <xdr:clientData/>
  </xdr:twoCellAnchor>
  <xdr:twoCellAnchor>
    <xdr:from>
      <xdr:col>8</xdr:col>
      <xdr:colOff>68712</xdr:colOff>
      <xdr:row>19</xdr:row>
      <xdr:rowOff>111679</xdr:rowOff>
    </xdr:from>
    <xdr:to>
      <xdr:col>8</xdr:col>
      <xdr:colOff>72647</xdr:colOff>
      <xdr:row>22</xdr:row>
      <xdr:rowOff>13609</xdr:rowOff>
    </xdr:to>
    <xdr:cxnSp macro="">
      <xdr:nvCxnSpPr>
        <xdr:cNvPr id="24" name="直線矢印コネクタ 23">
          <a:extLst>
            <a:ext uri="{FF2B5EF4-FFF2-40B4-BE49-F238E27FC236}">
              <a16:creationId xmlns:a16="http://schemas.microsoft.com/office/drawing/2014/main" id="{02F873EB-5CF2-4373-B8CB-8B69BFB9135D}"/>
            </a:ext>
          </a:extLst>
        </xdr:cNvPr>
        <xdr:cNvCxnSpPr>
          <a:cxnSpLocks/>
          <a:stCxn id="14" idx="2"/>
          <a:endCxn id="23" idx="0"/>
        </xdr:cNvCxnSpPr>
      </xdr:nvCxnSpPr>
      <xdr:spPr>
        <a:xfrm flipH="1">
          <a:off x="1592712" y="3731179"/>
          <a:ext cx="3935" cy="473430"/>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149225</xdr:colOff>
      <xdr:row>26</xdr:row>
      <xdr:rowOff>0</xdr:rowOff>
    </xdr:from>
    <xdr:to>
      <xdr:col>11</xdr:col>
      <xdr:colOff>164344</xdr:colOff>
      <xdr:row>29</xdr:row>
      <xdr:rowOff>10079</xdr:rowOff>
    </xdr:to>
    <xdr:grpSp>
      <xdr:nvGrpSpPr>
        <xdr:cNvPr id="27" name="グループ化 26">
          <a:extLst>
            <a:ext uri="{FF2B5EF4-FFF2-40B4-BE49-F238E27FC236}">
              <a16:creationId xmlns:a16="http://schemas.microsoft.com/office/drawing/2014/main" id="{7C9FF151-1B90-47AD-AE5E-25AC2F81DAAF}"/>
            </a:ext>
          </a:extLst>
        </xdr:cNvPr>
        <xdr:cNvGrpSpPr/>
      </xdr:nvGrpSpPr>
      <xdr:grpSpPr>
        <a:xfrm>
          <a:off x="911225" y="4953000"/>
          <a:ext cx="1348619" cy="581579"/>
          <a:chOff x="6017381" y="6405437"/>
          <a:chExt cx="1355675" cy="584603"/>
        </a:xfrm>
      </xdr:grpSpPr>
      <xdr:sp macro="" textlink="">
        <xdr:nvSpPr>
          <xdr:cNvPr id="28" name="ひし形 27">
            <a:extLst>
              <a:ext uri="{FF2B5EF4-FFF2-40B4-BE49-F238E27FC236}">
                <a16:creationId xmlns:a16="http://schemas.microsoft.com/office/drawing/2014/main" id="{2E69B6EC-B3A1-095E-44A4-3FE723411BEE}"/>
              </a:ext>
            </a:extLst>
          </xdr:cNvPr>
          <xdr:cNvSpPr/>
        </xdr:nvSpPr>
        <xdr:spPr>
          <a:xfrm>
            <a:off x="6028662" y="6407868"/>
            <a:ext cx="1337699" cy="579287"/>
          </a:xfrm>
          <a:prstGeom prst="diamond">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en-US" altLang="ja-JP" sz="1000">
              <a:solidFill>
                <a:schemeClr val="tx1"/>
              </a:solidFill>
              <a:latin typeface="Meiryo UI" panose="020B0604030504040204" pitchFamily="50" charset="-128"/>
              <a:ea typeface="Meiryo UI" panose="020B0604030504040204" pitchFamily="50" charset="-128"/>
            </a:endParaRPr>
          </a:p>
        </xdr:txBody>
      </xdr:sp>
      <xdr:sp macro="" textlink="">
        <xdr:nvSpPr>
          <xdr:cNvPr id="29" name="テキスト ボックス 28">
            <a:extLst>
              <a:ext uri="{FF2B5EF4-FFF2-40B4-BE49-F238E27FC236}">
                <a16:creationId xmlns:a16="http://schemas.microsoft.com/office/drawing/2014/main" id="{3EBA701F-6AE1-928A-5A9B-C40582294CBD}"/>
              </a:ext>
            </a:extLst>
          </xdr:cNvPr>
          <xdr:cNvSpPr txBox="1"/>
        </xdr:nvSpPr>
        <xdr:spPr>
          <a:xfrm>
            <a:off x="6017381" y="6405437"/>
            <a:ext cx="1355675" cy="5846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700">
                <a:latin typeface="Meiryo UI" panose="020B0604030504040204" pitchFamily="50" charset="-128"/>
                <a:ea typeface="Meiryo UI" panose="020B0604030504040204" pitchFamily="50" charset="-128"/>
              </a:rPr>
              <a:t>マウント済であるか</a:t>
            </a:r>
          </a:p>
        </xdr:txBody>
      </xdr:sp>
    </xdr:grpSp>
    <xdr:clientData/>
  </xdr:twoCellAnchor>
  <xdr:twoCellAnchor>
    <xdr:from>
      <xdr:col>8</xdr:col>
      <xdr:colOff>61535</xdr:colOff>
      <xdr:row>24</xdr:row>
      <xdr:rowOff>24412</xdr:rowOff>
    </xdr:from>
    <xdr:to>
      <xdr:col>8</xdr:col>
      <xdr:colOff>68712</xdr:colOff>
      <xdr:row>26</xdr:row>
      <xdr:rowOff>0</xdr:rowOff>
    </xdr:to>
    <xdr:cxnSp macro="">
      <xdr:nvCxnSpPr>
        <xdr:cNvPr id="30" name="直線矢印コネクタ 29">
          <a:extLst>
            <a:ext uri="{FF2B5EF4-FFF2-40B4-BE49-F238E27FC236}">
              <a16:creationId xmlns:a16="http://schemas.microsoft.com/office/drawing/2014/main" id="{C88DBD9D-C01A-4213-ABBA-34081B2F2D8E}"/>
            </a:ext>
          </a:extLst>
        </xdr:cNvPr>
        <xdr:cNvCxnSpPr>
          <a:cxnSpLocks/>
          <a:stCxn id="23" idx="2"/>
          <a:endCxn id="29" idx="0"/>
        </xdr:cNvCxnSpPr>
      </xdr:nvCxnSpPr>
      <xdr:spPr>
        <a:xfrm flipH="1">
          <a:off x="1585535" y="4596412"/>
          <a:ext cx="7177" cy="356588"/>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11</xdr:col>
      <xdr:colOff>161169</xdr:colOff>
      <xdr:row>27</xdr:row>
      <xdr:rowOff>98702</xdr:rowOff>
    </xdr:from>
    <xdr:to>
      <xdr:col>18</xdr:col>
      <xdr:colOff>164357</xdr:colOff>
      <xdr:row>28</xdr:row>
      <xdr:rowOff>168461</xdr:rowOff>
    </xdr:to>
    <xdr:cxnSp macro="">
      <xdr:nvCxnSpPr>
        <xdr:cNvPr id="33" name="コネクタ: カギ線 32">
          <a:extLst>
            <a:ext uri="{FF2B5EF4-FFF2-40B4-BE49-F238E27FC236}">
              <a16:creationId xmlns:a16="http://schemas.microsoft.com/office/drawing/2014/main" id="{9DFBB448-F603-4E98-B4D4-8891E5F0D148}"/>
            </a:ext>
          </a:extLst>
        </xdr:cNvPr>
        <xdr:cNvCxnSpPr>
          <a:cxnSpLocks/>
          <a:stCxn id="29" idx="3"/>
          <a:endCxn id="200" idx="0"/>
        </xdr:cNvCxnSpPr>
      </xdr:nvCxnSpPr>
      <xdr:spPr>
        <a:xfrm>
          <a:off x="2256669" y="5242202"/>
          <a:ext cx="1336688" cy="260259"/>
        </a:xfrm>
        <a:prstGeom prst="bentConnector2">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58440</xdr:colOff>
      <xdr:row>29</xdr:row>
      <xdr:rowOff>6904</xdr:rowOff>
    </xdr:from>
    <xdr:to>
      <xdr:col>8</xdr:col>
      <xdr:colOff>59947</xdr:colOff>
      <xdr:row>40</xdr:row>
      <xdr:rowOff>5876</xdr:rowOff>
    </xdr:to>
    <xdr:cxnSp macro="">
      <xdr:nvCxnSpPr>
        <xdr:cNvPr id="36" name="直線矢印コネクタ 35">
          <a:extLst>
            <a:ext uri="{FF2B5EF4-FFF2-40B4-BE49-F238E27FC236}">
              <a16:creationId xmlns:a16="http://schemas.microsoft.com/office/drawing/2014/main" id="{85966029-0668-4805-A9C7-6217B675ABC4}"/>
            </a:ext>
          </a:extLst>
        </xdr:cNvPr>
        <xdr:cNvCxnSpPr>
          <a:cxnSpLocks/>
          <a:stCxn id="29" idx="2"/>
          <a:endCxn id="215" idx="0"/>
        </xdr:cNvCxnSpPr>
      </xdr:nvCxnSpPr>
      <xdr:spPr>
        <a:xfrm flipH="1">
          <a:off x="1582440" y="5531404"/>
          <a:ext cx="1507" cy="2284972"/>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46</xdr:col>
      <xdr:colOff>37540</xdr:colOff>
      <xdr:row>81</xdr:row>
      <xdr:rowOff>168462</xdr:rowOff>
    </xdr:from>
    <xdr:to>
      <xdr:col>52</xdr:col>
      <xdr:colOff>133240</xdr:colOff>
      <xdr:row>84</xdr:row>
      <xdr:rowOff>2485</xdr:rowOff>
    </xdr:to>
    <xdr:grpSp>
      <xdr:nvGrpSpPr>
        <xdr:cNvPr id="40" name="グループ化 39">
          <a:extLst>
            <a:ext uri="{FF2B5EF4-FFF2-40B4-BE49-F238E27FC236}">
              <a16:creationId xmlns:a16="http://schemas.microsoft.com/office/drawing/2014/main" id="{34B0A7B9-8F3C-47C9-8987-CDD0CA71B79F}"/>
            </a:ext>
          </a:extLst>
        </xdr:cNvPr>
        <xdr:cNvGrpSpPr/>
      </xdr:nvGrpSpPr>
      <xdr:grpSpPr>
        <a:xfrm>
          <a:off x="8800540" y="15598962"/>
          <a:ext cx="1238700" cy="405523"/>
          <a:chOff x="4133004" y="6457948"/>
          <a:chExt cx="1238700" cy="405523"/>
        </a:xfrm>
      </xdr:grpSpPr>
      <xdr:sp macro="" textlink="">
        <xdr:nvSpPr>
          <xdr:cNvPr id="41" name="正方形/長方形 40">
            <a:extLst>
              <a:ext uri="{FF2B5EF4-FFF2-40B4-BE49-F238E27FC236}">
                <a16:creationId xmlns:a16="http://schemas.microsoft.com/office/drawing/2014/main" id="{E160C5AB-0FA8-F8BA-5F9E-78D075E392AD}"/>
              </a:ext>
            </a:extLst>
          </xdr:cNvPr>
          <xdr:cNvSpPr/>
        </xdr:nvSpPr>
        <xdr:spPr>
          <a:xfrm>
            <a:off x="4133004" y="6457948"/>
            <a:ext cx="1238700" cy="405523"/>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1000">
              <a:solidFill>
                <a:schemeClr val="tx1"/>
              </a:solidFill>
              <a:latin typeface="Meiryo UI" panose="020B0604030504040204" pitchFamily="50" charset="-128"/>
              <a:ea typeface="Meiryo UI" panose="020B0604030504040204" pitchFamily="50" charset="-128"/>
            </a:endParaRPr>
          </a:p>
        </xdr:txBody>
      </xdr:sp>
      <xdr:sp macro="" textlink="">
        <xdr:nvSpPr>
          <xdr:cNvPr id="42" name="テキスト ボックス 41">
            <a:extLst>
              <a:ext uri="{FF2B5EF4-FFF2-40B4-BE49-F238E27FC236}">
                <a16:creationId xmlns:a16="http://schemas.microsoft.com/office/drawing/2014/main" id="{75CFCB6D-ED0C-30EC-3CEF-4BC3D9FC6FC4}"/>
              </a:ext>
            </a:extLst>
          </xdr:cNvPr>
          <xdr:cNvSpPr txBox="1"/>
        </xdr:nvSpPr>
        <xdr:spPr>
          <a:xfrm>
            <a:off x="4145757" y="6465095"/>
            <a:ext cx="1216818" cy="3857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700">
                <a:latin typeface="Meiryo UI" panose="020B0604030504040204" pitchFamily="50" charset="-128"/>
                <a:ea typeface="Meiryo UI" panose="020B0604030504040204" pitchFamily="50" charset="-128"/>
              </a:rPr>
              <a:t>警告メッセージ出力</a:t>
            </a:r>
          </a:p>
        </xdr:txBody>
      </xdr:sp>
    </xdr:grpSp>
    <xdr:clientData/>
  </xdr:twoCellAnchor>
  <xdr:twoCellAnchor>
    <xdr:from>
      <xdr:col>11</xdr:col>
      <xdr:colOff>114300</xdr:colOff>
      <xdr:row>16</xdr:row>
      <xdr:rowOff>133350</xdr:rowOff>
    </xdr:from>
    <xdr:to>
      <xdr:col>14</xdr:col>
      <xdr:colOff>31633</xdr:colOff>
      <xdr:row>18</xdr:row>
      <xdr:rowOff>49766</xdr:rowOff>
    </xdr:to>
    <xdr:sp macro="" textlink="">
      <xdr:nvSpPr>
        <xdr:cNvPr id="44" name="正方形/長方形 43">
          <a:extLst>
            <a:ext uri="{FF2B5EF4-FFF2-40B4-BE49-F238E27FC236}">
              <a16:creationId xmlns:a16="http://schemas.microsoft.com/office/drawing/2014/main" id="{05F3C250-9BEF-4C26-AC27-F35860CF04EC}"/>
            </a:ext>
          </a:extLst>
        </xdr:cNvPr>
        <xdr:cNvSpPr/>
      </xdr:nvSpPr>
      <xdr:spPr>
        <a:xfrm>
          <a:off x="2209800" y="3181350"/>
          <a:ext cx="488833" cy="29741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900">
              <a:solidFill>
                <a:sysClr val="windowText" lastClr="000000"/>
              </a:solidFill>
              <a:latin typeface="Meiryo UI" panose="020B0604030504040204" pitchFamily="50" charset="-128"/>
              <a:ea typeface="Meiryo UI" panose="020B0604030504040204" pitchFamily="50" charset="-128"/>
            </a:rPr>
            <a:t>No</a:t>
          </a:r>
          <a:endParaRPr kumimoji="1" lang="ja-JP" altLang="en-US" sz="9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5</xdr:col>
      <xdr:colOff>161925</xdr:colOff>
      <xdr:row>19</xdr:row>
      <xdr:rowOff>47625</xdr:rowOff>
    </xdr:from>
    <xdr:to>
      <xdr:col>8</xdr:col>
      <xdr:colOff>79258</xdr:colOff>
      <xdr:row>20</xdr:row>
      <xdr:rowOff>154541</xdr:rowOff>
    </xdr:to>
    <xdr:sp macro="" textlink="">
      <xdr:nvSpPr>
        <xdr:cNvPr id="45" name="正方形/長方形 44">
          <a:extLst>
            <a:ext uri="{FF2B5EF4-FFF2-40B4-BE49-F238E27FC236}">
              <a16:creationId xmlns:a16="http://schemas.microsoft.com/office/drawing/2014/main" id="{A6A33DCB-7D74-478A-9C7B-67257615B40C}"/>
            </a:ext>
          </a:extLst>
        </xdr:cNvPr>
        <xdr:cNvSpPr/>
      </xdr:nvSpPr>
      <xdr:spPr>
        <a:xfrm>
          <a:off x="1114425" y="3667125"/>
          <a:ext cx="488833" cy="29741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900">
              <a:solidFill>
                <a:sysClr val="windowText" lastClr="000000"/>
              </a:solidFill>
              <a:latin typeface="Meiryo UI" panose="020B0604030504040204" pitchFamily="50" charset="-128"/>
              <a:ea typeface="Meiryo UI" panose="020B0604030504040204" pitchFamily="50" charset="-128"/>
            </a:rPr>
            <a:t>Yes</a:t>
          </a:r>
          <a:endParaRPr kumimoji="1" lang="ja-JP" altLang="en-US" sz="9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5</xdr:col>
      <xdr:colOff>111125</xdr:colOff>
      <xdr:row>28</xdr:row>
      <xdr:rowOff>101600</xdr:rowOff>
    </xdr:from>
    <xdr:to>
      <xdr:col>8</xdr:col>
      <xdr:colOff>31633</xdr:colOff>
      <xdr:row>30</xdr:row>
      <xdr:rowOff>21191</xdr:rowOff>
    </xdr:to>
    <xdr:sp macro="" textlink="">
      <xdr:nvSpPr>
        <xdr:cNvPr id="46" name="正方形/長方形 45">
          <a:extLst>
            <a:ext uri="{FF2B5EF4-FFF2-40B4-BE49-F238E27FC236}">
              <a16:creationId xmlns:a16="http://schemas.microsoft.com/office/drawing/2014/main" id="{122BFD99-2799-D855-00FB-ED390537F1C2}"/>
            </a:ext>
          </a:extLst>
        </xdr:cNvPr>
        <xdr:cNvSpPr/>
      </xdr:nvSpPr>
      <xdr:spPr>
        <a:xfrm>
          <a:off x="1063625" y="5435600"/>
          <a:ext cx="492008" cy="30059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900">
              <a:solidFill>
                <a:sysClr val="windowText" lastClr="000000"/>
              </a:solidFill>
              <a:latin typeface="Meiryo UI" panose="020B0604030504040204" pitchFamily="50" charset="-128"/>
              <a:ea typeface="Meiryo UI" panose="020B0604030504040204" pitchFamily="50" charset="-128"/>
            </a:rPr>
            <a:t>Yes</a:t>
          </a:r>
          <a:endParaRPr kumimoji="1" lang="ja-JP" altLang="en-US" sz="9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11</xdr:col>
      <xdr:colOff>161925</xdr:colOff>
      <xdr:row>25</xdr:row>
      <xdr:rowOff>152400</xdr:rowOff>
    </xdr:from>
    <xdr:to>
      <xdr:col>14</xdr:col>
      <xdr:colOff>76083</xdr:colOff>
      <xdr:row>27</xdr:row>
      <xdr:rowOff>65641</xdr:rowOff>
    </xdr:to>
    <xdr:sp macro="" textlink="">
      <xdr:nvSpPr>
        <xdr:cNvPr id="47" name="正方形/長方形 46">
          <a:extLst>
            <a:ext uri="{FF2B5EF4-FFF2-40B4-BE49-F238E27FC236}">
              <a16:creationId xmlns:a16="http://schemas.microsoft.com/office/drawing/2014/main" id="{62E2D402-6931-1291-B16A-586CE6A633DE}"/>
            </a:ext>
          </a:extLst>
        </xdr:cNvPr>
        <xdr:cNvSpPr/>
      </xdr:nvSpPr>
      <xdr:spPr>
        <a:xfrm>
          <a:off x="2257425" y="4914900"/>
          <a:ext cx="485658" cy="29424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900">
              <a:solidFill>
                <a:sysClr val="windowText" lastClr="000000"/>
              </a:solidFill>
              <a:latin typeface="Meiryo UI" panose="020B0604030504040204" pitchFamily="50" charset="-128"/>
              <a:ea typeface="Meiryo UI" panose="020B0604030504040204" pitchFamily="50" charset="-128"/>
            </a:rPr>
            <a:t>No</a:t>
          </a:r>
          <a:endParaRPr kumimoji="1" lang="ja-JP" altLang="en-US" sz="9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21</xdr:col>
      <xdr:colOff>172010</xdr:colOff>
      <xdr:row>34</xdr:row>
      <xdr:rowOff>149038</xdr:rowOff>
    </xdr:from>
    <xdr:to>
      <xdr:col>24</xdr:col>
      <xdr:colOff>89343</xdr:colOff>
      <xdr:row>36</xdr:row>
      <xdr:rowOff>65454</xdr:rowOff>
    </xdr:to>
    <xdr:sp macro="" textlink="">
      <xdr:nvSpPr>
        <xdr:cNvPr id="116" name="正方形/長方形 115">
          <a:extLst>
            <a:ext uri="{FF2B5EF4-FFF2-40B4-BE49-F238E27FC236}">
              <a16:creationId xmlns:a16="http://schemas.microsoft.com/office/drawing/2014/main" id="{86752EE3-B709-4106-8A7D-CD1A59AAC67A}"/>
            </a:ext>
          </a:extLst>
        </xdr:cNvPr>
        <xdr:cNvSpPr/>
      </xdr:nvSpPr>
      <xdr:spPr>
        <a:xfrm>
          <a:off x="4172510" y="6816538"/>
          <a:ext cx="488833" cy="29741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900">
              <a:solidFill>
                <a:sysClr val="windowText" lastClr="000000"/>
              </a:solidFill>
              <a:latin typeface="Meiryo UI" panose="020B0604030504040204" pitchFamily="50" charset="-128"/>
              <a:ea typeface="Meiryo UI" panose="020B0604030504040204" pitchFamily="50" charset="-128"/>
            </a:rPr>
            <a:t>No</a:t>
          </a:r>
          <a:endParaRPr kumimoji="1" lang="ja-JP" altLang="en-US" sz="9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3</xdr:col>
      <xdr:colOff>114300</xdr:colOff>
      <xdr:row>270</xdr:row>
      <xdr:rowOff>146796</xdr:rowOff>
    </xdr:from>
    <xdr:to>
      <xdr:col>10</xdr:col>
      <xdr:colOff>19500</xdr:colOff>
      <xdr:row>272</xdr:row>
      <xdr:rowOff>174494</xdr:rowOff>
    </xdr:to>
    <xdr:grpSp>
      <xdr:nvGrpSpPr>
        <xdr:cNvPr id="147" name="グループ化 146">
          <a:extLst>
            <a:ext uri="{FF2B5EF4-FFF2-40B4-BE49-F238E27FC236}">
              <a16:creationId xmlns:a16="http://schemas.microsoft.com/office/drawing/2014/main" id="{6BFB99B8-2DFA-4FB4-847B-F9224CB83220}"/>
            </a:ext>
          </a:extLst>
        </xdr:cNvPr>
        <xdr:cNvGrpSpPr/>
      </xdr:nvGrpSpPr>
      <xdr:grpSpPr>
        <a:xfrm>
          <a:off x="685800" y="51581796"/>
          <a:ext cx="1238700" cy="408698"/>
          <a:chOff x="4133004" y="6457948"/>
          <a:chExt cx="1238700" cy="405523"/>
        </a:xfrm>
      </xdr:grpSpPr>
      <xdr:sp macro="" textlink="">
        <xdr:nvSpPr>
          <xdr:cNvPr id="148" name="正方形/長方形 147">
            <a:extLst>
              <a:ext uri="{FF2B5EF4-FFF2-40B4-BE49-F238E27FC236}">
                <a16:creationId xmlns:a16="http://schemas.microsoft.com/office/drawing/2014/main" id="{2E1C1E78-C142-FEF6-5F46-AA0E9E5BE10C}"/>
              </a:ext>
            </a:extLst>
          </xdr:cNvPr>
          <xdr:cNvSpPr/>
        </xdr:nvSpPr>
        <xdr:spPr>
          <a:xfrm>
            <a:off x="4133004" y="6457948"/>
            <a:ext cx="1238700" cy="405523"/>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1000">
              <a:solidFill>
                <a:schemeClr val="tx1"/>
              </a:solidFill>
              <a:latin typeface="Meiryo UI" panose="020B0604030504040204" pitchFamily="50" charset="-128"/>
              <a:ea typeface="Meiryo UI" panose="020B0604030504040204" pitchFamily="50" charset="-128"/>
            </a:endParaRPr>
          </a:p>
        </xdr:txBody>
      </xdr:sp>
      <xdr:sp macro="" textlink="">
        <xdr:nvSpPr>
          <xdr:cNvPr id="149" name="テキスト ボックス 148">
            <a:extLst>
              <a:ext uri="{FF2B5EF4-FFF2-40B4-BE49-F238E27FC236}">
                <a16:creationId xmlns:a16="http://schemas.microsoft.com/office/drawing/2014/main" id="{49912F88-FE08-862D-2CE8-7CF8B98B9F68}"/>
              </a:ext>
            </a:extLst>
          </xdr:cNvPr>
          <xdr:cNvSpPr txBox="1"/>
        </xdr:nvSpPr>
        <xdr:spPr>
          <a:xfrm>
            <a:off x="4145757" y="6465095"/>
            <a:ext cx="1216818" cy="3857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700">
                <a:latin typeface="Meiryo UI" panose="020B0604030504040204" pitchFamily="50" charset="-128"/>
                <a:ea typeface="Meiryo UI" panose="020B0604030504040204" pitchFamily="50" charset="-128"/>
              </a:rPr>
              <a:t>Azure Files</a:t>
            </a:r>
            <a:r>
              <a:rPr kumimoji="1" lang="ja-JP" altLang="en-US" sz="700">
                <a:latin typeface="Meiryo UI" panose="020B0604030504040204" pitchFamily="50" charset="-128"/>
                <a:ea typeface="Meiryo UI" panose="020B0604030504040204" pitchFamily="50" charset="-128"/>
              </a:rPr>
              <a:t>へマウント実施</a:t>
            </a:r>
          </a:p>
        </xdr:txBody>
      </xdr:sp>
    </xdr:grpSp>
    <xdr:clientData/>
  </xdr:twoCellAnchor>
  <xdr:twoCellAnchor>
    <xdr:from>
      <xdr:col>3</xdr:col>
      <xdr:colOff>64994</xdr:colOff>
      <xdr:row>260</xdr:row>
      <xdr:rowOff>38100</xdr:rowOff>
    </xdr:from>
    <xdr:to>
      <xdr:col>10</xdr:col>
      <xdr:colOff>58437</xdr:colOff>
      <xdr:row>263</xdr:row>
      <xdr:rowOff>85725</xdr:rowOff>
    </xdr:to>
    <xdr:grpSp>
      <xdr:nvGrpSpPr>
        <xdr:cNvPr id="150" name="グループ化 149">
          <a:extLst>
            <a:ext uri="{FF2B5EF4-FFF2-40B4-BE49-F238E27FC236}">
              <a16:creationId xmlns:a16="http://schemas.microsoft.com/office/drawing/2014/main" id="{F58E7EFD-4A03-4386-938A-1751210587E5}"/>
            </a:ext>
          </a:extLst>
        </xdr:cNvPr>
        <xdr:cNvGrpSpPr/>
      </xdr:nvGrpSpPr>
      <xdr:grpSpPr>
        <a:xfrm>
          <a:off x="636494" y="49568100"/>
          <a:ext cx="1326943" cy="619125"/>
          <a:chOff x="2952750" y="4089796"/>
          <a:chExt cx="1313793" cy="628881"/>
        </a:xfrm>
      </xdr:grpSpPr>
      <xdr:sp macro="" textlink="">
        <xdr:nvSpPr>
          <xdr:cNvPr id="151" name="四角形: 上の 2 つの角を切り取る 150">
            <a:extLst>
              <a:ext uri="{FF2B5EF4-FFF2-40B4-BE49-F238E27FC236}">
                <a16:creationId xmlns:a16="http://schemas.microsoft.com/office/drawing/2014/main" id="{3D451F92-5DC2-2C2F-DC6E-4D495DDBBABF}"/>
              </a:ext>
            </a:extLst>
          </xdr:cNvPr>
          <xdr:cNvSpPr/>
        </xdr:nvSpPr>
        <xdr:spPr>
          <a:xfrm>
            <a:off x="3048000" y="4191000"/>
            <a:ext cx="1129568" cy="438105"/>
          </a:xfrm>
          <a:prstGeom prst="snip2SameRect">
            <a:avLst>
              <a:gd name="adj1" fmla="val 38096"/>
              <a:gd name="adj2" fmla="val 0"/>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kumimoji="1" lang="en-US" altLang="ja-JP" sz="700">
              <a:solidFill>
                <a:schemeClr val="tx1"/>
              </a:solidFill>
              <a:latin typeface="Meiryo UI" panose="020B0604030504040204" pitchFamily="50" charset="-128"/>
              <a:ea typeface="Meiryo UI" panose="020B0604030504040204" pitchFamily="50" charset="-128"/>
            </a:endParaRPr>
          </a:p>
          <a:p>
            <a:pPr algn="ctr"/>
            <a:endParaRPr kumimoji="1" lang="ja-JP" altLang="en-US" sz="700">
              <a:solidFill>
                <a:schemeClr val="tx1"/>
              </a:solidFill>
              <a:latin typeface="Meiryo UI" panose="020B0604030504040204" pitchFamily="50" charset="-128"/>
              <a:ea typeface="Meiryo UI" panose="020B0604030504040204" pitchFamily="50" charset="-128"/>
            </a:endParaRPr>
          </a:p>
        </xdr:txBody>
      </xdr:sp>
      <xdr:sp macro="" textlink="">
        <xdr:nvSpPr>
          <xdr:cNvPr id="152" name="正方形/長方形 151">
            <a:extLst>
              <a:ext uri="{FF2B5EF4-FFF2-40B4-BE49-F238E27FC236}">
                <a16:creationId xmlns:a16="http://schemas.microsoft.com/office/drawing/2014/main" id="{4E367EB2-92CD-E627-D2B2-465A8EC4B2FE}"/>
              </a:ext>
            </a:extLst>
          </xdr:cNvPr>
          <xdr:cNvSpPr/>
        </xdr:nvSpPr>
        <xdr:spPr>
          <a:xfrm>
            <a:off x="2952750" y="4089796"/>
            <a:ext cx="1313793" cy="62888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650">
                <a:solidFill>
                  <a:sysClr val="windowText" lastClr="000000"/>
                </a:solidFill>
                <a:latin typeface="Meiryo UI" panose="020B0604030504040204" pitchFamily="50" charset="-128"/>
                <a:ea typeface="Meiryo UI" panose="020B0604030504040204" pitchFamily="50" charset="-128"/>
              </a:rPr>
              <a:t>マウント実行ループ</a:t>
            </a:r>
            <a:endParaRPr kumimoji="1" lang="en-US" altLang="ja-JP" sz="650">
              <a:solidFill>
                <a:sysClr val="windowText" lastClr="000000"/>
              </a:solidFill>
              <a:latin typeface="Meiryo UI" panose="020B0604030504040204" pitchFamily="50" charset="-128"/>
              <a:ea typeface="Meiryo UI" panose="020B0604030504040204" pitchFamily="50" charset="-128"/>
            </a:endParaRPr>
          </a:p>
          <a:p>
            <a:pPr algn="ctr"/>
            <a:r>
              <a:rPr kumimoji="1" lang="ja-JP" altLang="en-US" sz="650">
                <a:solidFill>
                  <a:sysClr val="windowText" lastClr="000000"/>
                </a:solidFill>
                <a:latin typeface="Meiryo UI" panose="020B0604030504040204" pitchFamily="50" charset="-128"/>
                <a:ea typeface="Meiryo UI" panose="020B0604030504040204" pitchFamily="50" charset="-128"/>
              </a:rPr>
              <a:t>終了条件：</a:t>
            </a:r>
            <a:r>
              <a:rPr kumimoji="1" lang="ja-JP" altLang="en-US" sz="650" baseline="0">
                <a:solidFill>
                  <a:sysClr val="windowText" lastClr="000000"/>
                </a:solidFill>
                <a:latin typeface="Meiryo UI" panose="020B0604030504040204" pitchFamily="50" charset="-128"/>
                <a:ea typeface="Meiryo UI" panose="020B0604030504040204" pitchFamily="50" charset="-128"/>
              </a:rPr>
              <a:t> マウント成功</a:t>
            </a:r>
            <a:r>
              <a:rPr kumimoji="1" lang="ja-JP" altLang="en-US" sz="650">
                <a:solidFill>
                  <a:sysClr val="windowText" lastClr="000000"/>
                </a:solidFill>
                <a:latin typeface="Meiryo UI" panose="020B0604030504040204" pitchFamily="50" charset="-128"/>
                <a:ea typeface="Meiryo UI" panose="020B0604030504040204" pitchFamily="50" charset="-128"/>
              </a:rPr>
              <a:t>　</a:t>
            </a:r>
            <a:r>
              <a:rPr kumimoji="1" lang="en-US" altLang="ja-JP" sz="650">
                <a:solidFill>
                  <a:sysClr val="windowText" lastClr="000000"/>
                </a:solidFill>
                <a:latin typeface="Meiryo UI" panose="020B0604030504040204" pitchFamily="50" charset="-128"/>
                <a:ea typeface="Meiryo UI" panose="020B0604030504040204" pitchFamily="50" charset="-128"/>
              </a:rPr>
              <a:t>or</a:t>
            </a:r>
          </a:p>
          <a:p>
            <a:pPr algn="ctr"/>
            <a:r>
              <a:rPr kumimoji="1" lang="en-US" altLang="ja-JP" sz="650">
                <a:solidFill>
                  <a:sysClr val="windowText" lastClr="000000"/>
                </a:solidFill>
                <a:latin typeface="Meiryo UI" panose="020B0604030504040204" pitchFamily="50" charset="-128"/>
                <a:ea typeface="Meiryo UI" panose="020B0604030504040204" pitchFamily="50" charset="-128"/>
              </a:rPr>
              <a:t>counter</a:t>
            </a:r>
            <a:r>
              <a:rPr kumimoji="1" lang="en-US" altLang="ja-JP" sz="650" baseline="0">
                <a:solidFill>
                  <a:sysClr val="windowText" lastClr="000000"/>
                </a:solidFill>
                <a:latin typeface="Meiryo UI" panose="020B0604030504040204" pitchFamily="50" charset="-128"/>
                <a:ea typeface="Meiryo UI" panose="020B0604030504040204" pitchFamily="50" charset="-128"/>
              </a:rPr>
              <a:t> &lt;= 100</a:t>
            </a:r>
            <a:endParaRPr kumimoji="1" lang="en-US" altLang="ja-JP" sz="650">
              <a:solidFill>
                <a:sysClr val="windowText" lastClr="000000"/>
              </a:solidFill>
              <a:latin typeface="Meiryo UI" panose="020B0604030504040204" pitchFamily="50" charset="-128"/>
              <a:ea typeface="Meiryo UI" panose="020B0604030504040204" pitchFamily="50" charset="-128"/>
            </a:endParaRPr>
          </a:p>
        </xdr:txBody>
      </xdr:sp>
    </xdr:grpSp>
    <xdr:clientData/>
  </xdr:twoCellAnchor>
  <xdr:twoCellAnchor>
    <xdr:from>
      <xdr:col>3</xdr:col>
      <xdr:colOff>61819</xdr:colOff>
      <xdr:row>273</xdr:row>
      <xdr:rowOff>95250</xdr:rowOff>
    </xdr:from>
    <xdr:to>
      <xdr:col>10</xdr:col>
      <xdr:colOff>48041</xdr:colOff>
      <xdr:row>276</xdr:row>
      <xdr:rowOff>132701</xdr:rowOff>
    </xdr:to>
    <xdr:grpSp>
      <xdr:nvGrpSpPr>
        <xdr:cNvPr id="153" name="グループ化 152">
          <a:extLst>
            <a:ext uri="{FF2B5EF4-FFF2-40B4-BE49-F238E27FC236}">
              <a16:creationId xmlns:a16="http://schemas.microsoft.com/office/drawing/2014/main" id="{6A22BF31-37CC-45CB-92F7-5A6D37D51031}"/>
            </a:ext>
          </a:extLst>
        </xdr:cNvPr>
        <xdr:cNvGrpSpPr/>
      </xdr:nvGrpSpPr>
      <xdr:grpSpPr>
        <a:xfrm>
          <a:off x="633319" y="52101750"/>
          <a:ext cx="1319722" cy="608951"/>
          <a:chOff x="654504" y="14388074"/>
          <a:chExt cx="1308231" cy="630498"/>
        </a:xfrm>
      </xdr:grpSpPr>
      <xdr:sp macro="" textlink="">
        <xdr:nvSpPr>
          <xdr:cNvPr id="154" name="四角形: 上の 2 つの角を切り取る 153">
            <a:extLst>
              <a:ext uri="{FF2B5EF4-FFF2-40B4-BE49-F238E27FC236}">
                <a16:creationId xmlns:a16="http://schemas.microsoft.com/office/drawing/2014/main" id="{658C6F9D-BDBA-23E9-7F1A-192C6DD503AB}"/>
              </a:ext>
            </a:extLst>
          </xdr:cNvPr>
          <xdr:cNvSpPr/>
        </xdr:nvSpPr>
        <xdr:spPr>
          <a:xfrm>
            <a:off x="757267" y="14577391"/>
            <a:ext cx="1125011" cy="441181"/>
          </a:xfrm>
          <a:prstGeom prst="snip2SameRect">
            <a:avLst>
              <a:gd name="adj1" fmla="val 0"/>
              <a:gd name="adj2" fmla="val 37500"/>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600">
              <a:solidFill>
                <a:schemeClr val="tx1"/>
              </a:solidFill>
              <a:latin typeface="Meiryo UI" panose="020B0604030504040204" pitchFamily="50" charset="-128"/>
              <a:ea typeface="Meiryo UI" panose="020B0604030504040204" pitchFamily="50" charset="-128"/>
            </a:endParaRPr>
          </a:p>
        </xdr:txBody>
      </xdr:sp>
      <xdr:sp macro="" textlink="">
        <xdr:nvSpPr>
          <xdr:cNvPr id="155" name="正方形/長方形 154">
            <a:extLst>
              <a:ext uri="{FF2B5EF4-FFF2-40B4-BE49-F238E27FC236}">
                <a16:creationId xmlns:a16="http://schemas.microsoft.com/office/drawing/2014/main" id="{FB0E14B4-B515-FB75-C6EA-4FAC8DDF18AB}"/>
              </a:ext>
            </a:extLst>
          </xdr:cNvPr>
          <xdr:cNvSpPr/>
        </xdr:nvSpPr>
        <xdr:spPr>
          <a:xfrm>
            <a:off x="654504" y="14388074"/>
            <a:ext cx="1308231" cy="62941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700">
                <a:solidFill>
                  <a:sysClr val="windowText" lastClr="000000"/>
                </a:solidFill>
                <a:latin typeface="Meiryo UI" panose="020B0604030504040204" pitchFamily="50" charset="-128"/>
                <a:ea typeface="Meiryo UI" panose="020B0604030504040204" pitchFamily="50" charset="-128"/>
              </a:rPr>
              <a:t>マウント実行ループ</a:t>
            </a:r>
            <a:endParaRPr kumimoji="1" lang="en-US" altLang="ja-JP" sz="700">
              <a:solidFill>
                <a:sysClr val="windowText" lastClr="000000"/>
              </a:solidFill>
              <a:latin typeface="Meiryo UI" panose="020B0604030504040204" pitchFamily="50" charset="-128"/>
              <a:ea typeface="Meiryo UI" panose="020B0604030504040204" pitchFamily="50" charset="-128"/>
            </a:endParaRPr>
          </a:p>
        </xdr:txBody>
      </xdr:sp>
    </xdr:grpSp>
    <xdr:clientData/>
  </xdr:twoCellAnchor>
  <xdr:twoCellAnchor>
    <xdr:from>
      <xdr:col>6</xdr:col>
      <xdr:colOff>160134</xdr:colOff>
      <xdr:row>262</xdr:row>
      <xdr:rowOff>188043</xdr:rowOff>
    </xdr:from>
    <xdr:to>
      <xdr:col>6</xdr:col>
      <xdr:colOff>161454</xdr:colOff>
      <xdr:row>264</xdr:row>
      <xdr:rowOff>28575</xdr:rowOff>
    </xdr:to>
    <xdr:cxnSp macro="">
      <xdr:nvCxnSpPr>
        <xdr:cNvPr id="156" name="直線矢印コネクタ 155">
          <a:extLst>
            <a:ext uri="{FF2B5EF4-FFF2-40B4-BE49-F238E27FC236}">
              <a16:creationId xmlns:a16="http://schemas.microsoft.com/office/drawing/2014/main" id="{05D36AC6-C98F-4E18-93B4-B5B9EA5FEF5D}"/>
            </a:ext>
          </a:extLst>
        </xdr:cNvPr>
        <xdr:cNvCxnSpPr>
          <a:cxnSpLocks/>
          <a:stCxn id="151" idx="1"/>
          <a:endCxn id="160" idx="0"/>
        </xdr:cNvCxnSpPr>
      </xdr:nvCxnSpPr>
      <xdr:spPr>
        <a:xfrm>
          <a:off x="1303134" y="50099043"/>
          <a:ext cx="1320" cy="221532"/>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6</xdr:col>
      <xdr:colOff>161377</xdr:colOff>
      <xdr:row>272</xdr:row>
      <xdr:rowOff>174494</xdr:rowOff>
    </xdr:from>
    <xdr:to>
      <xdr:col>6</xdr:col>
      <xdr:colOff>162150</xdr:colOff>
      <xdr:row>274</xdr:row>
      <xdr:rowOff>87597</xdr:rowOff>
    </xdr:to>
    <xdr:cxnSp macro="">
      <xdr:nvCxnSpPr>
        <xdr:cNvPr id="157" name="直線矢印コネクタ 156">
          <a:extLst>
            <a:ext uri="{FF2B5EF4-FFF2-40B4-BE49-F238E27FC236}">
              <a16:creationId xmlns:a16="http://schemas.microsoft.com/office/drawing/2014/main" id="{4A354D83-32A5-4782-92EB-AB926050F1C6}"/>
            </a:ext>
          </a:extLst>
        </xdr:cNvPr>
        <xdr:cNvCxnSpPr>
          <a:cxnSpLocks/>
          <a:stCxn id="148" idx="2"/>
          <a:endCxn id="154" idx="3"/>
        </xdr:cNvCxnSpPr>
      </xdr:nvCxnSpPr>
      <xdr:spPr>
        <a:xfrm flipH="1">
          <a:off x="1304377" y="15223994"/>
          <a:ext cx="773" cy="294103"/>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3</xdr:col>
      <xdr:colOff>58644</xdr:colOff>
      <xdr:row>264</xdr:row>
      <xdr:rowOff>25400</xdr:rowOff>
    </xdr:from>
    <xdr:to>
      <xdr:col>10</xdr:col>
      <xdr:colOff>73763</xdr:colOff>
      <xdr:row>267</xdr:row>
      <xdr:rowOff>38654</xdr:rowOff>
    </xdr:to>
    <xdr:grpSp>
      <xdr:nvGrpSpPr>
        <xdr:cNvPr id="158" name="グループ化 157">
          <a:extLst>
            <a:ext uri="{FF2B5EF4-FFF2-40B4-BE49-F238E27FC236}">
              <a16:creationId xmlns:a16="http://schemas.microsoft.com/office/drawing/2014/main" id="{B3B2E140-17C0-4329-B0C3-AF74B594EF4E}"/>
            </a:ext>
          </a:extLst>
        </xdr:cNvPr>
        <xdr:cNvGrpSpPr/>
      </xdr:nvGrpSpPr>
      <xdr:grpSpPr>
        <a:xfrm>
          <a:off x="630144" y="50317400"/>
          <a:ext cx="1348619" cy="584754"/>
          <a:chOff x="6017381" y="6405437"/>
          <a:chExt cx="1355675" cy="584603"/>
        </a:xfrm>
      </xdr:grpSpPr>
      <xdr:sp macro="" textlink="">
        <xdr:nvSpPr>
          <xdr:cNvPr id="159" name="ひし形 158">
            <a:extLst>
              <a:ext uri="{FF2B5EF4-FFF2-40B4-BE49-F238E27FC236}">
                <a16:creationId xmlns:a16="http://schemas.microsoft.com/office/drawing/2014/main" id="{2AC3D575-D74E-1909-79CF-C9B27C3CFEDA}"/>
              </a:ext>
            </a:extLst>
          </xdr:cNvPr>
          <xdr:cNvSpPr/>
        </xdr:nvSpPr>
        <xdr:spPr>
          <a:xfrm>
            <a:off x="6028662" y="6407868"/>
            <a:ext cx="1337699" cy="579287"/>
          </a:xfrm>
          <a:prstGeom prst="diamond">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en-US" altLang="ja-JP" sz="1000">
              <a:solidFill>
                <a:schemeClr val="tx1"/>
              </a:solidFill>
              <a:latin typeface="Meiryo UI" panose="020B0604030504040204" pitchFamily="50" charset="-128"/>
              <a:ea typeface="Meiryo UI" panose="020B0604030504040204" pitchFamily="50" charset="-128"/>
            </a:endParaRPr>
          </a:p>
        </xdr:txBody>
      </xdr:sp>
      <xdr:sp macro="" textlink="">
        <xdr:nvSpPr>
          <xdr:cNvPr id="160" name="テキスト ボックス 159">
            <a:extLst>
              <a:ext uri="{FF2B5EF4-FFF2-40B4-BE49-F238E27FC236}">
                <a16:creationId xmlns:a16="http://schemas.microsoft.com/office/drawing/2014/main" id="{6AC06418-F3C4-E8FD-19F0-55ECDB28DD74}"/>
              </a:ext>
            </a:extLst>
          </xdr:cNvPr>
          <xdr:cNvSpPr txBox="1"/>
        </xdr:nvSpPr>
        <xdr:spPr>
          <a:xfrm>
            <a:off x="6017381" y="6405437"/>
            <a:ext cx="1355675" cy="5846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700">
                <a:latin typeface="Meiryo UI" panose="020B0604030504040204" pitchFamily="50" charset="-128"/>
                <a:ea typeface="Meiryo UI" panose="020B0604030504040204" pitchFamily="50" charset="-128"/>
              </a:rPr>
              <a:t>初回実行か</a:t>
            </a:r>
          </a:p>
        </xdr:txBody>
      </xdr:sp>
    </xdr:grpSp>
    <xdr:clientData/>
  </xdr:twoCellAnchor>
  <xdr:twoCellAnchor>
    <xdr:from>
      <xdr:col>10</xdr:col>
      <xdr:colOff>73763</xdr:colOff>
      <xdr:row>265</xdr:row>
      <xdr:rowOff>127277</xdr:rowOff>
    </xdr:from>
    <xdr:to>
      <xdr:col>14</xdr:col>
      <xdr:colOff>170497</xdr:colOff>
      <xdr:row>266</xdr:row>
      <xdr:rowOff>176486</xdr:rowOff>
    </xdr:to>
    <xdr:cxnSp macro="">
      <xdr:nvCxnSpPr>
        <xdr:cNvPr id="161" name="コネクタ: カギ線 160">
          <a:extLst>
            <a:ext uri="{FF2B5EF4-FFF2-40B4-BE49-F238E27FC236}">
              <a16:creationId xmlns:a16="http://schemas.microsoft.com/office/drawing/2014/main" id="{731FBBA8-D61E-4009-8EBD-A41D29FDA2E9}"/>
            </a:ext>
          </a:extLst>
        </xdr:cNvPr>
        <xdr:cNvCxnSpPr>
          <a:cxnSpLocks/>
          <a:stCxn id="160" idx="3"/>
          <a:endCxn id="164" idx="0"/>
        </xdr:cNvCxnSpPr>
      </xdr:nvCxnSpPr>
      <xdr:spPr>
        <a:xfrm>
          <a:off x="1978763" y="50609777"/>
          <a:ext cx="858734" cy="239709"/>
        </a:xfrm>
        <a:prstGeom prst="bentConnector2">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124010</xdr:colOff>
      <xdr:row>266</xdr:row>
      <xdr:rowOff>169395</xdr:rowOff>
    </xdr:from>
    <xdr:to>
      <xdr:col>18</xdr:col>
      <xdr:colOff>29210</xdr:colOff>
      <xdr:row>269</xdr:row>
      <xdr:rowOff>243</xdr:rowOff>
    </xdr:to>
    <xdr:grpSp>
      <xdr:nvGrpSpPr>
        <xdr:cNvPr id="162" name="グループ化 161">
          <a:extLst>
            <a:ext uri="{FF2B5EF4-FFF2-40B4-BE49-F238E27FC236}">
              <a16:creationId xmlns:a16="http://schemas.microsoft.com/office/drawing/2014/main" id="{6FD91CD5-81CF-435C-9988-584FE51FC6CB}"/>
            </a:ext>
          </a:extLst>
        </xdr:cNvPr>
        <xdr:cNvGrpSpPr/>
      </xdr:nvGrpSpPr>
      <xdr:grpSpPr>
        <a:xfrm>
          <a:off x="2219510" y="50842395"/>
          <a:ext cx="1238700" cy="402348"/>
          <a:chOff x="4133004" y="6457948"/>
          <a:chExt cx="1238700" cy="405523"/>
        </a:xfrm>
      </xdr:grpSpPr>
      <xdr:sp macro="" textlink="">
        <xdr:nvSpPr>
          <xdr:cNvPr id="163" name="正方形/長方形 162">
            <a:extLst>
              <a:ext uri="{FF2B5EF4-FFF2-40B4-BE49-F238E27FC236}">
                <a16:creationId xmlns:a16="http://schemas.microsoft.com/office/drawing/2014/main" id="{F7FD04FB-1C3B-B0D6-5073-56B18BC71BAA}"/>
              </a:ext>
            </a:extLst>
          </xdr:cNvPr>
          <xdr:cNvSpPr/>
        </xdr:nvSpPr>
        <xdr:spPr>
          <a:xfrm>
            <a:off x="4133004" y="6457948"/>
            <a:ext cx="1238700" cy="405523"/>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1000">
              <a:solidFill>
                <a:schemeClr val="tx1"/>
              </a:solidFill>
              <a:latin typeface="Meiryo UI" panose="020B0604030504040204" pitchFamily="50" charset="-128"/>
              <a:ea typeface="Meiryo UI" panose="020B0604030504040204" pitchFamily="50" charset="-128"/>
            </a:endParaRPr>
          </a:p>
        </xdr:txBody>
      </xdr:sp>
      <xdr:sp macro="" textlink="">
        <xdr:nvSpPr>
          <xdr:cNvPr id="164" name="テキスト ボックス 163">
            <a:extLst>
              <a:ext uri="{FF2B5EF4-FFF2-40B4-BE49-F238E27FC236}">
                <a16:creationId xmlns:a16="http://schemas.microsoft.com/office/drawing/2014/main" id="{36A7E52D-A45D-DFF3-441C-8903D61D68C2}"/>
              </a:ext>
            </a:extLst>
          </xdr:cNvPr>
          <xdr:cNvSpPr txBox="1"/>
        </xdr:nvSpPr>
        <xdr:spPr>
          <a:xfrm>
            <a:off x="4145757" y="6465095"/>
            <a:ext cx="1216818" cy="3857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700">
                <a:latin typeface="Meiryo UI" panose="020B0604030504040204" pitchFamily="50" charset="-128"/>
                <a:ea typeface="Meiryo UI" panose="020B0604030504040204" pitchFamily="50" charset="-128"/>
              </a:rPr>
              <a:t>1000</a:t>
            </a:r>
            <a:r>
              <a:rPr kumimoji="1" lang="ja-JP" altLang="en-US" sz="700">
                <a:latin typeface="Meiryo UI" panose="020B0604030504040204" pitchFamily="50" charset="-128"/>
                <a:ea typeface="Meiryo UI" panose="020B0604030504040204" pitchFamily="50" charset="-128"/>
              </a:rPr>
              <a:t>ミリ秒 停止</a:t>
            </a:r>
            <a:r>
              <a:rPr kumimoji="1" lang="en-US" altLang="ja-JP" sz="700">
                <a:latin typeface="Meiryo UI" panose="020B0604030504040204" pitchFamily="50" charset="-128"/>
                <a:ea typeface="Meiryo UI" panose="020B0604030504040204" pitchFamily="50" charset="-128"/>
              </a:rPr>
              <a:t>(sleep)</a:t>
            </a:r>
            <a:endParaRPr kumimoji="1" lang="ja-JP" altLang="en-US" sz="700">
              <a:latin typeface="Meiryo UI" panose="020B0604030504040204" pitchFamily="50" charset="-128"/>
              <a:ea typeface="Meiryo UI" panose="020B0604030504040204" pitchFamily="50" charset="-128"/>
            </a:endParaRPr>
          </a:p>
        </xdr:txBody>
      </xdr:sp>
    </xdr:grpSp>
    <xdr:clientData/>
  </xdr:twoCellAnchor>
  <xdr:twoCellAnchor>
    <xdr:from>
      <xdr:col>6</xdr:col>
      <xdr:colOff>163735</xdr:colOff>
      <xdr:row>267</xdr:row>
      <xdr:rowOff>35769</xdr:rowOff>
    </xdr:from>
    <xdr:to>
      <xdr:col>6</xdr:col>
      <xdr:colOff>163962</xdr:colOff>
      <xdr:row>270</xdr:row>
      <xdr:rowOff>150880</xdr:rowOff>
    </xdr:to>
    <xdr:cxnSp macro="">
      <xdr:nvCxnSpPr>
        <xdr:cNvPr id="165" name="直線矢印コネクタ 164">
          <a:extLst>
            <a:ext uri="{FF2B5EF4-FFF2-40B4-BE49-F238E27FC236}">
              <a16:creationId xmlns:a16="http://schemas.microsoft.com/office/drawing/2014/main" id="{1778ED2A-5BA3-457C-861F-E83E9A7E4C57}"/>
            </a:ext>
          </a:extLst>
        </xdr:cNvPr>
        <xdr:cNvCxnSpPr>
          <a:cxnSpLocks/>
          <a:stCxn id="159" idx="2"/>
          <a:endCxn id="149" idx="0"/>
        </xdr:cNvCxnSpPr>
      </xdr:nvCxnSpPr>
      <xdr:spPr>
        <a:xfrm>
          <a:off x="1306735" y="50899269"/>
          <a:ext cx="227" cy="686611"/>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6</xdr:col>
      <xdr:colOff>163963</xdr:colOff>
      <xdr:row>268</xdr:row>
      <xdr:rowOff>178228</xdr:rowOff>
    </xdr:from>
    <xdr:to>
      <xdr:col>14</xdr:col>
      <xdr:colOff>170498</xdr:colOff>
      <xdr:row>270</xdr:row>
      <xdr:rowOff>153999</xdr:rowOff>
    </xdr:to>
    <xdr:cxnSp macro="">
      <xdr:nvCxnSpPr>
        <xdr:cNvPr id="166" name="コネクタ: カギ線 165">
          <a:extLst>
            <a:ext uri="{FF2B5EF4-FFF2-40B4-BE49-F238E27FC236}">
              <a16:creationId xmlns:a16="http://schemas.microsoft.com/office/drawing/2014/main" id="{F9F51225-1E36-4270-9479-5E71FDF614BF}"/>
            </a:ext>
          </a:extLst>
        </xdr:cNvPr>
        <xdr:cNvCxnSpPr>
          <a:cxnSpLocks/>
          <a:stCxn id="164" idx="2"/>
          <a:endCxn id="149" idx="0"/>
        </xdr:cNvCxnSpPr>
      </xdr:nvCxnSpPr>
      <xdr:spPr>
        <a:xfrm rot="5400000">
          <a:off x="1893845" y="13878846"/>
          <a:ext cx="356771" cy="1530535"/>
        </a:xfrm>
        <a:prstGeom prst="bentConnector3">
          <a:avLst>
            <a:gd name="adj1" fmla="val 50000"/>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90394</xdr:colOff>
      <xdr:row>266</xdr:row>
      <xdr:rowOff>171450</xdr:rowOff>
    </xdr:from>
    <xdr:to>
      <xdr:col>7</xdr:col>
      <xdr:colOff>10902</xdr:colOff>
      <xdr:row>268</xdr:row>
      <xdr:rowOff>84691</xdr:rowOff>
    </xdr:to>
    <xdr:sp macro="" textlink="">
      <xdr:nvSpPr>
        <xdr:cNvPr id="167" name="正方形/長方形 166">
          <a:extLst>
            <a:ext uri="{FF2B5EF4-FFF2-40B4-BE49-F238E27FC236}">
              <a16:creationId xmlns:a16="http://schemas.microsoft.com/office/drawing/2014/main" id="{D635BE1F-C3B1-4EC5-B6AF-E870E647A2FE}"/>
            </a:ext>
          </a:extLst>
        </xdr:cNvPr>
        <xdr:cNvSpPr/>
      </xdr:nvSpPr>
      <xdr:spPr>
        <a:xfrm>
          <a:off x="852394" y="14077950"/>
          <a:ext cx="492008" cy="29424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900">
              <a:solidFill>
                <a:sysClr val="windowText" lastClr="000000"/>
              </a:solidFill>
              <a:latin typeface="Meiryo UI" panose="020B0604030504040204" pitchFamily="50" charset="-128"/>
              <a:ea typeface="Meiryo UI" panose="020B0604030504040204" pitchFamily="50" charset="-128"/>
            </a:rPr>
            <a:t>Yes</a:t>
          </a:r>
          <a:endParaRPr kumimoji="1" lang="ja-JP" altLang="en-US" sz="9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9</xdr:col>
      <xdr:colOff>185644</xdr:colOff>
      <xdr:row>264</xdr:row>
      <xdr:rowOff>28575</xdr:rowOff>
    </xdr:from>
    <xdr:to>
      <xdr:col>12</xdr:col>
      <xdr:colOff>102977</xdr:colOff>
      <xdr:row>265</xdr:row>
      <xdr:rowOff>135491</xdr:rowOff>
    </xdr:to>
    <xdr:sp macro="" textlink="">
      <xdr:nvSpPr>
        <xdr:cNvPr id="168" name="正方形/長方形 167">
          <a:extLst>
            <a:ext uri="{FF2B5EF4-FFF2-40B4-BE49-F238E27FC236}">
              <a16:creationId xmlns:a16="http://schemas.microsoft.com/office/drawing/2014/main" id="{B4F665D1-DBBD-4CF8-9FBD-CD0D4FE894F6}"/>
            </a:ext>
          </a:extLst>
        </xdr:cNvPr>
        <xdr:cNvSpPr/>
      </xdr:nvSpPr>
      <xdr:spPr>
        <a:xfrm>
          <a:off x="1900144" y="13554075"/>
          <a:ext cx="488833" cy="29741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900">
              <a:solidFill>
                <a:sysClr val="windowText" lastClr="000000"/>
              </a:solidFill>
              <a:latin typeface="Meiryo UI" panose="020B0604030504040204" pitchFamily="50" charset="-128"/>
              <a:ea typeface="Meiryo UI" panose="020B0604030504040204" pitchFamily="50" charset="-128"/>
            </a:rPr>
            <a:t>No</a:t>
          </a:r>
          <a:endParaRPr kumimoji="1" lang="ja-JP" altLang="en-US" sz="9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3</xdr:col>
      <xdr:colOff>61819</xdr:colOff>
      <xdr:row>278</xdr:row>
      <xdr:rowOff>66675</xdr:rowOff>
    </xdr:from>
    <xdr:to>
      <xdr:col>10</xdr:col>
      <xdr:colOff>73763</xdr:colOff>
      <xdr:row>281</xdr:row>
      <xdr:rowOff>73579</xdr:rowOff>
    </xdr:to>
    <xdr:grpSp>
      <xdr:nvGrpSpPr>
        <xdr:cNvPr id="169" name="グループ化 168">
          <a:extLst>
            <a:ext uri="{FF2B5EF4-FFF2-40B4-BE49-F238E27FC236}">
              <a16:creationId xmlns:a16="http://schemas.microsoft.com/office/drawing/2014/main" id="{85248D5C-B4E7-4741-96B7-551BF7CE473C}"/>
            </a:ext>
          </a:extLst>
        </xdr:cNvPr>
        <xdr:cNvGrpSpPr/>
      </xdr:nvGrpSpPr>
      <xdr:grpSpPr>
        <a:xfrm>
          <a:off x="633319" y="53025675"/>
          <a:ext cx="1345444" cy="578404"/>
          <a:chOff x="6017381" y="6405437"/>
          <a:chExt cx="1355675" cy="584603"/>
        </a:xfrm>
      </xdr:grpSpPr>
      <xdr:sp macro="" textlink="">
        <xdr:nvSpPr>
          <xdr:cNvPr id="170" name="ひし形 169">
            <a:extLst>
              <a:ext uri="{FF2B5EF4-FFF2-40B4-BE49-F238E27FC236}">
                <a16:creationId xmlns:a16="http://schemas.microsoft.com/office/drawing/2014/main" id="{1FFD23EE-9A63-850A-A06D-938E1EFDBD86}"/>
              </a:ext>
            </a:extLst>
          </xdr:cNvPr>
          <xdr:cNvSpPr/>
        </xdr:nvSpPr>
        <xdr:spPr>
          <a:xfrm>
            <a:off x="6028662" y="6407868"/>
            <a:ext cx="1337699" cy="579287"/>
          </a:xfrm>
          <a:prstGeom prst="diamond">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en-US" altLang="ja-JP" sz="1000">
              <a:solidFill>
                <a:schemeClr val="tx1"/>
              </a:solidFill>
              <a:latin typeface="Meiryo UI" panose="020B0604030504040204" pitchFamily="50" charset="-128"/>
              <a:ea typeface="Meiryo UI" panose="020B0604030504040204" pitchFamily="50" charset="-128"/>
            </a:endParaRPr>
          </a:p>
        </xdr:txBody>
      </xdr:sp>
      <xdr:sp macro="" textlink="">
        <xdr:nvSpPr>
          <xdr:cNvPr id="171" name="テキスト ボックス 170">
            <a:extLst>
              <a:ext uri="{FF2B5EF4-FFF2-40B4-BE49-F238E27FC236}">
                <a16:creationId xmlns:a16="http://schemas.microsoft.com/office/drawing/2014/main" id="{9FEB96AC-9B69-D84E-4914-61A4CF7E3BA0}"/>
              </a:ext>
            </a:extLst>
          </xdr:cNvPr>
          <xdr:cNvSpPr txBox="1"/>
        </xdr:nvSpPr>
        <xdr:spPr>
          <a:xfrm>
            <a:off x="6017381" y="6405437"/>
            <a:ext cx="1355675" cy="5846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700">
                <a:latin typeface="Meiryo UI" panose="020B0604030504040204" pitchFamily="50" charset="-128"/>
                <a:ea typeface="Meiryo UI" panose="020B0604030504040204" pitchFamily="50" charset="-128"/>
              </a:rPr>
              <a:t>ディレクトリが</a:t>
            </a:r>
            <a:endParaRPr kumimoji="1" lang="en-US" altLang="ja-JP" sz="700">
              <a:latin typeface="Meiryo UI" panose="020B0604030504040204" pitchFamily="50" charset="-128"/>
              <a:ea typeface="Meiryo UI" panose="020B0604030504040204" pitchFamily="50" charset="-128"/>
            </a:endParaRPr>
          </a:p>
          <a:p>
            <a:pPr algn="ctr"/>
            <a:r>
              <a:rPr kumimoji="1" lang="ja-JP" altLang="en-US" sz="700">
                <a:latin typeface="Meiryo UI" panose="020B0604030504040204" pitchFamily="50" charset="-128"/>
                <a:ea typeface="Meiryo UI" panose="020B0604030504040204" pitchFamily="50" charset="-128"/>
              </a:rPr>
              <a:t>マウントされているか</a:t>
            </a:r>
          </a:p>
        </xdr:txBody>
      </xdr:sp>
    </xdr:grpSp>
    <xdr:clientData/>
  </xdr:twoCellAnchor>
  <xdr:twoCellAnchor>
    <xdr:from>
      <xdr:col>6</xdr:col>
      <xdr:colOff>161432</xdr:colOff>
      <xdr:row>276</xdr:row>
      <xdr:rowOff>132701</xdr:rowOff>
    </xdr:from>
    <xdr:to>
      <xdr:col>6</xdr:col>
      <xdr:colOff>163041</xdr:colOff>
      <xdr:row>278</xdr:row>
      <xdr:rowOff>63500</xdr:rowOff>
    </xdr:to>
    <xdr:cxnSp macro="">
      <xdr:nvCxnSpPr>
        <xdr:cNvPr id="172" name="直線矢印コネクタ 171">
          <a:extLst>
            <a:ext uri="{FF2B5EF4-FFF2-40B4-BE49-F238E27FC236}">
              <a16:creationId xmlns:a16="http://schemas.microsoft.com/office/drawing/2014/main" id="{8BC2548B-FD31-41E3-A1BF-3D1D703AE28C}"/>
            </a:ext>
          </a:extLst>
        </xdr:cNvPr>
        <xdr:cNvCxnSpPr>
          <a:cxnSpLocks/>
          <a:stCxn id="154" idx="1"/>
          <a:endCxn id="171" idx="0"/>
        </xdr:cNvCxnSpPr>
      </xdr:nvCxnSpPr>
      <xdr:spPr>
        <a:xfrm>
          <a:off x="1304432" y="15944201"/>
          <a:ext cx="1609" cy="311799"/>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10</xdr:col>
      <xdr:colOff>73763</xdr:colOff>
      <xdr:row>279</xdr:row>
      <xdr:rowOff>163790</xdr:rowOff>
    </xdr:from>
    <xdr:to>
      <xdr:col>14</xdr:col>
      <xdr:colOff>175541</xdr:colOff>
      <xdr:row>282</xdr:row>
      <xdr:rowOff>69470</xdr:rowOff>
    </xdr:to>
    <xdr:cxnSp macro="">
      <xdr:nvCxnSpPr>
        <xdr:cNvPr id="173" name="コネクタ: カギ線 172">
          <a:extLst>
            <a:ext uri="{FF2B5EF4-FFF2-40B4-BE49-F238E27FC236}">
              <a16:creationId xmlns:a16="http://schemas.microsoft.com/office/drawing/2014/main" id="{349EDA42-0C16-4228-AD64-CB27FCDD06DE}"/>
            </a:ext>
          </a:extLst>
        </xdr:cNvPr>
        <xdr:cNvCxnSpPr>
          <a:cxnSpLocks/>
          <a:stCxn id="171" idx="3"/>
          <a:endCxn id="176" idx="0"/>
        </xdr:cNvCxnSpPr>
      </xdr:nvCxnSpPr>
      <xdr:spPr>
        <a:xfrm>
          <a:off x="1978763" y="16546790"/>
          <a:ext cx="863778" cy="477180"/>
        </a:xfrm>
        <a:prstGeom prst="bentConnector2">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125879</xdr:colOff>
      <xdr:row>282</xdr:row>
      <xdr:rowOff>62379</xdr:rowOff>
    </xdr:from>
    <xdr:to>
      <xdr:col>18</xdr:col>
      <xdr:colOff>31079</xdr:colOff>
      <xdr:row>284</xdr:row>
      <xdr:rowOff>83727</xdr:rowOff>
    </xdr:to>
    <xdr:grpSp>
      <xdr:nvGrpSpPr>
        <xdr:cNvPr id="174" name="グループ化 173">
          <a:extLst>
            <a:ext uri="{FF2B5EF4-FFF2-40B4-BE49-F238E27FC236}">
              <a16:creationId xmlns:a16="http://schemas.microsoft.com/office/drawing/2014/main" id="{53010E5D-D874-4DD3-AE29-B4895C55277E}"/>
            </a:ext>
          </a:extLst>
        </xdr:cNvPr>
        <xdr:cNvGrpSpPr/>
      </xdr:nvGrpSpPr>
      <xdr:grpSpPr>
        <a:xfrm>
          <a:off x="2221379" y="53783379"/>
          <a:ext cx="1238700" cy="402348"/>
          <a:chOff x="4133004" y="6457948"/>
          <a:chExt cx="1238700" cy="405523"/>
        </a:xfrm>
      </xdr:grpSpPr>
      <xdr:sp macro="" textlink="">
        <xdr:nvSpPr>
          <xdr:cNvPr id="175" name="正方形/長方形 174">
            <a:extLst>
              <a:ext uri="{FF2B5EF4-FFF2-40B4-BE49-F238E27FC236}">
                <a16:creationId xmlns:a16="http://schemas.microsoft.com/office/drawing/2014/main" id="{09EAE51E-AC8B-94A1-788B-8864BA0811EB}"/>
              </a:ext>
            </a:extLst>
          </xdr:cNvPr>
          <xdr:cNvSpPr/>
        </xdr:nvSpPr>
        <xdr:spPr>
          <a:xfrm>
            <a:off x="4133004" y="6457948"/>
            <a:ext cx="1238700" cy="405523"/>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1000">
              <a:solidFill>
                <a:schemeClr val="tx1"/>
              </a:solidFill>
              <a:latin typeface="Meiryo UI" panose="020B0604030504040204" pitchFamily="50" charset="-128"/>
              <a:ea typeface="Meiryo UI" panose="020B0604030504040204" pitchFamily="50" charset="-128"/>
            </a:endParaRPr>
          </a:p>
        </xdr:txBody>
      </xdr:sp>
      <xdr:sp macro="" textlink="">
        <xdr:nvSpPr>
          <xdr:cNvPr id="176" name="テキスト ボックス 175">
            <a:extLst>
              <a:ext uri="{FF2B5EF4-FFF2-40B4-BE49-F238E27FC236}">
                <a16:creationId xmlns:a16="http://schemas.microsoft.com/office/drawing/2014/main" id="{C047CF6F-5656-F2E5-A1EF-91802445FD22}"/>
              </a:ext>
            </a:extLst>
          </xdr:cNvPr>
          <xdr:cNvSpPr txBox="1"/>
        </xdr:nvSpPr>
        <xdr:spPr>
          <a:xfrm>
            <a:off x="4145757" y="6465095"/>
            <a:ext cx="1216818" cy="3857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700">
                <a:latin typeface="Meiryo UI" panose="020B0604030504040204" pitchFamily="50" charset="-128"/>
                <a:ea typeface="Meiryo UI" panose="020B0604030504040204" pitchFamily="50" charset="-128"/>
              </a:rPr>
              <a:t>エラーメッセージ出力</a:t>
            </a:r>
          </a:p>
        </xdr:txBody>
      </xdr:sp>
    </xdr:grpSp>
    <xdr:clientData/>
  </xdr:twoCellAnchor>
  <xdr:twoCellAnchor>
    <xdr:from>
      <xdr:col>9</xdr:col>
      <xdr:colOff>103094</xdr:colOff>
      <xdr:row>278</xdr:row>
      <xdr:rowOff>76200</xdr:rowOff>
    </xdr:from>
    <xdr:to>
      <xdr:col>12</xdr:col>
      <xdr:colOff>17252</xdr:colOff>
      <xdr:row>279</xdr:row>
      <xdr:rowOff>179941</xdr:rowOff>
    </xdr:to>
    <xdr:sp macro="" textlink="">
      <xdr:nvSpPr>
        <xdr:cNvPr id="177" name="正方形/長方形 176">
          <a:extLst>
            <a:ext uri="{FF2B5EF4-FFF2-40B4-BE49-F238E27FC236}">
              <a16:creationId xmlns:a16="http://schemas.microsoft.com/office/drawing/2014/main" id="{62B35BAD-B03D-4345-AF4F-C86C3684E97A}"/>
            </a:ext>
          </a:extLst>
        </xdr:cNvPr>
        <xdr:cNvSpPr/>
      </xdr:nvSpPr>
      <xdr:spPr>
        <a:xfrm>
          <a:off x="1817594" y="16268700"/>
          <a:ext cx="485658" cy="29424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900">
              <a:solidFill>
                <a:sysClr val="windowText" lastClr="000000"/>
              </a:solidFill>
              <a:latin typeface="Meiryo UI" panose="020B0604030504040204" pitchFamily="50" charset="-128"/>
              <a:ea typeface="Meiryo UI" panose="020B0604030504040204" pitchFamily="50" charset="-128"/>
            </a:rPr>
            <a:t>No</a:t>
          </a:r>
          <a:endParaRPr kumimoji="1" lang="ja-JP" altLang="en-US" sz="9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6</xdr:col>
      <xdr:colOff>161714</xdr:colOff>
      <xdr:row>259</xdr:row>
      <xdr:rowOff>8280</xdr:rowOff>
    </xdr:from>
    <xdr:to>
      <xdr:col>6</xdr:col>
      <xdr:colOff>165114</xdr:colOff>
      <xdr:row>260</xdr:row>
      <xdr:rowOff>137223</xdr:rowOff>
    </xdr:to>
    <xdr:cxnSp macro="">
      <xdr:nvCxnSpPr>
        <xdr:cNvPr id="184" name="直線矢印コネクタ 183">
          <a:extLst>
            <a:ext uri="{FF2B5EF4-FFF2-40B4-BE49-F238E27FC236}">
              <a16:creationId xmlns:a16="http://schemas.microsoft.com/office/drawing/2014/main" id="{32C465CE-747D-46F0-9B9B-10F37FC6C01C}"/>
            </a:ext>
          </a:extLst>
        </xdr:cNvPr>
        <xdr:cNvCxnSpPr>
          <a:cxnSpLocks/>
          <a:stCxn id="195" idx="4"/>
          <a:endCxn id="151" idx="3"/>
        </xdr:cNvCxnSpPr>
      </xdr:nvCxnSpPr>
      <xdr:spPr>
        <a:xfrm flipH="1">
          <a:off x="1304714" y="49347780"/>
          <a:ext cx="3400" cy="319443"/>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6</xdr:col>
      <xdr:colOff>161470</xdr:colOff>
      <xdr:row>284</xdr:row>
      <xdr:rowOff>74387</xdr:rowOff>
    </xdr:from>
    <xdr:to>
      <xdr:col>14</xdr:col>
      <xdr:colOff>172367</xdr:colOff>
      <xdr:row>287</xdr:row>
      <xdr:rowOff>38100</xdr:rowOff>
    </xdr:to>
    <xdr:cxnSp macro="">
      <xdr:nvCxnSpPr>
        <xdr:cNvPr id="187" name="コネクタ: カギ線 186">
          <a:extLst>
            <a:ext uri="{FF2B5EF4-FFF2-40B4-BE49-F238E27FC236}">
              <a16:creationId xmlns:a16="http://schemas.microsoft.com/office/drawing/2014/main" id="{E9EFDCD2-728C-4FDA-9A45-39572031A646}"/>
            </a:ext>
          </a:extLst>
        </xdr:cNvPr>
        <xdr:cNvCxnSpPr>
          <a:cxnSpLocks/>
          <a:stCxn id="176" idx="2"/>
          <a:endCxn id="377" idx="0"/>
        </xdr:cNvCxnSpPr>
      </xdr:nvCxnSpPr>
      <xdr:spPr>
        <a:xfrm rot="5400000">
          <a:off x="1804312" y="27768545"/>
          <a:ext cx="535213" cy="1534897"/>
        </a:xfrm>
        <a:prstGeom prst="bentConnector3">
          <a:avLst>
            <a:gd name="adj1" fmla="val 50000"/>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161469</xdr:colOff>
      <xdr:row>281</xdr:row>
      <xdr:rowOff>70708</xdr:rowOff>
    </xdr:from>
    <xdr:to>
      <xdr:col>6</xdr:col>
      <xdr:colOff>166899</xdr:colOff>
      <xdr:row>287</xdr:row>
      <xdr:rowOff>38100</xdr:rowOff>
    </xdr:to>
    <xdr:cxnSp macro="">
      <xdr:nvCxnSpPr>
        <xdr:cNvPr id="190" name="直線矢印コネクタ 189">
          <a:extLst>
            <a:ext uri="{FF2B5EF4-FFF2-40B4-BE49-F238E27FC236}">
              <a16:creationId xmlns:a16="http://schemas.microsoft.com/office/drawing/2014/main" id="{A740871C-9FC1-451E-9797-308F0F3B7AAE}"/>
            </a:ext>
          </a:extLst>
        </xdr:cNvPr>
        <xdr:cNvCxnSpPr>
          <a:cxnSpLocks/>
          <a:stCxn id="170" idx="2"/>
          <a:endCxn id="377" idx="0"/>
        </xdr:cNvCxnSpPr>
      </xdr:nvCxnSpPr>
      <xdr:spPr>
        <a:xfrm flipH="1">
          <a:off x="1304469" y="27693208"/>
          <a:ext cx="5430" cy="1110392"/>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19983</xdr:colOff>
      <xdr:row>281</xdr:row>
      <xdr:rowOff>25773</xdr:rowOff>
    </xdr:from>
    <xdr:to>
      <xdr:col>6</xdr:col>
      <xdr:colOff>130991</xdr:colOff>
      <xdr:row>282</xdr:row>
      <xdr:rowOff>132689</xdr:rowOff>
    </xdr:to>
    <xdr:sp macro="" textlink="">
      <xdr:nvSpPr>
        <xdr:cNvPr id="193" name="正方形/長方形 192">
          <a:extLst>
            <a:ext uri="{FF2B5EF4-FFF2-40B4-BE49-F238E27FC236}">
              <a16:creationId xmlns:a16="http://schemas.microsoft.com/office/drawing/2014/main" id="{FE7A4154-48D4-E607-4D7A-4602F68E48D3}"/>
            </a:ext>
          </a:extLst>
        </xdr:cNvPr>
        <xdr:cNvSpPr/>
      </xdr:nvSpPr>
      <xdr:spPr>
        <a:xfrm>
          <a:off x="781983" y="16789773"/>
          <a:ext cx="492008" cy="29741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900">
              <a:solidFill>
                <a:sysClr val="windowText" lastClr="000000"/>
              </a:solidFill>
              <a:latin typeface="Meiryo UI" panose="020B0604030504040204" pitchFamily="50" charset="-128"/>
              <a:ea typeface="Meiryo UI" panose="020B0604030504040204" pitchFamily="50" charset="-128"/>
            </a:rPr>
            <a:t>Yes</a:t>
          </a:r>
          <a:endParaRPr kumimoji="1" lang="ja-JP" altLang="en-US" sz="9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5</xdr:col>
      <xdr:colOff>169729</xdr:colOff>
      <xdr:row>257</xdr:row>
      <xdr:rowOff>10535</xdr:rowOff>
    </xdr:from>
    <xdr:to>
      <xdr:col>7</xdr:col>
      <xdr:colOff>160968</xdr:colOff>
      <xdr:row>259</xdr:row>
      <xdr:rowOff>12187</xdr:rowOff>
    </xdr:to>
    <xdr:grpSp>
      <xdr:nvGrpSpPr>
        <xdr:cNvPr id="194" name="グループ化 193">
          <a:extLst>
            <a:ext uri="{FF2B5EF4-FFF2-40B4-BE49-F238E27FC236}">
              <a16:creationId xmlns:a16="http://schemas.microsoft.com/office/drawing/2014/main" id="{ECA210D3-E77E-425F-B56A-C1F20C7B1BC6}"/>
            </a:ext>
          </a:extLst>
        </xdr:cNvPr>
        <xdr:cNvGrpSpPr/>
      </xdr:nvGrpSpPr>
      <xdr:grpSpPr>
        <a:xfrm>
          <a:off x="1122229" y="48969035"/>
          <a:ext cx="372239" cy="382652"/>
          <a:chOff x="2516860" y="7126111"/>
          <a:chExt cx="673259" cy="685397"/>
        </a:xfrm>
      </xdr:grpSpPr>
      <xdr:sp macro="" textlink="">
        <xdr:nvSpPr>
          <xdr:cNvPr id="195" name="フローチャート: 結合子 194">
            <a:extLst>
              <a:ext uri="{FF2B5EF4-FFF2-40B4-BE49-F238E27FC236}">
                <a16:creationId xmlns:a16="http://schemas.microsoft.com/office/drawing/2014/main" id="{7985DC13-FB27-8D13-E32E-70197AD11712}"/>
              </a:ext>
            </a:extLst>
          </xdr:cNvPr>
          <xdr:cNvSpPr>
            <a:spLocks noChangeAspect="1"/>
          </xdr:cNvSpPr>
        </xdr:nvSpPr>
        <xdr:spPr>
          <a:xfrm>
            <a:off x="2516860" y="7132101"/>
            <a:ext cx="672410" cy="672409"/>
          </a:xfrm>
          <a:prstGeom prst="flowChartConnector">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rIns="36000" rtlCol="0" anchor="ctr" anchorCtr="1"/>
          <a:lstStyle/>
          <a:p>
            <a:pPr algn="ctr"/>
            <a:endParaRPr kumimoji="1" lang="en-US" altLang="ja-JP" sz="1000">
              <a:solidFill>
                <a:schemeClr val="tx1"/>
              </a:solidFill>
              <a:latin typeface="Meiryo UI" panose="020B0604030504040204" pitchFamily="50" charset="-128"/>
              <a:ea typeface="Meiryo UI" panose="020B0604030504040204" pitchFamily="50" charset="-128"/>
            </a:endParaRPr>
          </a:p>
        </xdr:txBody>
      </xdr:sp>
      <xdr:sp macro="" textlink="">
        <xdr:nvSpPr>
          <xdr:cNvPr id="196" name="テキスト ボックス 195">
            <a:extLst>
              <a:ext uri="{FF2B5EF4-FFF2-40B4-BE49-F238E27FC236}">
                <a16:creationId xmlns:a16="http://schemas.microsoft.com/office/drawing/2014/main" id="{F0514492-46DF-66C3-5B81-FB08F5BC65E6}"/>
              </a:ext>
            </a:extLst>
          </xdr:cNvPr>
          <xdr:cNvSpPr txBox="1"/>
        </xdr:nvSpPr>
        <xdr:spPr>
          <a:xfrm>
            <a:off x="2524881" y="7126111"/>
            <a:ext cx="665238" cy="6853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latin typeface="Meiryo UI" panose="020B0604030504040204" pitchFamily="50" charset="-128"/>
                <a:ea typeface="Meiryo UI" panose="020B0604030504040204" pitchFamily="50" charset="-128"/>
              </a:rPr>
              <a:t>1</a:t>
            </a:r>
            <a:endParaRPr kumimoji="1" lang="ja-JP" altLang="en-US" sz="1000">
              <a:latin typeface="Meiryo UI" panose="020B0604030504040204" pitchFamily="50" charset="-128"/>
              <a:ea typeface="Meiryo UI" panose="020B0604030504040204" pitchFamily="50" charset="-128"/>
            </a:endParaRPr>
          </a:p>
        </xdr:txBody>
      </xdr:sp>
    </xdr:grpSp>
    <xdr:clientData/>
  </xdr:twoCellAnchor>
  <xdr:twoCellAnchor>
    <xdr:from>
      <xdr:col>17</xdr:col>
      <xdr:colOff>164913</xdr:colOff>
      <xdr:row>28</xdr:row>
      <xdr:rowOff>168461</xdr:rowOff>
    </xdr:from>
    <xdr:to>
      <xdr:col>19</xdr:col>
      <xdr:colOff>159327</xdr:colOff>
      <xdr:row>30</xdr:row>
      <xdr:rowOff>170113</xdr:rowOff>
    </xdr:to>
    <xdr:grpSp>
      <xdr:nvGrpSpPr>
        <xdr:cNvPr id="198" name="グループ化 197">
          <a:extLst>
            <a:ext uri="{FF2B5EF4-FFF2-40B4-BE49-F238E27FC236}">
              <a16:creationId xmlns:a16="http://schemas.microsoft.com/office/drawing/2014/main" id="{3D0864CA-90F1-4B11-B84F-CE94A74EBE0B}"/>
            </a:ext>
          </a:extLst>
        </xdr:cNvPr>
        <xdr:cNvGrpSpPr/>
      </xdr:nvGrpSpPr>
      <xdr:grpSpPr>
        <a:xfrm>
          <a:off x="3403413" y="5502461"/>
          <a:ext cx="375414" cy="382652"/>
          <a:chOff x="2516860" y="7126111"/>
          <a:chExt cx="673259" cy="685397"/>
        </a:xfrm>
      </xdr:grpSpPr>
      <xdr:sp macro="" textlink="">
        <xdr:nvSpPr>
          <xdr:cNvPr id="199" name="フローチャート: 結合子 198">
            <a:extLst>
              <a:ext uri="{FF2B5EF4-FFF2-40B4-BE49-F238E27FC236}">
                <a16:creationId xmlns:a16="http://schemas.microsoft.com/office/drawing/2014/main" id="{1D3E4F12-6C85-2FDB-48C2-82621D43399C}"/>
              </a:ext>
            </a:extLst>
          </xdr:cNvPr>
          <xdr:cNvSpPr>
            <a:spLocks noChangeAspect="1"/>
          </xdr:cNvSpPr>
        </xdr:nvSpPr>
        <xdr:spPr>
          <a:xfrm>
            <a:off x="2516860" y="7132101"/>
            <a:ext cx="672410" cy="672409"/>
          </a:xfrm>
          <a:prstGeom prst="flowChartConnector">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rIns="36000" rtlCol="0" anchor="ctr" anchorCtr="1"/>
          <a:lstStyle/>
          <a:p>
            <a:pPr algn="ctr"/>
            <a:endParaRPr kumimoji="1" lang="en-US" altLang="ja-JP" sz="1000">
              <a:solidFill>
                <a:schemeClr val="tx1"/>
              </a:solidFill>
              <a:latin typeface="Meiryo UI" panose="020B0604030504040204" pitchFamily="50" charset="-128"/>
              <a:ea typeface="Meiryo UI" panose="020B0604030504040204" pitchFamily="50" charset="-128"/>
            </a:endParaRPr>
          </a:p>
        </xdr:txBody>
      </xdr:sp>
      <xdr:sp macro="" textlink="">
        <xdr:nvSpPr>
          <xdr:cNvPr id="200" name="テキスト ボックス 199">
            <a:extLst>
              <a:ext uri="{FF2B5EF4-FFF2-40B4-BE49-F238E27FC236}">
                <a16:creationId xmlns:a16="http://schemas.microsoft.com/office/drawing/2014/main" id="{0AD6D872-FB5F-1BA4-CE0E-78CBA65BF45D}"/>
              </a:ext>
            </a:extLst>
          </xdr:cNvPr>
          <xdr:cNvSpPr txBox="1"/>
        </xdr:nvSpPr>
        <xdr:spPr>
          <a:xfrm>
            <a:off x="2524881" y="7126111"/>
            <a:ext cx="665238" cy="6853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latin typeface="Meiryo UI" panose="020B0604030504040204" pitchFamily="50" charset="-128"/>
                <a:ea typeface="Meiryo UI" panose="020B0604030504040204" pitchFamily="50" charset="-128"/>
              </a:rPr>
              <a:t>1</a:t>
            </a:r>
            <a:endParaRPr kumimoji="1" lang="ja-JP" altLang="en-US" sz="1000">
              <a:latin typeface="Meiryo UI" panose="020B0604030504040204" pitchFamily="50" charset="-128"/>
              <a:ea typeface="Meiryo UI" panose="020B0604030504040204" pitchFamily="50" charset="-128"/>
            </a:endParaRPr>
          </a:p>
        </xdr:txBody>
      </xdr:sp>
    </xdr:grpSp>
    <xdr:clientData/>
  </xdr:twoCellAnchor>
  <xdr:twoCellAnchor>
    <xdr:from>
      <xdr:col>17</xdr:col>
      <xdr:colOff>160060</xdr:colOff>
      <xdr:row>31</xdr:row>
      <xdr:rowOff>131670</xdr:rowOff>
    </xdr:from>
    <xdr:to>
      <xdr:col>19</xdr:col>
      <xdr:colOff>163998</xdr:colOff>
      <xdr:row>33</xdr:row>
      <xdr:rowOff>133322</xdr:rowOff>
    </xdr:to>
    <xdr:grpSp>
      <xdr:nvGrpSpPr>
        <xdr:cNvPr id="202" name="グループ化 201">
          <a:extLst>
            <a:ext uri="{FF2B5EF4-FFF2-40B4-BE49-F238E27FC236}">
              <a16:creationId xmlns:a16="http://schemas.microsoft.com/office/drawing/2014/main" id="{C68E6CDC-B48E-41DF-99EF-BE1D9C28AAD7}"/>
            </a:ext>
          </a:extLst>
        </xdr:cNvPr>
        <xdr:cNvGrpSpPr/>
      </xdr:nvGrpSpPr>
      <xdr:grpSpPr>
        <a:xfrm>
          <a:off x="3398560" y="6037170"/>
          <a:ext cx="384938" cy="382652"/>
          <a:chOff x="2516860" y="7120316"/>
          <a:chExt cx="678856" cy="691443"/>
        </a:xfrm>
      </xdr:grpSpPr>
      <xdr:sp macro="" textlink="">
        <xdr:nvSpPr>
          <xdr:cNvPr id="203" name="フローチャート: 結合子 202">
            <a:extLst>
              <a:ext uri="{FF2B5EF4-FFF2-40B4-BE49-F238E27FC236}">
                <a16:creationId xmlns:a16="http://schemas.microsoft.com/office/drawing/2014/main" id="{866A1A4A-7267-AACA-B1D8-7D11A61F478D}"/>
              </a:ext>
            </a:extLst>
          </xdr:cNvPr>
          <xdr:cNvSpPr>
            <a:spLocks noChangeAspect="1"/>
          </xdr:cNvSpPr>
        </xdr:nvSpPr>
        <xdr:spPr>
          <a:xfrm>
            <a:off x="2516860" y="7132101"/>
            <a:ext cx="672410" cy="672409"/>
          </a:xfrm>
          <a:prstGeom prst="flowChartConnector">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rIns="36000" rtlCol="0" anchor="ctr" anchorCtr="1"/>
          <a:lstStyle/>
          <a:p>
            <a:pPr algn="ctr"/>
            <a:endParaRPr kumimoji="1" lang="en-US" altLang="ja-JP" sz="1000">
              <a:solidFill>
                <a:schemeClr val="tx1"/>
              </a:solidFill>
              <a:latin typeface="Meiryo UI" panose="020B0604030504040204" pitchFamily="50" charset="-128"/>
              <a:ea typeface="Meiryo UI" panose="020B0604030504040204" pitchFamily="50" charset="-128"/>
            </a:endParaRPr>
          </a:p>
        </xdr:txBody>
      </xdr:sp>
      <xdr:sp macro="" textlink="">
        <xdr:nvSpPr>
          <xdr:cNvPr id="204" name="テキスト ボックス 203">
            <a:extLst>
              <a:ext uri="{FF2B5EF4-FFF2-40B4-BE49-F238E27FC236}">
                <a16:creationId xmlns:a16="http://schemas.microsoft.com/office/drawing/2014/main" id="{51AC38E9-1790-0A03-C17C-4BB30EDB4A44}"/>
              </a:ext>
            </a:extLst>
          </xdr:cNvPr>
          <xdr:cNvSpPr txBox="1"/>
        </xdr:nvSpPr>
        <xdr:spPr>
          <a:xfrm>
            <a:off x="2530478" y="7120316"/>
            <a:ext cx="665238" cy="6914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latin typeface="Meiryo UI" panose="020B0604030504040204" pitchFamily="50" charset="-128"/>
                <a:ea typeface="Meiryo UI" panose="020B0604030504040204" pitchFamily="50" charset="-128"/>
              </a:rPr>
              <a:t>2</a:t>
            </a:r>
            <a:endParaRPr kumimoji="1" lang="ja-JP" altLang="en-US" sz="1000">
              <a:latin typeface="Meiryo UI" panose="020B0604030504040204" pitchFamily="50" charset="-128"/>
              <a:ea typeface="Meiryo UI" panose="020B0604030504040204" pitchFamily="50" charset="-128"/>
            </a:endParaRPr>
          </a:p>
        </xdr:txBody>
      </xdr:sp>
    </xdr:grpSp>
    <xdr:clientData/>
  </xdr:twoCellAnchor>
  <xdr:twoCellAnchor>
    <xdr:from>
      <xdr:col>8</xdr:col>
      <xdr:colOff>58440</xdr:colOff>
      <xdr:row>37</xdr:row>
      <xdr:rowOff>125312</xdr:rowOff>
    </xdr:from>
    <xdr:to>
      <xdr:col>18</xdr:col>
      <xdr:colOff>157626</xdr:colOff>
      <xdr:row>40</xdr:row>
      <xdr:rowOff>5876</xdr:rowOff>
    </xdr:to>
    <xdr:cxnSp macro="">
      <xdr:nvCxnSpPr>
        <xdr:cNvPr id="205" name="コネクタ: カギ線 204">
          <a:extLst>
            <a:ext uri="{FF2B5EF4-FFF2-40B4-BE49-F238E27FC236}">
              <a16:creationId xmlns:a16="http://schemas.microsoft.com/office/drawing/2014/main" id="{F7FC82EE-4DEA-42AC-A03B-A2BB8ACC22D9}"/>
            </a:ext>
          </a:extLst>
        </xdr:cNvPr>
        <xdr:cNvCxnSpPr>
          <a:cxnSpLocks/>
          <a:stCxn id="218" idx="2"/>
          <a:endCxn id="215" idx="0"/>
        </xdr:cNvCxnSpPr>
      </xdr:nvCxnSpPr>
      <xdr:spPr>
        <a:xfrm rot="5400000">
          <a:off x="2358501" y="6588251"/>
          <a:ext cx="452064" cy="2004186"/>
        </a:xfrm>
        <a:prstGeom prst="bentConnector3">
          <a:avLst>
            <a:gd name="adj1" fmla="val 50000"/>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8778</xdr:colOff>
      <xdr:row>39</xdr:row>
      <xdr:rowOff>189005</xdr:rowOff>
    </xdr:from>
    <xdr:to>
      <xdr:col>11</xdr:col>
      <xdr:colOff>104478</xdr:colOff>
      <xdr:row>42</xdr:row>
      <xdr:rowOff>35728</xdr:rowOff>
    </xdr:to>
    <xdr:grpSp>
      <xdr:nvGrpSpPr>
        <xdr:cNvPr id="213" name="グループ化 212">
          <a:extLst>
            <a:ext uri="{FF2B5EF4-FFF2-40B4-BE49-F238E27FC236}">
              <a16:creationId xmlns:a16="http://schemas.microsoft.com/office/drawing/2014/main" id="{BCB33E75-13D8-4B77-936D-39725F4C8DC7}"/>
            </a:ext>
          </a:extLst>
        </xdr:cNvPr>
        <xdr:cNvGrpSpPr/>
      </xdr:nvGrpSpPr>
      <xdr:grpSpPr>
        <a:xfrm>
          <a:off x="961278" y="7618505"/>
          <a:ext cx="1238700" cy="418223"/>
          <a:chOff x="4133004" y="6457948"/>
          <a:chExt cx="1238700" cy="405523"/>
        </a:xfrm>
      </xdr:grpSpPr>
      <xdr:sp macro="" textlink="">
        <xdr:nvSpPr>
          <xdr:cNvPr id="214" name="正方形/長方形 213">
            <a:extLst>
              <a:ext uri="{FF2B5EF4-FFF2-40B4-BE49-F238E27FC236}">
                <a16:creationId xmlns:a16="http://schemas.microsoft.com/office/drawing/2014/main" id="{75E41EEA-AEC9-5022-EA11-5030DA14D4A0}"/>
              </a:ext>
            </a:extLst>
          </xdr:cNvPr>
          <xdr:cNvSpPr/>
        </xdr:nvSpPr>
        <xdr:spPr>
          <a:xfrm>
            <a:off x="4133004" y="6457948"/>
            <a:ext cx="1238700" cy="405523"/>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1000">
              <a:solidFill>
                <a:schemeClr val="tx1"/>
              </a:solidFill>
              <a:latin typeface="Meiryo UI" panose="020B0604030504040204" pitchFamily="50" charset="-128"/>
              <a:ea typeface="Meiryo UI" panose="020B0604030504040204" pitchFamily="50" charset="-128"/>
            </a:endParaRPr>
          </a:p>
        </xdr:txBody>
      </xdr:sp>
      <xdr:sp macro="" textlink="">
        <xdr:nvSpPr>
          <xdr:cNvPr id="215" name="テキスト ボックス 214">
            <a:extLst>
              <a:ext uri="{FF2B5EF4-FFF2-40B4-BE49-F238E27FC236}">
                <a16:creationId xmlns:a16="http://schemas.microsoft.com/office/drawing/2014/main" id="{F58C8415-9F3D-EA40-BA35-9F8665DF66AE}"/>
              </a:ext>
            </a:extLst>
          </xdr:cNvPr>
          <xdr:cNvSpPr txBox="1"/>
        </xdr:nvSpPr>
        <xdr:spPr>
          <a:xfrm>
            <a:off x="4145757" y="6465095"/>
            <a:ext cx="1216818" cy="3857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700">
                <a:latin typeface="Meiryo UI" panose="020B0604030504040204" pitchFamily="50" charset="-128"/>
                <a:ea typeface="Meiryo UI" panose="020B0604030504040204" pitchFamily="50" charset="-128"/>
              </a:rPr>
              <a:t>送信フォルダパス取得</a:t>
            </a:r>
          </a:p>
        </xdr:txBody>
      </xdr:sp>
    </xdr:grpSp>
    <xdr:clientData/>
  </xdr:twoCellAnchor>
  <xdr:twoCellAnchor>
    <xdr:from>
      <xdr:col>15</xdr:col>
      <xdr:colOff>59579</xdr:colOff>
      <xdr:row>34</xdr:row>
      <xdr:rowOff>105708</xdr:rowOff>
    </xdr:from>
    <xdr:to>
      <xdr:col>22</xdr:col>
      <xdr:colOff>68348</xdr:colOff>
      <xdr:row>37</xdr:row>
      <xdr:rowOff>122137</xdr:rowOff>
    </xdr:to>
    <xdr:grpSp>
      <xdr:nvGrpSpPr>
        <xdr:cNvPr id="216" name="グループ化 215">
          <a:extLst>
            <a:ext uri="{FF2B5EF4-FFF2-40B4-BE49-F238E27FC236}">
              <a16:creationId xmlns:a16="http://schemas.microsoft.com/office/drawing/2014/main" id="{94889E94-1F3D-655E-6E21-3584EE11C9D0}"/>
            </a:ext>
          </a:extLst>
        </xdr:cNvPr>
        <xdr:cNvGrpSpPr/>
      </xdr:nvGrpSpPr>
      <xdr:grpSpPr>
        <a:xfrm>
          <a:off x="2917079" y="6582708"/>
          <a:ext cx="1342269" cy="587929"/>
          <a:chOff x="6017381" y="6405437"/>
          <a:chExt cx="1355675" cy="584603"/>
        </a:xfrm>
      </xdr:grpSpPr>
      <xdr:sp macro="" textlink="">
        <xdr:nvSpPr>
          <xdr:cNvPr id="217" name="ひし形 216">
            <a:extLst>
              <a:ext uri="{FF2B5EF4-FFF2-40B4-BE49-F238E27FC236}">
                <a16:creationId xmlns:a16="http://schemas.microsoft.com/office/drawing/2014/main" id="{CFA13D76-4DAA-59AA-F5A7-E1D2B85B3E15}"/>
              </a:ext>
            </a:extLst>
          </xdr:cNvPr>
          <xdr:cNvSpPr/>
        </xdr:nvSpPr>
        <xdr:spPr>
          <a:xfrm>
            <a:off x="6028662" y="6407868"/>
            <a:ext cx="1337699" cy="579287"/>
          </a:xfrm>
          <a:prstGeom prst="diamond">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en-US" altLang="ja-JP" sz="1000">
              <a:solidFill>
                <a:schemeClr val="tx1"/>
              </a:solidFill>
              <a:latin typeface="Meiryo UI" panose="020B0604030504040204" pitchFamily="50" charset="-128"/>
              <a:ea typeface="Meiryo UI" panose="020B0604030504040204" pitchFamily="50" charset="-128"/>
            </a:endParaRPr>
          </a:p>
        </xdr:txBody>
      </xdr:sp>
      <xdr:sp macro="" textlink="">
        <xdr:nvSpPr>
          <xdr:cNvPr id="218" name="テキスト ボックス 217">
            <a:extLst>
              <a:ext uri="{FF2B5EF4-FFF2-40B4-BE49-F238E27FC236}">
                <a16:creationId xmlns:a16="http://schemas.microsoft.com/office/drawing/2014/main" id="{FC31C02F-11D0-06FE-AB5B-F8BF8532CD16}"/>
              </a:ext>
            </a:extLst>
          </xdr:cNvPr>
          <xdr:cNvSpPr txBox="1"/>
        </xdr:nvSpPr>
        <xdr:spPr>
          <a:xfrm>
            <a:off x="6017381" y="6405437"/>
            <a:ext cx="1355675" cy="5846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700">
                <a:latin typeface="Meiryo UI" panose="020B0604030504040204" pitchFamily="50" charset="-128"/>
                <a:ea typeface="Meiryo UI" panose="020B0604030504040204" pitchFamily="50" charset="-128"/>
              </a:rPr>
              <a:t>マウントできたか</a:t>
            </a:r>
          </a:p>
        </xdr:txBody>
      </xdr:sp>
    </xdr:grpSp>
    <xdr:clientData/>
  </xdr:twoCellAnchor>
  <xdr:twoCellAnchor>
    <xdr:from>
      <xdr:col>18</xdr:col>
      <xdr:colOff>157626</xdr:colOff>
      <xdr:row>33</xdr:row>
      <xdr:rowOff>133322</xdr:rowOff>
    </xdr:from>
    <xdr:to>
      <xdr:col>18</xdr:col>
      <xdr:colOff>165890</xdr:colOff>
      <xdr:row>34</xdr:row>
      <xdr:rowOff>102533</xdr:rowOff>
    </xdr:to>
    <xdr:cxnSp macro="">
      <xdr:nvCxnSpPr>
        <xdr:cNvPr id="221" name="直線矢印コネクタ 220">
          <a:extLst>
            <a:ext uri="{FF2B5EF4-FFF2-40B4-BE49-F238E27FC236}">
              <a16:creationId xmlns:a16="http://schemas.microsoft.com/office/drawing/2014/main" id="{2DD19D76-BF79-4C26-B419-443470640B5E}"/>
            </a:ext>
          </a:extLst>
        </xdr:cNvPr>
        <xdr:cNvCxnSpPr>
          <a:cxnSpLocks/>
          <a:stCxn id="204" idx="2"/>
          <a:endCxn id="218" idx="0"/>
        </xdr:cNvCxnSpPr>
      </xdr:nvCxnSpPr>
      <xdr:spPr>
        <a:xfrm flipH="1">
          <a:off x="3586626" y="6610322"/>
          <a:ext cx="8264" cy="159711"/>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22</xdr:col>
      <xdr:colOff>65173</xdr:colOff>
      <xdr:row>36</xdr:row>
      <xdr:rowOff>18673</xdr:rowOff>
    </xdr:from>
    <xdr:to>
      <xdr:col>49</xdr:col>
      <xdr:colOff>87202</xdr:colOff>
      <xdr:row>81</xdr:row>
      <xdr:rowOff>175609</xdr:rowOff>
    </xdr:to>
    <xdr:cxnSp macro="">
      <xdr:nvCxnSpPr>
        <xdr:cNvPr id="225" name="コネクタ: カギ線 224">
          <a:extLst>
            <a:ext uri="{FF2B5EF4-FFF2-40B4-BE49-F238E27FC236}">
              <a16:creationId xmlns:a16="http://schemas.microsoft.com/office/drawing/2014/main" id="{EF1BC72F-B45D-4BC3-9D5D-3A695FD8905A}"/>
            </a:ext>
          </a:extLst>
        </xdr:cNvPr>
        <xdr:cNvCxnSpPr>
          <a:cxnSpLocks/>
          <a:stCxn id="218" idx="3"/>
          <a:endCxn id="42" idx="0"/>
        </xdr:cNvCxnSpPr>
      </xdr:nvCxnSpPr>
      <xdr:spPr>
        <a:xfrm>
          <a:off x="4256173" y="6876673"/>
          <a:ext cx="5165529" cy="9110436"/>
        </a:xfrm>
        <a:prstGeom prst="bentConnector2">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16</xdr:col>
      <xdr:colOff>48746</xdr:colOff>
      <xdr:row>37</xdr:row>
      <xdr:rowOff>67422</xdr:rowOff>
    </xdr:from>
    <xdr:to>
      <xdr:col>18</xdr:col>
      <xdr:colOff>153404</xdr:colOff>
      <xdr:row>38</xdr:row>
      <xdr:rowOff>180688</xdr:rowOff>
    </xdr:to>
    <xdr:sp macro="" textlink="">
      <xdr:nvSpPr>
        <xdr:cNvPr id="228" name="正方形/長方形 227">
          <a:extLst>
            <a:ext uri="{FF2B5EF4-FFF2-40B4-BE49-F238E27FC236}">
              <a16:creationId xmlns:a16="http://schemas.microsoft.com/office/drawing/2014/main" id="{76126792-5BA0-5C97-E8DD-5E9F17977DB3}"/>
            </a:ext>
          </a:extLst>
        </xdr:cNvPr>
        <xdr:cNvSpPr/>
      </xdr:nvSpPr>
      <xdr:spPr>
        <a:xfrm>
          <a:off x="3096746" y="7306422"/>
          <a:ext cx="485658" cy="30376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900">
              <a:solidFill>
                <a:sysClr val="windowText" lastClr="000000"/>
              </a:solidFill>
              <a:latin typeface="Meiryo UI" panose="020B0604030504040204" pitchFamily="50" charset="-128"/>
              <a:ea typeface="Meiryo UI" panose="020B0604030504040204" pitchFamily="50" charset="-128"/>
            </a:rPr>
            <a:t>Yes</a:t>
          </a:r>
          <a:endParaRPr kumimoji="1" lang="ja-JP" altLang="en-US" sz="9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4</xdr:col>
      <xdr:colOff>158750</xdr:colOff>
      <xdr:row>43</xdr:row>
      <xdr:rowOff>114300</xdr:rowOff>
    </xdr:from>
    <xdr:to>
      <xdr:col>11</xdr:col>
      <xdr:colOff>170694</xdr:colOff>
      <xdr:row>46</xdr:row>
      <xdr:rowOff>121204</xdr:rowOff>
    </xdr:to>
    <xdr:grpSp>
      <xdr:nvGrpSpPr>
        <xdr:cNvPr id="232" name="グループ化 231">
          <a:extLst>
            <a:ext uri="{FF2B5EF4-FFF2-40B4-BE49-F238E27FC236}">
              <a16:creationId xmlns:a16="http://schemas.microsoft.com/office/drawing/2014/main" id="{DCE1036D-7B9A-E165-EBB8-661796025F52}"/>
            </a:ext>
          </a:extLst>
        </xdr:cNvPr>
        <xdr:cNvGrpSpPr/>
      </xdr:nvGrpSpPr>
      <xdr:grpSpPr>
        <a:xfrm>
          <a:off x="920750" y="8305800"/>
          <a:ext cx="1345444" cy="578404"/>
          <a:chOff x="6017381" y="6405437"/>
          <a:chExt cx="1355675" cy="584603"/>
        </a:xfrm>
      </xdr:grpSpPr>
      <xdr:sp macro="" textlink="">
        <xdr:nvSpPr>
          <xdr:cNvPr id="233" name="ひし形 232">
            <a:extLst>
              <a:ext uri="{FF2B5EF4-FFF2-40B4-BE49-F238E27FC236}">
                <a16:creationId xmlns:a16="http://schemas.microsoft.com/office/drawing/2014/main" id="{6542A772-A800-BC65-CE75-707022C89BEC}"/>
              </a:ext>
            </a:extLst>
          </xdr:cNvPr>
          <xdr:cNvSpPr/>
        </xdr:nvSpPr>
        <xdr:spPr>
          <a:xfrm>
            <a:off x="6028662" y="6407868"/>
            <a:ext cx="1337699" cy="579287"/>
          </a:xfrm>
          <a:prstGeom prst="diamond">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en-US" altLang="ja-JP" sz="1000">
              <a:solidFill>
                <a:schemeClr val="tx1"/>
              </a:solidFill>
              <a:latin typeface="Meiryo UI" panose="020B0604030504040204" pitchFamily="50" charset="-128"/>
              <a:ea typeface="Meiryo UI" panose="020B0604030504040204" pitchFamily="50" charset="-128"/>
            </a:endParaRPr>
          </a:p>
        </xdr:txBody>
      </xdr:sp>
      <xdr:sp macro="" textlink="">
        <xdr:nvSpPr>
          <xdr:cNvPr id="234" name="テキスト ボックス 233">
            <a:extLst>
              <a:ext uri="{FF2B5EF4-FFF2-40B4-BE49-F238E27FC236}">
                <a16:creationId xmlns:a16="http://schemas.microsoft.com/office/drawing/2014/main" id="{F8ADF972-DC15-55CE-2C16-9F35B9F97612}"/>
              </a:ext>
            </a:extLst>
          </xdr:cNvPr>
          <xdr:cNvSpPr txBox="1"/>
        </xdr:nvSpPr>
        <xdr:spPr>
          <a:xfrm>
            <a:off x="6017381" y="6405437"/>
            <a:ext cx="1355675" cy="5846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700">
                <a:latin typeface="Meiryo UI" panose="020B0604030504040204" pitchFamily="50" charset="-128"/>
                <a:ea typeface="Meiryo UI" panose="020B0604030504040204" pitchFamily="50" charset="-128"/>
              </a:rPr>
              <a:t>送信フォルダが存在するか</a:t>
            </a:r>
          </a:p>
        </xdr:txBody>
      </xdr:sp>
    </xdr:grpSp>
    <xdr:clientData/>
  </xdr:twoCellAnchor>
  <xdr:twoCellAnchor>
    <xdr:from>
      <xdr:col>8</xdr:col>
      <xdr:colOff>61615</xdr:colOff>
      <xdr:row>42</xdr:row>
      <xdr:rowOff>22719</xdr:rowOff>
    </xdr:from>
    <xdr:to>
      <xdr:col>8</xdr:col>
      <xdr:colOff>69472</xdr:colOff>
      <xdr:row>43</xdr:row>
      <xdr:rowOff>114300</xdr:rowOff>
    </xdr:to>
    <xdr:cxnSp macro="">
      <xdr:nvCxnSpPr>
        <xdr:cNvPr id="235" name="直線矢印コネクタ 234">
          <a:extLst>
            <a:ext uri="{FF2B5EF4-FFF2-40B4-BE49-F238E27FC236}">
              <a16:creationId xmlns:a16="http://schemas.microsoft.com/office/drawing/2014/main" id="{375D77C3-F356-43E7-A80B-68960CB9BBF1}"/>
            </a:ext>
          </a:extLst>
        </xdr:cNvPr>
        <xdr:cNvCxnSpPr>
          <a:cxnSpLocks/>
          <a:stCxn id="215" idx="2"/>
          <a:endCxn id="234" idx="0"/>
        </xdr:cNvCxnSpPr>
      </xdr:nvCxnSpPr>
      <xdr:spPr>
        <a:xfrm>
          <a:off x="1585615" y="8023719"/>
          <a:ext cx="7857" cy="282081"/>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11</xdr:col>
      <xdr:colOff>170694</xdr:colOff>
      <xdr:row>45</xdr:row>
      <xdr:rowOff>24090</xdr:rowOff>
    </xdr:from>
    <xdr:to>
      <xdr:col>49</xdr:col>
      <xdr:colOff>87202</xdr:colOff>
      <xdr:row>81</xdr:row>
      <xdr:rowOff>175609</xdr:rowOff>
    </xdr:to>
    <xdr:cxnSp macro="">
      <xdr:nvCxnSpPr>
        <xdr:cNvPr id="238" name="コネクタ: カギ線 237">
          <a:extLst>
            <a:ext uri="{FF2B5EF4-FFF2-40B4-BE49-F238E27FC236}">
              <a16:creationId xmlns:a16="http://schemas.microsoft.com/office/drawing/2014/main" id="{2525EADB-D483-4292-BBB5-9DC2D7C17CC8}"/>
            </a:ext>
          </a:extLst>
        </xdr:cNvPr>
        <xdr:cNvCxnSpPr>
          <a:cxnSpLocks/>
          <a:stCxn id="234" idx="3"/>
          <a:endCxn id="42" idx="0"/>
        </xdr:cNvCxnSpPr>
      </xdr:nvCxnSpPr>
      <xdr:spPr>
        <a:xfrm>
          <a:off x="2266194" y="8596590"/>
          <a:ext cx="7155508" cy="7390519"/>
        </a:xfrm>
        <a:prstGeom prst="bentConnector2">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68712</xdr:colOff>
      <xdr:row>46</xdr:row>
      <xdr:rowOff>124379</xdr:rowOff>
    </xdr:from>
    <xdr:to>
      <xdr:col>8</xdr:col>
      <xdr:colOff>71060</xdr:colOff>
      <xdr:row>48</xdr:row>
      <xdr:rowOff>121671</xdr:rowOff>
    </xdr:to>
    <xdr:cxnSp macro="">
      <xdr:nvCxnSpPr>
        <xdr:cNvPr id="241" name="直線矢印コネクタ 240">
          <a:extLst>
            <a:ext uri="{FF2B5EF4-FFF2-40B4-BE49-F238E27FC236}">
              <a16:creationId xmlns:a16="http://schemas.microsoft.com/office/drawing/2014/main" id="{264DFF1C-00CA-42C1-995C-CA4FC2896E92}"/>
            </a:ext>
          </a:extLst>
        </xdr:cNvPr>
        <xdr:cNvCxnSpPr>
          <a:cxnSpLocks/>
          <a:stCxn id="234" idx="2"/>
          <a:endCxn id="246" idx="0"/>
        </xdr:cNvCxnSpPr>
      </xdr:nvCxnSpPr>
      <xdr:spPr>
        <a:xfrm flipH="1">
          <a:off x="1592712" y="8887379"/>
          <a:ext cx="2348" cy="378292"/>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5</xdr:col>
      <xdr:colOff>19050</xdr:colOff>
      <xdr:row>48</xdr:row>
      <xdr:rowOff>114300</xdr:rowOff>
    </xdr:from>
    <xdr:to>
      <xdr:col>11</xdr:col>
      <xdr:colOff>114750</xdr:colOff>
      <xdr:row>50</xdr:row>
      <xdr:rowOff>151523</xdr:rowOff>
    </xdr:to>
    <xdr:grpSp>
      <xdr:nvGrpSpPr>
        <xdr:cNvPr id="244" name="グループ化 243">
          <a:extLst>
            <a:ext uri="{FF2B5EF4-FFF2-40B4-BE49-F238E27FC236}">
              <a16:creationId xmlns:a16="http://schemas.microsoft.com/office/drawing/2014/main" id="{AE658B3B-C803-46DC-B47B-E9F5BE449360}"/>
            </a:ext>
          </a:extLst>
        </xdr:cNvPr>
        <xdr:cNvGrpSpPr/>
      </xdr:nvGrpSpPr>
      <xdr:grpSpPr>
        <a:xfrm>
          <a:off x="971550" y="9258300"/>
          <a:ext cx="1238700" cy="418223"/>
          <a:chOff x="4133004" y="6457948"/>
          <a:chExt cx="1238700" cy="405523"/>
        </a:xfrm>
      </xdr:grpSpPr>
      <xdr:sp macro="" textlink="">
        <xdr:nvSpPr>
          <xdr:cNvPr id="245" name="正方形/長方形 244">
            <a:extLst>
              <a:ext uri="{FF2B5EF4-FFF2-40B4-BE49-F238E27FC236}">
                <a16:creationId xmlns:a16="http://schemas.microsoft.com/office/drawing/2014/main" id="{08033AA0-0516-69C9-E6D8-FB6CDEF7C7E2}"/>
              </a:ext>
            </a:extLst>
          </xdr:cNvPr>
          <xdr:cNvSpPr/>
        </xdr:nvSpPr>
        <xdr:spPr>
          <a:xfrm>
            <a:off x="4133004" y="6457948"/>
            <a:ext cx="1238700" cy="405523"/>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1000">
              <a:solidFill>
                <a:schemeClr val="tx1"/>
              </a:solidFill>
              <a:latin typeface="Meiryo UI" panose="020B0604030504040204" pitchFamily="50" charset="-128"/>
              <a:ea typeface="Meiryo UI" panose="020B0604030504040204" pitchFamily="50" charset="-128"/>
            </a:endParaRPr>
          </a:p>
        </xdr:txBody>
      </xdr:sp>
      <xdr:sp macro="" textlink="">
        <xdr:nvSpPr>
          <xdr:cNvPr id="246" name="テキスト ボックス 245">
            <a:extLst>
              <a:ext uri="{FF2B5EF4-FFF2-40B4-BE49-F238E27FC236}">
                <a16:creationId xmlns:a16="http://schemas.microsoft.com/office/drawing/2014/main" id="{BCC55210-483E-979C-35BE-8FAC4F3EBBAF}"/>
              </a:ext>
            </a:extLst>
          </xdr:cNvPr>
          <xdr:cNvSpPr txBox="1"/>
        </xdr:nvSpPr>
        <xdr:spPr>
          <a:xfrm>
            <a:off x="4145757" y="6465095"/>
            <a:ext cx="1216818" cy="3857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700">
                <a:latin typeface="Meiryo UI" panose="020B0604030504040204" pitchFamily="50" charset="-128"/>
                <a:ea typeface="Meiryo UI" panose="020B0604030504040204" pitchFamily="50" charset="-128"/>
              </a:rPr>
              <a:t>ワークフォルダパス取得</a:t>
            </a:r>
          </a:p>
        </xdr:txBody>
      </xdr:sp>
    </xdr:grpSp>
    <xdr:clientData/>
  </xdr:twoCellAnchor>
  <xdr:twoCellAnchor>
    <xdr:from>
      <xdr:col>4</xdr:col>
      <xdr:colOff>161925</xdr:colOff>
      <xdr:row>52</xdr:row>
      <xdr:rowOff>82550</xdr:rowOff>
    </xdr:from>
    <xdr:to>
      <xdr:col>11</xdr:col>
      <xdr:colOff>173869</xdr:colOff>
      <xdr:row>55</xdr:row>
      <xdr:rowOff>95804</xdr:rowOff>
    </xdr:to>
    <xdr:grpSp>
      <xdr:nvGrpSpPr>
        <xdr:cNvPr id="248" name="グループ化 247">
          <a:extLst>
            <a:ext uri="{FF2B5EF4-FFF2-40B4-BE49-F238E27FC236}">
              <a16:creationId xmlns:a16="http://schemas.microsoft.com/office/drawing/2014/main" id="{113FF04D-36CA-4502-BB7F-A291E86850FD}"/>
            </a:ext>
          </a:extLst>
        </xdr:cNvPr>
        <xdr:cNvGrpSpPr/>
      </xdr:nvGrpSpPr>
      <xdr:grpSpPr>
        <a:xfrm>
          <a:off x="923925" y="9988550"/>
          <a:ext cx="1345444" cy="584754"/>
          <a:chOff x="6017381" y="6405437"/>
          <a:chExt cx="1355675" cy="584603"/>
        </a:xfrm>
      </xdr:grpSpPr>
      <xdr:sp macro="" textlink="">
        <xdr:nvSpPr>
          <xdr:cNvPr id="249" name="ひし形 248">
            <a:extLst>
              <a:ext uri="{FF2B5EF4-FFF2-40B4-BE49-F238E27FC236}">
                <a16:creationId xmlns:a16="http://schemas.microsoft.com/office/drawing/2014/main" id="{786CBF6D-ACC2-9F66-0D69-5696A9114D3B}"/>
              </a:ext>
            </a:extLst>
          </xdr:cNvPr>
          <xdr:cNvSpPr/>
        </xdr:nvSpPr>
        <xdr:spPr>
          <a:xfrm>
            <a:off x="6028662" y="6407868"/>
            <a:ext cx="1337699" cy="579287"/>
          </a:xfrm>
          <a:prstGeom prst="diamond">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en-US" altLang="ja-JP" sz="1000">
              <a:solidFill>
                <a:schemeClr val="tx1"/>
              </a:solidFill>
              <a:latin typeface="Meiryo UI" panose="020B0604030504040204" pitchFamily="50" charset="-128"/>
              <a:ea typeface="Meiryo UI" panose="020B0604030504040204" pitchFamily="50" charset="-128"/>
            </a:endParaRPr>
          </a:p>
        </xdr:txBody>
      </xdr:sp>
      <xdr:sp macro="" textlink="">
        <xdr:nvSpPr>
          <xdr:cNvPr id="250" name="テキスト ボックス 249">
            <a:extLst>
              <a:ext uri="{FF2B5EF4-FFF2-40B4-BE49-F238E27FC236}">
                <a16:creationId xmlns:a16="http://schemas.microsoft.com/office/drawing/2014/main" id="{27AFFD1A-EE6F-026A-2A48-955490FD855A}"/>
              </a:ext>
            </a:extLst>
          </xdr:cNvPr>
          <xdr:cNvSpPr txBox="1"/>
        </xdr:nvSpPr>
        <xdr:spPr>
          <a:xfrm>
            <a:off x="6017381" y="6405437"/>
            <a:ext cx="1355675" cy="5846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700">
                <a:latin typeface="Meiryo UI" panose="020B0604030504040204" pitchFamily="50" charset="-128"/>
                <a:ea typeface="Meiryo UI" panose="020B0604030504040204" pitchFamily="50" charset="-128"/>
              </a:rPr>
              <a:t>ワークフォルダが存在するか</a:t>
            </a:r>
          </a:p>
        </xdr:txBody>
      </xdr:sp>
    </xdr:grpSp>
    <xdr:clientData/>
  </xdr:twoCellAnchor>
  <xdr:twoCellAnchor>
    <xdr:from>
      <xdr:col>8</xdr:col>
      <xdr:colOff>66900</xdr:colOff>
      <xdr:row>50</xdr:row>
      <xdr:rowOff>151523</xdr:rowOff>
    </xdr:from>
    <xdr:to>
      <xdr:col>8</xdr:col>
      <xdr:colOff>72647</xdr:colOff>
      <xdr:row>52</xdr:row>
      <xdr:rowOff>82550</xdr:rowOff>
    </xdr:to>
    <xdr:cxnSp macro="">
      <xdr:nvCxnSpPr>
        <xdr:cNvPr id="251" name="直線矢印コネクタ 250">
          <a:extLst>
            <a:ext uri="{FF2B5EF4-FFF2-40B4-BE49-F238E27FC236}">
              <a16:creationId xmlns:a16="http://schemas.microsoft.com/office/drawing/2014/main" id="{3DD00BCA-9CD3-4B42-B7A5-9D0D2A88FF7F}"/>
            </a:ext>
          </a:extLst>
        </xdr:cNvPr>
        <xdr:cNvCxnSpPr>
          <a:cxnSpLocks/>
          <a:stCxn id="245" idx="2"/>
          <a:endCxn id="250" idx="0"/>
        </xdr:cNvCxnSpPr>
      </xdr:nvCxnSpPr>
      <xdr:spPr>
        <a:xfrm>
          <a:off x="1590900" y="9676523"/>
          <a:ext cx="5747" cy="312027"/>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11</xdr:col>
      <xdr:colOff>173869</xdr:colOff>
      <xdr:row>53</xdr:row>
      <xdr:rowOff>186015</xdr:rowOff>
    </xdr:from>
    <xdr:to>
      <xdr:col>49</xdr:col>
      <xdr:colOff>87202</xdr:colOff>
      <xdr:row>81</xdr:row>
      <xdr:rowOff>175609</xdr:rowOff>
    </xdr:to>
    <xdr:cxnSp macro="">
      <xdr:nvCxnSpPr>
        <xdr:cNvPr id="254" name="コネクタ: カギ線 253">
          <a:extLst>
            <a:ext uri="{FF2B5EF4-FFF2-40B4-BE49-F238E27FC236}">
              <a16:creationId xmlns:a16="http://schemas.microsoft.com/office/drawing/2014/main" id="{024D7328-E80D-4653-AB09-A0CAB486426B}"/>
            </a:ext>
          </a:extLst>
        </xdr:cNvPr>
        <xdr:cNvCxnSpPr>
          <a:cxnSpLocks/>
          <a:stCxn id="250" idx="3"/>
          <a:endCxn id="42" idx="0"/>
        </xdr:cNvCxnSpPr>
      </xdr:nvCxnSpPr>
      <xdr:spPr>
        <a:xfrm>
          <a:off x="2269369" y="10282515"/>
          <a:ext cx="7152333" cy="5704594"/>
        </a:xfrm>
        <a:prstGeom prst="bentConnector2">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88339</xdr:colOff>
      <xdr:row>43</xdr:row>
      <xdr:rowOff>104775</xdr:rowOff>
    </xdr:from>
    <xdr:to>
      <xdr:col>13</xdr:col>
      <xdr:colOff>183472</xdr:colOff>
      <xdr:row>45</xdr:row>
      <xdr:rowOff>27541</xdr:rowOff>
    </xdr:to>
    <xdr:sp macro="" textlink="">
      <xdr:nvSpPr>
        <xdr:cNvPr id="257" name="正方形/長方形 256">
          <a:extLst>
            <a:ext uri="{FF2B5EF4-FFF2-40B4-BE49-F238E27FC236}">
              <a16:creationId xmlns:a16="http://schemas.microsoft.com/office/drawing/2014/main" id="{B55405DF-3735-40E8-A34D-7222D236AFB8}"/>
            </a:ext>
          </a:extLst>
        </xdr:cNvPr>
        <xdr:cNvSpPr/>
      </xdr:nvSpPr>
      <xdr:spPr>
        <a:xfrm>
          <a:off x="2183839" y="8296275"/>
          <a:ext cx="476133" cy="30376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900">
              <a:solidFill>
                <a:sysClr val="windowText" lastClr="000000"/>
              </a:solidFill>
              <a:latin typeface="Meiryo UI" panose="020B0604030504040204" pitchFamily="50" charset="-128"/>
              <a:ea typeface="Meiryo UI" panose="020B0604030504040204" pitchFamily="50" charset="-128"/>
            </a:rPr>
            <a:t>No</a:t>
          </a:r>
          <a:endParaRPr kumimoji="1" lang="ja-JP" altLang="en-US" sz="9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5</xdr:col>
      <xdr:colOff>152400</xdr:colOff>
      <xdr:row>46</xdr:row>
      <xdr:rowOff>29509</xdr:rowOff>
    </xdr:from>
    <xdr:to>
      <xdr:col>8</xdr:col>
      <xdr:colOff>69733</xdr:colOff>
      <xdr:row>47</xdr:row>
      <xdr:rowOff>142775</xdr:rowOff>
    </xdr:to>
    <xdr:sp macro="" textlink="">
      <xdr:nvSpPr>
        <xdr:cNvPr id="258" name="正方形/長方形 257">
          <a:extLst>
            <a:ext uri="{FF2B5EF4-FFF2-40B4-BE49-F238E27FC236}">
              <a16:creationId xmlns:a16="http://schemas.microsoft.com/office/drawing/2014/main" id="{EBE02996-5CCC-41FB-AD36-CFA0B69D8751}"/>
            </a:ext>
          </a:extLst>
        </xdr:cNvPr>
        <xdr:cNvSpPr/>
      </xdr:nvSpPr>
      <xdr:spPr>
        <a:xfrm>
          <a:off x="1104900" y="8792509"/>
          <a:ext cx="488833" cy="30376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900">
              <a:solidFill>
                <a:sysClr val="windowText" lastClr="000000"/>
              </a:solidFill>
              <a:latin typeface="Meiryo UI" panose="020B0604030504040204" pitchFamily="50" charset="-128"/>
              <a:ea typeface="Meiryo UI" panose="020B0604030504040204" pitchFamily="50" charset="-128"/>
            </a:rPr>
            <a:t>Yes</a:t>
          </a:r>
          <a:endParaRPr kumimoji="1" lang="ja-JP" altLang="en-US" sz="9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11</xdr:col>
      <xdr:colOff>40714</xdr:colOff>
      <xdr:row>52</xdr:row>
      <xdr:rowOff>47625</xdr:rowOff>
    </xdr:from>
    <xdr:to>
      <xdr:col>13</xdr:col>
      <xdr:colOff>135847</xdr:colOff>
      <xdr:row>53</xdr:row>
      <xdr:rowOff>160891</xdr:rowOff>
    </xdr:to>
    <xdr:sp macro="" textlink="">
      <xdr:nvSpPr>
        <xdr:cNvPr id="259" name="正方形/長方形 258">
          <a:extLst>
            <a:ext uri="{FF2B5EF4-FFF2-40B4-BE49-F238E27FC236}">
              <a16:creationId xmlns:a16="http://schemas.microsoft.com/office/drawing/2014/main" id="{A0E31BCD-6EAE-4A0C-9470-0B1541ABD47E}"/>
            </a:ext>
          </a:extLst>
        </xdr:cNvPr>
        <xdr:cNvSpPr/>
      </xdr:nvSpPr>
      <xdr:spPr>
        <a:xfrm>
          <a:off x="2136214" y="9953625"/>
          <a:ext cx="476133" cy="30376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900">
              <a:solidFill>
                <a:sysClr val="windowText" lastClr="000000"/>
              </a:solidFill>
              <a:latin typeface="Meiryo UI" panose="020B0604030504040204" pitchFamily="50" charset="-128"/>
              <a:ea typeface="Meiryo UI" panose="020B0604030504040204" pitchFamily="50" charset="-128"/>
            </a:rPr>
            <a:t>No</a:t>
          </a:r>
          <a:endParaRPr kumimoji="1" lang="ja-JP" altLang="en-US" sz="9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5</xdr:col>
      <xdr:colOff>104775</xdr:colOff>
      <xdr:row>54</xdr:row>
      <xdr:rowOff>162859</xdr:rowOff>
    </xdr:from>
    <xdr:to>
      <xdr:col>8</xdr:col>
      <xdr:colOff>22108</xdr:colOff>
      <xdr:row>56</xdr:row>
      <xdr:rowOff>85625</xdr:rowOff>
    </xdr:to>
    <xdr:sp macro="" textlink="">
      <xdr:nvSpPr>
        <xdr:cNvPr id="260" name="正方形/長方形 259">
          <a:extLst>
            <a:ext uri="{FF2B5EF4-FFF2-40B4-BE49-F238E27FC236}">
              <a16:creationId xmlns:a16="http://schemas.microsoft.com/office/drawing/2014/main" id="{B750A1F1-A31F-4F87-AF95-52CEC749CBD8}"/>
            </a:ext>
          </a:extLst>
        </xdr:cNvPr>
        <xdr:cNvSpPr/>
      </xdr:nvSpPr>
      <xdr:spPr>
        <a:xfrm>
          <a:off x="1057275" y="10449859"/>
          <a:ext cx="488833" cy="30376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900">
              <a:solidFill>
                <a:sysClr val="windowText" lastClr="000000"/>
              </a:solidFill>
              <a:latin typeface="Meiryo UI" panose="020B0604030504040204" pitchFamily="50" charset="-128"/>
              <a:ea typeface="Meiryo UI" panose="020B0604030504040204" pitchFamily="50" charset="-128"/>
            </a:rPr>
            <a:t>Yes</a:t>
          </a:r>
          <a:endParaRPr kumimoji="1" lang="ja-JP" altLang="en-US" sz="9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8</xdr:col>
      <xdr:colOff>72647</xdr:colOff>
      <xdr:row>55</xdr:row>
      <xdr:rowOff>92933</xdr:rowOff>
    </xdr:from>
    <xdr:to>
      <xdr:col>8</xdr:col>
      <xdr:colOff>73341</xdr:colOff>
      <xdr:row>57</xdr:row>
      <xdr:rowOff>161925</xdr:rowOff>
    </xdr:to>
    <xdr:cxnSp macro="">
      <xdr:nvCxnSpPr>
        <xdr:cNvPr id="261" name="直線矢印コネクタ 260">
          <a:extLst>
            <a:ext uri="{FF2B5EF4-FFF2-40B4-BE49-F238E27FC236}">
              <a16:creationId xmlns:a16="http://schemas.microsoft.com/office/drawing/2014/main" id="{C03EBF8F-DFE5-45C8-BFE2-721A8E73E2AC}"/>
            </a:ext>
          </a:extLst>
        </xdr:cNvPr>
        <xdr:cNvCxnSpPr>
          <a:cxnSpLocks/>
          <a:stCxn id="249" idx="2"/>
          <a:endCxn id="266" idx="0"/>
        </xdr:cNvCxnSpPr>
      </xdr:nvCxnSpPr>
      <xdr:spPr>
        <a:xfrm flipH="1">
          <a:off x="1596647" y="10570433"/>
          <a:ext cx="694" cy="449992"/>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161925</xdr:colOff>
      <xdr:row>57</xdr:row>
      <xdr:rowOff>161925</xdr:rowOff>
    </xdr:from>
    <xdr:to>
      <xdr:col>11</xdr:col>
      <xdr:colOff>173869</xdr:colOff>
      <xdr:row>60</xdr:row>
      <xdr:rowOff>168829</xdr:rowOff>
    </xdr:to>
    <xdr:grpSp>
      <xdr:nvGrpSpPr>
        <xdr:cNvPr id="264" name="グループ化 263">
          <a:extLst>
            <a:ext uri="{FF2B5EF4-FFF2-40B4-BE49-F238E27FC236}">
              <a16:creationId xmlns:a16="http://schemas.microsoft.com/office/drawing/2014/main" id="{0A9224A5-3846-4171-BFB8-9608DA5F685B}"/>
            </a:ext>
          </a:extLst>
        </xdr:cNvPr>
        <xdr:cNvGrpSpPr/>
      </xdr:nvGrpSpPr>
      <xdr:grpSpPr>
        <a:xfrm>
          <a:off x="923925" y="11020425"/>
          <a:ext cx="1345444" cy="578404"/>
          <a:chOff x="6017381" y="6405437"/>
          <a:chExt cx="1355675" cy="584603"/>
        </a:xfrm>
      </xdr:grpSpPr>
      <xdr:sp macro="" textlink="">
        <xdr:nvSpPr>
          <xdr:cNvPr id="265" name="ひし形 264">
            <a:extLst>
              <a:ext uri="{FF2B5EF4-FFF2-40B4-BE49-F238E27FC236}">
                <a16:creationId xmlns:a16="http://schemas.microsoft.com/office/drawing/2014/main" id="{0F3C23FB-95C2-6DB9-CBEF-CAA79387B0FB}"/>
              </a:ext>
            </a:extLst>
          </xdr:cNvPr>
          <xdr:cNvSpPr/>
        </xdr:nvSpPr>
        <xdr:spPr>
          <a:xfrm>
            <a:off x="6028662" y="6407868"/>
            <a:ext cx="1337699" cy="579287"/>
          </a:xfrm>
          <a:prstGeom prst="diamond">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en-US" altLang="ja-JP" sz="1000">
              <a:solidFill>
                <a:schemeClr val="tx1"/>
              </a:solidFill>
              <a:latin typeface="Meiryo UI" panose="020B0604030504040204" pitchFamily="50" charset="-128"/>
              <a:ea typeface="Meiryo UI" panose="020B0604030504040204" pitchFamily="50" charset="-128"/>
            </a:endParaRPr>
          </a:p>
        </xdr:txBody>
      </xdr:sp>
      <xdr:sp macro="" textlink="">
        <xdr:nvSpPr>
          <xdr:cNvPr id="266" name="テキスト ボックス 265">
            <a:extLst>
              <a:ext uri="{FF2B5EF4-FFF2-40B4-BE49-F238E27FC236}">
                <a16:creationId xmlns:a16="http://schemas.microsoft.com/office/drawing/2014/main" id="{6D54E6D6-CA98-61AF-2140-50E2B3CA19FA}"/>
              </a:ext>
            </a:extLst>
          </xdr:cNvPr>
          <xdr:cNvSpPr txBox="1"/>
        </xdr:nvSpPr>
        <xdr:spPr>
          <a:xfrm>
            <a:off x="6017381" y="6405437"/>
            <a:ext cx="1355675" cy="5846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700">
                <a:latin typeface="Meiryo UI" panose="020B0604030504040204" pitchFamily="50" charset="-128"/>
                <a:ea typeface="Meiryo UI" panose="020B0604030504040204" pitchFamily="50" charset="-128"/>
              </a:rPr>
              <a:t>上書き種別</a:t>
            </a:r>
          </a:p>
        </xdr:txBody>
      </xdr:sp>
    </xdr:grpSp>
    <xdr:clientData/>
  </xdr:twoCellAnchor>
  <xdr:twoCellAnchor>
    <xdr:from>
      <xdr:col>11</xdr:col>
      <xdr:colOff>173869</xdr:colOff>
      <xdr:row>59</xdr:row>
      <xdr:rowOff>68540</xdr:rowOff>
    </xdr:from>
    <xdr:to>
      <xdr:col>18</xdr:col>
      <xdr:colOff>128210</xdr:colOff>
      <xdr:row>61</xdr:row>
      <xdr:rowOff>149225</xdr:rowOff>
    </xdr:to>
    <xdr:cxnSp macro="">
      <xdr:nvCxnSpPr>
        <xdr:cNvPr id="268" name="コネクタ: カギ線 267">
          <a:extLst>
            <a:ext uri="{FF2B5EF4-FFF2-40B4-BE49-F238E27FC236}">
              <a16:creationId xmlns:a16="http://schemas.microsoft.com/office/drawing/2014/main" id="{FE6A6DD9-6271-41D2-A2AA-B284C34BF5B7}"/>
            </a:ext>
          </a:extLst>
        </xdr:cNvPr>
        <xdr:cNvCxnSpPr>
          <a:cxnSpLocks/>
          <a:stCxn id="266" idx="3"/>
          <a:endCxn id="280" idx="0"/>
        </xdr:cNvCxnSpPr>
      </xdr:nvCxnSpPr>
      <xdr:spPr>
        <a:xfrm>
          <a:off x="2269369" y="11308040"/>
          <a:ext cx="1287841" cy="461685"/>
        </a:xfrm>
        <a:prstGeom prst="bentConnector2">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69290</xdr:colOff>
      <xdr:row>57</xdr:row>
      <xdr:rowOff>177800</xdr:rowOff>
    </xdr:from>
    <xdr:to>
      <xdr:col>15</xdr:col>
      <xdr:colOff>161926</xdr:colOff>
      <xdr:row>59</xdr:row>
      <xdr:rowOff>106916</xdr:rowOff>
    </xdr:to>
    <xdr:sp macro="" textlink="">
      <xdr:nvSpPr>
        <xdr:cNvPr id="272" name="正方形/長方形 271">
          <a:extLst>
            <a:ext uri="{FF2B5EF4-FFF2-40B4-BE49-F238E27FC236}">
              <a16:creationId xmlns:a16="http://schemas.microsoft.com/office/drawing/2014/main" id="{8870E6EC-2D54-DBEA-511F-12DED3A838D7}"/>
            </a:ext>
          </a:extLst>
        </xdr:cNvPr>
        <xdr:cNvSpPr/>
      </xdr:nvSpPr>
      <xdr:spPr>
        <a:xfrm>
          <a:off x="2164790" y="11036300"/>
          <a:ext cx="854636" cy="31011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ysClr val="windowText" lastClr="000000"/>
              </a:solidFill>
              <a:latin typeface="Meiryo UI" panose="020B0604030504040204" pitchFamily="50" charset="-128"/>
              <a:ea typeface="Meiryo UI" panose="020B0604030504040204" pitchFamily="50" charset="-128"/>
            </a:rPr>
            <a:t>上書き禁止</a:t>
          </a:r>
        </a:p>
      </xdr:txBody>
    </xdr:sp>
    <xdr:clientData/>
  </xdr:twoCellAnchor>
  <xdr:twoCellAnchor>
    <xdr:from>
      <xdr:col>5</xdr:col>
      <xdr:colOff>47625</xdr:colOff>
      <xdr:row>60</xdr:row>
      <xdr:rowOff>102534</xdr:rowOff>
    </xdr:from>
    <xdr:to>
      <xdr:col>8</xdr:col>
      <xdr:colOff>50684</xdr:colOff>
      <xdr:row>62</xdr:row>
      <xdr:rowOff>31650</xdr:rowOff>
    </xdr:to>
    <xdr:sp macro="" textlink="">
      <xdr:nvSpPr>
        <xdr:cNvPr id="273" name="正方形/長方形 272">
          <a:extLst>
            <a:ext uri="{FF2B5EF4-FFF2-40B4-BE49-F238E27FC236}">
              <a16:creationId xmlns:a16="http://schemas.microsoft.com/office/drawing/2014/main" id="{8C1B92AE-3973-9065-F3D6-6326A6D82CF3}"/>
            </a:ext>
          </a:extLst>
        </xdr:cNvPr>
        <xdr:cNvSpPr/>
      </xdr:nvSpPr>
      <xdr:spPr>
        <a:xfrm>
          <a:off x="1000125" y="11532534"/>
          <a:ext cx="574559" cy="31011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ysClr val="windowText" lastClr="000000"/>
              </a:solidFill>
              <a:latin typeface="Meiryo UI" panose="020B0604030504040204" pitchFamily="50" charset="-128"/>
              <a:ea typeface="Meiryo UI" panose="020B0604030504040204" pitchFamily="50" charset="-128"/>
            </a:rPr>
            <a:t>上書き</a:t>
          </a:r>
        </a:p>
      </xdr:txBody>
    </xdr:sp>
    <xdr:clientData/>
  </xdr:twoCellAnchor>
  <xdr:twoCellAnchor>
    <xdr:from>
      <xdr:col>15</xdr:col>
      <xdr:colOff>73025</xdr:colOff>
      <xdr:row>68</xdr:row>
      <xdr:rowOff>38100</xdr:rowOff>
    </xdr:from>
    <xdr:to>
      <xdr:col>21</xdr:col>
      <xdr:colOff>168725</xdr:colOff>
      <xdr:row>70</xdr:row>
      <xdr:rowOff>75323</xdr:rowOff>
    </xdr:to>
    <xdr:grpSp>
      <xdr:nvGrpSpPr>
        <xdr:cNvPr id="274" name="グループ化 273">
          <a:extLst>
            <a:ext uri="{FF2B5EF4-FFF2-40B4-BE49-F238E27FC236}">
              <a16:creationId xmlns:a16="http://schemas.microsoft.com/office/drawing/2014/main" id="{F09CD10B-3EC6-D1D7-18E4-67820C467587}"/>
            </a:ext>
          </a:extLst>
        </xdr:cNvPr>
        <xdr:cNvGrpSpPr/>
      </xdr:nvGrpSpPr>
      <xdr:grpSpPr>
        <a:xfrm>
          <a:off x="2930525" y="12992100"/>
          <a:ext cx="1238700" cy="418223"/>
          <a:chOff x="4133004" y="6457948"/>
          <a:chExt cx="1238700" cy="405523"/>
        </a:xfrm>
      </xdr:grpSpPr>
      <xdr:sp macro="" textlink="">
        <xdr:nvSpPr>
          <xdr:cNvPr id="275" name="正方形/長方形 274">
            <a:extLst>
              <a:ext uri="{FF2B5EF4-FFF2-40B4-BE49-F238E27FC236}">
                <a16:creationId xmlns:a16="http://schemas.microsoft.com/office/drawing/2014/main" id="{8249BEC5-C94A-4686-4C9B-0961D801D4DC}"/>
              </a:ext>
            </a:extLst>
          </xdr:cNvPr>
          <xdr:cNvSpPr/>
        </xdr:nvSpPr>
        <xdr:spPr>
          <a:xfrm>
            <a:off x="4133004" y="6457948"/>
            <a:ext cx="1238700" cy="405523"/>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1000">
              <a:solidFill>
                <a:schemeClr val="tx1"/>
              </a:solidFill>
              <a:latin typeface="Meiryo UI" panose="020B0604030504040204" pitchFamily="50" charset="-128"/>
              <a:ea typeface="Meiryo UI" panose="020B0604030504040204" pitchFamily="50" charset="-128"/>
            </a:endParaRPr>
          </a:p>
        </xdr:txBody>
      </xdr:sp>
      <xdr:sp macro="" textlink="">
        <xdr:nvSpPr>
          <xdr:cNvPr id="276" name="テキスト ボックス 275">
            <a:extLst>
              <a:ext uri="{FF2B5EF4-FFF2-40B4-BE49-F238E27FC236}">
                <a16:creationId xmlns:a16="http://schemas.microsoft.com/office/drawing/2014/main" id="{4BD0B22E-E7B3-7333-9DF5-DC1BB74092F8}"/>
              </a:ext>
            </a:extLst>
          </xdr:cNvPr>
          <xdr:cNvSpPr txBox="1"/>
        </xdr:nvSpPr>
        <xdr:spPr>
          <a:xfrm>
            <a:off x="4145757" y="6465095"/>
            <a:ext cx="1216818" cy="3857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700">
                <a:latin typeface="Meiryo UI" panose="020B0604030504040204" pitchFamily="50" charset="-128"/>
                <a:ea typeface="Meiryo UI" panose="020B0604030504040204" pitchFamily="50" charset="-128"/>
              </a:rPr>
              <a:t>検索ファイル名取得</a:t>
            </a:r>
            <a:endParaRPr kumimoji="1" lang="en-US" altLang="ja-JP" sz="700">
              <a:latin typeface="Meiryo UI" panose="020B0604030504040204" pitchFamily="50" charset="-128"/>
              <a:ea typeface="Meiryo UI" panose="020B0604030504040204" pitchFamily="50" charset="-128"/>
            </a:endParaRPr>
          </a:p>
          <a:p>
            <a:pPr algn="ctr"/>
            <a:r>
              <a:rPr kumimoji="1" lang="en-US" altLang="ja-JP" sz="700">
                <a:latin typeface="Meiryo UI" panose="020B0604030504040204" pitchFamily="50" charset="-128"/>
                <a:ea typeface="Meiryo UI" panose="020B0604030504040204" pitchFamily="50" charset="-128"/>
              </a:rPr>
              <a:t>([</a:t>
            </a:r>
            <a:r>
              <a:rPr kumimoji="1" lang="ja-JP" altLang="en-US" sz="700">
                <a:latin typeface="Meiryo UI" panose="020B0604030504040204" pitchFamily="50" charset="-128"/>
                <a:ea typeface="Meiryo UI" panose="020B0604030504040204" pitchFamily="50" charset="-128"/>
              </a:rPr>
              <a:t>引数</a:t>
            </a:r>
            <a:r>
              <a:rPr kumimoji="1" lang="en-US" altLang="ja-JP" sz="700">
                <a:latin typeface="Meiryo UI" panose="020B0604030504040204" pitchFamily="50" charset="-128"/>
                <a:ea typeface="Meiryo UI" panose="020B0604030504040204" pitchFamily="50" charset="-128"/>
              </a:rPr>
              <a:t>3.</a:t>
            </a:r>
            <a:r>
              <a:rPr kumimoji="1" lang="ja-JP" altLang="en-US" sz="700">
                <a:latin typeface="Meiryo UI" panose="020B0604030504040204" pitchFamily="50" charset="-128"/>
                <a:ea typeface="Meiryo UI" panose="020B0604030504040204" pitchFamily="50" charset="-128"/>
              </a:rPr>
              <a:t>ファイル名</a:t>
            </a:r>
            <a:r>
              <a:rPr kumimoji="1" lang="en-US" altLang="ja-JP" sz="700">
                <a:latin typeface="Meiryo UI" panose="020B0604030504040204" pitchFamily="50" charset="-128"/>
                <a:ea typeface="Meiryo UI" panose="020B0604030504040204" pitchFamily="50" charset="-128"/>
              </a:rPr>
              <a:t>]</a:t>
            </a:r>
            <a:r>
              <a:rPr kumimoji="1" lang="ja-JP" altLang="en-US" sz="700">
                <a:latin typeface="Meiryo UI" panose="020B0604030504040204" pitchFamily="50" charset="-128"/>
                <a:ea typeface="Meiryo UI" panose="020B0604030504040204" pitchFamily="50" charset="-128"/>
              </a:rPr>
              <a:t>の値</a:t>
            </a:r>
            <a:r>
              <a:rPr kumimoji="1" lang="en-US" altLang="ja-JP" sz="700">
                <a:latin typeface="Meiryo UI" panose="020B0604030504040204" pitchFamily="50" charset="-128"/>
                <a:ea typeface="Meiryo UI" panose="020B0604030504040204" pitchFamily="50" charset="-128"/>
              </a:rPr>
              <a:t>)</a:t>
            </a:r>
            <a:endParaRPr kumimoji="1" lang="ja-JP" altLang="en-US" sz="700">
              <a:latin typeface="Meiryo UI" panose="020B0604030504040204" pitchFamily="50" charset="-128"/>
              <a:ea typeface="Meiryo UI" panose="020B0604030504040204" pitchFamily="50" charset="-128"/>
            </a:endParaRPr>
          </a:p>
        </xdr:txBody>
      </xdr:sp>
    </xdr:grpSp>
    <xdr:clientData/>
  </xdr:twoCellAnchor>
  <xdr:twoCellAnchor>
    <xdr:from>
      <xdr:col>15</xdr:col>
      <xdr:colOff>25400</xdr:colOff>
      <xdr:row>61</xdr:row>
      <xdr:rowOff>149225</xdr:rowOff>
    </xdr:from>
    <xdr:to>
      <xdr:col>22</xdr:col>
      <xdr:colOff>37344</xdr:colOff>
      <xdr:row>64</xdr:row>
      <xdr:rowOff>162479</xdr:rowOff>
    </xdr:to>
    <xdr:grpSp>
      <xdr:nvGrpSpPr>
        <xdr:cNvPr id="278" name="グループ化 277">
          <a:extLst>
            <a:ext uri="{FF2B5EF4-FFF2-40B4-BE49-F238E27FC236}">
              <a16:creationId xmlns:a16="http://schemas.microsoft.com/office/drawing/2014/main" id="{9C6EF5B9-89A0-D654-4C3F-6F037F431F41}"/>
            </a:ext>
          </a:extLst>
        </xdr:cNvPr>
        <xdr:cNvGrpSpPr/>
      </xdr:nvGrpSpPr>
      <xdr:grpSpPr>
        <a:xfrm>
          <a:off x="2882900" y="11769725"/>
          <a:ext cx="1345444" cy="584754"/>
          <a:chOff x="6017381" y="6405437"/>
          <a:chExt cx="1355675" cy="584603"/>
        </a:xfrm>
      </xdr:grpSpPr>
      <xdr:sp macro="" textlink="">
        <xdr:nvSpPr>
          <xdr:cNvPr id="279" name="ひし形 278">
            <a:extLst>
              <a:ext uri="{FF2B5EF4-FFF2-40B4-BE49-F238E27FC236}">
                <a16:creationId xmlns:a16="http://schemas.microsoft.com/office/drawing/2014/main" id="{3AD5C40D-332F-BDDE-21DF-96D2164DED39}"/>
              </a:ext>
            </a:extLst>
          </xdr:cNvPr>
          <xdr:cNvSpPr/>
        </xdr:nvSpPr>
        <xdr:spPr>
          <a:xfrm>
            <a:off x="6028662" y="6407868"/>
            <a:ext cx="1337699" cy="579287"/>
          </a:xfrm>
          <a:prstGeom prst="diamond">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en-US" altLang="ja-JP" sz="1000">
              <a:solidFill>
                <a:schemeClr val="tx1"/>
              </a:solidFill>
              <a:latin typeface="Meiryo UI" panose="020B0604030504040204" pitchFamily="50" charset="-128"/>
              <a:ea typeface="Meiryo UI" panose="020B0604030504040204" pitchFamily="50" charset="-128"/>
            </a:endParaRPr>
          </a:p>
        </xdr:txBody>
      </xdr:sp>
      <xdr:sp macro="" textlink="">
        <xdr:nvSpPr>
          <xdr:cNvPr id="280" name="テキスト ボックス 279">
            <a:extLst>
              <a:ext uri="{FF2B5EF4-FFF2-40B4-BE49-F238E27FC236}">
                <a16:creationId xmlns:a16="http://schemas.microsoft.com/office/drawing/2014/main" id="{B832EFB4-E532-27A1-3DE6-F82AF005E218}"/>
              </a:ext>
            </a:extLst>
          </xdr:cNvPr>
          <xdr:cNvSpPr txBox="1"/>
        </xdr:nvSpPr>
        <xdr:spPr>
          <a:xfrm>
            <a:off x="6017381" y="6405437"/>
            <a:ext cx="1355675" cy="5846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700">
                <a:latin typeface="Meiryo UI" panose="020B0604030504040204" pitchFamily="50" charset="-128"/>
                <a:ea typeface="Meiryo UI" panose="020B0604030504040204" pitchFamily="50" charset="-128"/>
              </a:rPr>
              <a:t>引数</a:t>
            </a:r>
            <a:r>
              <a:rPr kumimoji="1" lang="en-US" altLang="ja-JP" sz="700">
                <a:latin typeface="Meiryo UI" panose="020B0604030504040204" pitchFamily="50" charset="-128"/>
                <a:ea typeface="Meiryo UI" panose="020B0604030504040204" pitchFamily="50" charset="-128"/>
              </a:rPr>
              <a:t>3.</a:t>
            </a:r>
            <a:r>
              <a:rPr kumimoji="1" lang="ja-JP" altLang="en-US" sz="700">
                <a:latin typeface="Meiryo UI" panose="020B0604030504040204" pitchFamily="50" charset="-128"/>
                <a:ea typeface="Meiryo UI" panose="020B0604030504040204" pitchFamily="50" charset="-128"/>
              </a:rPr>
              <a:t>ファイル名</a:t>
            </a:r>
            <a:r>
              <a:rPr kumimoji="1" lang="en-US" altLang="ja-JP" sz="700">
                <a:latin typeface="Meiryo UI" panose="020B0604030504040204" pitchFamily="50" charset="-128"/>
                <a:ea typeface="Meiryo UI" panose="020B0604030504040204" pitchFamily="50" charset="-128"/>
              </a:rPr>
              <a:t>=</a:t>
            </a:r>
            <a:r>
              <a:rPr kumimoji="1" lang="ja-JP" altLang="en-US" sz="700">
                <a:latin typeface="Meiryo UI" panose="020B0604030504040204" pitchFamily="50" charset="-128"/>
                <a:ea typeface="Meiryo UI" panose="020B0604030504040204" pitchFamily="50" charset="-128"/>
              </a:rPr>
              <a:t>ブランクか</a:t>
            </a:r>
          </a:p>
        </xdr:txBody>
      </xdr:sp>
    </xdr:grpSp>
    <xdr:clientData/>
  </xdr:twoCellAnchor>
  <xdr:twoCellAnchor>
    <xdr:from>
      <xdr:col>18</xdr:col>
      <xdr:colOff>122687</xdr:colOff>
      <xdr:row>64</xdr:row>
      <xdr:rowOff>159304</xdr:rowOff>
    </xdr:from>
    <xdr:to>
      <xdr:col>18</xdr:col>
      <xdr:colOff>128210</xdr:colOff>
      <xdr:row>68</xdr:row>
      <xdr:rowOff>45471</xdr:rowOff>
    </xdr:to>
    <xdr:cxnSp macro="">
      <xdr:nvCxnSpPr>
        <xdr:cNvPr id="282" name="直線矢印コネクタ 281">
          <a:extLst>
            <a:ext uri="{FF2B5EF4-FFF2-40B4-BE49-F238E27FC236}">
              <a16:creationId xmlns:a16="http://schemas.microsoft.com/office/drawing/2014/main" id="{473CCFF3-F7C1-4EDD-95BB-3F1AE6832558}"/>
            </a:ext>
          </a:extLst>
        </xdr:cNvPr>
        <xdr:cNvCxnSpPr>
          <a:cxnSpLocks/>
          <a:stCxn id="280" idx="2"/>
          <a:endCxn id="276" idx="0"/>
        </xdr:cNvCxnSpPr>
      </xdr:nvCxnSpPr>
      <xdr:spPr>
        <a:xfrm flipH="1">
          <a:off x="3551687" y="12351304"/>
          <a:ext cx="5523" cy="648167"/>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22</xdr:col>
      <xdr:colOff>37344</xdr:colOff>
      <xdr:row>63</xdr:row>
      <xdr:rowOff>59015</xdr:rowOff>
    </xdr:from>
    <xdr:to>
      <xdr:col>28</xdr:col>
      <xdr:colOff>11562</xdr:colOff>
      <xdr:row>65</xdr:row>
      <xdr:rowOff>90033</xdr:rowOff>
    </xdr:to>
    <xdr:cxnSp macro="">
      <xdr:nvCxnSpPr>
        <xdr:cNvPr id="285" name="コネクタ: カギ線 284">
          <a:extLst>
            <a:ext uri="{FF2B5EF4-FFF2-40B4-BE49-F238E27FC236}">
              <a16:creationId xmlns:a16="http://schemas.microsoft.com/office/drawing/2014/main" id="{5357F356-0600-424E-9EF1-E068D60AA0CF}"/>
            </a:ext>
          </a:extLst>
        </xdr:cNvPr>
        <xdr:cNvCxnSpPr>
          <a:cxnSpLocks/>
          <a:stCxn id="280" idx="3"/>
          <a:endCxn id="290" idx="0"/>
        </xdr:cNvCxnSpPr>
      </xdr:nvCxnSpPr>
      <xdr:spPr>
        <a:xfrm>
          <a:off x="4228344" y="12060515"/>
          <a:ext cx="1117218" cy="412018"/>
        </a:xfrm>
        <a:prstGeom prst="bentConnector2">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24</xdr:col>
      <xdr:colOff>152400</xdr:colOff>
      <xdr:row>65</xdr:row>
      <xdr:rowOff>85725</xdr:rowOff>
    </xdr:from>
    <xdr:to>
      <xdr:col>31</xdr:col>
      <xdr:colOff>57600</xdr:colOff>
      <xdr:row>67</xdr:row>
      <xdr:rowOff>122948</xdr:rowOff>
    </xdr:to>
    <xdr:grpSp>
      <xdr:nvGrpSpPr>
        <xdr:cNvPr id="288" name="グループ化 287">
          <a:extLst>
            <a:ext uri="{FF2B5EF4-FFF2-40B4-BE49-F238E27FC236}">
              <a16:creationId xmlns:a16="http://schemas.microsoft.com/office/drawing/2014/main" id="{3789484E-7315-F55B-5532-25C4EFEFEE6D}"/>
            </a:ext>
          </a:extLst>
        </xdr:cNvPr>
        <xdr:cNvGrpSpPr/>
      </xdr:nvGrpSpPr>
      <xdr:grpSpPr>
        <a:xfrm>
          <a:off x="4724400" y="12468225"/>
          <a:ext cx="1238700" cy="418223"/>
          <a:chOff x="4133004" y="6457948"/>
          <a:chExt cx="1238700" cy="405523"/>
        </a:xfrm>
      </xdr:grpSpPr>
      <xdr:sp macro="" textlink="">
        <xdr:nvSpPr>
          <xdr:cNvPr id="289" name="正方形/長方形 288">
            <a:extLst>
              <a:ext uri="{FF2B5EF4-FFF2-40B4-BE49-F238E27FC236}">
                <a16:creationId xmlns:a16="http://schemas.microsoft.com/office/drawing/2014/main" id="{6100BA29-D4C0-3D66-D51D-C0E0C9CBE1F0}"/>
              </a:ext>
            </a:extLst>
          </xdr:cNvPr>
          <xdr:cNvSpPr/>
        </xdr:nvSpPr>
        <xdr:spPr>
          <a:xfrm>
            <a:off x="4133004" y="6457948"/>
            <a:ext cx="1238700" cy="405523"/>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1000">
              <a:solidFill>
                <a:schemeClr val="tx1"/>
              </a:solidFill>
              <a:latin typeface="Meiryo UI" panose="020B0604030504040204" pitchFamily="50" charset="-128"/>
              <a:ea typeface="Meiryo UI" panose="020B0604030504040204" pitchFamily="50" charset="-128"/>
            </a:endParaRPr>
          </a:p>
        </xdr:txBody>
      </xdr:sp>
      <xdr:sp macro="" textlink="">
        <xdr:nvSpPr>
          <xdr:cNvPr id="290" name="テキスト ボックス 289">
            <a:extLst>
              <a:ext uri="{FF2B5EF4-FFF2-40B4-BE49-F238E27FC236}">
                <a16:creationId xmlns:a16="http://schemas.microsoft.com/office/drawing/2014/main" id="{4E37A983-9844-34E1-9763-165FA939E7F2}"/>
              </a:ext>
            </a:extLst>
          </xdr:cNvPr>
          <xdr:cNvSpPr txBox="1"/>
        </xdr:nvSpPr>
        <xdr:spPr>
          <a:xfrm>
            <a:off x="4145757" y="6465095"/>
            <a:ext cx="1216818" cy="3857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700">
                <a:latin typeface="Meiryo UI" panose="020B0604030504040204" pitchFamily="50" charset="-128"/>
                <a:ea typeface="Meiryo UI" panose="020B0604030504040204" pitchFamily="50" charset="-128"/>
              </a:rPr>
              <a:t>検索ファイル名取得</a:t>
            </a:r>
            <a:endParaRPr kumimoji="1" lang="en-US" altLang="ja-JP" sz="700">
              <a:latin typeface="Meiryo UI" panose="020B0604030504040204" pitchFamily="50" charset="-128"/>
              <a:ea typeface="Meiryo UI" panose="020B0604030504040204" pitchFamily="50" charset="-128"/>
            </a:endParaRPr>
          </a:p>
          <a:p>
            <a:pPr algn="ctr"/>
            <a:r>
              <a:rPr kumimoji="1" lang="en-US" altLang="ja-JP" sz="700">
                <a:latin typeface="Meiryo UI" panose="020B0604030504040204" pitchFamily="50" charset="-128"/>
                <a:ea typeface="Meiryo UI" panose="020B0604030504040204" pitchFamily="50" charset="-128"/>
              </a:rPr>
              <a:t>([</a:t>
            </a:r>
            <a:r>
              <a:rPr kumimoji="1" lang="ja-JP" altLang="en-US" sz="700">
                <a:latin typeface="Meiryo UI" panose="020B0604030504040204" pitchFamily="50" charset="-128"/>
                <a:ea typeface="Meiryo UI" panose="020B0604030504040204" pitchFamily="50" charset="-128"/>
              </a:rPr>
              <a:t>ファイル出力定義</a:t>
            </a:r>
            <a:r>
              <a:rPr kumimoji="1" lang="en-US" altLang="ja-JP" sz="700">
                <a:latin typeface="Meiryo UI" panose="020B0604030504040204" pitchFamily="50" charset="-128"/>
                <a:ea typeface="Meiryo UI" panose="020B0604030504040204" pitchFamily="50" charset="-128"/>
              </a:rPr>
              <a:t>]</a:t>
            </a:r>
            <a:r>
              <a:rPr kumimoji="1" lang="ja-JP" altLang="en-US" sz="700">
                <a:latin typeface="Meiryo UI" panose="020B0604030504040204" pitchFamily="50" charset="-128"/>
                <a:ea typeface="Meiryo UI" panose="020B0604030504040204" pitchFamily="50" charset="-128"/>
              </a:rPr>
              <a:t>の値</a:t>
            </a:r>
            <a:r>
              <a:rPr kumimoji="1" lang="en-US" altLang="ja-JP" sz="700">
                <a:latin typeface="Meiryo UI" panose="020B0604030504040204" pitchFamily="50" charset="-128"/>
                <a:ea typeface="Meiryo UI" panose="020B0604030504040204" pitchFamily="50" charset="-128"/>
              </a:rPr>
              <a:t>)</a:t>
            </a:r>
            <a:endParaRPr kumimoji="1" lang="ja-JP" altLang="en-US" sz="700">
              <a:latin typeface="Meiryo UI" panose="020B0604030504040204" pitchFamily="50" charset="-128"/>
              <a:ea typeface="Meiryo UI" panose="020B0604030504040204" pitchFamily="50" charset="-128"/>
            </a:endParaRPr>
          </a:p>
        </xdr:txBody>
      </xdr:sp>
    </xdr:grpSp>
    <xdr:clientData/>
  </xdr:twoCellAnchor>
  <xdr:twoCellAnchor>
    <xdr:from>
      <xdr:col>18</xdr:col>
      <xdr:colOff>120875</xdr:colOff>
      <xdr:row>70</xdr:row>
      <xdr:rowOff>75323</xdr:rowOff>
    </xdr:from>
    <xdr:to>
      <xdr:col>18</xdr:col>
      <xdr:colOff>130491</xdr:colOff>
      <xdr:row>73</xdr:row>
      <xdr:rowOff>27818</xdr:rowOff>
    </xdr:to>
    <xdr:cxnSp macro="">
      <xdr:nvCxnSpPr>
        <xdr:cNvPr id="295" name="直線矢印コネクタ 294">
          <a:extLst>
            <a:ext uri="{FF2B5EF4-FFF2-40B4-BE49-F238E27FC236}">
              <a16:creationId xmlns:a16="http://schemas.microsoft.com/office/drawing/2014/main" id="{78FFF779-88BB-4715-A7AE-C16D17763D54}"/>
            </a:ext>
          </a:extLst>
        </xdr:cNvPr>
        <xdr:cNvCxnSpPr>
          <a:cxnSpLocks/>
          <a:stCxn id="275" idx="2"/>
          <a:endCxn id="303" idx="0"/>
        </xdr:cNvCxnSpPr>
      </xdr:nvCxnSpPr>
      <xdr:spPr>
        <a:xfrm>
          <a:off x="3549875" y="13410323"/>
          <a:ext cx="9616" cy="52399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18</xdr:col>
      <xdr:colOff>129797</xdr:colOff>
      <xdr:row>67</xdr:row>
      <xdr:rowOff>112918</xdr:rowOff>
    </xdr:from>
    <xdr:to>
      <xdr:col>28</xdr:col>
      <xdr:colOff>11562</xdr:colOff>
      <xdr:row>73</xdr:row>
      <xdr:rowOff>28576</xdr:rowOff>
    </xdr:to>
    <xdr:cxnSp macro="">
      <xdr:nvCxnSpPr>
        <xdr:cNvPr id="298" name="コネクタ: カギ線 297">
          <a:extLst>
            <a:ext uri="{FF2B5EF4-FFF2-40B4-BE49-F238E27FC236}">
              <a16:creationId xmlns:a16="http://schemas.microsoft.com/office/drawing/2014/main" id="{D6993852-EA03-42B6-AAB6-3A7F195C3A21}"/>
            </a:ext>
          </a:extLst>
        </xdr:cNvPr>
        <xdr:cNvCxnSpPr>
          <a:cxnSpLocks/>
          <a:stCxn id="290" idx="2"/>
          <a:endCxn id="304" idx="0"/>
        </xdr:cNvCxnSpPr>
      </xdr:nvCxnSpPr>
      <xdr:spPr>
        <a:xfrm rot="5400000">
          <a:off x="3922851" y="12512364"/>
          <a:ext cx="1058658" cy="1786765"/>
        </a:xfrm>
        <a:prstGeom prst="bentConnector3">
          <a:avLst>
            <a:gd name="adj1" fmla="val 73463"/>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15</xdr:col>
      <xdr:colOff>28575</xdr:colOff>
      <xdr:row>73</xdr:row>
      <xdr:rowOff>28575</xdr:rowOff>
    </xdr:from>
    <xdr:to>
      <xdr:col>22</xdr:col>
      <xdr:colOff>40519</xdr:colOff>
      <xdr:row>76</xdr:row>
      <xdr:rowOff>35479</xdr:rowOff>
    </xdr:to>
    <xdr:grpSp>
      <xdr:nvGrpSpPr>
        <xdr:cNvPr id="302" name="グループ化 301">
          <a:extLst>
            <a:ext uri="{FF2B5EF4-FFF2-40B4-BE49-F238E27FC236}">
              <a16:creationId xmlns:a16="http://schemas.microsoft.com/office/drawing/2014/main" id="{C2C33D28-2462-476E-708A-5A33359F8F5B}"/>
            </a:ext>
          </a:extLst>
        </xdr:cNvPr>
        <xdr:cNvGrpSpPr/>
      </xdr:nvGrpSpPr>
      <xdr:grpSpPr>
        <a:xfrm>
          <a:off x="2886075" y="13935075"/>
          <a:ext cx="1345444" cy="578404"/>
          <a:chOff x="6017381" y="6405437"/>
          <a:chExt cx="1355675" cy="584603"/>
        </a:xfrm>
      </xdr:grpSpPr>
      <xdr:sp macro="" textlink="">
        <xdr:nvSpPr>
          <xdr:cNvPr id="303" name="ひし形 302">
            <a:extLst>
              <a:ext uri="{FF2B5EF4-FFF2-40B4-BE49-F238E27FC236}">
                <a16:creationId xmlns:a16="http://schemas.microsoft.com/office/drawing/2014/main" id="{3E0FA8B6-F27D-FDA6-05FD-2576DCD0A75E}"/>
              </a:ext>
            </a:extLst>
          </xdr:cNvPr>
          <xdr:cNvSpPr/>
        </xdr:nvSpPr>
        <xdr:spPr>
          <a:xfrm>
            <a:off x="6028662" y="6407868"/>
            <a:ext cx="1337699" cy="579287"/>
          </a:xfrm>
          <a:prstGeom prst="diamond">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en-US" altLang="ja-JP" sz="1000">
              <a:solidFill>
                <a:schemeClr val="tx1"/>
              </a:solidFill>
              <a:latin typeface="Meiryo UI" panose="020B0604030504040204" pitchFamily="50" charset="-128"/>
              <a:ea typeface="Meiryo UI" panose="020B0604030504040204" pitchFamily="50" charset="-128"/>
            </a:endParaRPr>
          </a:p>
        </xdr:txBody>
      </xdr:sp>
      <xdr:sp macro="" textlink="">
        <xdr:nvSpPr>
          <xdr:cNvPr id="304" name="テキスト ボックス 303">
            <a:extLst>
              <a:ext uri="{FF2B5EF4-FFF2-40B4-BE49-F238E27FC236}">
                <a16:creationId xmlns:a16="http://schemas.microsoft.com/office/drawing/2014/main" id="{B7496079-5AB9-FC47-D6EC-4338BB20928D}"/>
              </a:ext>
            </a:extLst>
          </xdr:cNvPr>
          <xdr:cNvSpPr txBox="1"/>
        </xdr:nvSpPr>
        <xdr:spPr>
          <a:xfrm>
            <a:off x="6017381" y="6405437"/>
            <a:ext cx="1355675" cy="5846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700">
                <a:latin typeface="Meiryo UI" panose="020B0604030504040204" pitchFamily="50" charset="-128"/>
                <a:ea typeface="Meiryo UI" panose="020B0604030504040204" pitchFamily="50" charset="-128"/>
              </a:rPr>
              <a:t>送信フォルダに</a:t>
            </a:r>
            <a:endParaRPr kumimoji="1" lang="en-US" altLang="ja-JP" sz="700">
              <a:latin typeface="Meiryo UI" panose="020B0604030504040204" pitchFamily="50" charset="-128"/>
              <a:ea typeface="Meiryo UI" panose="020B0604030504040204" pitchFamily="50" charset="-128"/>
            </a:endParaRPr>
          </a:p>
          <a:p>
            <a:pPr algn="ctr"/>
            <a:r>
              <a:rPr kumimoji="1" lang="ja-JP" altLang="en-US" sz="700">
                <a:latin typeface="Meiryo UI" panose="020B0604030504040204" pitchFamily="50" charset="-128"/>
                <a:ea typeface="Meiryo UI" panose="020B0604030504040204" pitchFamily="50" charset="-128"/>
              </a:rPr>
              <a:t>ファイルが存在するか</a:t>
            </a:r>
          </a:p>
        </xdr:txBody>
      </xdr:sp>
    </xdr:grpSp>
    <xdr:clientData/>
  </xdr:twoCellAnchor>
  <xdr:twoCellAnchor>
    <xdr:from>
      <xdr:col>21</xdr:col>
      <xdr:colOff>145489</xdr:colOff>
      <xdr:row>61</xdr:row>
      <xdr:rowOff>171450</xdr:rowOff>
    </xdr:from>
    <xdr:to>
      <xdr:col>24</xdr:col>
      <xdr:colOff>50122</xdr:colOff>
      <xdr:row>63</xdr:row>
      <xdr:rowOff>103741</xdr:rowOff>
    </xdr:to>
    <xdr:sp macro="" textlink="">
      <xdr:nvSpPr>
        <xdr:cNvPr id="312" name="正方形/長方形 311">
          <a:extLst>
            <a:ext uri="{FF2B5EF4-FFF2-40B4-BE49-F238E27FC236}">
              <a16:creationId xmlns:a16="http://schemas.microsoft.com/office/drawing/2014/main" id="{0ED91809-72B9-43CF-8F9E-E1F6390B8D34}"/>
            </a:ext>
          </a:extLst>
        </xdr:cNvPr>
        <xdr:cNvSpPr/>
      </xdr:nvSpPr>
      <xdr:spPr>
        <a:xfrm>
          <a:off x="4145989" y="11791950"/>
          <a:ext cx="476133" cy="31329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900">
              <a:solidFill>
                <a:sysClr val="windowText" lastClr="000000"/>
              </a:solidFill>
              <a:latin typeface="Meiryo UI" panose="020B0604030504040204" pitchFamily="50" charset="-128"/>
              <a:ea typeface="Meiryo UI" panose="020B0604030504040204" pitchFamily="50" charset="-128"/>
            </a:rPr>
            <a:t>No</a:t>
          </a:r>
          <a:endParaRPr kumimoji="1" lang="ja-JP" altLang="en-US" sz="9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16</xdr:col>
      <xdr:colOff>19050</xdr:colOff>
      <xdr:row>64</xdr:row>
      <xdr:rowOff>96184</xdr:rowOff>
    </xdr:from>
    <xdr:to>
      <xdr:col>18</xdr:col>
      <xdr:colOff>126883</xdr:colOff>
      <xdr:row>66</xdr:row>
      <xdr:rowOff>28475</xdr:rowOff>
    </xdr:to>
    <xdr:sp macro="" textlink="">
      <xdr:nvSpPr>
        <xdr:cNvPr id="313" name="正方形/長方形 312">
          <a:extLst>
            <a:ext uri="{FF2B5EF4-FFF2-40B4-BE49-F238E27FC236}">
              <a16:creationId xmlns:a16="http://schemas.microsoft.com/office/drawing/2014/main" id="{D028685E-6A32-4404-A21D-0D5F1077E074}"/>
            </a:ext>
          </a:extLst>
        </xdr:cNvPr>
        <xdr:cNvSpPr/>
      </xdr:nvSpPr>
      <xdr:spPr>
        <a:xfrm>
          <a:off x="3067050" y="12288184"/>
          <a:ext cx="488833" cy="31329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900">
              <a:solidFill>
                <a:sysClr val="windowText" lastClr="000000"/>
              </a:solidFill>
              <a:latin typeface="Meiryo UI" panose="020B0604030504040204" pitchFamily="50" charset="-128"/>
              <a:ea typeface="Meiryo UI" panose="020B0604030504040204" pitchFamily="50" charset="-128"/>
            </a:rPr>
            <a:t>Yes</a:t>
          </a:r>
          <a:endParaRPr kumimoji="1" lang="ja-JP" altLang="en-US" sz="9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21</xdr:col>
      <xdr:colOff>113739</xdr:colOff>
      <xdr:row>72</xdr:row>
      <xdr:rowOff>180975</xdr:rowOff>
    </xdr:from>
    <xdr:to>
      <xdr:col>24</xdr:col>
      <xdr:colOff>18372</xdr:colOff>
      <xdr:row>74</xdr:row>
      <xdr:rowOff>113266</xdr:rowOff>
    </xdr:to>
    <xdr:sp macro="" textlink="">
      <xdr:nvSpPr>
        <xdr:cNvPr id="314" name="正方形/長方形 313">
          <a:extLst>
            <a:ext uri="{FF2B5EF4-FFF2-40B4-BE49-F238E27FC236}">
              <a16:creationId xmlns:a16="http://schemas.microsoft.com/office/drawing/2014/main" id="{7341D41B-8C0A-4311-B5B3-2E4DF40D0859}"/>
            </a:ext>
          </a:extLst>
        </xdr:cNvPr>
        <xdr:cNvSpPr/>
      </xdr:nvSpPr>
      <xdr:spPr>
        <a:xfrm>
          <a:off x="4114239" y="13896975"/>
          <a:ext cx="476133" cy="31329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900">
              <a:solidFill>
                <a:sysClr val="windowText" lastClr="000000"/>
              </a:solidFill>
              <a:latin typeface="Meiryo UI" panose="020B0604030504040204" pitchFamily="50" charset="-128"/>
              <a:ea typeface="Meiryo UI" panose="020B0604030504040204" pitchFamily="50" charset="-128"/>
            </a:rPr>
            <a:t>No</a:t>
          </a:r>
          <a:endParaRPr kumimoji="1" lang="ja-JP" altLang="en-US" sz="9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15</xdr:col>
      <xdr:colOff>187325</xdr:colOff>
      <xdr:row>75</xdr:row>
      <xdr:rowOff>143809</xdr:rowOff>
    </xdr:from>
    <xdr:to>
      <xdr:col>18</xdr:col>
      <xdr:colOff>104658</xdr:colOff>
      <xdr:row>77</xdr:row>
      <xdr:rowOff>76100</xdr:rowOff>
    </xdr:to>
    <xdr:sp macro="" textlink="">
      <xdr:nvSpPr>
        <xdr:cNvPr id="315" name="正方形/長方形 314">
          <a:extLst>
            <a:ext uri="{FF2B5EF4-FFF2-40B4-BE49-F238E27FC236}">
              <a16:creationId xmlns:a16="http://schemas.microsoft.com/office/drawing/2014/main" id="{485A5B45-2F90-44CF-B56B-3D0A63ADBF54}"/>
            </a:ext>
          </a:extLst>
        </xdr:cNvPr>
        <xdr:cNvSpPr/>
      </xdr:nvSpPr>
      <xdr:spPr>
        <a:xfrm>
          <a:off x="3044825" y="14431309"/>
          <a:ext cx="488833" cy="31329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900">
              <a:solidFill>
                <a:sysClr val="windowText" lastClr="000000"/>
              </a:solidFill>
              <a:latin typeface="Meiryo UI" panose="020B0604030504040204" pitchFamily="50" charset="-128"/>
              <a:ea typeface="Meiryo UI" panose="020B0604030504040204" pitchFamily="50" charset="-128"/>
            </a:rPr>
            <a:t>Yes</a:t>
          </a:r>
          <a:endParaRPr kumimoji="1" lang="ja-JP" altLang="en-US" sz="9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22</xdr:col>
      <xdr:colOff>40519</xdr:colOff>
      <xdr:row>74</xdr:row>
      <xdr:rowOff>125690</xdr:rowOff>
    </xdr:from>
    <xdr:to>
      <xdr:col>49</xdr:col>
      <xdr:colOff>87202</xdr:colOff>
      <xdr:row>81</xdr:row>
      <xdr:rowOff>175609</xdr:rowOff>
    </xdr:to>
    <xdr:cxnSp macro="">
      <xdr:nvCxnSpPr>
        <xdr:cNvPr id="316" name="コネクタ: カギ線 315">
          <a:extLst>
            <a:ext uri="{FF2B5EF4-FFF2-40B4-BE49-F238E27FC236}">
              <a16:creationId xmlns:a16="http://schemas.microsoft.com/office/drawing/2014/main" id="{F961E3D1-E3A0-4FCA-AFF9-AFF16832565A}"/>
            </a:ext>
          </a:extLst>
        </xdr:cNvPr>
        <xdr:cNvCxnSpPr>
          <a:cxnSpLocks/>
          <a:stCxn id="304" idx="3"/>
          <a:endCxn id="42" idx="0"/>
        </xdr:cNvCxnSpPr>
      </xdr:nvCxnSpPr>
      <xdr:spPr>
        <a:xfrm>
          <a:off x="4231519" y="14222690"/>
          <a:ext cx="5190183" cy="1764419"/>
        </a:xfrm>
        <a:prstGeom prst="bentConnector2">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68712</xdr:colOff>
      <xdr:row>60</xdr:row>
      <xdr:rowOff>168829</xdr:rowOff>
    </xdr:from>
    <xdr:to>
      <xdr:col>8</xdr:col>
      <xdr:colOff>71060</xdr:colOff>
      <xdr:row>78</xdr:row>
      <xdr:rowOff>90033</xdr:rowOff>
    </xdr:to>
    <xdr:cxnSp macro="">
      <xdr:nvCxnSpPr>
        <xdr:cNvPr id="321" name="直線矢印コネクタ 320">
          <a:extLst>
            <a:ext uri="{FF2B5EF4-FFF2-40B4-BE49-F238E27FC236}">
              <a16:creationId xmlns:a16="http://schemas.microsoft.com/office/drawing/2014/main" id="{F915DF4A-36EB-443D-B86D-F7A1B2CBD59A}"/>
            </a:ext>
          </a:extLst>
        </xdr:cNvPr>
        <xdr:cNvCxnSpPr>
          <a:cxnSpLocks/>
          <a:stCxn id="266" idx="2"/>
          <a:endCxn id="331" idx="0"/>
        </xdr:cNvCxnSpPr>
      </xdr:nvCxnSpPr>
      <xdr:spPr>
        <a:xfrm flipH="1">
          <a:off x="1592712" y="11598829"/>
          <a:ext cx="2348" cy="37312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8</xdr:col>
      <xdr:colOff>68712</xdr:colOff>
      <xdr:row>76</xdr:row>
      <xdr:rowOff>35479</xdr:rowOff>
    </xdr:from>
    <xdr:to>
      <xdr:col>18</xdr:col>
      <xdr:colOff>128210</xdr:colOff>
      <xdr:row>78</xdr:row>
      <xdr:rowOff>90033</xdr:rowOff>
    </xdr:to>
    <xdr:cxnSp macro="">
      <xdr:nvCxnSpPr>
        <xdr:cNvPr id="326" name="コネクタ: カギ線 325">
          <a:extLst>
            <a:ext uri="{FF2B5EF4-FFF2-40B4-BE49-F238E27FC236}">
              <a16:creationId xmlns:a16="http://schemas.microsoft.com/office/drawing/2014/main" id="{7628F099-C9CF-46AA-B34B-E30C62A40A30}"/>
            </a:ext>
          </a:extLst>
        </xdr:cNvPr>
        <xdr:cNvCxnSpPr>
          <a:cxnSpLocks/>
          <a:stCxn id="304" idx="2"/>
          <a:endCxn id="331" idx="0"/>
        </xdr:cNvCxnSpPr>
      </xdr:nvCxnSpPr>
      <xdr:spPr>
        <a:xfrm rot="5400000">
          <a:off x="2166684" y="13939507"/>
          <a:ext cx="816554" cy="1964498"/>
        </a:xfrm>
        <a:prstGeom prst="bentConnector3">
          <a:avLst>
            <a:gd name="adj1" fmla="val 50000"/>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19050</xdr:colOff>
      <xdr:row>78</xdr:row>
      <xdr:rowOff>85725</xdr:rowOff>
    </xdr:from>
    <xdr:to>
      <xdr:col>11</xdr:col>
      <xdr:colOff>114750</xdr:colOff>
      <xdr:row>80</xdr:row>
      <xdr:rowOff>122948</xdr:rowOff>
    </xdr:to>
    <xdr:grpSp>
      <xdr:nvGrpSpPr>
        <xdr:cNvPr id="329" name="グループ化 328">
          <a:extLst>
            <a:ext uri="{FF2B5EF4-FFF2-40B4-BE49-F238E27FC236}">
              <a16:creationId xmlns:a16="http://schemas.microsoft.com/office/drawing/2014/main" id="{A3135062-A3CE-4BB2-8947-CE676C8FF866}"/>
            </a:ext>
          </a:extLst>
        </xdr:cNvPr>
        <xdr:cNvGrpSpPr/>
      </xdr:nvGrpSpPr>
      <xdr:grpSpPr>
        <a:xfrm>
          <a:off x="971550" y="14944725"/>
          <a:ext cx="1238700" cy="418223"/>
          <a:chOff x="4133004" y="6457948"/>
          <a:chExt cx="1238700" cy="405523"/>
        </a:xfrm>
      </xdr:grpSpPr>
      <xdr:sp macro="" textlink="">
        <xdr:nvSpPr>
          <xdr:cNvPr id="330" name="正方形/長方形 329">
            <a:extLst>
              <a:ext uri="{FF2B5EF4-FFF2-40B4-BE49-F238E27FC236}">
                <a16:creationId xmlns:a16="http://schemas.microsoft.com/office/drawing/2014/main" id="{80B0E27E-0076-E44C-AD07-935DBABDFEFD}"/>
              </a:ext>
            </a:extLst>
          </xdr:cNvPr>
          <xdr:cNvSpPr/>
        </xdr:nvSpPr>
        <xdr:spPr>
          <a:xfrm>
            <a:off x="4133004" y="6457948"/>
            <a:ext cx="1238700" cy="405523"/>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1000">
              <a:solidFill>
                <a:schemeClr val="tx1"/>
              </a:solidFill>
              <a:latin typeface="Meiryo UI" panose="020B0604030504040204" pitchFamily="50" charset="-128"/>
              <a:ea typeface="Meiryo UI" panose="020B0604030504040204" pitchFamily="50" charset="-128"/>
            </a:endParaRPr>
          </a:p>
        </xdr:txBody>
      </xdr:sp>
      <xdr:sp macro="" textlink="">
        <xdr:nvSpPr>
          <xdr:cNvPr id="331" name="テキスト ボックス 330">
            <a:extLst>
              <a:ext uri="{FF2B5EF4-FFF2-40B4-BE49-F238E27FC236}">
                <a16:creationId xmlns:a16="http://schemas.microsoft.com/office/drawing/2014/main" id="{62A036CB-AABC-6A9B-9B8E-58F004488228}"/>
              </a:ext>
            </a:extLst>
          </xdr:cNvPr>
          <xdr:cNvSpPr txBox="1"/>
        </xdr:nvSpPr>
        <xdr:spPr>
          <a:xfrm>
            <a:off x="4145757" y="6465095"/>
            <a:ext cx="1216818" cy="3857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700">
                <a:latin typeface="Meiryo UI" panose="020B0604030504040204" pitchFamily="50" charset="-128"/>
                <a:ea typeface="Meiryo UI" panose="020B0604030504040204" pitchFamily="50" charset="-128"/>
              </a:rPr>
              <a:t>ファイル出力用</a:t>
            </a:r>
            <a:endParaRPr kumimoji="1" lang="en-US" altLang="ja-JP" sz="700">
              <a:latin typeface="Meiryo UI" panose="020B0604030504040204" pitchFamily="50" charset="-128"/>
              <a:ea typeface="Meiryo UI" panose="020B0604030504040204" pitchFamily="50" charset="-128"/>
            </a:endParaRPr>
          </a:p>
          <a:p>
            <a:pPr algn="ctr"/>
            <a:r>
              <a:rPr kumimoji="1" lang="ja-JP" altLang="en-US" sz="700">
                <a:latin typeface="Meiryo UI" panose="020B0604030504040204" pitchFamily="50" charset="-128"/>
                <a:ea typeface="Meiryo UI" panose="020B0604030504040204" pitchFamily="50" charset="-128"/>
              </a:rPr>
              <a:t>ストリーム作成</a:t>
            </a:r>
          </a:p>
        </xdr:txBody>
      </xdr:sp>
    </xdr:grpSp>
    <xdr:clientData/>
  </xdr:twoCellAnchor>
  <xdr:twoCellAnchor>
    <xdr:from>
      <xdr:col>5</xdr:col>
      <xdr:colOff>20731</xdr:colOff>
      <xdr:row>86</xdr:row>
      <xdr:rowOff>73026</xdr:rowOff>
    </xdr:from>
    <xdr:to>
      <xdr:col>11</xdr:col>
      <xdr:colOff>116431</xdr:colOff>
      <xdr:row>90</xdr:row>
      <xdr:rowOff>0</xdr:rowOff>
    </xdr:to>
    <xdr:grpSp>
      <xdr:nvGrpSpPr>
        <xdr:cNvPr id="334" name="グループ化 333">
          <a:extLst>
            <a:ext uri="{FF2B5EF4-FFF2-40B4-BE49-F238E27FC236}">
              <a16:creationId xmlns:a16="http://schemas.microsoft.com/office/drawing/2014/main" id="{BA857BF6-9E2B-47BE-840B-29CF94F1AAE6}"/>
            </a:ext>
          </a:extLst>
        </xdr:cNvPr>
        <xdr:cNvGrpSpPr/>
      </xdr:nvGrpSpPr>
      <xdr:grpSpPr>
        <a:xfrm>
          <a:off x="973231" y="16456026"/>
          <a:ext cx="1238700" cy="688974"/>
          <a:chOff x="4133004" y="6457948"/>
          <a:chExt cx="1238700" cy="405523"/>
        </a:xfrm>
      </xdr:grpSpPr>
      <xdr:sp macro="" textlink="">
        <xdr:nvSpPr>
          <xdr:cNvPr id="335" name="正方形/長方形 334">
            <a:extLst>
              <a:ext uri="{FF2B5EF4-FFF2-40B4-BE49-F238E27FC236}">
                <a16:creationId xmlns:a16="http://schemas.microsoft.com/office/drawing/2014/main" id="{8828D139-1C34-0A7D-0079-899D91634B82}"/>
              </a:ext>
            </a:extLst>
          </xdr:cNvPr>
          <xdr:cNvSpPr/>
        </xdr:nvSpPr>
        <xdr:spPr>
          <a:xfrm>
            <a:off x="4133004" y="6457948"/>
            <a:ext cx="1238700" cy="405523"/>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1000">
              <a:solidFill>
                <a:schemeClr val="tx1"/>
              </a:solidFill>
              <a:latin typeface="Meiryo UI" panose="020B0604030504040204" pitchFamily="50" charset="-128"/>
              <a:ea typeface="Meiryo UI" panose="020B0604030504040204" pitchFamily="50" charset="-128"/>
            </a:endParaRPr>
          </a:p>
        </xdr:txBody>
      </xdr:sp>
      <xdr:sp macro="" textlink="">
        <xdr:nvSpPr>
          <xdr:cNvPr id="336" name="テキスト ボックス 335">
            <a:extLst>
              <a:ext uri="{FF2B5EF4-FFF2-40B4-BE49-F238E27FC236}">
                <a16:creationId xmlns:a16="http://schemas.microsoft.com/office/drawing/2014/main" id="{AAD64428-8EA0-79C5-2371-9DF9E9A45B9A}"/>
              </a:ext>
            </a:extLst>
          </xdr:cNvPr>
          <xdr:cNvSpPr txBox="1"/>
        </xdr:nvSpPr>
        <xdr:spPr>
          <a:xfrm>
            <a:off x="4145757" y="6465095"/>
            <a:ext cx="1216818" cy="3857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700">
                <a:latin typeface="Meiryo UI" panose="020B0604030504040204" pitchFamily="50" charset="-128"/>
                <a:ea typeface="Meiryo UI" panose="020B0604030504040204" pitchFamily="50" charset="-128"/>
              </a:rPr>
              <a:t>[</a:t>
            </a:r>
            <a:r>
              <a:rPr kumimoji="1" lang="ja-JP" altLang="en-US" sz="700">
                <a:latin typeface="Meiryo UI" panose="020B0604030504040204" pitchFamily="50" charset="-128"/>
                <a:ea typeface="Meiryo UI" panose="020B0604030504040204" pitchFamily="50" charset="-128"/>
              </a:rPr>
              <a:t>ファイル出力定義マスタ</a:t>
            </a:r>
            <a:r>
              <a:rPr kumimoji="1" lang="en-US" altLang="ja-JP" sz="700">
                <a:latin typeface="Meiryo UI" panose="020B0604030504040204" pitchFamily="50" charset="-128"/>
                <a:ea typeface="Meiryo UI" panose="020B0604030504040204" pitchFamily="50" charset="-128"/>
              </a:rPr>
              <a:t>]</a:t>
            </a:r>
            <a:r>
              <a:rPr kumimoji="1" lang="ja-JP" altLang="en-US" sz="700">
                <a:latin typeface="Meiryo UI" panose="020B0604030504040204" pitchFamily="50" charset="-128"/>
                <a:ea typeface="Meiryo UI" panose="020B0604030504040204" pitchFamily="50" charset="-128"/>
              </a:rPr>
              <a:t>の設定をもとにコンテナの内容をストリームに出力</a:t>
            </a:r>
          </a:p>
        </xdr:txBody>
      </xdr:sp>
    </xdr:grpSp>
    <xdr:clientData/>
  </xdr:twoCellAnchor>
  <xdr:twoCellAnchor>
    <xdr:from>
      <xdr:col>4</xdr:col>
      <xdr:colOff>161925</xdr:colOff>
      <xdr:row>82</xdr:row>
      <xdr:rowOff>38100</xdr:rowOff>
    </xdr:from>
    <xdr:to>
      <xdr:col>11</xdr:col>
      <xdr:colOff>152193</xdr:colOff>
      <xdr:row>85</xdr:row>
      <xdr:rowOff>82550</xdr:rowOff>
    </xdr:to>
    <xdr:grpSp>
      <xdr:nvGrpSpPr>
        <xdr:cNvPr id="337" name="グループ化 336">
          <a:extLst>
            <a:ext uri="{FF2B5EF4-FFF2-40B4-BE49-F238E27FC236}">
              <a16:creationId xmlns:a16="http://schemas.microsoft.com/office/drawing/2014/main" id="{235670F9-24DD-42E8-BC30-20A3C084FA63}"/>
            </a:ext>
          </a:extLst>
        </xdr:cNvPr>
        <xdr:cNvGrpSpPr/>
      </xdr:nvGrpSpPr>
      <xdr:grpSpPr>
        <a:xfrm>
          <a:off x="923925" y="15659100"/>
          <a:ext cx="1323768" cy="615950"/>
          <a:chOff x="2952750" y="4089796"/>
          <a:chExt cx="1313793" cy="628881"/>
        </a:xfrm>
      </xdr:grpSpPr>
      <xdr:sp macro="" textlink="">
        <xdr:nvSpPr>
          <xdr:cNvPr id="338" name="四角形: 上の 2 つの角を切り取る 337">
            <a:extLst>
              <a:ext uri="{FF2B5EF4-FFF2-40B4-BE49-F238E27FC236}">
                <a16:creationId xmlns:a16="http://schemas.microsoft.com/office/drawing/2014/main" id="{81418437-1018-C7B0-4A40-333D3E6A5EDD}"/>
              </a:ext>
            </a:extLst>
          </xdr:cNvPr>
          <xdr:cNvSpPr/>
        </xdr:nvSpPr>
        <xdr:spPr>
          <a:xfrm>
            <a:off x="3048000" y="4191000"/>
            <a:ext cx="1129568" cy="438105"/>
          </a:xfrm>
          <a:prstGeom prst="snip2SameRect">
            <a:avLst>
              <a:gd name="adj1" fmla="val 38096"/>
              <a:gd name="adj2" fmla="val 0"/>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kumimoji="1" lang="en-US" altLang="ja-JP" sz="700">
              <a:solidFill>
                <a:schemeClr val="tx1"/>
              </a:solidFill>
              <a:latin typeface="Meiryo UI" panose="020B0604030504040204" pitchFamily="50" charset="-128"/>
              <a:ea typeface="Meiryo UI" panose="020B0604030504040204" pitchFamily="50" charset="-128"/>
            </a:endParaRPr>
          </a:p>
          <a:p>
            <a:pPr algn="ctr"/>
            <a:endParaRPr kumimoji="1" lang="ja-JP" altLang="en-US" sz="700">
              <a:solidFill>
                <a:schemeClr val="tx1"/>
              </a:solidFill>
              <a:latin typeface="Meiryo UI" panose="020B0604030504040204" pitchFamily="50" charset="-128"/>
              <a:ea typeface="Meiryo UI" panose="020B0604030504040204" pitchFamily="50" charset="-128"/>
            </a:endParaRPr>
          </a:p>
        </xdr:txBody>
      </xdr:sp>
      <xdr:sp macro="" textlink="">
        <xdr:nvSpPr>
          <xdr:cNvPr id="339" name="正方形/長方形 338">
            <a:extLst>
              <a:ext uri="{FF2B5EF4-FFF2-40B4-BE49-F238E27FC236}">
                <a16:creationId xmlns:a16="http://schemas.microsoft.com/office/drawing/2014/main" id="{7664400E-BFB9-850E-F8BB-07FCB59D428B}"/>
              </a:ext>
            </a:extLst>
          </xdr:cNvPr>
          <xdr:cNvSpPr/>
        </xdr:nvSpPr>
        <xdr:spPr>
          <a:xfrm>
            <a:off x="2952750" y="4089796"/>
            <a:ext cx="1313793" cy="62888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650">
                <a:solidFill>
                  <a:sysClr val="windowText" lastClr="000000"/>
                </a:solidFill>
                <a:latin typeface="Meiryo UI" panose="020B0604030504040204" pitchFamily="50" charset="-128"/>
                <a:ea typeface="Meiryo UI" panose="020B0604030504040204" pitchFamily="50" charset="-128"/>
              </a:rPr>
              <a:t>出力データ格納ループ</a:t>
            </a:r>
            <a:endParaRPr kumimoji="1" lang="en-US" altLang="ja-JP" sz="650">
              <a:solidFill>
                <a:sysClr val="windowText" lastClr="000000"/>
              </a:solidFill>
              <a:latin typeface="Meiryo UI" panose="020B0604030504040204" pitchFamily="50" charset="-128"/>
              <a:ea typeface="Meiryo UI" panose="020B0604030504040204" pitchFamily="50" charset="-128"/>
            </a:endParaRPr>
          </a:p>
          <a:p>
            <a:pPr algn="ctr"/>
            <a:r>
              <a:rPr kumimoji="1" lang="ja-JP" altLang="en-US" sz="650">
                <a:solidFill>
                  <a:sysClr val="windowText" lastClr="000000"/>
                </a:solidFill>
                <a:latin typeface="Meiryo UI" panose="020B0604030504040204" pitchFamily="50" charset="-128"/>
                <a:ea typeface="Meiryo UI" panose="020B0604030504040204" pitchFamily="50" charset="-128"/>
              </a:rPr>
              <a:t>終了条件：</a:t>
            </a:r>
            <a:endParaRPr kumimoji="1" lang="en-US" altLang="ja-JP" sz="650">
              <a:solidFill>
                <a:sysClr val="windowText" lastClr="000000"/>
              </a:solidFill>
              <a:latin typeface="Meiryo UI" panose="020B0604030504040204" pitchFamily="50" charset="-128"/>
              <a:ea typeface="Meiryo UI" panose="020B0604030504040204" pitchFamily="50" charset="-128"/>
            </a:endParaRPr>
          </a:p>
          <a:p>
            <a:pPr algn="ctr"/>
            <a:r>
              <a:rPr kumimoji="1" lang="en-US" altLang="ja-JP" sz="650">
                <a:solidFill>
                  <a:sysClr val="windowText" lastClr="000000"/>
                </a:solidFill>
                <a:latin typeface="Meiryo UI" panose="020B0604030504040204" pitchFamily="50" charset="-128"/>
                <a:ea typeface="Meiryo UI" panose="020B0604030504040204" pitchFamily="50" charset="-128"/>
              </a:rPr>
              <a:t>counter</a:t>
            </a:r>
            <a:r>
              <a:rPr kumimoji="1" lang="en-US" altLang="ja-JP" sz="650" baseline="0">
                <a:solidFill>
                  <a:sysClr val="windowText" lastClr="000000"/>
                </a:solidFill>
                <a:latin typeface="Meiryo UI" panose="020B0604030504040204" pitchFamily="50" charset="-128"/>
                <a:ea typeface="Meiryo UI" panose="020B0604030504040204" pitchFamily="50" charset="-128"/>
              </a:rPr>
              <a:t> &lt;= </a:t>
            </a:r>
            <a:r>
              <a:rPr kumimoji="1" lang="ja-JP" altLang="en-US" sz="650" baseline="0">
                <a:solidFill>
                  <a:sysClr val="windowText" lastClr="000000"/>
                </a:solidFill>
                <a:latin typeface="Meiryo UI" panose="020B0604030504040204" pitchFamily="50" charset="-128"/>
                <a:ea typeface="Meiryo UI" panose="020B0604030504040204" pitchFamily="50" charset="-128"/>
              </a:rPr>
              <a:t>出力データ件数</a:t>
            </a:r>
            <a:endParaRPr kumimoji="1" lang="en-US" altLang="ja-JP" sz="650">
              <a:solidFill>
                <a:sysClr val="windowText" lastClr="000000"/>
              </a:solidFill>
              <a:latin typeface="Meiryo UI" panose="020B0604030504040204" pitchFamily="50" charset="-128"/>
              <a:ea typeface="Meiryo UI" panose="020B0604030504040204" pitchFamily="50" charset="-128"/>
            </a:endParaRPr>
          </a:p>
        </xdr:txBody>
      </xdr:sp>
    </xdr:grpSp>
    <xdr:clientData/>
  </xdr:twoCellAnchor>
  <xdr:twoCellAnchor>
    <xdr:from>
      <xdr:col>4</xdr:col>
      <xdr:colOff>158750</xdr:colOff>
      <xdr:row>90</xdr:row>
      <xdr:rowOff>104775</xdr:rowOff>
    </xdr:from>
    <xdr:to>
      <xdr:col>11</xdr:col>
      <xdr:colOff>144972</xdr:colOff>
      <xdr:row>93</xdr:row>
      <xdr:rowOff>142226</xdr:rowOff>
    </xdr:to>
    <xdr:grpSp>
      <xdr:nvGrpSpPr>
        <xdr:cNvPr id="340" name="グループ化 339">
          <a:extLst>
            <a:ext uri="{FF2B5EF4-FFF2-40B4-BE49-F238E27FC236}">
              <a16:creationId xmlns:a16="http://schemas.microsoft.com/office/drawing/2014/main" id="{149AB7D7-F71B-42BA-A8BA-A56A1696458B}"/>
            </a:ext>
          </a:extLst>
        </xdr:cNvPr>
        <xdr:cNvGrpSpPr/>
      </xdr:nvGrpSpPr>
      <xdr:grpSpPr>
        <a:xfrm>
          <a:off x="920750" y="17249775"/>
          <a:ext cx="1319722" cy="608951"/>
          <a:chOff x="654504" y="14388074"/>
          <a:chExt cx="1308231" cy="630498"/>
        </a:xfrm>
      </xdr:grpSpPr>
      <xdr:sp macro="" textlink="">
        <xdr:nvSpPr>
          <xdr:cNvPr id="341" name="四角形: 上の 2 つの角を切り取る 340">
            <a:extLst>
              <a:ext uri="{FF2B5EF4-FFF2-40B4-BE49-F238E27FC236}">
                <a16:creationId xmlns:a16="http://schemas.microsoft.com/office/drawing/2014/main" id="{6E7C29F4-B3E3-E6BA-650C-E90C9A8F142E}"/>
              </a:ext>
            </a:extLst>
          </xdr:cNvPr>
          <xdr:cNvSpPr/>
        </xdr:nvSpPr>
        <xdr:spPr>
          <a:xfrm>
            <a:off x="757267" y="14577391"/>
            <a:ext cx="1125011" cy="441181"/>
          </a:xfrm>
          <a:prstGeom prst="snip2SameRect">
            <a:avLst>
              <a:gd name="adj1" fmla="val 0"/>
              <a:gd name="adj2" fmla="val 37500"/>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600">
              <a:solidFill>
                <a:schemeClr val="tx1"/>
              </a:solidFill>
              <a:latin typeface="Meiryo UI" panose="020B0604030504040204" pitchFamily="50" charset="-128"/>
              <a:ea typeface="Meiryo UI" panose="020B0604030504040204" pitchFamily="50" charset="-128"/>
            </a:endParaRPr>
          </a:p>
        </xdr:txBody>
      </xdr:sp>
      <xdr:sp macro="" textlink="">
        <xdr:nvSpPr>
          <xdr:cNvPr id="342" name="正方形/長方形 341">
            <a:extLst>
              <a:ext uri="{FF2B5EF4-FFF2-40B4-BE49-F238E27FC236}">
                <a16:creationId xmlns:a16="http://schemas.microsoft.com/office/drawing/2014/main" id="{CBF7167C-F308-AB7F-B74B-11409D10EBB8}"/>
              </a:ext>
            </a:extLst>
          </xdr:cNvPr>
          <xdr:cNvSpPr/>
        </xdr:nvSpPr>
        <xdr:spPr>
          <a:xfrm>
            <a:off x="654504" y="14388074"/>
            <a:ext cx="1308231" cy="62941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700">
                <a:solidFill>
                  <a:sysClr val="windowText" lastClr="000000"/>
                </a:solidFill>
                <a:latin typeface="Meiryo UI" panose="020B0604030504040204" pitchFamily="50" charset="-128"/>
                <a:ea typeface="Meiryo UI" panose="020B0604030504040204" pitchFamily="50" charset="-128"/>
              </a:rPr>
              <a:t>出力データ格納ループ</a:t>
            </a:r>
            <a:endParaRPr kumimoji="1" lang="en-US" altLang="ja-JP" sz="700">
              <a:solidFill>
                <a:sysClr val="windowText" lastClr="000000"/>
              </a:solidFill>
              <a:latin typeface="Meiryo UI" panose="020B0604030504040204" pitchFamily="50" charset="-128"/>
              <a:ea typeface="Meiryo UI" panose="020B0604030504040204" pitchFamily="50" charset="-128"/>
            </a:endParaRPr>
          </a:p>
        </xdr:txBody>
      </xdr:sp>
    </xdr:grpSp>
    <xdr:clientData/>
  </xdr:twoCellAnchor>
  <xdr:twoCellAnchor>
    <xdr:from>
      <xdr:col>8</xdr:col>
      <xdr:colOff>64970</xdr:colOff>
      <xdr:row>80</xdr:row>
      <xdr:rowOff>112917</xdr:rowOff>
    </xdr:from>
    <xdr:to>
      <xdr:col>8</xdr:col>
      <xdr:colOff>68712</xdr:colOff>
      <xdr:row>82</xdr:row>
      <xdr:rowOff>137223</xdr:rowOff>
    </xdr:to>
    <xdr:cxnSp macro="">
      <xdr:nvCxnSpPr>
        <xdr:cNvPr id="343" name="直線矢印コネクタ 342">
          <a:extLst>
            <a:ext uri="{FF2B5EF4-FFF2-40B4-BE49-F238E27FC236}">
              <a16:creationId xmlns:a16="http://schemas.microsoft.com/office/drawing/2014/main" id="{26F827CF-A3D7-40BF-BDEE-631C5EDEAC29}"/>
            </a:ext>
          </a:extLst>
        </xdr:cNvPr>
        <xdr:cNvCxnSpPr>
          <a:cxnSpLocks/>
          <a:stCxn id="331" idx="2"/>
          <a:endCxn id="338" idx="3"/>
        </xdr:cNvCxnSpPr>
      </xdr:nvCxnSpPr>
      <xdr:spPr>
        <a:xfrm flipH="1">
          <a:off x="1588970" y="15352917"/>
          <a:ext cx="3742" cy="405306"/>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8</xdr:col>
      <xdr:colOff>63390</xdr:colOff>
      <xdr:row>84</xdr:row>
      <xdr:rowOff>188043</xdr:rowOff>
    </xdr:from>
    <xdr:to>
      <xdr:col>8</xdr:col>
      <xdr:colOff>70393</xdr:colOff>
      <xdr:row>86</xdr:row>
      <xdr:rowOff>85169</xdr:rowOff>
    </xdr:to>
    <xdr:cxnSp macro="">
      <xdr:nvCxnSpPr>
        <xdr:cNvPr id="346" name="直線矢印コネクタ 345">
          <a:extLst>
            <a:ext uri="{FF2B5EF4-FFF2-40B4-BE49-F238E27FC236}">
              <a16:creationId xmlns:a16="http://schemas.microsoft.com/office/drawing/2014/main" id="{50FDBEB1-5309-4C79-8294-9DEA80765A6E}"/>
            </a:ext>
          </a:extLst>
        </xdr:cNvPr>
        <xdr:cNvCxnSpPr>
          <a:cxnSpLocks/>
          <a:stCxn id="338" idx="1"/>
          <a:endCxn id="336" idx="0"/>
        </xdr:cNvCxnSpPr>
      </xdr:nvCxnSpPr>
      <xdr:spPr>
        <a:xfrm>
          <a:off x="1587390" y="16190043"/>
          <a:ext cx="7003" cy="278126"/>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8</xdr:col>
      <xdr:colOff>67863</xdr:colOff>
      <xdr:row>89</xdr:row>
      <xdr:rowOff>169070</xdr:rowOff>
    </xdr:from>
    <xdr:to>
      <xdr:col>8</xdr:col>
      <xdr:colOff>70393</xdr:colOff>
      <xdr:row>91</xdr:row>
      <xdr:rowOff>97122</xdr:rowOff>
    </xdr:to>
    <xdr:cxnSp macro="">
      <xdr:nvCxnSpPr>
        <xdr:cNvPr id="349" name="直線矢印コネクタ 348">
          <a:extLst>
            <a:ext uri="{FF2B5EF4-FFF2-40B4-BE49-F238E27FC236}">
              <a16:creationId xmlns:a16="http://schemas.microsoft.com/office/drawing/2014/main" id="{5C26E4A9-5780-416E-A3CE-605073D62777}"/>
            </a:ext>
          </a:extLst>
        </xdr:cNvPr>
        <xdr:cNvCxnSpPr>
          <a:cxnSpLocks/>
          <a:stCxn id="336" idx="2"/>
          <a:endCxn id="341" idx="3"/>
        </xdr:cNvCxnSpPr>
      </xdr:nvCxnSpPr>
      <xdr:spPr>
        <a:xfrm flipH="1">
          <a:off x="1591863" y="17123570"/>
          <a:ext cx="2530" cy="309052"/>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8</xdr:col>
      <xdr:colOff>67808</xdr:colOff>
      <xdr:row>93</xdr:row>
      <xdr:rowOff>145401</xdr:rowOff>
    </xdr:from>
    <xdr:to>
      <xdr:col>8</xdr:col>
      <xdr:colOff>68263</xdr:colOff>
      <xdr:row>95</xdr:row>
      <xdr:rowOff>51157</xdr:rowOff>
    </xdr:to>
    <xdr:cxnSp macro="">
      <xdr:nvCxnSpPr>
        <xdr:cNvPr id="355" name="直線矢印コネクタ 354">
          <a:extLst>
            <a:ext uri="{FF2B5EF4-FFF2-40B4-BE49-F238E27FC236}">
              <a16:creationId xmlns:a16="http://schemas.microsoft.com/office/drawing/2014/main" id="{E07B83D7-15BE-4DA9-A384-F4FEA887BAA8}"/>
            </a:ext>
          </a:extLst>
        </xdr:cNvPr>
        <xdr:cNvCxnSpPr>
          <a:cxnSpLocks/>
          <a:stCxn id="341" idx="1"/>
          <a:endCxn id="386" idx="0"/>
        </xdr:cNvCxnSpPr>
      </xdr:nvCxnSpPr>
      <xdr:spPr>
        <a:xfrm>
          <a:off x="1591808" y="17861901"/>
          <a:ext cx="455" cy="286756"/>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8</xdr:col>
      <xdr:colOff>68263</xdr:colOff>
      <xdr:row>97</xdr:row>
      <xdr:rowOff>130883</xdr:rowOff>
    </xdr:from>
    <xdr:to>
      <xdr:col>8</xdr:col>
      <xdr:colOff>71438</xdr:colOff>
      <xdr:row>99</xdr:row>
      <xdr:rowOff>67032</xdr:rowOff>
    </xdr:to>
    <xdr:cxnSp macro="">
      <xdr:nvCxnSpPr>
        <xdr:cNvPr id="361" name="直線矢印コネクタ 360">
          <a:extLst>
            <a:ext uri="{FF2B5EF4-FFF2-40B4-BE49-F238E27FC236}">
              <a16:creationId xmlns:a16="http://schemas.microsoft.com/office/drawing/2014/main" id="{F5E80BA3-F455-4F0C-9F65-B25B9C81BFB8}"/>
            </a:ext>
          </a:extLst>
        </xdr:cNvPr>
        <xdr:cNvCxnSpPr>
          <a:cxnSpLocks/>
          <a:stCxn id="386" idx="2"/>
          <a:endCxn id="391" idx="0"/>
        </xdr:cNvCxnSpPr>
      </xdr:nvCxnSpPr>
      <xdr:spPr>
        <a:xfrm>
          <a:off x="1592263" y="18609383"/>
          <a:ext cx="3175" cy="317149"/>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8</xdr:col>
      <xdr:colOff>68263</xdr:colOff>
      <xdr:row>101</xdr:row>
      <xdr:rowOff>149933</xdr:rowOff>
    </xdr:from>
    <xdr:to>
      <xdr:col>8</xdr:col>
      <xdr:colOff>71438</xdr:colOff>
      <xdr:row>103</xdr:row>
      <xdr:rowOff>177556</xdr:rowOff>
    </xdr:to>
    <xdr:cxnSp macro="">
      <xdr:nvCxnSpPr>
        <xdr:cNvPr id="369" name="直線矢印コネクタ 368">
          <a:extLst>
            <a:ext uri="{FF2B5EF4-FFF2-40B4-BE49-F238E27FC236}">
              <a16:creationId xmlns:a16="http://schemas.microsoft.com/office/drawing/2014/main" id="{FA9EE514-6C41-48C0-899A-5E998A1D7177}"/>
            </a:ext>
          </a:extLst>
        </xdr:cNvPr>
        <xdr:cNvCxnSpPr>
          <a:cxnSpLocks/>
          <a:stCxn id="391" idx="2"/>
          <a:endCxn id="373" idx="0"/>
        </xdr:cNvCxnSpPr>
      </xdr:nvCxnSpPr>
      <xdr:spPr>
        <a:xfrm>
          <a:off x="1592263" y="19390433"/>
          <a:ext cx="3175" cy="408623"/>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5</xdr:col>
      <xdr:colOff>76200</xdr:colOff>
      <xdr:row>103</xdr:row>
      <xdr:rowOff>168275</xdr:rowOff>
    </xdr:from>
    <xdr:to>
      <xdr:col>11</xdr:col>
      <xdr:colOff>57150</xdr:colOff>
      <xdr:row>105</xdr:row>
      <xdr:rowOff>149225</xdr:rowOff>
    </xdr:to>
    <xdr:grpSp>
      <xdr:nvGrpSpPr>
        <xdr:cNvPr id="371" name="グループ化 370">
          <a:extLst>
            <a:ext uri="{FF2B5EF4-FFF2-40B4-BE49-F238E27FC236}">
              <a16:creationId xmlns:a16="http://schemas.microsoft.com/office/drawing/2014/main" id="{96709ED7-ECD6-4446-A1D5-35F1A6EADE1E}"/>
            </a:ext>
          </a:extLst>
        </xdr:cNvPr>
        <xdr:cNvGrpSpPr/>
      </xdr:nvGrpSpPr>
      <xdr:grpSpPr>
        <a:xfrm>
          <a:off x="1028700" y="19789775"/>
          <a:ext cx="1123950" cy="361950"/>
          <a:chOff x="381000" y="6477000"/>
          <a:chExt cx="1123950" cy="371475"/>
        </a:xfrm>
      </xdr:grpSpPr>
      <xdr:sp macro="" textlink="">
        <xdr:nvSpPr>
          <xdr:cNvPr id="372" name="四角形: 角を丸くする 371">
            <a:extLst>
              <a:ext uri="{FF2B5EF4-FFF2-40B4-BE49-F238E27FC236}">
                <a16:creationId xmlns:a16="http://schemas.microsoft.com/office/drawing/2014/main" id="{8D1AF10F-46F6-5BED-2393-C58E045F479F}"/>
              </a:ext>
            </a:extLst>
          </xdr:cNvPr>
          <xdr:cNvSpPr/>
        </xdr:nvSpPr>
        <xdr:spPr>
          <a:xfrm>
            <a:off x="381000" y="6477000"/>
            <a:ext cx="1123950" cy="371475"/>
          </a:xfrm>
          <a:prstGeom prst="roundRect">
            <a:avLst>
              <a:gd name="adj" fmla="val 50000"/>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en-US" altLang="ja-JP" sz="1000">
              <a:solidFill>
                <a:schemeClr val="tx1"/>
              </a:solidFill>
              <a:latin typeface="Meiryo UI" panose="020B0604030504040204" pitchFamily="50" charset="-128"/>
              <a:ea typeface="Meiryo UI" panose="020B0604030504040204" pitchFamily="50" charset="-128"/>
            </a:endParaRPr>
          </a:p>
        </xdr:txBody>
      </xdr:sp>
      <xdr:sp macro="" textlink="">
        <xdr:nvSpPr>
          <xdr:cNvPr id="373" name="テキスト ボックス 372">
            <a:extLst>
              <a:ext uri="{FF2B5EF4-FFF2-40B4-BE49-F238E27FC236}">
                <a16:creationId xmlns:a16="http://schemas.microsoft.com/office/drawing/2014/main" id="{B7E0D6DF-F6AB-D75B-B043-CE875992398B}"/>
              </a:ext>
            </a:extLst>
          </xdr:cNvPr>
          <xdr:cNvSpPr txBox="1"/>
        </xdr:nvSpPr>
        <xdr:spPr>
          <a:xfrm>
            <a:off x="533400" y="6486525"/>
            <a:ext cx="828675"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000">
                <a:latin typeface="Meiryo UI" panose="020B0604030504040204" pitchFamily="50" charset="-128"/>
                <a:ea typeface="Meiryo UI" panose="020B0604030504040204" pitchFamily="50" charset="-128"/>
              </a:rPr>
              <a:t>終了</a:t>
            </a:r>
          </a:p>
        </xdr:txBody>
      </xdr:sp>
    </xdr:grpSp>
    <xdr:clientData/>
  </xdr:twoCellAnchor>
  <xdr:twoCellAnchor>
    <xdr:from>
      <xdr:col>5</xdr:col>
      <xdr:colOff>152400</xdr:colOff>
      <xdr:row>287</xdr:row>
      <xdr:rowOff>38100</xdr:rowOff>
    </xdr:from>
    <xdr:to>
      <xdr:col>7</xdr:col>
      <xdr:colOff>159513</xdr:colOff>
      <xdr:row>289</xdr:row>
      <xdr:rowOff>39752</xdr:rowOff>
    </xdr:to>
    <xdr:grpSp>
      <xdr:nvGrpSpPr>
        <xdr:cNvPr id="375" name="グループ化 374">
          <a:extLst>
            <a:ext uri="{FF2B5EF4-FFF2-40B4-BE49-F238E27FC236}">
              <a16:creationId xmlns:a16="http://schemas.microsoft.com/office/drawing/2014/main" id="{D63B026D-DDD8-4C0A-A7DE-9EF839D86B5B}"/>
            </a:ext>
          </a:extLst>
        </xdr:cNvPr>
        <xdr:cNvGrpSpPr/>
      </xdr:nvGrpSpPr>
      <xdr:grpSpPr>
        <a:xfrm>
          <a:off x="1104900" y="54711600"/>
          <a:ext cx="388113" cy="382652"/>
          <a:chOff x="2516860" y="7120316"/>
          <a:chExt cx="678856" cy="691443"/>
        </a:xfrm>
      </xdr:grpSpPr>
      <xdr:sp macro="" textlink="">
        <xdr:nvSpPr>
          <xdr:cNvPr id="376" name="フローチャート: 結合子 375">
            <a:extLst>
              <a:ext uri="{FF2B5EF4-FFF2-40B4-BE49-F238E27FC236}">
                <a16:creationId xmlns:a16="http://schemas.microsoft.com/office/drawing/2014/main" id="{961A5B28-BA57-48EA-9AD0-7440D8AC252E}"/>
              </a:ext>
            </a:extLst>
          </xdr:cNvPr>
          <xdr:cNvSpPr>
            <a:spLocks noChangeAspect="1"/>
          </xdr:cNvSpPr>
        </xdr:nvSpPr>
        <xdr:spPr>
          <a:xfrm>
            <a:off x="2516860" y="7132101"/>
            <a:ext cx="672410" cy="672409"/>
          </a:xfrm>
          <a:prstGeom prst="flowChartConnector">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rIns="36000" rtlCol="0" anchor="ctr" anchorCtr="1"/>
          <a:lstStyle/>
          <a:p>
            <a:pPr algn="ctr"/>
            <a:endParaRPr kumimoji="1" lang="en-US" altLang="ja-JP" sz="1000">
              <a:solidFill>
                <a:schemeClr val="tx1"/>
              </a:solidFill>
              <a:latin typeface="Meiryo UI" panose="020B0604030504040204" pitchFamily="50" charset="-128"/>
              <a:ea typeface="Meiryo UI" panose="020B0604030504040204" pitchFamily="50" charset="-128"/>
            </a:endParaRPr>
          </a:p>
        </xdr:txBody>
      </xdr:sp>
      <xdr:sp macro="" textlink="">
        <xdr:nvSpPr>
          <xdr:cNvPr id="377" name="テキスト ボックス 376">
            <a:extLst>
              <a:ext uri="{FF2B5EF4-FFF2-40B4-BE49-F238E27FC236}">
                <a16:creationId xmlns:a16="http://schemas.microsoft.com/office/drawing/2014/main" id="{7E2A8E85-8199-4A17-B869-1E7A76DC9970}"/>
              </a:ext>
            </a:extLst>
          </xdr:cNvPr>
          <xdr:cNvSpPr txBox="1"/>
        </xdr:nvSpPr>
        <xdr:spPr>
          <a:xfrm>
            <a:off x="2530478" y="7120316"/>
            <a:ext cx="665238" cy="6914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latin typeface="Meiryo UI" panose="020B0604030504040204" pitchFamily="50" charset="-128"/>
                <a:ea typeface="Meiryo UI" panose="020B0604030504040204" pitchFamily="50" charset="-128"/>
              </a:rPr>
              <a:t>2</a:t>
            </a:r>
            <a:endParaRPr kumimoji="1" lang="ja-JP" altLang="en-US" sz="1000">
              <a:latin typeface="Meiryo UI" panose="020B0604030504040204" pitchFamily="50" charset="-128"/>
              <a:ea typeface="Meiryo UI" panose="020B0604030504040204" pitchFamily="50" charset="-128"/>
            </a:endParaRPr>
          </a:p>
        </xdr:txBody>
      </xdr:sp>
    </xdr:grpSp>
    <xdr:clientData/>
  </xdr:twoCellAnchor>
  <xdr:twoCellAnchor>
    <xdr:from>
      <xdr:col>8</xdr:col>
      <xdr:colOff>71439</xdr:colOff>
      <xdr:row>84</xdr:row>
      <xdr:rowOff>2484</xdr:rowOff>
    </xdr:from>
    <xdr:to>
      <xdr:col>49</xdr:col>
      <xdr:colOff>85391</xdr:colOff>
      <xdr:row>103</xdr:row>
      <xdr:rowOff>177555</xdr:rowOff>
    </xdr:to>
    <xdr:cxnSp macro="">
      <xdr:nvCxnSpPr>
        <xdr:cNvPr id="380" name="コネクタ: カギ線 379">
          <a:extLst>
            <a:ext uri="{FF2B5EF4-FFF2-40B4-BE49-F238E27FC236}">
              <a16:creationId xmlns:a16="http://schemas.microsoft.com/office/drawing/2014/main" id="{FF08C1CB-789A-4C84-8560-2563B9CAE7C0}"/>
            </a:ext>
          </a:extLst>
        </xdr:cNvPr>
        <xdr:cNvCxnSpPr>
          <a:cxnSpLocks/>
          <a:stCxn id="41" idx="2"/>
          <a:endCxn id="373" idx="0"/>
        </xdr:cNvCxnSpPr>
      </xdr:nvCxnSpPr>
      <xdr:spPr>
        <a:xfrm rot="5400000">
          <a:off x="3610379" y="13989544"/>
          <a:ext cx="3794571" cy="7824452"/>
        </a:xfrm>
        <a:prstGeom prst="bentConnector3">
          <a:avLst>
            <a:gd name="adj1" fmla="val 94894"/>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25400</xdr:colOff>
      <xdr:row>95</xdr:row>
      <xdr:rowOff>47625</xdr:rowOff>
    </xdr:from>
    <xdr:to>
      <xdr:col>12</xdr:col>
      <xdr:colOff>101600</xdr:colOff>
      <xdr:row>97</xdr:row>
      <xdr:rowOff>142875</xdr:rowOff>
    </xdr:to>
    <xdr:grpSp>
      <xdr:nvGrpSpPr>
        <xdr:cNvPr id="384" name="グループ化 383">
          <a:extLst>
            <a:ext uri="{FF2B5EF4-FFF2-40B4-BE49-F238E27FC236}">
              <a16:creationId xmlns:a16="http://schemas.microsoft.com/office/drawing/2014/main" id="{55829165-D4EB-48A0-8BAE-EC3DA0A0EB5E}"/>
            </a:ext>
          </a:extLst>
        </xdr:cNvPr>
        <xdr:cNvGrpSpPr/>
      </xdr:nvGrpSpPr>
      <xdr:grpSpPr>
        <a:xfrm>
          <a:off x="787400" y="18145125"/>
          <a:ext cx="1600200" cy="476250"/>
          <a:chOff x="152400" y="7233431"/>
          <a:chExt cx="1609271" cy="479273"/>
        </a:xfrm>
      </xdr:grpSpPr>
      <xdr:sp macro="" textlink="">
        <xdr:nvSpPr>
          <xdr:cNvPr id="385" name="フローチャート: データ 384">
            <a:extLst>
              <a:ext uri="{FF2B5EF4-FFF2-40B4-BE49-F238E27FC236}">
                <a16:creationId xmlns:a16="http://schemas.microsoft.com/office/drawing/2014/main" id="{A35C6AE2-4A3B-0E3D-F18C-9B75A1085771}"/>
              </a:ext>
            </a:extLst>
          </xdr:cNvPr>
          <xdr:cNvSpPr/>
        </xdr:nvSpPr>
        <xdr:spPr>
          <a:xfrm>
            <a:off x="152400" y="7233431"/>
            <a:ext cx="1609271" cy="479273"/>
          </a:xfrm>
          <a:prstGeom prst="flowChartInputOutpu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1000">
              <a:solidFill>
                <a:schemeClr val="tx1"/>
              </a:solidFill>
              <a:latin typeface="Meiryo UI" panose="020B0604030504040204" pitchFamily="50" charset="-128"/>
              <a:ea typeface="Meiryo UI" panose="020B0604030504040204" pitchFamily="50" charset="-128"/>
            </a:endParaRPr>
          </a:p>
        </xdr:txBody>
      </xdr:sp>
      <xdr:sp macro="" textlink="">
        <xdr:nvSpPr>
          <xdr:cNvPr id="386" name="テキスト ボックス 385">
            <a:extLst>
              <a:ext uri="{FF2B5EF4-FFF2-40B4-BE49-F238E27FC236}">
                <a16:creationId xmlns:a16="http://schemas.microsoft.com/office/drawing/2014/main" id="{50DE37EE-1260-0B17-70F4-FFC1594AEBB6}"/>
              </a:ext>
            </a:extLst>
          </xdr:cNvPr>
          <xdr:cNvSpPr txBox="1"/>
        </xdr:nvSpPr>
        <xdr:spPr>
          <a:xfrm>
            <a:off x="238611" y="7236985"/>
            <a:ext cx="1446428" cy="463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700" b="0"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n-cs"/>
              </a:rPr>
              <a:t>ファイルストリームに書き込み</a:t>
            </a:r>
            <a:endParaRPr kumimoji="1" lang="en-US" altLang="ja-JP" sz="700" b="0"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kumimoji="1" lang="en-US" altLang="ja-JP" sz="700" b="0"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n-cs"/>
              </a:rPr>
              <a:t>(</a:t>
            </a:r>
            <a:r>
              <a:rPr kumimoji="1" lang="ja-JP" altLang="en-US" sz="700" b="0"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n-cs"/>
              </a:rPr>
              <a:t>作業フォルダへファイル出力</a:t>
            </a:r>
            <a:r>
              <a:rPr kumimoji="1" lang="en-US" altLang="ja-JP" sz="700" b="0"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n-cs"/>
              </a:rPr>
              <a:t>)</a:t>
            </a:r>
            <a:endParaRPr kumimoji="1" lang="ja-JP" altLang="en-US" sz="700" b="0"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n-cs"/>
            </a:endParaRPr>
          </a:p>
        </xdr:txBody>
      </xdr:sp>
    </xdr:grpSp>
    <xdr:clientData/>
  </xdr:twoCellAnchor>
  <xdr:twoCellAnchor>
    <xdr:from>
      <xdr:col>4</xdr:col>
      <xdr:colOff>25400</xdr:colOff>
      <xdr:row>99</xdr:row>
      <xdr:rowOff>66675</xdr:rowOff>
    </xdr:from>
    <xdr:to>
      <xdr:col>12</xdr:col>
      <xdr:colOff>101600</xdr:colOff>
      <xdr:row>101</xdr:row>
      <xdr:rowOff>161925</xdr:rowOff>
    </xdr:to>
    <xdr:grpSp>
      <xdr:nvGrpSpPr>
        <xdr:cNvPr id="389" name="グループ化 388">
          <a:extLst>
            <a:ext uri="{FF2B5EF4-FFF2-40B4-BE49-F238E27FC236}">
              <a16:creationId xmlns:a16="http://schemas.microsoft.com/office/drawing/2014/main" id="{4943E6D9-F52A-065D-D92A-7989BF8AD47C}"/>
            </a:ext>
          </a:extLst>
        </xdr:cNvPr>
        <xdr:cNvGrpSpPr/>
      </xdr:nvGrpSpPr>
      <xdr:grpSpPr>
        <a:xfrm>
          <a:off x="787400" y="18926175"/>
          <a:ext cx="1600200" cy="476250"/>
          <a:chOff x="152400" y="7233431"/>
          <a:chExt cx="1609271" cy="479273"/>
        </a:xfrm>
      </xdr:grpSpPr>
      <xdr:sp macro="" textlink="">
        <xdr:nvSpPr>
          <xdr:cNvPr id="390" name="フローチャート: データ 389">
            <a:extLst>
              <a:ext uri="{FF2B5EF4-FFF2-40B4-BE49-F238E27FC236}">
                <a16:creationId xmlns:a16="http://schemas.microsoft.com/office/drawing/2014/main" id="{9D2E2274-C91B-7CB2-15B7-EAF9DBF6BF65}"/>
              </a:ext>
            </a:extLst>
          </xdr:cNvPr>
          <xdr:cNvSpPr/>
        </xdr:nvSpPr>
        <xdr:spPr>
          <a:xfrm>
            <a:off x="152400" y="7233431"/>
            <a:ext cx="1609271" cy="479273"/>
          </a:xfrm>
          <a:prstGeom prst="flowChartInputOutpu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1000">
              <a:solidFill>
                <a:schemeClr val="tx1"/>
              </a:solidFill>
              <a:latin typeface="Meiryo UI" panose="020B0604030504040204" pitchFamily="50" charset="-128"/>
              <a:ea typeface="Meiryo UI" panose="020B0604030504040204" pitchFamily="50" charset="-128"/>
            </a:endParaRPr>
          </a:p>
        </xdr:txBody>
      </xdr:sp>
      <xdr:sp macro="" textlink="">
        <xdr:nvSpPr>
          <xdr:cNvPr id="391" name="テキスト ボックス 390">
            <a:extLst>
              <a:ext uri="{FF2B5EF4-FFF2-40B4-BE49-F238E27FC236}">
                <a16:creationId xmlns:a16="http://schemas.microsoft.com/office/drawing/2014/main" id="{65AD1184-80ED-DCDD-166D-4DFA044EA5E3}"/>
              </a:ext>
            </a:extLst>
          </xdr:cNvPr>
          <xdr:cNvSpPr txBox="1"/>
        </xdr:nvSpPr>
        <xdr:spPr>
          <a:xfrm>
            <a:off x="238611" y="7236985"/>
            <a:ext cx="1446428" cy="463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700" b="0"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n-cs"/>
              </a:rPr>
              <a:t>作業フォルダ→送信フォルダへ</a:t>
            </a:r>
            <a:endParaRPr kumimoji="1" lang="en-US" altLang="ja-JP" sz="700" b="0"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700" b="0"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n-cs"/>
              </a:rPr>
              <a:t>ファイル移動</a:t>
            </a:r>
          </a:p>
        </xdr:txBody>
      </xdr:sp>
    </xdr:grpSp>
    <xdr:clientData/>
  </xdr:twoCellAnchor>
  <xdr:twoCellAnchor>
    <xdr:from>
      <xdr:col>5</xdr:col>
      <xdr:colOff>76200</xdr:colOff>
      <xdr:row>111</xdr:row>
      <xdr:rowOff>34925</xdr:rowOff>
    </xdr:from>
    <xdr:to>
      <xdr:col>11</xdr:col>
      <xdr:colOff>58157</xdr:colOff>
      <xdr:row>113</xdr:row>
      <xdr:rowOff>28575</xdr:rowOff>
    </xdr:to>
    <xdr:grpSp>
      <xdr:nvGrpSpPr>
        <xdr:cNvPr id="394" name="グループ化 393">
          <a:extLst>
            <a:ext uri="{FF2B5EF4-FFF2-40B4-BE49-F238E27FC236}">
              <a16:creationId xmlns:a16="http://schemas.microsoft.com/office/drawing/2014/main" id="{F7F5261F-33C7-4D0C-8909-CD30012A0A0D}"/>
            </a:ext>
          </a:extLst>
        </xdr:cNvPr>
        <xdr:cNvGrpSpPr/>
      </xdr:nvGrpSpPr>
      <xdr:grpSpPr>
        <a:xfrm>
          <a:off x="1028700" y="21180425"/>
          <a:ext cx="1124957" cy="374650"/>
          <a:chOff x="381000" y="6477000"/>
          <a:chExt cx="1123950" cy="371475"/>
        </a:xfrm>
      </xdr:grpSpPr>
      <xdr:sp macro="" textlink="">
        <xdr:nvSpPr>
          <xdr:cNvPr id="395" name="四角形: 角を丸くする 394">
            <a:extLst>
              <a:ext uri="{FF2B5EF4-FFF2-40B4-BE49-F238E27FC236}">
                <a16:creationId xmlns:a16="http://schemas.microsoft.com/office/drawing/2014/main" id="{A1B290A9-0F99-3203-0ECB-FC4247B238F3}"/>
              </a:ext>
            </a:extLst>
          </xdr:cNvPr>
          <xdr:cNvSpPr/>
        </xdr:nvSpPr>
        <xdr:spPr>
          <a:xfrm>
            <a:off x="381000" y="6477000"/>
            <a:ext cx="1123950" cy="371475"/>
          </a:xfrm>
          <a:prstGeom prst="roundRect">
            <a:avLst>
              <a:gd name="adj" fmla="val 50000"/>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en-US" altLang="ja-JP" sz="1000">
              <a:solidFill>
                <a:schemeClr val="tx1"/>
              </a:solidFill>
              <a:latin typeface="Meiryo UI" panose="020B0604030504040204" pitchFamily="50" charset="-128"/>
              <a:ea typeface="Meiryo UI" panose="020B0604030504040204" pitchFamily="50" charset="-128"/>
            </a:endParaRPr>
          </a:p>
        </xdr:txBody>
      </xdr:sp>
      <xdr:sp macro="" textlink="">
        <xdr:nvSpPr>
          <xdr:cNvPr id="396" name="テキスト ボックス 395">
            <a:extLst>
              <a:ext uri="{FF2B5EF4-FFF2-40B4-BE49-F238E27FC236}">
                <a16:creationId xmlns:a16="http://schemas.microsoft.com/office/drawing/2014/main" id="{65E66F98-2BAA-9ECB-7A1F-CC6252E52B91}"/>
              </a:ext>
            </a:extLst>
          </xdr:cNvPr>
          <xdr:cNvSpPr txBox="1"/>
        </xdr:nvSpPr>
        <xdr:spPr>
          <a:xfrm>
            <a:off x="533400" y="6486525"/>
            <a:ext cx="828675"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000">
                <a:latin typeface="Meiryo UI" panose="020B0604030504040204" pitchFamily="50" charset="-128"/>
                <a:ea typeface="Meiryo UI" panose="020B0604030504040204" pitchFamily="50" charset="-128"/>
              </a:rPr>
              <a:t>開始</a:t>
            </a:r>
          </a:p>
        </xdr:txBody>
      </xdr:sp>
    </xdr:grpSp>
    <xdr:clientData/>
  </xdr:twoCellAnchor>
  <xdr:twoCellAnchor>
    <xdr:from>
      <xdr:col>5</xdr:col>
      <xdr:colOff>15875</xdr:colOff>
      <xdr:row>115</xdr:row>
      <xdr:rowOff>25400</xdr:rowOff>
    </xdr:from>
    <xdr:to>
      <xdr:col>11</xdr:col>
      <xdr:colOff>111575</xdr:colOff>
      <xdr:row>117</xdr:row>
      <xdr:rowOff>59448</xdr:rowOff>
    </xdr:to>
    <xdr:grpSp>
      <xdr:nvGrpSpPr>
        <xdr:cNvPr id="397" name="グループ化 396">
          <a:extLst>
            <a:ext uri="{FF2B5EF4-FFF2-40B4-BE49-F238E27FC236}">
              <a16:creationId xmlns:a16="http://schemas.microsoft.com/office/drawing/2014/main" id="{30E5017D-175C-4EF2-A8CC-1C715F7E72BA}"/>
            </a:ext>
          </a:extLst>
        </xdr:cNvPr>
        <xdr:cNvGrpSpPr/>
      </xdr:nvGrpSpPr>
      <xdr:grpSpPr>
        <a:xfrm>
          <a:off x="968375" y="21932900"/>
          <a:ext cx="1238700" cy="415048"/>
          <a:chOff x="4133004" y="6457948"/>
          <a:chExt cx="1238700" cy="405523"/>
        </a:xfrm>
      </xdr:grpSpPr>
      <xdr:sp macro="" textlink="">
        <xdr:nvSpPr>
          <xdr:cNvPr id="398" name="正方形/長方形 397">
            <a:extLst>
              <a:ext uri="{FF2B5EF4-FFF2-40B4-BE49-F238E27FC236}">
                <a16:creationId xmlns:a16="http://schemas.microsoft.com/office/drawing/2014/main" id="{E06D28FD-0C29-CD64-61F6-4A9DF5E89611}"/>
              </a:ext>
            </a:extLst>
          </xdr:cNvPr>
          <xdr:cNvSpPr/>
        </xdr:nvSpPr>
        <xdr:spPr>
          <a:xfrm>
            <a:off x="4133004" y="6457948"/>
            <a:ext cx="1238700" cy="405523"/>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1000">
              <a:solidFill>
                <a:schemeClr val="tx1"/>
              </a:solidFill>
              <a:latin typeface="Meiryo UI" panose="020B0604030504040204" pitchFamily="50" charset="-128"/>
              <a:ea typeface="Meiryo UI" panose="020B0604030504040204" pitchFamily="50" charset="-128"/>
            </a:endParaRPr>
          </a:p>
        </xdr:txBody>
      </xdr:sp>
      <xdr:sp macro="" textlink="">
        <xdr:nvSpPr>
          <xdr:cNvPr id="399" name="テキスト ボックス 398">
            <a:extLst>
              <a:ext uri="{FF2B5EF4-FFF2-40B4-BE49-F238E27FC236}">
                <a16:creationId xmlns:a16="http://schemas.microsoft.com/office/drawing/2014/main" id="{611B2551-5832-409F-4C4D-0514516767AD}"/>
              </a:ext>
            </a:extLst>
          </xdr:cNvPr>
          <xdr:cNvSpPr txBox="1"/>
        </xdr:nvSpPr>
        <xdr:spPr>
          <a:xfrm>
            <a:off x="4145757" y="6465095"/>
            <a:ext cx="1216818" cy="3857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700">
                <a:latin typeface="Meiryo UI" panose="020B0604030504040204" pitchFamily="50" charset="-128"/>
                <a:ea typeface="Meiryo UI" panose="020B0604030504040204" pitchFamily="50" charset="-128"/>
              </a:rPr>
              <a:t>共通処理必要情報の取得</a:t>
            </a:r>
          </a:p>
        </xdr:txBody>
      </xdr:sp>
    </xdr:grpSp>
    <xdr:clientData/>
  </xdr:twoCellAnchor>
  <xdr:twoCellAnchor>
    <xdr:from>
      <xdr:col>8</xdr:col>
      <xdr:colOff>65537</xdr:colOff>
      <xdr:row>113</xdr:row>
      <xdr:rowOff>28575</xdr:rowOff>
    </xdr:from>
    <xdr:to>
      <xdr:col>8</xdr:col>
      <xdr:colOff>67179</xdr:colOff>
      <xdr:row>115</xdr:row>
      <xdr:rowOff>35834</xdr:rowOff>
    </xdr:to>
    <xdr:cxnSp macro="">
      <xdr:nvCxnSpPr>
        <xdr:cNvPr id="400" name="直線矢印コネクタ 399">
          <a:extLst>
            <a:ext uri="{FF2B5EF4-FFF2-40B4-BE49-F238E27FC236}">
              <a16:creationId xmlns:a16="http://schemas.microsoft.com/office/drawing/2014/main" id="{578FE615-29F9-4FD8-A701-B5F1080C7F66}"/>
            </a:ext>
          </a:extLst>
        </xdr:cNvPr>
        <xdr:cNvCxnSpPr>
          <a:cxnSpLocks/>
          <a:stCxn id="395" idx="2"/>
          <a:endCxn id="399" idx="0"/>
        </xdr:cNvCxnSpPr>
      </xdr:nvCxnSpPr>
      <xdr:spPr>
        <a:xfrm flipH="1">
          <a:off x="1592712" y="1930400"/>
          <a:ext cx="0" cy="39143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161925</xdr:colOff>
      <xdr:row>119</xdr:row>
      <xdr:rowOff>104775</xdr:rowOff>
    </xdr:from>
    <xdr:to>
      <xdr:col>11</xdr:col>
      <xdr:colOff>173869</xdr:colOff>
      <xdr:row>122</xdr:row>
      <xdr:rowOff>111679</xdr:rowOff>
    </xdr:to>
    <xdr:grpSp>
      <xdr:nvGrpSpPr>
        <xdr:cNvPr id="401" name="グループ化 400">
          <a:extLst>
            <a:ext uri="{FF2B5EF4-FFF2-40B4-BE49-F238E27FC236}">
              <a16:creationId xmlns:a16="http://schemas.microsoft.com/office/drawing/2014/main" id="{62CDBB0B-F434-4307-B100-A8BBA0047865}"/>
            </a:ext>
          </a:extLst>
        </xdr:cNvPr>
        <xdr:cNvGrpSpPr/>
      </xdr:nvGrpSpPr>
      <xdr:grpSpPr>
        <a:xfrm>
          <a:off x="923925" y="22774275"/>
          <a:ext cx="1345444" cy="578404"/>
          <a:chOff x="6017381" y="6405437"/>
          <a:chExt cx="1355675" cy="584603"/>
        </a:xfrm>
      </xdr:grpSpPr>
      <xdr:sp macro="" textlink="">
        <xdr:nvSpPr>
          <xdr:cNvPr id="402" name="ひし形 401">
            <a:extLst>
              <a:ext uri="{FF2B5EF4-FFF2-40B4-BE49-F238E27FC236}">
                <a16:creationId xmlns:a16="http://schemas.microsoft.com/office/drawing/2014/main" id="{A65BD590-E886-3676-8E41-1F0D8CD6B7BD}"/>
              </a:ext>
            </a:extLst>
          </xdr:cNvPr>
          <xdr:cNvSpPr/>
        </xdr:nvSpPr>
        <xdr:spPr>
          <a:xfrm>
            <a:off x="6028662" y="6407868"/>
            <a:ext cx="1337699" cy="579287"/>
          </a:xfrm>
          <a:prstGeom prst="diamond">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en-US" altLang="ja-JP" sz="1000">
              <a:solidFill>
                <a:schemeClr val="tx1"/>
              </a:solidFill>
              <a:latin typeface="Meiryo UI" panose="020B0604030504040204" pitchFamily="50" charset="-128"/>
              <a:ea typeface="Meiryo UI" panose="020B0604030504040204" pitchFamily="50" charset="-128"/>
            </a:endParaRPr>
          </a:p>
        </xdr:txBody>
      </xdr:sp>
      <xdr:sp macro="" textlink="">
        <xdr:nvSpPr>
          <xdr:cNvPr id="403" name="テキスト ボックス 402">
            <a:extLst>
              <a:ext uri="{FF2B5EF4-FFF2-40B4-BE49-F238E27FC236}">
                <a16:creationId xmlns:a16="http://schemas.microsoft.com/office/drawing/2014/main" id="{A01B182A-DF6F-62E0-0D94-6A6095EDCD1D}"/>
              </a:ext>
            </a:extLst>
          </xdr:cNvPr>
          <xdr:cNvSpPr txBox="1"/>
        </xdr:nvSpPr>
        <xdr:spPr>
          <a:xfrm>
            <a:off x="6017381" y="6405437"/>
            <a:ext cx="1355675" cy="5846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700">
                <a:latin typeface="Meiryo UI" panose="020B0604030504040204" pitchFamily="50" charset="-128"/>
                <a:ea typeface="Meiryo UI" panose="020B0604030504040204" pitchFamily="50" charset="-128"/>
              </a:rPr>
              <a:t>対象データが存在するか</a:t>
            </a:r>
          </a:p>
        </xdr:txBody>
      </xdr:sp>
    </xdr:grpSp>
    <xdr:clientData/>
  </xdr:twoCellAnchor>
  <xdr:twoCellAnchor>
    <xdr:from>
      <xdr:col>8</xdr:col>
      <xdr:colOff>65537</xdr:colOff>
      <xdr:row>117</xdr:row>
      <xdr:rowOff>46538</xdr:rowOff>
    </xdr:from>
    <xdr:to>
      <xdr:col>8</xdr:col>
      <xdr:colOff>71060</xdr:colOff>
      <xdr:row>119</xdr:row>
      <xdr:rowOff>101600</xdr:rowOff>
    </xdr:to>
    <xdr:cxnSp macro="">
      <xdr:nvCxnSpPr>
        <xdr:cNvPr id="404" name="直線矢印コネクタ 403">
          <a:extLst>
            <a:ext uri="{FF2B5EF4-FFF2-40B4-BE49-F238E27FC236}">
              <a16:creationId xmlns:a16="http://schemas.microsoft.com/office/drawing/2014/main" id="{1AF9D370-C92D-4F1E-A29B-75894C390AE8}"/>
            </a:ext>
          </a:extLst>
        </xdr:cNvPr>
        <xdr:cNvCxnSpPr>
          <a:cxnSpLocks/>
          <a:stCxn id="399" idx="2"/>
          <a:endCxn id="403" idx="0"/>
        </xdr:cNvCxnSpPr>
      </xdr:nvCxnSpPr>
      <xdr:spPr>
        <a:xfrm>
          <a:off x="1592712" y="2716713"/>
          <a:ext cx="0" cy="436062"/>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11</xdr:col>
      <xdr:colOff>173869</xdr:colOff>
      <xdr:row>121</xdr:row>
      <xdr:rowOff>12977</xdr:rowOff>
    </xdr:from>
    <xdr:to>
      <xdr:col>49</xdr:col>
      <xdr:colOff>87202</xdr:colOff>
      <xdr:row>203</xdr:row>
      <xdr:rowOff>175609</xdr:rowOff>
    </xdr:to>
    <xdr:cxnSp macro="">
      <xdr:nvCxnSpPr>
        <xdr:cNvPr id="405" name="コネクタ: カギ線 404">
          <a:extLst>
            <a:ext uri="{FF2B5EF4-FFF2-40B4-BE49-F238E27FC236}">
              <a16:creationId xmlns:a16="http://schemas.microsoft.com/office/drawing/2014/main" id="{1E28152A-B7C9-4E18-A7B9-CC328FA13550}"/>
            </a:ext>
          </a:extLst>
        </xdr:cNvPr>
        <xdr:cNvCxnSpPr>
          <a:cxnSpLocks/>
          <a:stCxn id="403" idx="3"/>
          <a:endCxn id="418" idx="0"/>
        </xdr:cNvCxnSpPr>
      </xdr:nvCxnSpPr>
      <xdr:spPr>
        <a:xfrm>
          <a:off x="2269369" y="3438802"/>
          <a:ext cx="7149158" cy="12170482"/>
        </a:xfrm>
        <a:prstGeom prst="bentConnector2">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19050</xdr:colOff>
      <xdr:row>125</xdr:row>
      <xdr:rowOff>6350</xdr:rowOff>
    </xdr:from>
    <xdr:to>
      <xdr:col>11</xdr:col>
      <xdr:colOff>114750</xdr:colOff>
      <xdr:row>127</xdr:row>
      <xdr:rowOff>37223</xdr:rowOff>
    </xdr:to>
    <xdr:grpSp>
      <xdr:nvGrpSpPr>
        <xdr:cNvPr id="406" name="グループ化 405">
          <a:extLst>
            <a:ext uri="{FF2B5EF4-FFF2-40B4-BE49-F238E27FC236}">
              <a16:creationId xmlns:a16="http://schemas.microsoft.com/office/drawing/2014/main" id="{ACBE484E-030E-41B2-8E02-1C9F7BE219FB}"/>
            </a:ext>
          </a:extLst>
        </xdr:cNvPr>
        <xdr:cNvGrpSpPr/>
      </xdr:nvGrpSpPr>
      <xdr:grpSpPr>
        <a:xfrm>
          <a:off x="971550" y="23818850"/>
          <a:ext cx="1238700" cy="411873"/>
          <a:chOff x="4133004" y="6457948"/>
          <a:chExt cx="1238700" cy="405523"/>
        </a:xfrm>
      </xdr:grpSpPr>
      <xdr:sp macro="" textlink="">
        <xdr:nvSpPr>
          <xdr:cNvPr id="407" name="正方形/長方形 406">
            <a:extLst>
              <a:ext uri="{FF2B5EF4-FFF2-40B4-BE49-F238E27FC236}">
                <a16:creationId xmlns:a16="http://schemas.microsoft.com/office/drawing/2014/main" id="{DB779AD5-0EC1-A28B-BB3B-2797358909E8}"/>
              </a:ext>
            </a:extLst>
          </xdr:cNvPr>
          <xdr:cNvSpPr/>
        </xdr:nvSpPr>
        <xdr:spPr>
          <a:xfrm>
            <a:off x="4133004" y="6457948"/>
            <a:ext cx="1238700" cy="405523"/>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1000">
              <a:solidFill>
                <a:schemeClr val="tx1"/>
              </a:solidFill>
              <a:latin typeface="Meiryo UI" panose="020B0604030504040204" pitchFamily="50" charset="-128"/>
              <a:ea typeface="Meiryo UI" panose="020B0604030504040204" pitchFamily="50" charset="-128"/>
            </a:endParaRPr>
          </a:p>
        </xdr:txBody>
      </xdr:sp>
      <xdr:sp macro="" textlink="">
        <xdr:nvSpPr>
          <xdr:cNvPr id="408" name="テキスト ボックス 407">
            <a:extLst>
              <a:ext uri="{FF2B5EF4-FFF2-40B4-BE49-F238E27FC236}">
                <a16:creationId xmlns:a16="http://schemas.microsoft.com/office/drawing/2014/main" id="{90D6AC42-E86A-0432-5171-9F718B104571}"/>
              </a:ext>
            </a:extLst>
          </xdr:cNvPr>
          <xdr:cNvSpPr txBox="1"/>
        </xdr:nvSpPr>
        <xdr:spPr>
          <a:xfrm>
            <a:off x="4145757" y="6465095"/>
            <a:ext cx="1216818" cy="3857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700">
                <a:latin typeface="Meiryo UI" panose="020B0604030504040204" pitchFamily="50" charset="-128"/>
                <a:ea typeface="Meiryo UI" panose="020B0604030504040204" pitchFamily="50" charset="-128"/>
              </a:rPr>
              <a:t>Azure Files</a:t>
            </a:r>
            <a:r>
              <a:rPr kumimoji="1" lang="ja-JP" altLang="en-US" sz="700">
                <a:latin typeface="Meiryo UI" panose="020B0604030504040204" pitchFamily="50" charset="-128"/>
                <a:ea typeface="Meiryo UI" panose="020B0604030504040204" pitchFamily="50" charset="-128"/>
              </a:rPr>
              <a:t>認証</a:t>
            </a:r>
          </a:p>
        </xdr:txBody>
      </xdr:sp>
    </xdr:grpSp>
    <xdr:clientData/>
  </xdr:twoCellAnchor>
  <xdr:twoCellAnchor>
    <xdr:from>
      <xdr:col>8</xdr:col>
      <xdr:colOff>68712</xdr:colOff>
      <xdr:row>122</xdr:row>
      <xdr:rowOff>111679</xdr:rowOff>
    </xdr:from>
    <xdr:to>
      <xdr:col>8</xdr:col>
      <xdr:colOff>72647</xdr:colOff>
      <xdr:row>125</xdr:row>
      <xdr:rowOff>13609</xdr:rowOff>
    </xdr:to>
    <xdr:cxnSp macro="">
      <xdr:nvCxnSpPr>
        <xdr:cNvPr id="409" name="直線矢印コネクタ 408">
          <a:extLst>
            <a:ext uri="{FF2B5EF4-FFF2-40B4-BE49-F238E27FC236}">
              <a16:creationId xmlns:a16="http://schemas.microsoft.com/office/drawing/2014/main" id="{691D4C25-BCFD-4720-A901-D045E25BD291}"/>
            </a:ext>
          </a:extLst>
        </xdr:cNvPr>
        <xdr:cNvCxnSpPr>
          <a:cxnSpLocks/>
          <a:stCxn id="403" idx="2"/>
          <a:endCxn id="408" idx="0"/>
        </xdr:cNvCxnSpPr>
      </xdr:nvCxnSpPr>
      <xdr:spPr>
        <a:xfrm flipH="1">
          <a:off x="1589537" y="3731179"/>
          <a:ext cx="3935" cy="47025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149225</xdr:colOff>
      <xdr:row>129</xdr:row>
      <xdr:rowOff>0</xdr:rowOff>
    </xdr:from>
    <xdr:to>
      <xdr:col>11</xdr:col>
      <xdr:colOff>161169</xdr:colOff>
      <xdr:row>132</xdr:row>
      <xdr:rowOff>6904</xdr:rowOff>
    </xdr:to>
    <xdr:grpSp>
      <xdr:nvGrpSpPr>
        <xdr:cNvPr id="410" name="グループ化 409">
          <a:extLst>
            <a:ext uri="{FF2B5EF4-FFF2-40B4-BE49-F238E27FC236}">
              <a16:creationId xmlns:a16="http://schemas.microsoft.com/office/drawing/2014/main" id="{29767E9E-673F-42C6-8441-EAB615A5E416}"/>
            </a:ext>
          </a:extLst>
        </xdr:cNvPr>
        <xdr:cNvGrpSpPr/>
      </xdr:nvGrpSpPr>
      <xdr:grpSpPr>
        <a:xfrm>
          <a:off x="911225" y="24574500"/>
          <a:ext cx="1345444" cy="578404"/>
          <a:chOff x="6017381" y="6405437"/>
          <a:chExt cx="1355675" cy="584603"/>
        </a:xfrm>
      </xdr:grpSpPr>
      <xdr:sp macro="" textlink="">
        <xdr:nvSpPr>
          <xdr:cNvPr id="411" name="ひし形 410">
            <a:extLst>
              <a:ext uri="{FF2B5EF4-FFF2-40B4-BE49-F238E27FC236}">
                <a16:creationId xmlns:a16="http://schemas.microsoft.com/office/drawing/2014/main" id="{6296AA68-E8E9-7416-DE65-6E242D05BB2B}"/>
              </a:ext>
            </a:extLst>
          </xdr:cNvPr>
          <xdr:cNvSpPr/>
        </xdr:nvSpPr>
        <xdr:spPr>
          <a:xfrm>
            <a:off x="6028662" y="6407868"/>
            <a:ext cx="1337699" cy="579287"/>
          </a:xfrm>
          <a:prstGeom prst="diamond">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en-US" altLang="ja-JP" sz="1000">
              <a:solidFill>
                <a:schemeClr val="tx1"/>
              </a:solidFill>
              <a:latin typeface="Meiryo UI" panose="020B0604030504040204" pitchFamily="50" charset="-128"/>
              <a:ea typeface="Meiryo UI" panose="020B0604030504040204" pitchFamily="50" charset="-128"/>
            </a:endParaRPr>
          </a:p>
        </xdr:txBody>
      </xdr:sp>
      <xdr:sp macro="" textlink="">
        <xdr:nvSpPr>
          <xdr:cNvPr id="412" name="テキスト ボックス 411">
            <a:extLst>
              <a:ext uri="{FF2B5EF4-FFF2-40B4-BE49-F238E27FC236}">
                <a16:creationId xmlns:a16="http://schemas.microsoft.com/office/drawing/2014/main" id="{A8615F14-C8C4-BD39-4D2C-B38407C467B9}"/>
              </a:ext>
            </a:extLst>
          </xdr:cNvPr>
          <xdr:cNvSpPr txBox="1"/>
        </xdr:nvSpPr>
        <xdr:spPr>
          <a:xfrm>
            <a:off x="6017381" y="6405437"/>
            <a:ext cx="1355675" cy="5846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700">
                <a:latin typeface="Meiryo UI" panose="020B0604030504040204" pitchFamily="50" charset="-128"/>
                <a:ea typeface="Meiryo UI" panose="020B0604030504040204" pitchFamily="50" charset="-128"/>
              </a:rPr>
              <a:t>ディレクトリが</a:t>
            </a:r>
            <a:endParaRPr kumimoji="1" lang="en-US" altLang="ja-JP" sz="700">
              <a:latin typeface="Meiryo UI" panose="020B0604030504040204" pitchFamily="50" charset="-128"/>
              <a:ea typeface="Meiryo UI" panose="020B0604030504040204" pitchFamily="50" charset="-128"/>
            </a:endParaRPr>
          </a:p>
          <a:p>
            <a:pPr algn="ctr"/>
            <a:r>
              <a:rPr kumimoji="1" lang="ja-JP" altLang="en-US" sz="700">
                <a:latin typeface="Meiryo UI" panose="020B0604030504040204" pitchFamily="50" charset="-128"/>
                <a:ea typeface="Meiryo UI" panose="020B0604030504040204" pitchFamily="50" charset="-128"/>
              </a:rPr>
              <a:t>マウント済であるか</a:t>
            </a:r>
          </a:p>
        </xdr:txBody>
      </xdr:sp>
    </xdr:grpSp>
    <xdr:clientData/>
  </xdr:twoCellAnchor>
  <xdr:twoCellAnchor>
    <xdr:from>
      <xdr:col>8</xdr:col>
      <xdr:colOff>61535</xdr:colOff>
      <xdr:row>127</xdr:row>
      <xdr:rowOff>24412</xdr:rowOff>
    </xdr:from>
    <xdr:to>
      <xdr:col>8</xdr:col>
      <xdr:colOff>68712</xdr:colOff>
      <xdr:row>129</xdr:row>
      <xdr:rowOff>0</xdr:rowOff>
    </xdr:to>
    <xdr:cxnSp macro="">
      <xdr:nvCxnSpPr>
        <xdr:cNvPr id="413" name="直線矢印コネクタ 412">
          <a:extLst>
            <a:ext uri="{FF2B5EF4-FFF2-40B4-BE49-F238E27FC236}">
              <a16:creationId xmlns:a16="http://schemas.microsoft.com/office/drawing/2014/main" id="{F9BABACC-56CD-453C-9F96-7F3D689FA914}"/>
            </a:ext>
          </a:extLst>
        </xdr:cNvPr>
        <xdr:cNvCxnSpPr>
          <a:cxnSpLocks/>
          <a:stCxn id="408" idx="2"/>
          <a:endCxn id="412" idx="0"/>
        </xdr:cNvCxnSpPr>
      </xdr:nvCxnSpPr>
      <xdr:spPr>
        <a:xfrm flipH="1">
          <a:off x="1588710" y="4599587"/>
          <a:ext cx="827" cy="353413"/>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11</xdr:col>
      <xdr:colOff>161169</xdr:colOff>
      <xdr:row>130</xdr:row>
      <xdr:rowOff>98702</xdr:rowOff>
    </xdr:from>
    <xdr:to>
      <xdr:col>18</xdr:col>
      <xdr:colOff>164357</xdr:colOff>
      <xdr:row>131</xdr:row>
      <xdr:rowOff>168461</xdr:rowOff>
    </xdr:to>
    <xdr:cxnSp macro="">
      <xdr:nvCxnSpPr>
        <xdr:cNvPr id="414" name="コネクタ: カギ線 413">
          <a:extLst>
            <a:ext uri="{FF2B5EF4-FFF2-40B4-BE49-F238E27FC236}">
              <a16:creationId xmlns:a16="http://schemas.microsoft.com/office/drawing/2014/main" id="{1833ACD8-FFE2-4400-8BB6-FFEE269B0B9A}"/>
            </a:ext>
          </a:extLst>
        </xdr:cNvPr>
        <xdr:cNvCxnSpPr>
          <a:cxnSpLocks/>
          <a:stCxn id="412" idx="3"/>
          <a:endCxn id="426" idx="0"/>
        </xdr:cNvCxnSpPr>
      </xdr:nvCxnSpPr>
      <xdr:spPr>
        <a:xfrm>
          <a:off x="2259844" y="5245377"/>
          <a:ext cx="1330338" cy="257084"/>
        </a:xfrm>
        <a:prstGeom prst="bentConnector2">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58584</xdr:colOff>
      <xdr:row>132</xdr:row>
      <xdr:rowOff>10079</xdr:rowOff>
    </xdr:from>
    <xdr:to>
      <xdr:col>8</xdr:col>
      <xdr:colOff>61535</xdr:colOff>
      <xdr:row>143</xdr:row>
      <xdr:rowOff>5876</xdr:rowOff>
    </xdr:to>
    <xdr:cxnSp macro="">
      <xdr:nvCxnSpPr>
        <xdr:cNvPr id="415" name="直線矢印コネクタ 414">
          <a:extLst>
            <a:ext uri="{FF2B5EF4-FFF2-40B4-BE49-F238E27FC236}">
              <a16:creationId xmlns:a16="http://schemas.microsoft.com/office/drawing/2014/main" id="{ED80B082-AB99-4F34-AE20-9E24791254A9}"/>
            </a:ext>
          </a:extLst>
        </xdr:cNvPr>
        <xdr:cNvCxnSpPr>
          <a:cxnSpLocks/>
          <a:stCxn id="412" idx="2"/>
          <a:endCxn id="433" idx="0"/>
        </xdr:cNvCxnSpPr>
      </xdr:nvCxnSpPr>
      <xdr:spPr>
        <a:xfrm flipH="1">
          <a:off x="1582584" y="25156079"/>
          <a:ext cx="2951" cy="2091297"/>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46</xdr:col>
      <xdr:colOff>37540</xdr:colOff>
      <xdr:row>203</xdr:row>
      <xdr:rowOff>168462</xdr:rowOff>
    </xdr:from>
    <xdr:to>
      <xdr:col>52</xdr:col>
      <xdr:colOff>133240</xdr:colOff>
      <xdr:row>206</xdr:row>
      <xdr:rowOff>2485</xdr:rowOff>
    </xdr:to>
    <xdr:grpSp>
      <xdr:nvGrpSpPr>
        <xdr:cNvPr id="416" name="グループ化 415">
          <a:extLst>
            <a:ext uri="{FF2B5EF4-FFF2-40B4-BE49-F238E27FC236}">
              <a16:creationId xmlns:a16="http://schemas.microsoft.com/office/drawing/2014/main" id="{F543CA38-F3C0-40EF-A78C-3DF30204B53B}"/>
            </a:ext>
          </a:extLst>
        </xdr:cNvPr>
        <xdr:cNvGrpSpPr/>
      </xdr:nvGrpSpPr>
      <xdr:grpSpPr>
        <a:xfrm>
          <a:off x="8800540" y="38839962"/>
          <a:ext cx="1238700" cy="405523"/>
          <a:chOff x="4133004" y="6457948"/>
          <a:chExt cx="1238700" cy="405523"/>
        </a:xfrm>
      </xdr:grpSpPr>
      <xdr:sp macro="" textlink="">
        <xdr:nvSpPr>
          <xdr:cNvPr id="417" name="正方形/長方形 416">
            <a:extLst>
              <a:ext uri="{FF2B5EF4-FFF2-40B4-BE49-F238E27FC236}">
                <a16:creationId xmlns:a16="http://schemas.microsoft.com/office/drawing/2014/main" id="{E50ED114-999D-2851-9710-6983B35B6D57}"/>
              </a:ext>
            </a:extLst>
          </xdr:cNvPr>
          <xdr:cNvSpPr/>
        </xdr:nvSpPr>
        <xdr:spPr>
          <a:xfrm>
            <a:off x="4133004" y="6457948"/>
            <a:ext cx="1238700" cy="405523"/>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1000">
              <a:solidFill>
                <a:schemeClr val="tx1"/>
              </a:solidFill>
              <a:latin typeface="Meiryo UI" panose="020B0604030504040204" pitchFamily="50" charset="-128"/>
              <a:ea typeface="Meiryo UI" panose="020B0604030504040204" pitchFamily="50" charset="-128"/>
            </a:endParaRPr>
          </a:p>
        </xdr:txBody>
      </xdr:sp>
      <xdr:sp macro="" textlink="">
        <xdr:nvSpPr>
          <xdr:cNvPr id="418" name="テキスト ボックス 417">
            <a:extLst>
              <a:ext uri="{FF2B5EF4-FFF2-40B4-BE49-F238E27FC236}">
                <a16:creationId xmlns:a16="http://schemas.microsoft.com/office/drawing/2014/main" id="{3B40DF53-B9E8-0BCA-04D4-6AAF4B3836E1}"/>
              </a:ext>
            </a:extLst>
          </xdr:cNvPr>
          <xdr:cNvSpPr txBox="1"/>
        </xdr:nvSpPr>
        <xdr:spPr>
          <a:xfrm>
            <a:off x="4145757" y="6465095"/>
            <a:ext cx="1216818" cy="3857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700">
                <a:latin typeface="Meiryo UI" panose="020B0604030504040204" pitchFamily="50" charset="-128"/>
                <a:ea typeface="Meiryo UI" panose="020B0604030504040204" pitchFamily="50" charset="-128"/>
              </a:rPr>
              <a:t>警告メッセージ出力</a:t>
            </a:r>
          </a:p>
        </xdr:txBody>
      </xdr:sp>
    </xdr:grpSp>
    <xdr:clientData/>
  </xdr:twoCellAnchor>
  <xdr:twoCellAnchor>
    <xdr:from>
      <xdr:col>11</xdr:col>
      <xdr:colOff>114300</xdr:colOff>
      <xdr:row>119</xdr:row>
      <xdr:rowOff>133350</xdr:rowOff>
    </xdr:from>
    <xdr:to>
      <xdr:col>14</xdr:col>
      <xdr:colOff>31633</xdr:colOff>
      <xdr:row>121</xdr:row>
      <xdr:rowOff>49766</xdr:rowOff>
    </xdr:to>
    <xdr:sp macro="" textlink="">
      <xdr:nvSpPr>
        <xdr:cNvPr id="419" name="正方形/長方形 418">
          <a:extLst>
            <a:ext uri="{FF2B5EF4-FFF2-40B4-BE49-F238E27FC236}">
              <a16:creationId xmlns:a16="http://schemas.microsoft.com/office/drawing/2014/main" id="{F971FF28-2C00-4AAB-83A4-0D98D6EF7AE2}"/>
            </a:ext>
          </a:extLst>
        </xdr:cNvPr>
        <xdr:cNvSpPr/>
      </xdr:nvSpPr>
      <xdr:spPr>
        <a:xfrm>
          <a:off x="2209800" y="3181350"/>
          <a:ext cx="485658" cy="29424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900">
              <a:solidFill>
                <a:sysClr val="windowText" lastClr="000000"/>
              </a:solidFill>
              <a:latin typeface="Meiryo UI" panose="020B0604030504040204" pitchFamily="50" charset="-128"/>
              <a:ea typeface="Meiryo UI" panose="020B0604030504040204" pitchFamily="50" charset="-128"/>
            </a:rPr>
            <a:t>No</a:t>
          </a:r>
          <a:endParaRPr kumimoji="1" lang="ja-JP" altLang="en-US" sz="9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5</xdr:col>
      <xdr:colOff>161925</xdr:colOff>
      <xdr:row>122</xdr:row>
      <xdr:rowOff>47625</xdr:rowOff>
    </xdr:from>
    <xdr:to>
      <xdr:col>8</xdr:col>
      <xdr:colOff>79258</xdr:colOff>
      <xdr:row>123</xdr:row>
      <xdr:rowOff>154541</xdr:rowOff>
    </xdr:to>
    <xdr:sp macro="" textlink="">
      <xdr:nvSpPr>
        <xdr:cNvPr id="420" name="正方形/長方形 419">
          <a:extLst>
            <a:ext uri="{FF2B5EF4-FFF2-40B4-BE49-F238E27FC236}">
              <a16:creationId xmlns:a16="http://schemas.microsoft.com/office/drawing/2014/main" id="{A30FBB77-4244-48C0-B669-1B456FE05B8F}"/>
            </a:ext>
          </a:extLst>
        </xdr:cNvPr>
        <xdr:cNvSpPr/>
      </xdr:nvSpPr>
      <xdr:spPr>
        <a:xfrm>
          <a:off x="1111250" y="3663950"/>
          <a:ext cx="492008" cy="30059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900">
              <a:solidFill>
                <a:sysClr val="windowText" lastClr="000000"/>
              </a:solidFill>
              <a:latin typeface="Meiryo UI" panose="020B0604030504040204" pitchFamily="50" charset="-128"/>
              <a:ea typeface="Meiryo UI" panose="020B0604030504040204" pitchFamily="50" charset="-128"/>
            </a:rPr>
            <a:t>Yes</a:t>
          </a:r>
          <a:endParaRPr kumimoji="1" lang="ja-JP" altLang="en-US" sz="9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5</xdr:col>
      <xdr:colOff>111125</xdr:colOff>
      <xdr:row>131</xdr:row>
      <xdr:rowOff>101600</xdr:rowOff>
    </xdr:from>
    <xdr:to>
      <xdr:col>8</xdr:col>
      <xdr:colOff>31633</xdr:colOff>
      <xdr:row>133</xdr:row>
      <xdr:rowOff>21191</xdr:rowOff>
    </xdr:to>
    <xdr:sp macro="" textlink="">
      <xdr:nvSpPr>
        <xdr:cNvPr id="421" name="正方形/長方形 420">
          <a:extLst>
            <a:ext uri="{FF2B5EF4-FFF2-40B4-BE49-F238E27FC236}">
              <a16:creationId xmlns:a16="http://schemas.microsoft.com/office/drawing/2014/main" id="{F1E48B1F-C48A-4B68-A9B5-BB43DDB5CBFE}"/>
            </a:ext>
          </a:extLst>
        </xdr:cNvPr>
        <xdr:cNvSpPr/>
      </xdr:nvSpPr>
      <xdr:spPr>
        <a:xfrm>
          <a:off x="1063625" y="5438775"/>
          <a:ext cx="488833" cy="29741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900">
              <a:solidFill>
                <a:sysClr val="windowText" lastClr="000000"/>
              </a:solidFill>
              <a:latin typeface="Meiryo UI" panose="020B0604030504040204" pitchFamily="50" charset="-128"/>
              <a:ea typeface="Meiryo UI" panose="020B0604030504040204" pitchFamily="50" charset="-128"/>
            </a:rPr>
            <a:t>Yes</a:t>
          </a:r>
          <a:endParaRPr kumimoji="1" lang="ja-JP" altLang="en-US" sz="9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11</xdr:col>
      <xdr:colOff>161925</xdr:colOff>
      <xdr:row>128</xdr:row>
      <xdr:rowOff>152400</xdr:rowOff>
    </xdr:from>
    <xdr:to>
      <xdr:col>14</xdr:col>
      <xdr:colOff>76083</xdr:colOff>
      <xdr:row>130</xdr:row>
      <xdr:rowOff>65641</xdr:rowOff>
    </xdr:to>
    <xdr:sp macro="" textlink="">
      <xdr:nvSpPr>
        <xdr:cNvPr id="422" name="正方形/長方形 421">
          <a:extLst>
            <a:ext uri="{FF2B5EF4-FFF2-40B4-BE49-F238E27FC236}">
              <a16:creationId xmlns:a16="http://schemas.microsoft.com/office/drawing/2014/main" id="{DACBD47E-81F9-4369-8E30-21CC9E6F2145}"/>
            </a:ext>
          </a:extLst>
        </xdr:cNvPr>
        <xdr:cNvSpPr/>
      </xdr:nvSpPr>
      <xdr:spPr>
        <a:xfrm>
          <a:off x="2254250" y="4914900"/>
          <a:ext cx="488833" cy="29741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900">
              <a:solidFill>
                <a:sysClr val="windowText" lastClr="000000"/>
              </a:solidFill>
              <a:latin typeface="Meiryo UI" panose="020B0604030504040204" pitchFamily="50" charset="-128"/>
              <a:ea typeface="Meiryo UI" panose="020B0604030504040204" pitchFamily="50" charset="-128"/>
            </a:rPr>
            <a:t>No</a:t>
          </a:r>
          <a:endParaRPr kumimoji="1" lang="ja-JP" altLang="en-US" sz="9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21</xdr:col>
      <xdr:colOff>172010</xdr:colOff>
      <xdr:row>137</xdr:row>
      <xdr:rowOff>149038</xdr:rowOff>
    </xdr:from>
    <xdr:to>
      <xdr:col>24</xdr:col>
      <xdr:colOff>89343</xdr:colOff>
      <xdr:row>139</xdr:row>
      <xdr:rowOff>65454</xdr:rowOff>
    </xdr:to>
    <xdr:sp macro="" textlink="">
      <xdr:nvSpPr>
        <xdr:cNvPr id="423" name="正方形/長方形 422">
          <a:extLst>
            <a:ext uri="{FF2B5EF4-FFF2-40B4-BE49-F238E27FC236}">
              <a16:creationId xmlns:a16="http://schemas.microsoft.com/office/drawing/2014/main" id="{5771A7E3-552D-4A75-B1DF-658C439CB19F}"/>
            </a:ext>
          </a:extLst>
        </xdr:cNvPr>
        <xdr:cNvSpPr/>
      </xdr:nvSpPr>
      <xdr:spPr>
        <a:xfrm>
          <a:off x="4172510" y="6622863"/>
          <a:ext cx="485658" cy="30376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900">
              <a:solidFill>
                <a:sysClr val="windowText" lastClr="000000"/>
              </a:solidFill>
              <a:latin typeface="Meiryo UI" panose="020B0604030504040204" pitchFamily="50" charset="-128"/>
              <a:ea typeface="Meiryo UI" panose="020B0604030504040204" pitchFamily="50" charset="-128"/>
            </a:rPr>
            <a:t>No</a:t>
          </a:r>
          <a:endParaRPr kumimoji="1" lang="ja-JP" altLang="en-US" sz="9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17</xdr:col>
      <xdr:colOff>161738</xdr:colOff>
      <xdr:row>131</xdr:row>
      <xdr:rowOff>168461</xdr:rowOff>
    </xdr:from>
    <xdr:to>
      <xdr:col>19</xdr:col>
      <xdr:colOff>162502</xdr:colOff>
      <xdr:row>133</xdr:row>
      <xdr:rowOff>170113</xdr:rowOff>
    </xdr:to>
    <xdr:grpSp>
      <xdr:nvGrpSpPr>
        <xdr:cNvPr id="424" name="グループ化 423">
          <a:extLst>
            <a:ext uri="{FF2B5EF4-FFF2-40B4-BE49-F238E27FC236}">
              <a16:creationId xmlns:a16="http://schemas.microsoft.com/office/drawing/2014/main" id="{9C694743-6A4E-4A5E-9E03-3F1E2F77C26B}"/>
            </a:ext>
          </a:extLst>
        </xdr:cNvPr>
        <xdr:cNvGrpSpPr/>
      </xdr:nvGrpSpPr>
      <xdr:grpSpPr>
        <a:xfrm>
          <a:off x="3400238" y="25123961"/>
          <a:ext cx="381764" cy="382652"/>
          <a:chOff x="2516860" y="7126111"/>
          <a:chExt cx="673259" cy="685397"/>
        </a:xfrm>
      </xdr:grpSpPr>
      <xdr:sp macro="" textlink="">
        <xdr:nvSpPr>
          <xdr:cNvPr id="425" name="フローチャート: 結合子 424">
            <a:extLst>
              <a:ext uri="{FF2B5EF4-FFF2-40B4-BE49-F238E27FC236}">
                <a16:creationId xmlns:a16="http://schemas.microsoft.com/office/drawing/2014/main" id="{4763BB44-3067-C891-1CFA-D0E79F03960E}"/>
              </a:ext>
            </a:extLst>
          </xdr:cNvPr>
          <xdr:cNvSpPr>
            <a:spLocks noChangeAspect="1"/>
          </xdr:cNvSpPr>
        </xdr:nvSpPr>
        <xdr:spPr>
          <a:xfrm>
            <a:off x="2516860" y="7132101"/>
            <a:ext cx="672410" cy="672409"/>
          </a:xfrm>
          <a:prstGeom prst="flowChartConnector">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rIns="36000" rtlCol="0" anchor="ctr" anchorCtr="1"/>
          <a:lstStyle/>
          <a:p>
            <a:pPr algn="ctr"/>
            <a:endParaRPr kumimoji="1" lang="en-US" altLang="ja-JP" sz="1000">
              <a:solidFill>
                <a:schemeClr val="tx1"/>
              </a:solidFill>
              <a:latin typeface="Meiryo UI" panose="020B0604030504040204" pitchFamily="50" charset="-128"/>
              <a:ea typeface="Meiryo UI" panose="020B0604030504040204" pitchFamily="50" charset="-128"/>
            </a:endParaRPr>
          </a:p>
        </xdr:txBody>
      </xdr:sp>
      <xdr:sp macro="" textlink="">
        <xdr:nvSpPr>
          <xdr:cNvPr id="426" name="テキスト ボックス 425">
            <a:extLst>
              <a:ext uri="{FF2B5EF4-FFF2-40B4-BE49-F238E27FC236}">
                <a16:creationId xmlns:a16="http://schemas.microsoft.com/office/drawing/2014/main" id="{03713E3C-709B-686B-5060-B40B5132272D}"/>
              </a:ext>
            </a:extLst>
          </xdr:cNvPr>
          <xdr:cNvSpPr txBox="1"/>
        </xdr:nvSpPr>
        <xdr:spPr>
          <a:xfrm>
            <a:off x="2524881" y="7126111"/>
            <a:ext cx="665238" cy="6853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latin typeface="Meiryo UI" panose="020B0604030504040204" pitchFamily="50" charset="-128"/>
                <a:ea typeface="Meiryo UI" panose="020B0604030504040204" pitchFamily="50" charset="-128"/>
              </a:rPr>
              <a:t>1</a:t>
            </a:r>
            <a:endParaRPr kumimoji="1" lang="ja-JP" altLang="en-US" sz="1000">
              <a:latin typeface="Meiryo UI" panose="020B0604030504040204" pitchFamily="50" charset="-128"/>
              <a:ea typeface="Meiryo UI" panose="020B0604030504040204" pitchFamily="50" charset="-128"/>
            </a:endParaRPr>
          </a:p>
        </xdr:txBody>
      </xdr:sp>
    </xdr:grpSp>
    <xdr:clientData/>
  </xdr:twoCellAnchor>
  <xdr:twoCellAnchor>
    <xdr:from>
      <xdr:col>17</xdr:col>
      <xdr:colOff>163235</xdr:colOff>
      <xdr:row>134</xdr:row>
      <xdr:rowOff>131670</xdr:rowOff>
    </xdr:from>
    <xdr:to>
      <xdr:col>19</xdr:col>
      <xdr:colOff>160823</xdr:colOff>
      <xdr:row>136</xdr:row>
      <xdr:rowOff>133322</xdr:rowOff>
    </xdr:to>
    <xdr:grpSp>
      <xdr:nvGrpSpPr>
        <xdr:cNvPr id="427" name="グループ化 426">
          <a:extLst>
            <a:ext uri="{FF2B5EF4-FFF2-40B4-BE49-F238E27FC236}">
              <a16:creationId xmlns:a16="http://schemas.microsoft.com/office/drawing/2014/main" id="{E9452E87-59CB-43AB-BEE4-90F295BDFC85}"/>
            </a:ext>
          </a:extLst>
        </xdr:cNvPr>
        <xdr:cNvGrpSpPr/>
      </xdr:nvGrpSpPr>
      <xdr:grpSpPr>
        <a:xfrm>
          <a:off x="3401735" y="25658670"/>
          <a:ext cx="378588" cy="382652"/>
          <a:chOff x="2516860" y="7120316"/>
          <a:chExt cx="678856" cy="691443"/>
        </a:xfrm>
      </xdr:grpSpPr>
      <xdr:sp macro="" textlink="">
        <xdr:nvSpPr>
          <xdr:cNvPr id="428" name="フローチャート: 結合子 427">
            <a:extLst>
              <a:ext uri="{FF2B5EF4-FFF2-40B4-BE49-F238E27FC236}">
                <a16:creationId xmlns:a16="http://schemas.microsoft.com/office/drawing/2014/main" id="{6A4FA60A-1528-028F-9CB3-5D8629C1DCBE}"/>
              </a:ext>
            </a:extLst>
          </xdr:cNvPr>
          <xdr:cNvSpPr>
            <a:spLocks noChangeAspect="1"/>
          </xdr:cNvSpPr>
        </xdr:nvSpPr>
        <xdr:spPr>
          <a:xfrm>
            <a:off x="2516860" y="7132101"/>
            <a:ext cx="672410" cy="672409"/>
          </a:xfrm>
          <a:prstGeom prst="flowChartConnector">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rIns="36000" rtlCol="0" anchor="ctr" anchorCtr="1"/>
          <a:lstStyle/>
          <a:p>
            <a:pPr algn="ctr"/>
            <a:endParaRPr kumimoji="1" lang="en-US" altLang="ja-JP" sz="1000">
              <a:solidFill>
                <a:schemeClr val="tx1"/>
              </a:solidFill>
              <a:latin typeface="Meiryo UI" panose="020B0604030504040204" pitchFamily="50" charset="-128"/>
              <a:ea typeface="Meiryo UI" panose="020B0604030504040204" pitchFamily="50" charset="-128"/>
            </a:endParaRPr>
          </a:p>
        </xdr:txBody>
      </xdr:sp>
      <xdr:sp macro="" textlink="">
        <xdr:nvSpPr>
          <xdr:cNvPr id="429" name="テキスト ボックス 428">
            <a:extLst>
              <a:ext uri="{FF2B5EF4-FFF2-40B4-BE49-F238E27FC236}">
                <a16:creationId xmlns:a16="http://schemas.microsoft.com/office/drawing/2014/main" id="{9E4B3546-5BC7-C7F6-4A41-25026CBD9A96}"/>
              </a:ext>
            </a:extLst>
          </xdr:cNvPr>
          <xdr:cNvSpPr txBox="1"/>
        </xdr:nvSpPr>
        <xdr:spPr>
          <a:xfrm>
            <a:off x="2530478" y="7120316"/>
            <a:ext cx="665238" cy="6914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latin typeface="Meiryo UI" panose="020B0604030504040204" pitchFamily="50" charset="-128"/>
                <a:ea typeface="Meiryo UI" panose="020B0604030504040204" pitchFamily="50" charset="-128"/>
              </a:rPr>
              <a:t>2</a:t>
            </a:r>
            <a:endParaRPr kumimoji="1" lang="ja-JP" altLang="en-US" sz="1000">
              <a:latin typeface="Meiryo UI" panose="020B0604030504040204" pitchFamily="50" charset="-128"/>
              <a:ea typeface="Meiryo UI" panose="020B0604030504040204" pitchFamily="50" charset="-128"/>
            </a:endParaRPr>
          </a:p>
        </xdr:txBody>
      </xdr:sp>
    </xdr:grpSp>
    <xdr:clientData/>
  </xdr:twoCellAnchor>
  <xdr:twoCellAnchor>
    <xdr:from>
      <xdr:col>8</xdr:col>
      <xdr:colOff>58585</xdr:colOff>
      <xdr:row>140</xdr:row>
      <xdr:rowOff>122136</xdr:rowOff>
    </xdr:from>
    <xdr:to>
      <xdr:col>18</xdr:col>
      <xdr:colOff>159215</xdr:colOff>
      <xdr:row>143</xdr:row>
      <xdr:rowOff>5875</xdr:rowOff>
    </xdr:to>
    <xdr:cxnSp macro="">
      <xdr:nvCxnSpPr>
        <xdr:cNvPr id="430" name="コネクタ: カギ線 429">
          <a:extLst>
            <a:ext uri="{FF2B5EF4-FFF2-40B4-BE49-F238E27FC236}">
              <a16:creationId xmlns:a16="http://schemas.microsoft.com/office/drawing/2014/main" id="{4701BCB1-0133-4615-9B99-49BCA0A33F66}"/>
            </a:ext>
          </a:extLst>
        </xdr:cNvPr>
        <xdr:cNvCxnSpPr>
          <a:cxnSpLocks/>
          <a:stCxn id="436" idx="2"/>
          <a:endCxn id="433" idx="0"/>
        </xdr:cNvCxnSpPr>
      </xdr:nvCxnSpPr>
      <xdr:spPr>
        <a:xfrm rot="5400000">
          <a:off x="2357780" y="26016941"/>
          <a:ext cx="455239" cy="2005630"/>
        </a:xfrm>
        <a:prstGeom prst="bentConnector3">
          <a:avLst>
            <a:gd name="adj1" fmla="val 50000"/>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8922</xdr:colOff>
      <xdr:row>142</xdr:row>
      <xdr:rowOff>189005</xdr:rowOff>
    </xdr:from>
    <xdr:to>
      <xdr:col>11</xdr:col>
      <xdr:colOff>104622</xdr:colOff>
      <xdr:row>145</xdr:row>
      <xdr:rowOff>35728</xdr:rowOff>
    </xdr:to>
    <xdr:grpSp>
      <xdr:nvGrpSpPr>
        <xdr:cNvPr id="431" name="グループ化 430">
          <a:extLst>
            <a:ext uri="{FF2B5EF4-FFF2-40B4-BE49-F238E27FC236}">
              <a16:creationId xmlns:a16="http://schemas.microsoft.com/office/drawing/2014/main" id="{9E7053E7-4D4B-4728-9CA2-CF3AF09B31B1}"/>
            </a:ext>
          </a:extLst>
        </xdr:cNvPr>
        <xdr:cNvGrpSpPr/>
      </xdr:nvGrpSpPr>
      <xdr:grpSpPr>
        <a:xfrm>
          <a:off x="961422" y="27240005"/>
          <a:ext cx="1238700" cy="418223"/>
          <a:chOff x="4133004" y="6457948"/>
          <a:chExt cx="1238700" cy="405523"/>
        </a:xfrm>
      </xdr:grpSpPr>
      <xdr:sp macro="" textlink="">
        <xdr:nvSpPr>
          <xdr:cNvPr id="432" name="正方形/長方形 431">
            <a:extLst>
              <a:ext uri="{FF2B5EF4-FFF2-40B4-BE49-F238E27FC236}">
                <a16:creationId xmlns:a16="http://schemas.microsoft.com/office/drawing/2014/main" id="{5AC945AE-4326-074C-919A-EFE9F464427B}"/>
              </a:ext>
            </a:extLst>
          </xdr:cNvPr>
          <xdr:cNvSpPr/>
        </xdr:nvSpPr>
        <xdr:spPr>
          <a:xfrm>
            <a:off x="4133004" y="6457948"/>
            <a:ext cx="1238700" cy="405523"/>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1000">
              <a:solidFill>
                <a:schemeClr val="tx1"/>
              </a:solidFill>
              <a:latin typeface="Meiryo UI" panose="020B0604030504040204" pitchFamily="50" charset="-128"/>
              <a:ea typeface="Meiryo UI" panose="020B0604030504040204" pitchFamily="50" charset="-128"/>
            </a:endParaRPr>
          </a:p>
        </xdr:txBody>
      </xdr:sp>
      <xdr:sp macro="" textlink="">
        <xdr:nvSpPr>
          <xdr:cNvPr id="433" name="テキスト ボックス 432">
            <a:extLst>
              <a:ext uri="{FF2B5EF4-FFF2-40B4-BE49-F238E27FC236}">
                <a16:creationId xmlns:a16="http://schemas.microsoft.com/office/drawing/2014/main" id="{C5829D19-8F68-E298-0C32-04F8E2C30B09}"/>
              </a:ext>
            </a:extLst>
          </xdr:cNvPr>
          <xdr:cNvSpPr txBox="1"/>
        </xdr:nvSpPr>
        <xdr:spPr>
          <a:xfrm>
            <a:off x="4145757" y="6465095"/>
            <a:ext cx="1216818" cy="3857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700">
                <a:latin typeface="Meiryo UI" panose="020B0604030504040204" pitchFamily="50" charset="-128"/>
                <a:ea typeface="Meiryo UI" panose="020B0604030504040204" pitchFamily="50" charset="-128"/>
              </a:rPr>
              <a:t>受領フォルダパス取得</a:t>
            </a:r>
          </a:p>
        </xdr:txBody>
      </xdr:sp>
    </xdr:grpSp>
    <xdr:clientData/>
  </xdr:twoCellAnchor>
  <xdr:twoCellAnchor>
    <xdr:from>
      <xdr:col>15</xdr:col>
      <xdr:colOff>59579</xdr:colOff>
      <xdr:row>137</xdr:row>
      <xdr:rowOff>102533</xdr:rowOff>
    </xdr:from>
    <xdr:to>
      <xdr:col>22</xdr:col>
      <xdr:colOff>65173</xdr:colOff>
      <xdr:row>140</xdr:row>
      <xdr:rowOff>125312</xdr:rowOff>
    </xdr:to>
    <xdr:grpSp>
      <xdr:nvGrpSpPr>
        <xdr:cNvPr id="434" name="グループ化 433">
          <a:extLst>
            <a:ext uri="{FF2B5EF4-FFF2-40B4-BE49-F238E27FC236}">
              <a16:creationId xmlns:a16="http://schemas.microsoft.com/office/drawing/2014/main" id="{51A1ED11-A502-4127-B68E-72514273F333}"/>
            </a:ext>
          </a:extLst>
        </xdr:cNvPr>
        <xdr:cNvGrpSpPr/>
      </xdr:nvGrpSpPr>
      <xdr:grpSpPr>
        <a:xfrm>
          <a:off x="2917079" y="26201033"/>
          <a:ext cx="1339094" cy="594279"/>
          <a:chOff x="6017381" y="6405437"/>
          <a:chExt cx="1355675" cy="584603"/>
        </a:xfrm>
      </xdr:grpSpPr>
      <xdr:sp macro="" textlink="">
        <xdr:nvSpPr>
          <xdr:cNvPr id="435" name="ひし形 434">
            <a:extLst>
              <a:ext uri="{FF2B5EF4-FFF2-40B4-BE49-F238E27FC236}">
                <a16:creationId xmlns:a16="http://schemas.microsoft.com/office/drawing/2014/main" id="{68FD64E2-986B-EADF-3B31-C986BDBBE9F0}"/>
              </a:ext>
            </a:extLst>
          </xdr:cNvPr>
          <xdr:cNvSpPr/>
        </xdr:nvSpPr>
        <xdr:spPr>
          <a:xfrm>
            <a:off x="6028662" y="6407868"/>
            <a:ext cx="1337699" cy="579287"/>
          </a:xfrm>
          <a:prstGeom prst="diamond">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en-US" altLang="ja-JP" sz="1000">
              <a:solidFill>
                <a:schemeClr val="tx1"/>
              </a:solidFill>
              <a:latin typeface="Meiryo UI" panose="020B0604030504040204" pitchFamily="50" charset="-128"/>
              <a:ea typeface="Meiryo UI" panose="020B0604030504040204" pitchFamily="50" charset="-128"/>
            </a:endParaRPr>
          </a:p>
        </xdr:txBody>
      </xdr:sp>
      <xdr:sp macro="" textlink="">
        <xdr:nvSpPr>
          <xdr:cNvPr id="436" name="テキスト ボックス 435">
            <a:extLst>
              <a:ext uri="{FF2B5EF4-FFF2-40B4-BE49-F238E27FC236}">
                <a16:creationId xmlns:a16="http://schemas.microsoft.com/office/drawing/2014/main" id="{E6037C78-877B-E667-4E3F-0BF960AA0684}"/>
              </a:ext>
            </a:extLst>
          </xdr:cNvPr>
          <xdr:cNvSpPr txBox="1"/>
        </xdr:nvSpPr>
        <xdr:spPr>
          <a:xfrm>
            <a:off x="6017381" y="6405437"/>
            <a:ext cx="1355675" cy="5846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700">
                <a:latin typeface="Meiryo UI" panose="020B0604030504040204" pitchFamily="50" charset="-128"/>
                <a:ea typeface="Meiryo UI" panose="020B0604030504040204" pitchFamily="50" charset="-128"/>
              </a:rPr>
              <a:t>マウントできたか</a:t>
            </a:r>
          </a:p>
        </xdr:txBody>
      </xdr:sp>
    </xdr:grpSp>
    <xdr:clientData/>
  </xdr:twoCellAnchor>
  <xdr:twoCellAnchor>
    <xdr:from>
      <xdr:col>18</xdr:col>
      <xdr:colOff>157626</xdr:colOff>
      <xdr:row>136</xdr:row>
      <xdr:rowOff>133322</xdr:rowOff>
    </xdr:from>
    <xdr:to>
      <xdr:col>18</xdr:col>
      <xdr:colOff>165890</xdr:colOff>
      <xdr:row>137</xdr:row>
      <xdr:rowOff>102533</xdr:rowOff>
    </xdr:to>
    <xdr:cxnSp macro="">
      <xdr:nvCxnSpPr>
        <xdr:cNvPr id="437" name="直線矢印コネクタ 436">
          <a:extLst>
            <a:ext uri="{FF2B5EF4-FFF2-40B4-BE49-F238E27FC236}">
              <a16:creationId xmlns:a16="http://schemas.microsoft.com/office/drawing/2014/main" id="{EE897551-BC2D-47A6-90F6-A8E72AC571A8}"/>
            </a:ext>
          </a:extLst>
        </xdr:cNvPr>
        <xdr:cNvCxnSpPr>
          <a:cxnSpLocks/>
          <a:stCxn id="429" idx="2"/>
          <a:endCxn id="436" idx="0"/>
        </xdr:cNvCxnSpPr>
      </xdr:nvCxnSpPr>
      <xdr:spPr>
        <a:xfrm flipH="1">
          <a:off x="3589801" y="6419822"/>
          <a:ext cx="1914" cy="162886"/>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22</xdr:col>
      <xdr:colOff>65173</xdr:colOff>
      <xdr:row>139</xdr:row>
      <xdr:rowOff>18673</xdr:rowOff>
    </xdr:from>
    <xdr:to>
      <xdr:col>49</xdr:col>
      <xdr:colOff>87202</xdr:colOff>
      <xdr:row>203</xdr:row>
      <xdr:rowOff>175609</xdr:rowOff>
    </xdr:to>
    <xdr:cxnSp macro="">
      <xdr:nvCxnSpPr>
        <xdr:cNvPr id="438" name="コネクタ: カギ線 437">
          <a:extLst>
            <a:ext uri="{FF2B5EF4-FFF2-40B4-BE49-F238E27FC236}">
              <a16:creationId xmlns:a16="http://schemas.microsoft.com/office/drawing/2014/main" id="{89B0327E-4A0A-4D25-87E8-B2634178656C}"/>
            </a:ext>
          </a:extLst>
        </xdr:cNvPr>
        <xdr:cNvCxnSpPr>
          <a:cxnSpLocks/>
          <a:stCxn id="436" idx="3"/>
          <a:endCxn id="418" idx="0"/>
        </xdr:cNvCxnSpPr>
      </xdr:nvCxnSpPr>
      <xdr:spPr>
        <a:xfrm>
          <a:off x="4259348" y="6876673"/>
          <a:ext cx="5159179" cy="8732611"/>
        </a:xfrm>
        <a:prstGeom prst="bentConnector2">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16</xdr:col>
      <xdr:colOff>48746</xdr:colOff>
      <xdr:row>140</xdr:row>
      <xdr:rowOff>67422</xdr:rowOff>
    </xdr:from>
    <xdr:to>
      <xdr:col>18</xdr:col>
      <xdr:colOff>153404</xdr:colOff>
      <xdr:row>141</xdr:row>
      <xdr:rowOff>180688</xdr:rowOff>
    </xdr:to>
    <xdr:sp macro="" textlink="">
      <xdr:nvSpPr>
        <xdr:cNvPr id="439" name="正方形/長方形 438">
          <a:extLst>
            <a:ext uri="{FF2B5EF4-FFF2-40B4-BE49-F238E27FC236}">
              <a16:creationId xmlns:a16="http://schemas.microsoft.com/office/drawing/2014/main" id="{7604D016-29BC-43A1-840F-89145CAF10D0}"/>
            </a:ext>
          </a:extLst>
        </xdr:cNvPr>
        <xdr:cNvSpPr/>
      </xdr:nvSpPr>
      <xdr:spPr>
        <a:xfrm>
          <a:off x="3093571" y="7112747"/>
          <a:ext cx="488833" cy="31011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900">
              <a:solidFill>
                <a:sysClr val="windowText" lastClr="000000"/>
              </a:solidFill>
              <a:latin typeface="Meiryo UI" panose="020B0604030504040204" pitchFamily="50" charset="-128"/>
              <a:ea typeface="Meiryo UI" panose="020B0604030504040204" pitchFamily="50" charset="-128"/>
            </a:rPr>
            <a:t>Yes</a:t>
          </a:r>
          <a:endParaRPr kumimoji="1" lang="ja-JP" altLang="en-US" sz="9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4</xdr:col>
      <xdr:colOff>144463</xdr:colOff>
      <xdr:row>146</xdr:row>
      <xdr:rowOff>114300</xdr:rowOff>
    </xdr:from>
    <xdr:to>
      <xdr:col>11</xdr:col>
      <xdr:colOff>159582</xdr:colOff>
      <xdr:row>149</xdr:row>
      <xdr:rowOff>121204</xdr:rowOff>
    </xdr:to>
    <xdr:grpSp>
      <xdr:nvGrpSpPr>
        <xdr:cNvPr id="440" name="グループ化 439">
          <a:extLst>
            <a:ext uri="{FF2B5EF4-FFF2-40B4-BE49-F238E27FC236}">
              <a16:creationId xmlns:a16="http://schemas.microsoft.com/office/drawing/2014/main" id="{D82F504D-C2A1-4883-A9AF-1FD3F68F2B61}"/>
            </a:ext>
          </a:extLst>
        </xdr:cNvPr>
        <xdr:cNvGrpSpPr/>
      </xdr:nvGrpSpPr>
      <xdr:grpSpPr>
        <a:xfrm>
          <a:off x="906463" y="27927300"/>
          <a:ext cx="1348619" cy="578404"/>
          <a:chOff x="6017381" y="6405437"/>
          <a:chExt cx="1355675" cy="584603"/>
        </a:xfrm>
      </xdr:grpSpPr>
      <xdr:sp macro="" textlink="">
        <xdr:nvSpPr>
          <xdr:cNvPr id="441" name="ひし形 440">
            <a:extLst>
              <a:ext uri="{FF2B5EF4-FFF2-40B4-BE49-F238E27FC236}">
                <a16:creationId xmlns:a16="http://schemas.microsoft.com/office/drawing/2014/main" id="{AD75D09F-8A89-4B54-2E08-373F983B31AA}"/>
              </a:ext>
            </a:extLst>
          </xdr:cNvPr>
          <xdr:cNvSpPr/>
        </xdr:nvSpPr>
        <xdr:spPr>
          <a:xfrm>
            <a:off x="6028662" y="6407868"/>
            <a:ext cx="1337699" cy="579287"/>
          </a:xfrm>
          <a:prstGeom prst="diamond">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en-US" altLang="ja-JP" sz="1000">
              <a:solidFill>
                <a:schemeClr val="tx1"/>
              </a:solidFill>
              <a:latin typeface="Meiryo UI" panose="020B0604030504040204" pitchFamily="50" charset="-128"/>
              <a:ea typeface="Meiryo UI" panose="020B0604030504040204" pitchFamily="50" charset="-128"/>
            </a:endParaRPr>
          </a:p>
        </xdr:txBody>
      </xdr:sp>
      <xdr:sp macro="" textlink="">
        <xdr:nvSpPr>
          <xdr:cNvPr id="442" name="テキスト ボックス 441">
            <a:extLst>
              <a:ext uri="{FF2B5EF4-FFF2-40B4-BE49-F238E27FC236}">
                <a16:creationId xmlns:a16="http://schemas.microsoft.com/office/drawing/2014/main" id="{CEDFD1C1-85E4-4770-FEA0-49C07A279A87}"/>
              </a:ext>
            </a:extLst>
          </xdr:cNvPr>
          <xdr:cNvSpPr txBox="1"/>
        </xdr:nvSpPr>
        <xdr:spPr>
          <a:xfrm>
            <a:off x="6017381" y="6405437"/>
            <a:ext cx="1355675" cy="5846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700">
                <a:latin typeface="Meiryo UI" panose="020B0604030504040204" pitchFamily="50" charset="-128"/>
                <a:ea typeface="Meiryo UI" panose="020B0604030504040204" pitchFamily="50" charset="-128"/>
              </a:rPr>
              <a:t>受領フォルダが存在するか</a:t>
            </a:r>
          </a:p>
        </xdr:txBody>
      </xdr:sp>
    </xdr:grpSp>
    <xdr:clientData/>
  </xdr:twoCellAnchor>
  <xdr:twoCellAnchor>
    <xdr:from>
      <xdr:col>8</xdr:col>
      <xdr:colOff>56773</xdr:colOff>
      <xdr:row>145</xdr:row>
      <xdr:rowOff>25894</xdr:rowOff>
    </xdr:from>
    <xdr:to>
      <xdr:col>8</xdr:col>
      <xdr:colOff>58584</xdr:colOff>
      <xdr:row>146</xdr:row>
      <xdr:rowOff>114300</xdr:rowOff>
    </xdr:to>
    <xdr:cxnSp macro="">
      <xdr:nvCxnSpPr>
        <xdr:cNvPr id="443" name="直線矢印コネクタ 442">
          <a:extLst>
            <a:ext uri="{FF2B5EF4-FFF2-40B4-BE49-F238E27FC236}">
              <a16:creationId xmlns:a16="http://schemas.microsoft.com/office/drawing/2014/main" id="{5BF63E61-D5D1-43CE-BB4C-06ACF16ACD57}"/>
            </a:ext>
          </a:extLst>
        </xdr:cNvPr>
        <xdr:cNvCxnSpPr>
          <a:cxnSpLocks/>
          <a:stCxn id="433" idx="2"/>
          <a:endCxn id="442" idx="0"/>
        </xdr:cNvCxnSpPr>
      </xdr:nvCxnSpPr>
      <xdr:spPr>
        <a:xfrm flipH="1">
          <a:off x="1580773" y="27645219"/>
          <a:ext cx="1811" cy="282081"/>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11</xdr:col>
      <xdr:colOff>159582</xdr:colOff>
      <xdr:row>148</xdr:row>
      <xdr:rowOff>27265</xdr:rowOff>
    </xdr:from>
    <xdr:to>
      <xdr:col>49</xdr:col>
      <xdr:colOff>84027</xdr:colOff>
      <xdr:row>203</xdr:row>
      <xdr:rowOff>178784</xdr:rowOff>
    </xdr:to>
    <xdr:cxnSp macro="">
      <xdr:nvCxnSpPr>
        <xdr:cNvPr id="444" name="コネクタ: カギ線 443">
          <a:extLst>
            <a:ext uri="{FF2B5EF4-FFF2-40B4-BE49-F238E27FC236}">
              <a16:creationId xmlns:a16="http://schemas.microsoft.com/office/drawing/2014/main" id="{AA5CA56F-A0AE-408C-B4D1-8185316EF99F}"/>
            </a:ext>
          </a:extLst>
        </xdr:cNvPr>
        <xdr:cNvCxnSpPr>
          <a:cxnSpLocks/>
          <a:stCxn id="442" idx="3"/>
          <a:endCxn id="418" idx="0"/>
        </xdr:cNvCxnSpPr>
      </xdr:nvCxnSpPr>
      <xdr:spPr>
        <a:xfrm>
          <a:off x="2251907" y="28218090"/>
          <a:ext cx="7169795" cy="10629019"/>
        </a:xfrm>
        <a:prstGeom prst="bentConnector2">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56773</xdr:colOff>
      <xdr:row>149</xdr:row>
      <xdr:rowOff>121204</xdr:rowOff>
    </xdr:from>
    <xdr:to>
      <xdr:col>8</xdr:col>
      <xdr:colOff>58584</xdr:colOff>
      <xdr:row>151</xdr:row>
      <xdr:rowOff>124846</xdr:rowOff>
    </xdr:to>
    <xdr:cxnSp macro="">
      <xdr:nvCxnSpPr>
        <xdr:cNvPr id="445" name="直線矢印コネクタ 444">
          <a:extLst>
            <a:ext uri="{FF2B5EF4-FFF2-40B4-BE49-F238E27FC236}">
              <a16:creationId xmlns:a16="http://schemas.microsoft.com/office/drawing/2014/main" id="{9984285D-2542-4B14-BB1F-BB04875D2708}"/>
            </a:ext>
          </a:extLst>
        </xdr:cNvPr>
        <xdr:cNvCxnSpPr>
          <a:cxnSpLocks/>
          <a:stCxn id="442" idx="2"/>
          <a:endCxn id="448" idx="0"/>
        </xdr:cNvCxnSpPr>
      </xdr:nvCxnSpPr>
      <xdr:spPr>
        <a:xfrm>
          <a:off x="1580773" y="28508879"/>
          <a:ext cx="1811" cy="378292"/>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5</xdr:col>
      <xdr:colOff>8922</xdr:colOff>
      <xdr:row>151</xdr:row>
      <xdr:rowOff>114300</xdr:rowOff>
    </xdr:from>
    <xdr:to>
      <xdr:col>11</xdr:col>
      <xdr:colOff>104622</xdr:colOff>
      <xdr:row>153</xdr:row>
      <xdr:rowOff>151523</xdr:rowOff>
    </xdr:to>
    <xdr:grpSp>
      <xdr:nvGrpSpPr>
        <xdr:cNvPr id="446" name="グループ化 445">
          <a:extLst>
            <a:ext uri="{FF2B5EF4-FFF2-40B4-BE49-F238E27FC236}">
              <a16:creationId xmlns:a16="http://schemas.microsoft.com/office/drawing/2014/main" id="{7CBE5F73-A3E2-4A91-A432-76DD42F65184}"/>
            </a:ext>
          </a:extLst>
        </xdr:cNvPr>
        <xdr:cNvGrpSpPr/>
      </xdr:nvGrpSpPr>
      <xdr:grpSpPr>
        <a:xfrm>
          <a:off x="961422" y="28879800"/>
          <a:ext cx="1238700" cy="418223"/>
          <a:chOff x="4133004" y="6457948"/>
          <a:chExt cx="1238700" cy="405523"/>
        </a:xfrm>
      </xdr:grpSpPr>
      <xdr:sp macro="" textlink="">
        <xdr:nvSpPr>
          <xdr:cNvPr id="447" name="正方形/長方形 446">
            <a:extLst>
              <a:ext uri="{FF2B5EF4-FFF2-40B4-BE49-F238E27FC236}">
                <a16:creationId xmlns:a16="http://schemas.microsoft.com/office/drawing/2014/main" id="{BEEF51A7-3F95-5314-4095-66BD766CA9A1}"/>
              </a:ext>
            </a:extLst>
          </xdr:cNvPr>
          <xdr:cNvSpPr/>
        </xdr:nvSpPr>
        <xdr:spPr>
          <a:xfrm>
            <a:off x="4133004" y="6457948"/>
            <a:ext cx="1238700" cy="405523"/>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1000">
              <a:solidFill>
                <a:schemeClr val="tx1"/>
              </a:solidFill>
              <a:latin typeface="Meiryo UI" panose="020B0604030504040204" pitchFamily="50" charset="-128"/>
              <a:ea typeface="Meiryo UI" panose="020B0604030504040204" pitchFamily="50" charset="-128"/>
            </a:endParaRPr>
          </a:p>
        </xdr:txBody>
      </xdr:sp>
      <xdr:sp macro="" textlink="">
        <xdr:nvSpPr>
          <xdr:cNvPr id="448" name="テキスト ボックス 447">
            <a:extLst>
              <a:ext uri="{FF2B5EF4-FFF2-40B4-BE49-F238E27FC236}">
                <a16:creationId xmlns:a16="http://schemas.microsoft.com/office/drawing/2014/main" id="{6F366BB8-63B9-4FC2-6441-F5C7B3647F2E}"/>
              </a:ext>
            </a:extLst>
          </xdr:cNvPr>
          <xdr:cNvSpPr txBox="1"/>
        </xdr:nvSpPr>
        <xdr:spPr>
          <a:xfrm>
            <a:off x="4145757" y="6465095"/>
            <a:ext cx="1216818" cy="3857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700">
                <a:latin typeface="Meiryo UI" panose="020B0604030504040204" pitchFamily="50" charset="-128"/>
                <a:ea typeface="Meiryo UI" panose="020B0604030504040204" pitchFamily="50" charset="-128"/>
              </a:rPr>
              <a:t>ワークフォルダパス取得</a:t>
            </a:r>
          </a:p>
        </xdr:txBody>
      </xdr:sp>
    </xdr:grpSp>
    <xdr:clientData/>
  </xdr:twoCellAnchor>
  <xdr:twoCellAnchor>
    <xdr:from>
      <xdr:col>4</xdr:col>
      <xdr:colOff>146050</xdr:colOff>
      <xdr:row>155</xdr:row>
      <xdr:rowOff>85725</xdr:rowOff>
    </xdr:from>
    <xdr:to>
      <xdr:col>11</xdr:col>
      <xdr:colOff>157994</xdr:colOff>
      <xdr:row>158</xdr:row>
      <xdr:rowOff>92629</xdr:rowOff>
    </xdr:to>
    <xdr:grpSp>
      <xdr:nvGrpSpPr>
        <xdr:cNvPr id="449" name="グループ化 448">
          <a:extLst>
            <a:ext uri="{FF2B5EF4-FFF2-40B4-BE49-F238E27FC236}">
              <a16:creationId xmlns:a16="http://schemas.microsoft.com/office/drawing/2014/main" id="{C7BE231A-6FE5-416A-9019-1C8F88C018EB}"/>
            </a:ext>
          </a:extLst>
        </xdr:cNvPr>
        <xdr:cNvGrpSpPr/>
      </xdr:nvGrpSpPr>
      <xdr:grpSpPr>
        <a:xfrm>
          <a:off x="908050" y="29613225"/>
          <a:ext cx="1345444" cy="578404"/>
          <a:chOff x="6017381" y="6405437"/>
          <a:chExt cx="1355675" cy="584603"/>
        </a:xfrm>
      </xdr:grpSpPr>
      <xdr:sp macro="" textlink="">
        <xdr:nvSpPr>
          <xdr:cNvPr id="450" name="ひし形 449">
            <a:extLst>
              <a:ext uri="{FF2B5EF4-FFF2-40B4-BE49-F238E27FC236}">
                <a16:creationId xmlns:a16="http://schemas.microsoft.com/office/drawing/2014/main" id="{6B138086-2D31-DEBF-AB75-01AD20357D35}"/>
              </a:ext>
            </a:extLst>
          </xdr:cNvPr>
          <xdr:cNvSpPr/>
        </xdr:nvSpPr>
        <xdr:spPr>
          <a:xfrm>
            <a:off x="6028662" y="6407868"/>
            <a:ext cx="1337699" cy="579287"/>
          </a:xfrm>
          <a:prstGeom prst="diamond">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en-US" altLang="ja-JP" sz="1000">
              <a:solidFill>
                <a:schemeClr val="tx1"/>
              </a:solidFill>
              <a:latin typeface="Meiryo UI" panose="020B0604030504040204" pitchFamily="50" charset="-128"/>
              <a:ea typeface="Meiryo UI" panose="020B0604030504040204" pitchFamily="50" charset="-128"/>
            </a:endParaRPr>
          </a:p>
        </xdr:txBody>
      </xdr:sp>
      <xdr:sp macro="" textlink="">
        <xdr:nvSpPr>
          <xdr:cNvPr id="451" name="テキスト ボックス 450">
            <a:extLst>
              <a:ext uri="{FF2B5EF4-FFF2-40B4-BE49-F238E27FC236}">
                <a16:creationId xmlns:a16="http://schemas.microsoft.com/office/drawing/2014/main" id="{C3D0332F-2F69-4766-109E-EFBAB371ED6B}"/>
              </a:ext>
            </a:extLst>
          </xdr:cNvPr>
          <xdr:cNvSpPr txBox="1"/>
        </xdr:nvSpPr>
        <xdr:spPr>
          <a:xfrm>
            <a:off x="6017381" y="6405437"/>
            <a:ext cx="1355675" cy="5846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700">
                <a:latin typeface="Meiryo UI" panose="020B0604030504040204" pitchFamily="50" charset="-128"/>
                <a:ea typeface="Meiryo UI" panose="020B0604030504040204" pitchFamily="50" charset="-128"/>
              </a:rPr>
              <a:t>ワークフォルダが存在するか</a:t>
            </a:r>
          </a:p>
        </xdr:txBody>
      </xdr:sp>
    </xdr:grpSp>
    <xdr:clientData/>
  </xdr:twoCellAnchor>
  <xdr:twoCellAnchor>
    <xdr:from>
      <xdr:col>8</xdr:col>
      <xdr:colOff>56772</xdr:colOff>
      <xdr:row>153</xdr:row>
      <xdr:rowOff>151523</xdr:rowOff>
    </xdr:from>
    <xdr:to>
      <xdr:col>8</xdr:col>
      <xdr:colOff>56772</xdr:colOff>
      <xdr:row>155</xdr:row>
      <xdr:rowOff>85725</xdr:rowOff>
    </xdr:to>
    <xdr:cxnSp macro="">
      <xdr:nvCxnSpPr>
        <xdr:cNvPr id="452" name="直線矢印コネクタ 451">
          <a:extLst>
            <a:ext uri="{FF2B5EF4-FFF2-40B4-BE49-F238E27FC236}">
              <a16:creationId xmlns:a16="http://schemas.microsoft.com/office/drawing/2014/main" id="{72605A92-895E-4BB0-A342-F2E8D03264FF}"/>
            </a:ext>
          </a:extLst>
        </xdr:cNvPr>
        <xdr:cNvCxnSpPr>
          <a:cxnSpLocks/>
          <a:stCxn id="447" idx="2"/>
          <a:endCxn id="451" idx="0"/>
        </xdr:cNvCxnSpPr>
      </xdr:nvCxnSpPr>
      <xdr:spPr>
        <a:xfrm>
          <a:off x="1580772" y="29298023"/>
          <a:ext cx="0" cy="315202"/>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11</xdr:col>
      <xdr:colOff>157994</xdr:colOff>
      <xdr:row>156</xdr:row>
      <xdr:rowOff>184427</xdr:rowOff>
    </xdr:from>
    <xdr:to>
      <xdr:col>49</xdr:col>
      <xdr:colOff>87202</xdr:colOff>
      <xdr:row>203</xdr:row>
      <xdr:rowOff>175609</xdr:rowOff>
    </xdr:to>
    <xdr:cxnSp macro="">
      <xdr:nvCxnSpPr>
        <xdr:cNvPr id="453" name="コネクタ: カギ線 452">
          <a:extLst>
            <a:ext uri="{FF2B5EF4-FFF2-40B4-BE49-F238E27FC236}">
              <a16:creationId xmlns:a16="http://schemas.microsoft.com/office/drawing/2014/main" id="{C498EBEA-87F0-4F1C-9408-F0DF5DB87D01}"/>
            </a:ext>
          </a:extLst>
        </xdr:cNvPr>
        <xdr:cNvCxnSpPr>
          <a:cxnSpLocks/>
          <a:stCxn id="451" idx="3"/>
          <a:endCxn id="418" idx="0"/>
        </xdr:cNvCxnSpPr>
      </xdr:nvCxnSpPr>
      <xdr:spPr>
        <a:xfrm>
          <a:off x="2253494" y="29902427"/>
          <a:ext cx="7168208" cy="8944682"/>
        </a:xfrm>
        <a:prstGeom prst="bentConnector2">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88339</xdr:colOff>
      <xdr:row>146</xdr:row>
      <xdr:rowOff>104775</xdr:rowOff>
    </xdr:from>
    <xdr:to>
      <xdr:col>13</xdr:col>
      <xdr:colOff>183472</xdr:colOff>
      <xdr:row>148</xdr:row>
      <xdr:rowOff>27541</xdr:rowOff>
    </xdr:to>
    <xdr:sp macro="" textlink="">
      <xdr:nvSpPr>
        <xdr:cNvPr id="454" name="正方形/長方形 453">
          <a:extLst>
            <a:ext uri="{FF2B5EF4-FFF2-40B4-BE49-F238E27FC236}">
              <a16:creationId xmlns:a16="http://schemas.microsoft.com/office/drawing/2014/main" id="{B4365994-05DC-4747-881B-88E364D1D76E}"/>
            </a:ext>
          </a:extLst>
        </xdr:cNvPr>
        <xdr:cNvSpPr/>
      </xdr:nvSpPr>
      <xdr:spPr>
        <a:xfrm>
          <a:off x="2180664" y="8293100"/>
          <a:ext cx="476133" cy="31011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900">
              <a:solidFill>
                <a:sysClr val="windowText" lastClr="000000"/>
              </a:solidFill>
              <a:latin typeface="Meiryo UI" panose="020B0604030504040204" pitchFamily="50" charset="-128"/>
              <a:ea typeface="Meiryo UI" panose="020B0604030504040204" pitchFamily="50" charset="-128"/>
            </a:rPr>
            <a:t>No</a:t>
          </a:r>
          <a:endParaRPr kumimoji="1" lang="ja-JP" altLang="en-US" sz="9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5</xdr:col>
      <xdr:colOff>152400</xdr:colOff>
      <xdr:row>149</xdr:row>
      <xdr:rowOff>29509</xdr:rowOff>
    </xdr:from>
    <xdr:to>
      <xdr:col>8</xdr:col>
      <xdr:colOff>69733</xdr:colOff>
      <xdr:row>150</xdr:row>
      <xdr:rowOff>142775</xdr:rowOff>
    </xdr:to>
    <xdr:sp macro="" textlink="">
      <xdr:nvSpPr>
        <xdr:cNvPr id="455" name="正方形/長方形 454">
          <a:extLst>
            <a:ext uri="{FF2B5EF4-FFF2-40B4-BE49-F238E27FC236}">
              <a16:creationId xmlns:a16="http://schemas.microsoft.com/office/drawing/2014/main" id="{4620B509-15DC-4C95-9E80-D700419A5DC7}"/>
            </a:ext>
          </a:extLst>
        </xdr:cNvPr>
        <xdr:cNvSpPr/>
      </xdr:nvSpPr>
      <xdr:spPr>
        <a:xfrm>
          <a:off x="1104900" y="8789334"/>
          <a:ext cx="485658" cy="31011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900">
              <a:solidFill>
                <a:sysClr val="windowText" lastClr="000000"/>
              </a:solidFill>
              <a:latin typeface="Meiryo UI" panose="020B0604030504040204" pitchFamily="50" charset="-128"/>
              <a:ea typeface="Meiryo UI" panose="020B0604030504040204" pitchFamily="50" charset="-128"/>
            </a:rPr>
            <a:t>Yes</a:t>
          </a:r>
          <a:endParaRPr kumimoji="1" lang="ja-JP" altLang="en-US" sz="9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11</xdr:col>
      <xdr:colOff>40714</xdr:colOff>
      <xdr:row>155</xdr:row>
      <xdr:rowOff>47625</xdr:rowOff>
    </xdr:from>
    <xdr:to>
      <xdr:col>13</xdr:col>
      <xdr:colOff>135847</xdr:colOff>
      <xdr:row>156</xdr:row>
      <xdr:rowOff>160891</xdr:rowOff>
    </xdr:to>
    <xdr:sp macro="" textlink="">
      <xdr:nvSpPr>
        <xdr:cNvPr id="456" name="正方形/長方形 455">
          <a:extLst>
            <a:ext uri="{FF2B5EF4-FFF2-40B4-BE49-F238E27FC236}">
              <a16:creationId xmlns:a16="http://schemas.microsoft.com/office/drawing/2014/main" id="{C10D2C8D-2B32-4FCF-9598-7B2ED37BE529}"/>
            </a:ext>
          </a:extLst>
        </xdr:cNvPr>
        <xdr:cNvSpPr/>
      </xdr:nvSpPr>
      <xdr:spPr>
        <a:xfrm>
          <a:off x="2136214" y="9950450"/>
          <a:ext cx="476133" cy="31011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900">
              <a:solidFill>
                <a:sysClr val="windowText" lastClr="000000"/>
              </a:solidFill>
              <a:latin typeface="Meiryo UI" panose="020B0604030504040204" pitchFamily="50" charset="-128"/>
              <a:ea typeface="Meiryo UI" panose="020B0604030504040204" pitchFamily="50" charset="-128"/>
            </a:rPr>
            <a:t>No</a:t>
          </a:r>
          <a:endParaRPr kumimoji="1" lang="ja-JP" altLang="en-US" sz="9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5</xdr:col>
      <xdr:colOff>104775</xdr:colOff>
      <xdr:row>157</xdr:row>
      <xdr:rowOff>162859</xdr:rowOff>
    </xdr:from>
    <xdr:to>
      <xdr:col>8</xdr:col>
      <xdr:colOff>22108</xdr:colOff>
      <xdr:row>159</xdr:row>
      <xdr:rowOff>85625</xdr:rowOff>
    </xdr:to>
    <xdr:sp macro="" textlink="">
      <xdr:nvSpPr>
        <xdr:cNvPr id="457" name="正方形/長方形 456">
          <a:extLst>
            <a:ext uri="{FF2B5EF4-FFF2-40B4-BE49-F238E27FC236}">
              <a16:creationId xmlns:a16="http://schemas.microsoft.com/office/drawing/2014/main" id="{91279483-9917-4CC1-B94B-2BEA405AB072}"/>
            </a:ext>
          </a:extLst>
        </xdr:cNvPr>
        <xdr:cNvSpPr/>
      </xdr:nvSpPr>
      <xdr:spPr>
        <a:xfrm>
          <a:off x="1054100" y="10446684"/>
          <a:ext cx="492008" cy="31011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900">
              <a:solidFill>
                <a:sysClr val="windowText" lastClr="000000"/>
              </a:solidFill>
              <a:latin typeface="Meiryo UI" panose="020B0604030504040204" pitchFamily="50" charset="-128"/>
              <a:ea typeface="Meiryo UI" panose="020B0604030504040204" pitchFamily="50" charset="-128"/>
            </a:rPr>
            <a:t>Yes</a:t>
          </a:r>
          <a:endParaRPr kumimoji="1" lang="ja-JP" altLang="en-US" sz="9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4</xdr:col>
      <xdr:colOff>142875</xdr:colOff>
      <xdr:row>179</xdr:row>
      <xdr:rowOff>158750</xdr:rowOff>
    </xdr:from>
    <xdr:to>
      <xdr:col>11</xdr:col>
      <xdr:colOff>151644</xdr:colOff>
      <xdr:row>182</xdr:row>
      <xdr:rowOff>168829</xdr:rowOff>
    </xdr:to>
    <xdr:grpSp>
      <xdr:nvGrpSpPr>
        <xdr:cNvPr id="459" name="グループ化 458">
          <a:extLst>
            <a:ext uri="{FF2B5EF4-FFF2-40B4-BE49-F238E27FC236}">
              <a16:creationId xmlns:a16="http://schemas.microsoft.com/office/drawing/2014/main" id="{F744B968-B8AA-410D-873F-515081207485}"/>
            </a:ext>
          </a:extLst>
        </xdr:cNvPr>
        <xdr:cNvGrpSpPr/>
      </xdr:nvGrpSpPr>
      <xdr:grpSpPr>
        <a:xfrm>
          <a:off x="904875" y="34258250"/>
          <a:ext cx="1342269" cy="581579"/>
          <a:chOff x="6017381" y="6405437"/>
          <a:chExt cx="1355675" cy="584603"/>
        </a:xfrm>
      </xdr:grpSpPr>
      <xdr:sp macro="" textlink="">
        <xdr:nvSpPr>
          <xdr:cNvPr id="460" name="ひし形 459">
            <a:extLst>
              <a:ext uri="{FF2B5EF4-FFF2-40B4-BE49-F238E27FC236}">
                <a16:creationId xmlns:a16="http://schemas.microsoft.com/office/drawing/2014/main" id="{D32D6F15-1CC6-5075-4745-B05470D8D33D}"/>
              </a:ext>
            </a:extLst>
          </xdr:cNvPr>
          <xdr:cNvSpPr/>
        </xdr:nvSpPr>
        <xdr:spPr>
          <a:xfrm>
            <a:off x="6028662" y="6407868"/>
            <a:ext cx="1337699" cy="579287"/>
          </a:xfrm>
          <a:prstGeom prst="diamond">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en-US" altLang="ja-JP" sz="1000">
              <a:solidFill>
                <a:schemeClr val="tx1"/>
              </a:solidFill>
              <a:latin typeface="Meiryo UI" panose="020B0604030504040204" pitchFamily="50" charset="-128"/>
              <a:ea typeface="Meiryo UI" panose="020B0604030504040204" pitchFamily="50" charset="-128"/>
            </a:endParaRPr>
          </a:p>
        </xdr:txBody>
      </xdr:sp>
      <xdr:sp macro="" textlink="">
        <xdr:nvSpPr>
          <xdr:cNvPr id="461" name="テキスト ボックス 460">
            <a:extLst>
              <a:ext uri="{FF2B5EF4-FFF2-40B4-BE49-F238E27FC236}">
                <a16:creationId xmlns:a16="http://schemas.microsoft.com/office/drawing/2014/main" id="{33C10C2E-D0DC-8A51-D148-3A209E15C065}"/>
              </a:ext>
            </a:extLst>
          </xdr:cNvPr>
          <xdr:cNvSpPr txBox="1"/>
        </xdr:nvSpPr>
        <xdr:spPr>
          <a:xfrm>
            <a:off x="6017381" y="6405437"/>
            <a:ext cx="1355675" cy="5846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700" b="0"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n-cs"/>
              </a:rPr>
              <a:t>受信フォルダに</a:t>
            </a:r>
            <a:endParaRPr kumimoji="1" lang="en-US" altLang="ja-JP" sz="700" b="0"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700" b="0"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n-cs"/>
              </a:rPr>
              <a:t>ファイルが存在するか</a:t>
            </a:r>
          </a:p>
        </xdr:txBody>
      </xdr:sp>
    </xdr:grpSp>
    <xdr:clientData/>
  </xdr:twoCellAnchor>
  <xdr:twoCellAnchor>
    <xdr:from>
      <xdr:col>11</xdr:col>
      <xdr:colOff>151644</xdr:colOff>
      <xdr:row>181</xdr:row>
      <xdr:rowOff>65365</xdr:rowOff>
    </xdr:from>
    <xdr:to>
      <xdr:col>18</xdr:col>
      <xdr:colOff>123447</xdr:colOff>
      <xdr:row>183</xdr:row>
      <xdr:rowOff>149225</xdr:rowOff>
    </xdr:to>
    <xdr:cxnSp macro="">
      <xdr:nvCxnSpPr>
        <xdr:cNvPr id="462" name="コネクタ: カギ線 461">
          <a:extLst>
            <a:ext uri="{FF2B5EF4-FFF2-40B4-BE49-F238E27FC236}">
              <a16:creationId xmlns:a16="http://schemas.microsoft.com/office/drawing/2014/main" id="{3DD43422-078C-408D-B752-DE136135B1DC}"/>
            </a:ext>
          </a:extLst>
        </xdr:cNvPr>
        <xdr:cNvCxnSpPr>
          <a:cxnSpLocks/>
          <a:stCxn id="461" idx="3"/>
          <a:endCxn id="470" idx="0"/>
        </xdr:cNvCxnSpPr>
      </xdr:nvCxnSpPr>
      <xdr:spPr>
        <a:xfrm>
          <a:off x="2247144" y="34549040"/>
          <a:ext cx="1308478" cy="461685"/>
        </a:xfrm>
        <a:prstGeom prst="bentConnector2">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13</xdr:col>
      <xdr:colOff>2614</xdr:colOff>
      <xdr:row>186</xdr:row>
      <xdr:rowOff>73025</xdr:rowOff>
    </xdr:from>
    <xdr:to>
      <xdr:col>18</xdr:col>
      <xdr:colOff>66675</xdr:colOff>
      <xdr:row>188</xdr:row>
      <xdr:rowOff>2141</xdr:rowOff>
    </xdr:to>
    <xdr:sp macro="" textlink="">
      <xdr:nvSpPr>
        <xdr:cNvPr id="463" name="正方形/長方形 462">
          <a:extLst>
            <a:ext uri="{FF2B5EF4-FFF2-40B4-BE49-F238E27FC236}">
              <a16:creationId xmlns:a16="http://schemas.microsoft.com/office/drawing/2014/main" id="{7E26F35F-C916-4A9B-ACC8-C169841ACB8C}"/>
            </a:ext>
          </a:extLst>
        </xdr:cNvPr>
        <xdr:cNvSpPr/>
      </xdr:nvSpPr>
      <xdr:spPr>
        <a:xfrm>
          <a:off x="2479114" y="35506025"/>
          <a:ext cx="1016561" cy="31011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ysClr val="windowText" lastClr="000000"/>
              </a:solidFill>
              <a:latin typeface="Meiryo UI" panose="020B0604030504040204" pitchFamily="50" charset="-128"/>
              <a:ea typeface="Meiryo UI" panose="020B0604030504040204" pitchFamily="50" charset="-128"/>
            </a:rPr>
            <a:t>ファイル存在任意</a:t>
          </a:r>
        </a:p>
      </xdr:txBody>
    </xdr:sp>
    <xdr:clientData/>
  </xdr:twoCellAnchor>
  <xdr:twoCellAnchor>
    <xdr:from>
      <xdr:col>21</xdr:col>
      <xdr:colOff>161926</xdr:colOff>
      <xdr:row>183</xdr:row>
      <xdr:rowOff>121584</xdr:rowOff>
    </xdr:from>
    <xdr:to>
      <xdr:col>27</xdr:col>
      <xdr:colOff>22109</xdr:colOff>
      <xdr:row>185</xdr:row>
      <xdr:rowOff>50700</xdr:rowOff>
    </xdr:to>
    <xdr:sp macro="" textlink="">
      <xdr:nvSpPr>
        <xdr:cNvPr id="464" name="正方形/長方形 463">
          <a:extLst>
            <a:ext uri="{FF2B5EF4-FFF2-40B4-BE49-F238E27FC236}">
              <a16:creationId xmlns:a16="http://schemas.microsoft.com/office/drawing/2014/main" id="{08E8D8E3-A5A1-45FD-BD7D-37AB2ED6B144}"/>
            </a:ext>
          </a:extLst>
        </xdr:cNvPr>
        <xdr:cNvSpPr/>
      </xdr:nvSpPr>
      <xdr:spPr>
        <a:xfrm>
          <a:off x="4162426" y="34983084"/>
          <a:ext cx="1003183" cy="31011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ysClr val="windowText" lastClr="000000"/>
              </a:solidFill>
              <a:latin typeface="Meiryo UI" panose="020B0604030504040204" pitchFamily="50" charset="-128"/>
              <a:ea typeface="Meiryo UI" panose="020B0604030504040204" pitchFamily="50" charset="-128"/>
            </a:rPr>
            <a:t>ファイル存在必須</a:t>
          </a:r>
        </a:p>
      </xdr:txBody>
    </xdr:sp>
    <xdr:clientData/>
  </xdr:twoCellAnchor>
  <xdr:twoCellAnchor>
    <xdr:from>
      <xdr:col>15</xdr:col>
      <xdr:colOff>25400</xdr:colOff>
      <xdr:row>183</xdr:row>
      <xdr:rowOff>149225</xdr:rowOff>
    </xdr:from>
    <xdr:to>
      <xdr:col>22</xdr:col>
      <xdr:colOff>37344</xdr:colOff>
      <xdr:row>186</xdr:row>
      <xdr:rowOff>162479</xdr:rowOff>
    </xdr:to>
    <xdr:grpSp>
      <xdr:nvGrpSpPr>
        <xdr:cNvPr id="468" name="グループ化 467">
          <a:extLst>
            <a:ext uri="{FF2B5EF4-FFF2-40B4-BE49-F238E27FC236}">
              <a16:creationId xmlns:a16="http://schemas.microsoft.com/office/drawing/2014/main" id="{868A8570-520D-4917-926F-0B7D4DD67622}"/>
            </a:ext>
          </a:extLst>
        </xdr:cNvPr>
        <xdr:cNvGrpSpPr/>
      </xdr:nvGrpSpPr>
      <xdr:grpSpPr>
        <a:xfrm>
          <a:off x="2882900" y="35010725"/>
          <a:ext cx="1345444" cy="584754"/>
          <a:chOff x="6017381" y="6405437"/>
          <a:chExt cx="1355675" cy="584603"/>
        </a:xfrm>
      </xdr:grpSpPr>
      <xdr:sp macro="" textlink="">
        <xdr:nvSpPr>
          <xdr:cNvPr id="469" name="ひし形 468">
            <a:extLst>
              <a:ext uri="{FF2B5EF4-FFF2-40B4-BE49-F238E27FC236}">
                <a16:creationId xmlns:a16="http://schemas.microsoft.com/office/drawing/2014/main" id="{456ACA10-54DA-C621-7134-C837817DD0B7}"/>
              </a:ext>
            </a:extLst>
          </xdr:cNvPr>
          <xdr:cNvSpPr/>
        </xdr:nvSpPr>
        <xdr:spPr>
          <a:xfrm>
            <a:off x="6028662" y="6407868"/>
            <a:ext cx="1337699" cy="579287"/>
          </a:xfrm>
          <a:prstGeom prst="diamond">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en-US" altLang="ja-JP" sz="1000">
              <a:solidFill>
                <a:schemeClr val="tx1"/>
              </a:solidFill>
              <a:latin typeface="Meiryo UI" panose="020B0604030504040204" pitchFamily="50" charset="-128"/>
              <a:ea typeface="Meiryo UI" panose="020B0604030504040204" pitchFamily="50" charset="-128"/>
            </a:endParaRPr>
          </a:p>
        </xdr:txBody>
      </xdr:sp>
      <xdr:sp macro="" textlink="">
        <xdr:nvSpPr>
          <xdr:cNvPr id="470" name="テキスト ボックス 469">
            <a:extLst>
              <a:ext uri="{FF2B5EF4-FFF2-40B4-BE49-F238E27FC236}">
                <a16:creationId xmlns:a16="http://schemas.microsoft.com/office/drawing/2014/main" id="{BACF2CB7-008D-7E46-8F87-2A1D005A516A}"/>
              </a:ext>
            </a:extLst>
          </xdr:cNvPr>
          <xdr:cNvSpPr txBox="1"/>
        </xdr:nvSpPr>
        <xdr:spPr>
          <a:xfrm>
            <a:off x="6017381" y="6405437"/>
            <a:ext cx="1355675" cy="5846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700">
                <a:latin typeface="Meiryo UI" panose="020B0604030504040204" pitchFamily="50" charset="-128"/>
                <a:ea typeface="Meiryo UI" panose="020B0604030504040204" pitchFamily="50" charset="-128"/>
              </a:rPr>
              <a:t>読み込み種別</a:t>
            </a:r>
          </a:p>
        </xdr:txBody>
      </xdr:sp>
    </xdr:grpSp>
    <xdr:clientData/>
  </xdr:twoCellAnchor>
  <xdr:twoCellAnchor>
    <xdr:from>
      <xdr:col>18</xdr:col>
      <xdr:colOff>120650</xdr:colOff>
      <xdr:row>186</xdr:row>
      <xdr:rowOff>159304</xdr:rowOff>
    </xdr:from>
    <xdr:to>
      <xdr:col>18</xdr:col>
      <xdr:colOff>128210</xdr:colOff>
      <xdr:row>192</xdr:row>
      <xdr:rowOff>95250</xdr:rowOff>
    </xdr:to>
    <xdr:cxnSp macro="">
      <xdr:nvCxnSpPr>
        <xdr:cNvPr id="471" name="直線矢印コネクタ 470">
          <a:extLst>
            <a:ext uri="{FF2B5EF4-FFF2-40B4-BE49-F238E27FC236}">
              <a16:creationId xmlns:a16="http://schemas.microsoft.com/office/drawing/2014/main" id="{7F2A611C-2B10-4197-983E-9BC0DCD52E0E}"/>
            </a:ext>
          </a:extLst>
        </xdr:cNvPr>
        <xdr:cNvCxnSpPr>
          <a:cxnSpLocks/>
          <a:stCxn id="470" idx="2"/>
          <a:endCxn id="548" idx="0"/>
        </xdr:cNvCxnSpPr>
      </xdr:nvCxnSpPr>
      <xdr:spPr>
        <a:xfrm flipH="1">
          <a:off x="3549650" y="35592304"/>
          <a:ext cx="7560" cy="1078946"/>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22</xdr:col>
      <xdr:colOff>37344</xdr:colOff>
      <xdr:row>185</xdr:row>
      <xdr:rowOff>59015</xdr:rowOff>
    </xdr:from>
    <xdr:to>
      <xdr:col>27</xdr:col>
      <xdr:colOff>8387</xdr:colOff>
      <xdr:row>188</xdr:row>
      <xdr:rowOff>92984</xdr:rowOff>
    </xdr:to>
    <xdr:cxnSp macro="">
      <xdr:nvCxnSpPr>
        <xdr:cNvPr id="472" name="コネクタ: カギ線 471">
          <a:extLst>
            <a:ext uri="{FF2B5EF4-FFF2-40B4-BE49-F238E27FC236}">
              <a16:creationId xmlns:a16="http://schemas.microsoft.com/office/drawing/2014/main" id="{B566F4C7-7F85-49C4-A099-B2027986C779}"/>
            </a:ext>
          </a:extLst>
        </xdr:cNvPr>
        <xdr:cNvCxnSpPr>
          <a:cxnSpLocks/>
          <a:stCxn id="470" idx="3"/>
          <a:endCxn id="569" idx="0"/>
        </xdr:cNvCxnSpPr>
      </xdr:nvCxnSpPr>
      <xdr:spPr>
        <a:xfrm>
          <a:off x="4228344" y="35301515"/>
          <a:ext cx="923543" cy="605469"/>
        </a:xfrm>
        <a:prstGeom prst="bentConnector2">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12139</xdr:colOff>
      <xdr:row>179</xdr:row>
      <xdr:rowOff>142875</xdr:rowOff>
    </xdr:from>
    <xdr:to>
      <xdr:col>13</xdr:col>
      <xdr:colOff>107272</xdr:colOff>
      <xdr:row>181</xdr:row>
      <xdr:rowOff>75166</xdr:rowOff>
    </xdr:to>
    <xdr:sp macro="" textlink="">
      <xdr:nvSpPr>
        <xdr:cNvPr id="481" name="正方形/長方形 480">
          <a:extLst>
            <a:ext uri="{FF2B5EF4-FFF2-40B4-BE49-F238E27FC236}">
              <a16:creationId xmlns:a16="http://schemas.microsoft.com/office/drawing/2014/main" id="{ED4B3BA5-B2C9-4240-A70F-31879BB9A5FB}"/>
            </a:ext>
          </a:extLst>
        </xdr:cNvPr>
        <xdr:cNvSpPr/>
      </xdr:nvSpPr>
      <xdr:spPr>
        <a:xfrm>
          <a:off x="2107639" y="34242375"/>
          <a:ext cx="476133" cy="31329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900">
              <a:solidFill>
                <a:sysClr val="windowText" lastClr="000000"/>
              </a:solidFill>
              <a:latin typeface="Meiryo UI" panose="020B0604030504040204" pitchFamily="50" charset="-128"/>
              <a:ea typeface="Meiryo UI" panose="020B0604030504040204" pitchFamily="50" charset="-128"/>
            </a:rPr>
            <a:t>No</a:t>
          </a:r>
          <a:endParaRPr kumimoji="1" lang="ja-JP" altLang="en-US" sz="9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5</xdr:col>
      <xdr:colOff>76200</xdr:colOff>
      <xdr:row>182</xdr:row>
      <xdr:rowOff>67609</xdr:rowOff>
    </xdr:from>
    <xdr:to>
      <xdr:col>7</xdr:col>
      <xdr:colOff>184033</xdr:colOff>
      <xdr:row>183</xdr:row>
      <xdr:rowOff>190400</xdr:rowOff>
    </xdr:to>
    <xdr:sp macro="" textlink="">
      <xdr:nvSpPr>
        <xdr:cNvPr id="482" name="正方形/長方形 481">
          <a:extLst>
            <a:ext uri="{FF2B5EF4-FFF2-40B4-BE49-F238E27FC236}">
              <a16:creationId xmlns:a16="http://schemas.microsoft.com/office/drawing/2014/main" id="{F984888A-8C8A-4A74-A5A7-16DA074A20D7}"/>
            </a:ext>
          </a:extLst>
        </xdr:cNvPr>
        <xdr:cNvSpPr/>
      </xdr:nvSpPr>
      <xdr:spPr>
        <a:xfrm>
          <a:off x="1028700" y="34738609"/>
          <a:ext cx="488833" cy="31329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900">
              <a:solidFill>
                <a:sysClr val="windowText" lastClr="000000"/>
              </a:solidFill>
              <a:latin typeface="Meiryo UI" panose="020B0604030504040204" pitchFamily="50" charset="-128"/>
              <a:ea typeface="Meiryo UI" panose="020B0604030504040204" pitchFamily="50" charset="-128"/>
            </a:rPr>
            <a:t>Yes</a:t>
          </a:r>
          <a:endParaRPr kumimoji="1" lang="ja-JP" altLang="en-US" sz="9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8</xdr:col>
      <xdr:colOff>36962</xdr:colOff>
      <xdr:row>182</xdr:row>
      <xdr:rowOff>168829</xdr:rowOff>
    </xdr:from>
    <xdr:to>
      <xdr:col>8</xdr:col>
      <xdr:colOff>50422</xdr:colOff>
      <xdr:row>196</xdr:row>
      <xdr:rowOff>159771</xdr:rowOff>
    </xdr:to>
    <xdr:cxnSp macro="">
      <xdr:nvCxnSpPr>
        <xdr:cNvPr id="486" name="直線矢印コネクタ 485">
          <a:extLst>
            <a:ext uri="{FF2B5EF4-FFF2-40B4-BE49-F238E27FC236}">
              <a16:creationId xmlns:a16="http://schemas.microsoft.com/office/drawing/2014/main" id="{3326FAB3-814E-45DD-931D-F787D6483C02}"/>
            </a:ext>
          </a:extLst>
        </xdr:cNvPr>
        <xdr:cNvCxnSpPr>
          <a:cxnSpLocks/>
          <a:stCxn id="461" idx="2"/>
          <a:endCxn id="578" idx="0"/>
        </xdr:cNvCxnSpPr>
      </xdr:nvCxnSpPr>
      <xdr:spPr>
        <a:xfrm flipH="1">
          <a:off x="1560962" y="34839829"/>
          <a:ext cx="13460" cy="2657942"/>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130175</xdr:colOff>
      <xdr:row>200</xdr:row>
      <xdr:rowOff>85725</xdr:rowOff>
    </xdr:from>
    <xdr:to>
      <xdr:col>11</xdr:col>
      <xdr:colOff>126793</xdr:colOff>
      <xdr:row>203</xdr:row>
      <xdr:rowOff>130175</xdr:rowOff>
    </xdr:to>
    <xdr:grpSp>
      <xdr:nvGrpSpPr>
        <xdr:cNvPr id="494" name="グループ化 493">
          <a:extLst>
            <a:ext uri="{FF2B5EF4-FFF2-40B4-BE49-F238E27FC236}">
              <a16:creationId xmlns:a16="http://schemas.microsoft.com/office/drawing/2014/main" id="{CE749C07-14A5-4534-83A1-AE117399408A}"/>
            </a:ext>
          </a:extLst>
        </xdr:cNvPr>
        <xdr:cNvGrpSpPr/>
      </xdr:nvGrpSpPr>
      <xdr:grpSpPr>
        <a:xfrm>
          <a:off x="892175" y="38185725"/>
          <a:ext cx="1330118" cy="615950"/>
          <a:chOff x="2952750" y="4089796"/>
          <a:chExt cx="1313793" cy="628881"/>
        </a:xfrm>
      </xdr:grpSpPr>
      <xdr:sp macro="" textlink="">
        <xdr:nvSpPr>
          <xdr:cNvPr id="495" name="四角形: 上の 2 つの角を切り取る 494">
            <a:extLst>
              <a:ext uri="{FF2B5EF4-FFF2-40B4-BE49-F238E27FC236}">
                <a16:creationId xmlns:a16="http://schemas.microsoft.com/office/drawing/2014/main" id="{4AB1C616-22F5-1211-AA3D-85D4D6611102}"/>
              </a:ext>
            </a:extLst>
          </xdr:cNvPr>
          <xdr:cNvSpPr/>
        </xdr:nvSpPr>
        <xdr:spPr>
          <a:xfrm>
            <a:off x="3048000" y="4191000"/>
            <a:ext cx="1129568" cy="438105"/>
          </a:xfrm>
          <a:prstGeom prst="snip2SameRect">
            <a:avLst>
              <a:gd name="adj1" fmla="val 38096"/>
              <a:gd name="adj2" fmla="val 0"/>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kumimoji="1" lang="en-US" altLang="ja-JP" sz="700">
              <a:solidFill>
                <a:schemeClr val="tx1"/>
              </a:solidFill>
              <a:latin typeface="Meiryo UI" panose="020B0604030504040204" pitchFamily="50" charset="-128"/>
              <a:ea typeface="Meiryo UI" panose="020B0604030504040204" pitchFamily="50" charset="-128"/>
            </a:endParaRPr>
          </a:p>
          <a:p>
            <a:pPr algn="ctr"/>
            <a:endParaRPr kumimoji="1" lang="ja-JP" altLang="en-US" sz="700">
              <a:solidFill>
                <a:schemeClr val="tx1"/>
              </a:solidFill>
              <a:latin typeface="Meiryo UI" panose="020B0604030504040204" pitchFamily="50" charset="-128"/>
              <a:ea typeface="Meiryo UI" panose="020B0604030504040204" pitchFamily="50" charset="-128"/>
            </a:endParaRPr>
          </a:p>
        </xdr:txBody>
      </xdr:sp>
      <xdr:sp macro="" textlink="">
        <xdr:nvSpPr>
          <xdr:cNvPr id="496" name="正方形/長方形 495">
            <a:extLst>
              <a:ext uri="{FF2B5EF4-FFF2-40B4-BE49-F238E27FC236}">
                <a16:creationId xmlns:a16="http://schemas.microsoft.com/office/drawing/2014/main" id="{868AD597-8405-B3E8-21A9-63AF513BA32D}"/>
              </a:ext>
            </a:extLst>
          </xdr:cNvPr>
          <xdr:cNvSpPr/>
        </xdr:nvSpPr>
        <xdr:spPr>
          <a:xfrm>
            <a:off x="2952750" y="4089796"/>
            <a:ext cx="1313793" cy="62888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650">
                <a:solidFill>
                  <a:sysClr val="windowText" lastClr="000000"/>
                </a:solidFill>
                <a:latin typeface="Meiryo UI" panose="020B0604030504040204" pitchFamily="50" charset="-128"/>
                <a:ea typeface="Meiryo UI" panose="020B0604030504040204" pitchFamily="50" charset="-128"/>
              </a:rPr>
              <a:t>受信ファイル件数分ループ</a:t>
            </a:r>
            <a:endParaRPr kumimoji="1" lang="en-US" altLang="ja-JP" sz="650">
              <a:solidFill>
                <a:sysClr val="windowText" lastClr="000000"/>
              </a:solidFill>
              <a:latin typeface="Meiryo UI" panose="020B0604030504040204" pitchFamily="50" charset="-128"/>
              <a:ea typeface="Meiryo UI" panose="020B0604030504040204" pitchFamily="50" charset="-128"/>
            </a:endParaRPr>
          </a:p>
          <a:p>
            <a:pPr algn="ctr"/>
            <a:r>
              <a:rPr kumimoji="1" lang="ja-JP" altLang="en-US" sz="650">
                <a:solidFill>
                  <a:sysClr val="windowText" lastClr="000000"/>
                </a:solidFill>
                <a:latin typeface="Meiryo UI" panose="020B0604030504040204" pitchFamily="50" charset="-128"/>
                <a:ea typeface="Meiryo UI" panose="020B0604030504040204" pitchFamily="50" charset="-128"/>
              </a:rPr>
              <a:t>終了条件：</a:t>
            </a:r>
            <a:endParaRPr kumimoji="1" lang="en-US" altLang="ja-JP" sz="650">
              <a:solidFill>
                <a:sysClr val="windowText" lastClr="000000"/>
              </a:solidFill>
              <a:latin typeface="Meiryo UI" panose="020B0604030504040204" pitchFamily="50" charset="-128"/>
              <a:ea typeface="Meiryo UI" panose="020B0604030504040204" pitchFamily="50" charset="-128"/>
            </a:endParaRPr>
          </a:p>
          <a:p>
            <a:pPr algn="ctr"/>
            <a:r>
              <a:rPr kumimoji="1" lang="en-US" altLang="ja-JP" sz="650">
                <a:solidFill>
                  <a:sysClr val="windowText" lastClr="000000"/>
                </a:solidFill>
                <a:latin typeface="Meiryo UI" panose="020B0604030504040204" pitchFamily="50" charset="-128"/>
                <a:ea typeface="Meiryo UI" panose="020B0604030504040204" pitchFamily="50" charset="-128"/>
              </a:rPr>
              <a:t>counter</a:t>
            </a:r>
            <a:r>
              <a:rPr kumimoji="1" lang="en-US" altLang="ja-JP" sz="650" baseline="0">
                <a:solidFill>
                  <a:sysClr val="windowText" lastClr="000000"/>
                </a:solidFill>
                <a:latin typeface="Meiryo UI" panose="020B0604030504040204" pitchFamily="50" charset="-128"/>
                <a:ea typeface="Meiryo UI" panose="020B0604030504040204" pitchFamily="50" charset="-128"/>
              </a:rPr>
              <a:t> &lt;= </a:t>
            </a:r>
            <a:r>
              <a:rPr kumimoji="1" lang="ja-JP" altLang="en-US" sz="650" baseline="0">
                <a:solidFill>
                  <a:sysClr val="windowText" lastClr="000000"/>
                </a:solidFill>
                <a:latin typeface="Meiryo UI" panose="020B0604030504040204" pitchFamily="50" charset="-128"/>
                <a:ea typeface="Meiryo UI" panose="020B0604030504040204" pitchFamily="50" charset="-128"/>
              </a:rPr>
              <a:t>受信ファイル件数</a:t>
            </a:r>
            <a:endParaRPr kumimoji="1" lang="en-US" altLang="ja-JP" sz="650">
              <a:solidFill>
                <a:sysClr val="windowText" lastClr="000000"/>
              </a:solidFill>
              <a:latin typeface="Meiryo UI" panose="020B0604030504040204" pitchFamily="50" charset="-128"/>
              <a:ea typeface="Meiryo UI" panose="020B0604030504040204" pitchFamily="50" charset="-128"/>
            </a:endParaRPr>
          </a:p>
        </xdr:txBody>
      </xdr:sp>
    </xdr:grpSp>
    <xdr:clientData/>
  </xdr:twoCellAnchor>
  <xdr:twoCellAnchor>
    <xdr:from>
      <xdr:col>4</xdr:col>
      <xdr:colOff>130175</xdr:colOff>
      <xdr:row>217</xdr:row>
      <xdr:rowOff>38100</xdr:rowOff>
    </xdr:from>
    <xdr:to>
      <xdr:col>11</xdr:col>
      <xdr:colOff>116397</xdr:colOff>
      <xdr:row>220</xdr:row>
      <xdr:rowOff>75551</xdr:rowOff>
    </xdr:to>
    <xdr:grpSp>
      <xdr:nvGrpSpPr>
        <xdr:cNvPr id="497" name="グループ化 496">
          <a:extLst>
            <a:ext uri="{FF2B5EF4-FFF2-40B4-BE49-F238E27FC236}">
              <a16:creationId xmlns:a16="http://schemas.microsoft.com/office/drawing/2014/main" id="{08CAA876-1381-445A-991E-1333371A21EA}"/>
            </a:ext>
          </a:extLst>
        </xdr:cNvPr>
        <xdr:cNvGrpSpPr/>
      </xdr:nvGrpSpPr>
      <xdr:grpSpPr>
        <a:xfrm>
          <a:off x="892175" y="41376600"/>
          <a:ext cx="1319722" cy="608951"/>
          <a:chOff x="654504" y="14388074"/>
          <a:chExt cx="1308231" cy="630498"/>
        </a:xfrm>
      </xdr:grpSpPr>
      <xdr:sp macro="" textlink="">
        <xdr:nvSpPr>
          <xdr:cNvPr id="498" name="四角形: 上の 2 つの角を切り取る 497">
            <a:extLst>
              <a:ext uri="{FF2B5EF4-FFF2-40B4-BE49-F238E27FC236}">
                <a16:creationId xmlns:a16="http://schemas.microsoft.com/office/drawing/2014/main" id="{E198451E-DB78-9F62-F6AF-41FE5F4B5A44}"/>
              </a:ext>
            </a:extLst>
          </xdr:cNvPr>
          <xdr:cNvSpPr/>
        </xdr:nvSpPr>
        <xdr:spPr>
          <a:xfrm>
            <a:off x="757267" y="14577391"/>
            <a:ext cx="1125011" cy="441181"/>
          </a:xfrm>
          <a:prstGeom prst="snip2SameRect">
            <a:avLst>
              <a:gd name="adj1" fmla="val 0"/>
              <a:gd name="adj2" fmla="val 37500"/>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600">
              <a:solidFill>
                <a:schemeClr val="tx1"/>
              </a:solidFill>
              <a:latin typeface="Meiryo UI" panose="020B0604030504040204" pitchFamily="50" charset="-128"/>
              <a:ea typeface="Meiryo UI" panose="020B0604030504040204" pitchFamily="50" charset="-128"/>
            </a:endParaRPr>
          </a:p>
        </xdr:txBody>
      </xdr:sp>
      <xdr:sp macro="" textlink="">
        <xdr:nvSpPr>
          <xdr:cNvPr id="499" name="正方形/長方形 498">
            <a:extLst>
              <a:ext uri="{FF2B5EF4-FFF2-40B4-BE49-F238E27FC236}">
                <a16:creationId xmlns:a16="http://schemas.microsoft.com/office/drawing/2014/main" id="{4A922AAB-2781-B0BE-1990-E076935751A8}"/>
              </a:ext>
            </a:extLst>
          </xdr:cNvPr>
          <xdr:cNvSpPr/>
        </xdr:nvSpPr>
        <xdr:spPr>
          <a:xfrm>
            <a:off x="654504" y="14388074"/>
            <a:ext cx="1308231" cy="62941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700">
                <a:solidFill>
                  <a:sysClr val="windowText" lastClr="000000"/>
                </a:solidFill>
                <a:latin typeface="Meiryo UI" panose="020B0604030504040204" pitchFamily="50" charset="-128"/>
                <a:ea typeface="Meiryo UI" panose="020B0604030504040204" pitchFamily="50" charset="-128"/>
              </a:rPr>
              <a:t>受信ファイル件数分ループ</a:t>
            </a:r>
            <a:endParaRPr kumimoji="1" lang="en-US" altLang="ja-JP" sz="700">
              <a:solidFill>
                <a:sysClr val="windowText" lastClr="000000"/>
              </a:solidFill>
              <a:latin typeface="Meiryo UI" panose="020B0604030504040204" pitchFamily="50" charset="-128"/>
              <a:ea typeface="Meiryo UI" panose="020B0604030504040204" pitchFamily="50" charset="-128"/>
            </a:endParaRPr>
          </a:p>
        </xdr:txBody>
      </xdr:sp>
    </xdr:grpSp>
    <xdr:clientData/>
  </xdr:twoCellAnchor>
  <xdr:twoCellAnchor>
    <xdr:from>
      <xdr:col>8</xdr:col>
      <xdr:colOff>36411</xdr:colOff>
      <xdr:row>198</xdr:row>
      <xdr:rowOff>176614</xdr:rowOff>
    </xdr:from>
    <xdr:to>
      <xdr:col>8</xdr:col>
      <xdr:colOff>40137</xdr:colOff>
      <xdr:row>200</xdr:row>
      <xdr:rowOff>184848</xdr:rowOff>
    </xdr:to>
    <xdr:cxnSp macro="">
      <xdr:nvCxnSpPr>
        <xdr:cNvPr id="500" name="直線矢印コネクタ 499">
          <a:extLst>
            <a:ext uri="{FF2B5EF4-FFF2-40B4-BE49-F238E27FC236}">
              <a16:creationId xmlns:a16="http://schemas.microsoft.com/office/drawing/2014/main" id="{174C703F-C5C8-4C1F-84EB-B072382BEEB8}"/>
            </a:ext>
          </a:extLst>
        </xdr:cNvPr>
        <xdr:cNvCxnSpPr>
          <a:cxnSpLocks/>
          <a:stCxn id="578" idx="2"/>
          <a:endCxn id="495" idx="3"/>
        </xdr:cNvCxnSpPr>
      </xdr:nvCxnSpPr>
      <xdr:spPr>
        <a:xfrm flipH="1">
          <a:off x="1560411" y="37895614"/>
          <a:ext cx="3726" cy="38923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8</xdr:col>
      <xdr:colOff>34815</xdr:colOff>
      <xdr:row>203</xdr:row>
      <xdr:rowOff>41993</xdr:rowOff>
    </xdr:from>
    <xdr:to>
      <xdr:col>8</xdr:col>
      <xdr:colOff>39688</xdr:colOff>
      <xdr:row>204</xdr:row>
      <xdr:rowOff>181332</xdr:rowOff>
    </xdr:to>
    <xdr:cxnSp macro="">
      <xdr:nvCxnSpPr>
        <xdr:cNvPr id="501" name="直線矢印コネクタ 500">
          <a:extLst>
            <a:ext uri="{FF2B5EF4-FFF2-40B4-BE49-F238E27FC236}">
              <a16:creationId xmlns:a16="http://schemas.microsoft.com/office/drawing/2014/main" id="{563E64C4-6B19-45FE-BF2F-F319223B8DB3}"/>
            </a:ext>
          </a:extLst>
        </xdr:cNvPr>
        <xdr:cNvCxnSpPr>
          <a:cxnSpLocks/>
          <a:stCxn id="495" idx="1"/>
          <a:endCxn id="588" idx="0"/>
        </xdr:cNvCxnSpPr>
      </xdr:nvCxnSpPr>
      <xdr:spPr>
        <a:xfrm>
          <a:off x="1558815" y="38713493"/>
          <a:ext cx="4873" cy="329839"/>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8</xdr:col>
      <xdr:colOff>39688</xdr:colOff>
      <xdr:row>207</xdr:row>
      <xdr:rowOff>73733</xdr:rowOff>
    </xdr:from>
    <xdr:to>
      <xdr:col>8</xdr:col>
      <xdr:colOff>39688</xdr:colOff>
      <xdr:row>209</xdr:row>
      <xdr:rowOff>41632</xdr:rowOff>
    </xdr:to>
    <xdr:cxnSp macro="">
      <xdr:nvCxnSpPr>
        <xdr:cNvPr id="502" name="直線矢印コネクタ 501">
          <a:extLst>
            <a:ext uri="{FF2B5EF4-FFF2-40B4-BE49-F238E27FC236}">
              <a16:creationId xmlns:a16="http://schemas.microsoft.com/office/drawing/2014/main" id="{BF944CA9-460A-49CE-9422-3C6F20CED851}"/>
            </a:ext>
          </a:extLst>
        </xdr:cNvPr>
        <xdr:cNvCxnSpPr>
          <a:cxnSpLocks/>
          <a:stCxn id="588" idx="2"/>
          <a:endCxn id="593" idx="0"/>
        </xdr:cNvCxnSpPr>
      </xdr:nvCxnSpPr>
      <xdr:spPr>
        <a:xfrm>
          <a:off x="1563688" y="39507233"/>
          <a:ext cx="0" cy="348899"/>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8</xdr:col>
      <xdr:colOff>38283</xdr:colOff>
      <xdr:row>220</xdr:row>
      <xdr:rowOff>75551</xdr:rowOff>
    </xdr:from>
    <xdr:to>
      <xdr:col>8</xdr:col>
      <xdr:colOff>39288</xdr:colOff>
      <xdr:row>222</xdr:row>
      <xdr:rowOff>78441</xdr:rowOff>
    </xdr:to>
    <xdr:cxnSp macro="">
      <xdr:nvCxnSpPr>
        <xdr:cNvPr id="503" name="直線矢印コネクタ 502">
          <a:extLst>
            <a:ext uri="{FF2B5EF4-FFF2-40B4-BE49-F238E27FC236}">
              <a16:creationId xmlns:a16="http://schemas.microsoft.com/office/drawing/2014/main" id="{92B8BA17-78BF-43A3-B722-C9E311E4873F}"/>
            </a:ext>
          </a:extLst>
        </xdr:cNvPr>
        <xdr:cNvCxnSpPr>
          <a:cxnSpLocks/>
          <a:stCxn id="498" idx="1"/>
          <a:endCxn id="621" idx="0"/>
        </xdr:cNvCxnSpPr>
      </xdr:nvCxnSpPr>
      <xdr:spPr>
        <a:xfrm flipH="1">
          <a:off x="1562283" y="41985551"/>
          <a:ext cx="1005" cy="383890"/>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8</xdr:col>
      <xdr:colOff>36962</xdr:colOff>
      <xdr:row>225</xdr:row>
      <xdr:rowOff>85345</xdr:rowOff>
    </xdr:from>
    <xdr:to>
      <xdr:col>8</xdr:col>
      <xdr:colOff>38283</xdr:colOff>
      <xdr:row>236</xdr:row>
      <xdr:rowOff>54828</xdr:rowOff>
    </xdr:to>
    <xdr:cxnSp macro="">
      <xdr:nvCxnSpPr>
        <xdr:cNvPr id="504" name="直線矢印コネクタ 503">
          <a:extLst>
            <a:ext uri="{FF2B5EF4-FFF2-40B4-BE49-F238E27FC236}">
              <a16:creationId xmlns:a16="http://schemas.microsoft.com/office/drawing/2014/main" id="{3C32906B-7EAF-4CA1-AF28-EE68A8BE0612}"/>
            </a:ext>
          </a:extLst>
        </xdr:cNvPr>
        <xdr:cNvCxnSpPr>
          <a:cxnSpLocks/>
          <a:stCxn id="621" idx="2"/>
          <a:endCxn id="634" idx="0"/>
        </xdr:cNvCxnSpPr>
      </xdr:nvCxnSpPr>
      <xdr:spPr>
        <a:xfrm flipH="1">
          <a:off x="1560962" y="42947845"/>
          <a:ext cx="1321" cy="2064983"/>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8</xdr:col>
      <xdr:colOff>33338</xdr:colOff>
      <xdr:row>243</xdr:row>
      <xdr:rowOff>145173</xdr:rowOff>
    </xdr:from>
    <xdr:to>
      <xdr:col>8</xdr:col>
      <xdr:colOff>35150</xdr:colOff>
      <xdr:row>249</xdr:row>
      <xdr:rowOff>9281</xdr:rowOff>
    </xdr:to>
    <xdr:cxnSp macro="">
      <xdr:nvCxnSpPr>
        <xdr:cNvPr id="505" name="直線矢印コネクタ 504">
          <a:extLst>
            <a:ext uri="{FF2B5EF4-FFF2-40B4-BE49-F238E27FC236}">
              <a16:creationId xmlns:a16="http://schemas.microsoft.com/office/drawing/2014/main" id="{DBE0B236-9EE6-4BD9-9647-776DD48EB084}"/>
            </a:ext>
          </a:extLst>
        </xdr:cNvPr>
        <xdr:cNvCxnSpPr>
          <a:cxnSpLocks/>
          <a:stCxn id="658" idx="2"/>
          <a:endCxn id="508" idx="0"/>
        </xdr:cNvCxnSpPr>
      </xdr:nvCxnSpPr>
      <xdr:spPr>
        <a:xfrm flipH="1">
          <a:off x="1557338" y="46436673"/>
          <a:ext cx="1812" cy="1007108"/>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5</xdr:col>
      <xdr:colOff>38100</xdr:colOff>
      <xdr:row>249</xdr:row>
      <xdr:rowOff>0</xdr:rowOff>
    </xdr:from>
    <xdr:to>
      <xdr:col>11</xdr:col>
      <xdr:colOff>19050</xdr:colOff>
      <xdr:row>250</xdr:row>
      <xdr:rowOff>171450</xdr:rowOff>
    </xdr:to>
    <xdr:grpSp>
      <xdr:nvGrpSpPr>
        <xdr:cNvPr id="506" name="グループ化 505">
          <a:extLst>
            <a:ext uri="{FF2B5EF4-FFF2-40B4-BE49-F238E27FC236}">
              <a16:creationId xmlns:a16="http://schemas.microsoft.com/office/drawing/2014/main" id="{94C20097-E4E3-4C78-808B-DD6A4A165892}"/>
            </a:ext>
          </a:extLst>
        </xdr:cNvPr>
        <xdr:cNvGrpSpPr/>
      </xdr:nvGrpSpPr>
      <xdr:grpSpPr>
        <a:xfrm>
          <a:off x="990600" y="47434500"/>
          <a:ext cx="1123950" cy="361950"/>
          <a:chOff x="381000" y="6477000"/>
          <a:chExt cx="1123950" cy="371475"/>
        </a:xfrm>
      </xdr:grpSpPr>
      <xdr:sp macro="" textlink="">
        <xdr:nvSpPr>
          <xdr:cNvPr id="507" name="四角形: 角を丸くする 506">
            <a:extLst>
              <a:ext uri="{FF2B5EF4-FFF2-40B4-BE49-F238E27FC236}">
                <a16:creationId xmlns:a16="http://schemas.microsoft.com/office/drawing/2014/main" id="{5E94A6FC-4722-B664-0F46-A3DB914D0AF4}"/>
              </a:ext>
            </a:extLst>
          </xdr:cNvPr>
          <xdr:cNvSpPr/>
        </xdr:nvSpPr>
        <xdr:spPr>
          <a:xfrm>
            <a:off x="381000" y="6477000"/>
            <a:ext cx="1123950" cy="371475"/>
          </a:xfrm>
          <a:prstGeom prst="roundRect">
            <a:avLst>
              <a:gd name="adj" fmla="val 50000"/>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en-US" altLang="ja-JP" sz="1000">
              <a:solidFill>
                <a:schemeClr val="tx1"/>
              </a:solidFill>
              <a:latin typeface="Meiryo UI" panose="020B0604030504040204" pitchFamily="50" charset="-128"/>
              <a:ea typeface="Meiryo UI" panose="020B0604030504040204" pitchFamily="50" charset="-128"/>
            </a:endParaRPr>
          </a:p>
        </xdr:txBody>
      </xdr:sp>
      <xdr:sp macro="" textlink="">
        <xdr:nvSpPr>
          <xdr:cNvPr id="508" name="テキスト ボックス 507">
            <a:extLst>
              <a:ext uri="{FF2B5EF4-FFF2-40B4-BE49-F238E27FC236}">
                <a16:creationId xmlns:a16="http://schemas.microsoft.com/office/drawing/2014/main" id="{879F4CD6-071D-2491-C5B8-0D16727DF50E}"/>
              </a:ext>
            </a:extLst>
          </xdr:cNvPr>
          <xdr:cNvSpPr txBox="1"/>
        </xdr:nvSpPr>
        <xdr:spPr>
          <a:xfrm>
            <a:off x="533400" y="6486525"/>
            <a:ext cx="828675"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000">
                <a:latin typeface="Meiryo UI" panose="020B0604030504040204" pitchFamily="50" charset="-128"/>
                <a:ea typeface="Meiryo UI" panose="020B0604030504040204" pitchFamily="50" charset="-128"/>
              </a:rPr>
              <a:t>終了</a:t>
            </a:r>
          </a:p>
        </xdr:txBody>
      </xdr:sp>
    </xdr:grpSp>
    <xdr:clientData/>
  </xdr:twoCellAnchor>
  <xdr:twoCellAnchor>
    <xdr:from>
      <xdr:col>8</xdr:col>
      <xdr:colOff>33338</xdr:colOff>
      <xdr:row>206</xdr:row>
      <xdr:rowOff>2485</xdr:rowOff>
    </xdr:from>
    <xdr:to>
      <xdr:col>49</xdr:col>
      <xdr:colOff>85390</xdr:colOff>
      <xdr:row>249</xdr:row>
      <xdr:rowOff>9281</xdr:rowOff>
    </xdr:to>
    <xdr:cxnSp macro="">
      <xdr:nvCxnSpPr>
        <xdr:cNvPr id="509" name="コネクタ: カギ線 508">
          <a:extLst>
            <a:ext uri="{FF2B5EF4-FFF2-40B4-BE49-F238E27FC236}">
              <a16:creationId xmlns:a16="http://schemas.microsoft.com/office/drawing/2014/main" id="{3C721727-2873-46D9-B230-B20B698D7971}"/>
            </a:ext>
          </a:extLst>
        </xdr:cNvPr>
        <xdr:cNvCxnSpPr>
          <a:cxnSpLocks/>
          <a:stCxn id="417" idx="2"/>
          <a:endCxn id="508" idx="0"/>
        </xdr:cNvCxnSpPr>
      </xdr:nvCxnSpPr>
      <xdr:spPr>
        <a:xfrm rot="5400000">
          <a:off x="1389466" y="39413357"/>
          <a:ext cx="8198296" cy="7862552"/>
        </a:xfrm>
        <a:prstGeom prst="bentConnector3">
          <a:avLst>
            <a:gd name="adj1" fmla="val 92158"/>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56772</xdr:colOff>
      <xdr:row>158</xdr:row>
      <xdr:rowOff>92629</xdr:rowOff>
    </xdr:from>
    <xdr:to>
      <xdr:col>8</xdr:col>
      <xdr:colOff>58584</xdr:colOff>
      <xdr:row>160</xdr:row>
      <xdr:rowOff>95717</xdr:rowOff>
    </xdr:to>
    <xdr:cxnSp macro="">
      <xdr:nvCxnSpPr>
        <xdr:cNvPr id="516" name="直線矢印コネクタ 515">
          <a:extLst>
            <a:ext uri="{FF2B5EF4-FFF2-40B4-BE49-F238E27FC236}">
              <a16:creationId xmlns:a16="http://schemas.microsoft.com/office/drawing/2014/main" id="{CFD40BE4-18DF-4CA6-A1A0-A4816B449F0B}"/>
            </a:ext>
          </a:extLst>
        </xdr:cNvPr>
        <xdr:cNvCxnSpPr>
          <a:cxnSpLocks/>
          <a:stCxn id="451" idx="2"/>
          <a:endCxn id="519" idx="0"/>
        </xdr:cNvCxnSpPr>
      </xdr:nvCxnSpPr>
      <xdr:spPr>
        <a:xfrm>
          <a:off x="1580772" y="30191629"/>
          <a:ext cx="1812" cy="384088"/>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5</xdr:col>
      <xdr:colOff>8922</xdr:colOff>
      <xdr:row>160</xdr:row>
      <xdr:rowOff>88346</xdr:rowOff>
    </xdr:from>
    <xdr:to>
      <xdr:col>11</xdr:col>
      <xdr:colOff>104622</xdr:colOff>
      <xdr:row>162</xdr:row>
      <xdr:rowOff>125569</xdr:rowOff>
    </xdr:to>
    <xdr:grpSp>
      <xdr:nvGrpSpPr>
        <xdr:cNvPr id="517" name="グループ化 516">
          <a:extLst>
            <a:ext uri="{FF2B5EF4-FFF2-40B4-BE49-F238E27FC236}">
              <a16:creationId xmlns:a16="http://schemas.microsoft.com/office/drawing/2014/main" id="{0F5C202A-F47C-4689-A0BA-7EDB9F3EA7AB}"/>
            </a:ext>
          </a:extLst>
        </xdr:cNvPr>
        <xdr:cNvGrpSpPr/>
      </xdr:nvGrpSpPr>
      <xdr:grpSpPr>
        <a:xfrm>
          <a:off x="961422" y="30568346"/>
          <a:ext cx="1238700" cy="418223"/>
          <a:chOff x="4133004" y="6457948"/>
          <a:chExt cx="1238700" cy="405523"/>
        </a:xfrm>
      </xdr:grpSpPr>
      <xdr:sp macro="" textlink="">
        <xdr:nvSpPr>
          <xdr:cNvPr id="518" name="正方形/長方形 517">
            <a:extLst>
              <a:ext uri="{FF2B5EF4-FFF2-40B4-BE49-F238E27FC236}">
                <a16:creationId xmlns:a16="http://schemas.microsoft.com/office/drawing/2014/main" id="{304AEDEA-CA50-895A-F55B-8F15A6004B59}"/>
              </a:ext>
            </a:extLst>
          </xdr:cNvPr>
          <xdr:cNvSpPr/>
        </xdr:nvSpPr>
        <xdr:spPr>
          <a:xfrm>
            <a:off x="4133004" y="6457948"/>
            <a:ext cx="1238700" cy="405523"/>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1000">
              <a:solidFill>
                <a:schemeClr val="tx1"/>
              </a:solidFill>
              <a:latin typeface="Meiryo UI" panose="020B0604030504040204" pitchFamily="50" charset="-128"/>
              <a:ea typeface="Meiryo UI" panose="020B0604030504040204" pitchFamily="50" charset="-128"/>
            </a:endParaRPr>
          </a:p>
        </xdr:txBody>
      </xdr:sp>
      <xdr:sp macro="" textlink="">
        <xdr:nvSpPr>
          <xdr:cNvPr id="519" name="テキスト ボックス 518">
            <a:extLst>
              <a:ext uri="{FF2B5EF4-FFF2-40B4-BE49-F238E27FC236}">
                <a16:creationId xmlns:a16="http://schemas.microsoft.com/office/drawing/2014/main" id="{4309FD6F-F25C-FD79-B1B0-71D2271817C3}"/>
              </a:ext>
            </a:extLst>
          </xdr:cNvPr>
          <xdr:cNvSpPr txBox="1"/>
        </xdr:nvSpPr>
        <xdr:spPr>
          <a:xfrm>
            <a:off x="4145757" y="6465095"/>
            <a:ext cx="1216818" cy="3857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700">
                <a:latin typeface="Meiryo UI" panose="020B0604030504040204" pitchFamily="50" charset="-128"/>
                <a:ea typeface="Meiryo UI" panose="020B0604030504040204" pitchFamily="50" charset="-128"/>
              </a:rPr>
              <a:t>アーカイブフォルダパス取得</a:t>
            </a:r>
          </a:p>
        </xdr:txBody>
      </xdr:sp>
    </xdr:grpSp>
    <xdr:clientData/>
  </xdr:twoCellAnchor>
  <xdr:twoCellAnchor>
    <xdr:from>
      <xdr:col>4</xdr:col>
      <xdr:colOff>146050</xdr:colOff>
      <xdr:row>164</xdr:row>
      <xdr:rowOff>56596</xdr:rowOff>
    </xdr:from>
    <xdr:to>
      <xdr:col>11</xdr:col>
      <xdr:colOff>157994</xdr:colOff>
      <xdr:row>167</xdr:row>
      <xdr:rowOff>63500</xdr:rowOff>
    </xdr:to>
    <xdr:grpSp>
      <xdr:nvGrpSpPr>
        <xdr:cNvPr id="520" name="グループ化 519">
          <a:extLst>
            <a:ext uri="{FF2B5EF4-FFF2-40B4-BE49-F238E27FC236}">
              <a16:creationId xmlns:a16="http://schemas.microsoft.com/office/drawing/2014/main" id="{96A786D8-17E4-48FD-AC51-C7609FF6AF8C}"/>
            </a:ext>
          </a:extLst>
        </xdr:cNvPr>
        <xdr:cNvGrpSpPr/>
      </xdr:nvGrpSpPr>
      <xdr:grpSpPr>
        <a:xfrm>
          <a:off x="908050" y="31298596"/>
          <a:ext cx="1345444" cy="578404"/>
          <a:chOff x="6017381" y="6405437"/>
          <a:chExt cx="1355675" cy="584603"/>
        </a:xfrm>
      </xdr:grpSpPr>
      <xdr:sp macro="" textlink="">
        <xdr:nvSpPr>
          <xdr:cNvPr id="521" name="ひし形 520">
            <a:extLst>
              <a:ext uri="{FF2B5EF4-FFF2-40B4-BE49-F238E27FC236}">
                <a16:creationId xmlns:a16="http://schemas.microsoft.com/office/drawing/2014/main" id="{54EB0450-D5F9-8B7F-5898-243258386CD0}"/>
              </a:ext>
            </a:extLst>
          </xdr:cNvPr>
          <xdr:cNvSpPr/>
        </xdr:nvSpPr>
        <xdr:spPr>
          <a:xfrm>
            <a:off x="6028662" y="6407868"/>
            <a:ext cx="1337699" cy="579287"/>
          </a:xfrm>
          <a:prstGeom prst="diamond">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en-US" altLang="ja-JP" sz="1000">
              <a:solidFill>
                <a:schemeClr val="tx1"/>
              </a:solidFill>
              <a:latin typeface="Meiryo UI" panose="020B0604030504040204" pitchFamily="50" charset="-128"/>
              <a:ea typeface="Meiryo UI" panose="020B0604030504040204" pitchFamily="50" charset="-128"/>
            </a:endParaRPr>
          </a:p>
        </xdr:txBody>
      </xdr:sp>
      <xdr:sp macro="" textlink="">
        <xdr:nvSpPr>
          <xdr:cNvPr id="522" name="テキスト ボックス 521">
            <a:extLst>
              <a:ext uri="{FF2B5EF4-FFF2-40B4-BE49-F238E27FC236}">
                <a16:creationId xmlns:a16="http://schemas.microsoft.com/office/drawing/2014/main" id="{231436C1-59FC-6E5C-3A1E-7FAB8D6B03A1}"/>
              </a:ext>
            </a:extLst>
          </xdr:cNvPr>
          <xdr:cNvSpPr txBox="1"/>
        </xdr:nvSpPr>
        <xdr:spPr>
          <a:xfrm>
            <a:off x="6017381" y="6405437"/>
            <a:ext cx="1355675" cy="5846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700">
                <a:latin typeface="Meiryo UI" panose="020B0604030504040204" pitchFamily="50" charset="-128"/>
                <a:ea typeface="Meiryo UI" panose="020B0604030504040204" pitchFamily="50" charset="-128"/>
              </a:rPr>
              <a:t>アーカイブフォルダが存在するか</a:t>
            </a:r>
          </a:p>
        </xdr:txBody>
      </xdr:sp>
    </xdr:grpSp>
    <xdr:clientData/>
  </xdr:twoCellAnchor>
  <xdr:twoCellAnchor>
    <xdr:from>
      <xdr:col>8</xdr:col>
      <xdr:colOff>56772</xdr:colOff>
      <xdr:row>162</xdr:row>
      <xdr:rowOff>125569</xdr:rowOff>
    </xdr:from>
    <xdr:to>
      <xdr:col>8</xdr:col>
      <xdr:colOff>56772</xdr:colOff>
      <xdr:row>164</xdr:row>
      <xdr:rowOff>56596</xdr:rowOff>
    </xdr:to>
    <xdr:cxnSp macro="">
      <xdr:nvCxnSpPr>
        <xdr:cNvPr id="523" name="直線矢印コネクタ 522">
          <a:extLst>
            <a:ext uri="{FF2B5EF4-FFF2-40B4-BE49-F238E27FC236}">
              <a16:creationId xmlns:a16="http://schemas.microsoft.com/office/drawing/2014/main" id="{FFB07495-9245-45F2-9F38-7227111677B9}"/>
            </a:ext>
          </a:extLst>
        </xdr:cNvPr>
        <xdr:cNvCxnSpPr>
          <a:cxnSpLocks/>
          <a:stCxn id="518" idx="2"/>
          <a:endCxn id="522" idx="0"/>
        </xdr:cNvCxnSpPr>
      </xdr:nvCxnSpPr>
      <xdr:spPr>
        <a:xfrm>
          <a:off x="1580772" y="30986569"/>
          <a:ext cx="0" cy="312027"/>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11</xdr:col>
      <xdr:colOff>28014</xdr:colOff>
      <xdr:row>164</xdr:row>
      <xdr:rowOff>18496</xdr:rowOff>
    </xdr:from>
    <xdr:to>
      <xdr:col>13</xdr:col>
      <xdr:colOff>123147</xdr:colOff>
      <xdr:row>165</xdr:row>
      <xdr:rowOff>131762</xdr:rowOff>
    </xdr:to>
    <xdr:sp macro="" textlink="">
      <xdr:nvSpPr>
        <xdr:cNvPr id="524" name="正方形/長方形 523">
          <a:extLst>
            <a:ext uri="{FF2B5EF4-FFF2-40B4-BE49-F238E27FC236}">
              <a16:creationId xmlns:a16="http://schemas.microsoft.com/office/drawing/2014/main" id="{CD93D23E-B309-4403-8FD4-7988BC8F5A62}"/>
            </a:ext>
          </a:extLst>
        </xdr:cNvPr>
        <xdr:cNvSpPr/>
      </xdr:nvSpPr>
      <xdr:spPr>
        <a:xfrm>
          <a:off x="2123514" y="31260496"/>
          <a:ext cx="476133" cy="30376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900">
              <a:solidFill>
                <a:sysClr val="windowText" lastClr="000000"/>
              </a:solidFill>
              <a:latin typeface="Meiryo UI" panose="020B0604030504040204" pitchFamily="50" charset="-128"/>
              <a:ea typeface="Meiryo UI" panose="020B0604030504040204" pitchFamily="50" charset="-128"/>
            </a:rPr>
            <a:t>No</a:t>
          </a:r>
          <a:endParaRPr kumimoji="1" lang="ja-JP" altLang="en-US" sz="9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5</xdr:col>
      <xdr:colOff>104775</xdr:colOff>
      <xdr:row>166</xdr:row>
      <xdr:rowOff>133730</xdr:rowOff>
    </xdr:from>
    <xdr:to>
      <xdr:col>8</xdr:col>
      <xdr:colOff>9408</xdr:colOff>
      <xdr:row>168</xdr:row>
      <xdr:rowOff>56496</xdr:rowOff>
    </xdr:to>
    <xdr:sp macro="" textlink="">
      <xdr:nvSpPr>
        <xdr:cNvPr id="525" name="正方形/長方形 524">
          <a:extLst>
            <a:ext uri="{FF2B5EF4-FFF2-40B4-BE49-F238E27FC236}">
              <a16:creationId xmlns:a16="http://schemas.microsoft.com/office/drawing/2014/main" id="{676750D1-9C2E-4DB2-9D24-5A64AADFDEEC}"/>
            </a:ext>
          </a:extLst>
        </xdr:cNvPr>
        <xdr:cNvSpPr/>
      </xdr:nvSpPr>
      <xdr:spPr>
        <a:xfrm>
          <a:off x="1057275" y="31756730"/>
          <a:ext cx="476133" cy="30376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900">
              <a:solidFill>
                <a:sysClr val="windowText" lastClr="000000"/>
              </a:solidFill>
              <a:latin typeface="Meiryo UI" panose="020B0604030504040204" pitchFamily="50" charset="-128"/>
              <a:ea typeface="Meiryo UI" panose="020B0604030504040204" pitchFamily="50" charset="-128"/>
            </a:rPr>
            <a:t>Yes</a:t>
          </a:r>
          <a:endParaRPr kumimoji="1" lang="ja-JP" altLang="en-US" sz="9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8</xdr:col>
      <xdr:colOff>56772</xdr:colOff>
      <xdr:row>167</xdr:row>
      <xdr:rowOff>63500</xdr:rowOff>
    </xdr:from>
    <xdr:to>
      <xdr:col>8</xdr:col>
      <xdr:colOff>58584</xdr:colOff>
      <xdr:row>169</xdr:row>
      <xdr:rowOff>67142</xdr:rowOff>
    </xdr:to>
    <xdr:cxnSp macro="">
      <xdr:nvCxnSpPr>
        <xdr:cNvPr id="526" name="直線矢印コネクタ 525">
          <a:extLst>
            <a:ext uri="{FF2B5EF4-FFF2-40B4-BE49-F238E27FC236}">
              <a16:creationId xmlns:a16="http://schemas.microsoft.com/office/drawing/2014/main" id="{9338D19A-DD77-4F9C-AC82-A64CACCDB37A}"/>
            </a:ext>
          </a:extLst>
        </xdr:cNvPr>
        <xdr:cNvCxnSpPr>
          <a:cxnSpLocks/>
          <a:stCxn id="522" idx="2"/>
          <a:endCxn id="529" idx="0"/>
        </xdr:cNvCxnSpPr>
      </xdr:nvCxnSpPr>
      <xdr:spPr>
        <a:xfrm>
          <a:off x="1580772" y="31877000"/>
          <a:ext cx="1812" cy="384642"/>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5</xdr:col>
      <xdr:colOff>8922</xdr:colOff>
      <xdr:row>169</xdr:row>
      <xdr:rowOff>59771</xdr:rowOff>
    </xdr:from>
    <xdr:to>
      <xdr:col>11</xdr:col>
      <xdr:colOff>104622</xdr:colOff>
      <xdr:row>171</xdr:row>
      <xdr:rowOff>96994</xdr:rowOff>
    </xdr:to>
    <xdr:grpSp>
      <xdr:nvGrpSpPr>
        <xdr:cNvPr id="527" name="グループ化 526">
          <a:extLst>
            <a:ext uri="{FF2B5EF4-FFF2-40B4-BE49-F238E27FC236}">
              <a16:creationId xmlns:a16="http://schemas.microsoft.com/office/drawing/2014/main" id="{3C13615F-3651-407E-82DC-8C91F1881BF3}"/>
            </a:ext>
          </a:extLst>
        </xdr:cNvPr>
        <xdr:cNvGrpSpPr/>
      </xdr:nvGrpSpPr>
      <xdr:grpSpPr>
        <a:xfrm>
          <a:off x="961422" y="32254271"/>
          <a:ext cx="1238700" cy="418223"/>
          <a:chOff x="4133004" y="6457948"/>
          <a:chExt cx="1238700" cy="405523"/>
        </a:xfrm>
      </xdr:grpSpPr>
      <xdr:sp macro="" textlink="">
        <xdr:nvSpPr>
          <xdr:cNvPr id="528" name="正方形/長方形 527">
            <a:extLst>
              <a:ext uri="{FF2B5EF4-FFF2-40B4-BE49-F238E27FC236}">
                <a16:creationId xmlns:a16="http://schemas.microsoft.com/office/drawing/2014/main" id="{2157E25A-E8E7-C8C6-F15C-ACDBB2C0D1E6}"/>
              </a:ext>
            </a:extLst>
          </xdr:cNvPr>
          <xdr:cNvSpPr/>
        </xdr:nvSpPr>
        <xdr:spPr>
          <a:xfrm>
            <a:off x="4133004" y="6457948"/>
            <a:ext cx="1238700" cy="405523"/>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1000">
              <a:solidFill>
                <a:schemeClr val="tx1"/>
              </a:solidFill>
              <a:latin typeface="Meiryo UI" panose="020B0604030504040204" pitchFamily="50" charset="-128"/>
              <a:ea typeface="Meiryo UI" panose="020B0604030504040204" pitchFamily="50" charset="-128"/>
            </a:endParaRPr>
          </a:p>
        </xdr:txBody>
      </xdr:sp>
      <xdr:sp macro="" textlink="">
        <xdr:nvSpPr>
          <xdr:cNvPr id="529" name="テキスト ボックス 528">
            <a:extLst>
              <a:ext uri="{FF2B5EF4-FFF2-40B4-BE49-F238E27FC236}">
                <a16:creationId xmlns:a16="http://schemas.microsoft.com/office/drawing/2014/main" id="{33DB94AC-4EFA-77D2-F06C-FCED913786D1}"/>
              </a:ext>
            </a:extLst>
          </xdr:cNvPr>
          <xdr:cNvSpPr txBox="1"/>
        </xdr:nvSpPr>
        <xdr:spPr>
          <a:xfrm>
            <a:off x="4145757" y="6465095"/>
            <a:ext cx="1216818" cy="3857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700">
                <a:latin typeface="Meiryo UI" panose="020B0604030504040204" pitchFamily="50" charset="-128"/>
                <a:ea typeface="Meiryo UI" panose="020B0604030504040204" pitchFamily="50" charset="-128"/>
              </a:rPr>
              <a:t>エラーフォルダパス取得</a:t>
            </a:r>
          </a:p>
        </xdr:txBody>
      </xdr:sp>
    </xdr:grpSp>
    <xdr:clientData/>
  </xdr:twoCellAnchor>
  <xdr:twoCellAnchor>
    <xdr:from>
      <xdr:col>4</xdr:col>
      <xdr:colOff>144463</xdr:colOff>
      <xdr:row>173</xdr:row>
      <xdr:rowOff>37546</xdr:rowOff>
    </xdr:from>
    <xdr:to>
      <xdr:col>11</xdr:col>
      <xdr:colOff>159582</xdr:colOff>
      <xdr:row>176</xdr:row>
      <xdr:rowOff>47625</xdr:rowOff>
    </xdr:to>
    <xdr:grpSp>
      <xdr:nvGrpSpPr>
        <xdr:cNvPr id="530" name="グループ化 529">
          <a:extLst>
            <a:ext uri="{FF2B5EF4-FFF2-40B4-BE49-F238E27FC236}">
              <a16:creationId xmlns:a16="http://schemas.microsoft.com/office/drawing/2014/main" id="{9AF115EC-A392-4105-A5D5-95984C3198AB}"/>
            </a:ext>
          </a:extLst>
        </xdr:cNvPr>
        <xdr:cNvGrpSpPr/>
      </xdr:nvGrpSpPr>
      <xdr:grpSpPr>
        <a:xfrm>
          <a:off x="906463" y="32994046"/>
          <a:ext cx="1348619" cy="581579"/>
          <a:chOff x="6017381" y="6405437"/>
          <a:chExt cx="1355675" cy="584603"/>
        </a:xfrm>
      </xdr:grpSpPr>
      <xdr:sp macro="" textlink="">
        <xdr:nvSpPr>
          <xdr:cNvPr id="531" name="ひし形 530">
            <a:extLst>
              <a:ext uri="{FF2B5EF4-FFF2-40B4-BE49-F238E27FC236}">
                <a16:creationId xmlns:a16="http://schemas.microsoft.com/office/drawing/2014/main" id="{DAEE8DB3-BCD3-ECF0-10AF-1057F4FE762C}"/>
              </a:ext>
            </a:extLst>
          </xdr:cNvPr>
          <xdr:cNvSpPr/>
        </xdr:nvSpPr>
        <xdr:spPr>
          <a:xfrm>
            <a:off x="6028662" y="6407868"/>
            <a:ext cx="1337699" cy="579287"/>
          </a:xfrm>
          <a:prstGeom prst="diamond">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en-US" altLang="ja-JP" sz="1000">
              <a:solidFill>
                <a:schemeClr val="tx1"/>
              </a:solidFill>
              <a:latin typeface="Meiryo UI" panose="020B0604030504040204" pitchFamily="50" charset="-128"/>
              <a:ea typeface="Meiryo UI" panose="020B0604030504040204" pitchFamily="50" charset="-128"/>
            </a:endParaRPr>
          </a:p>
        </xdr:txBody>
      </xdr:sp>
      <xdr:sp macro="" textlink="">
        <xdr:nvSpPr>
          <xdr:cNvPr id="532" name="テキスト ボックス 531">
            <a:extLst>
              <a:ext uri="{FF2B5EF4-FFF2-40B4-BE49-F238E27FC236}">
                <a16:creationId xmlns:a16="http://schemas.microsoft.com/office/drawing/2014/main" id="{7F073BF5-3B7B-D7B7-64F4-B154AC2076A8}"/>
              </a:ext>
            </a:extLst>
          </xdr:cNvPr>
          <xdr:cNvSpPr txBox="1"/>
        </xdr:nvSpPr>
        <xdr:spPr>
          <a:xfrm>
            <a:off x="6017381" y="6405437"/>
            <a:ext cx="1355675" cy="5846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700">
                <a:latin typeface="Meiryo UI" panose="020B0604030504040204" pitchFamily="50" charset="-128"/>
                <a:ea typeface="Meiryo UI" panose="020B0604030504040204" pitchFamily="50" charset="-128"/>
              </a:rPr>
              <a:t>エラーフォルダが存在するか</a:t>
            </a:r>
          </a:p>
        </xdr:txBody>
      </xdr:sp>
    </xdr:grpSp>
    <xdr:clientData/>
  </xdr:twoCellAnchor>
  <xdr:twoCellAnchor>
    <xdr:from>
      <xdr:col>8</xdr:col>
      <xdr:colOff>56772</xdr:colOff>
      <xdr:row>171</xdr:row>
      <xdr:rowOff>96994</xdr:rowOff>
    </xdr:from>
    <xdr:to>
      <xdr:col>8</xdr:col>
      <xdr:colOff>56773</xdr:colOff>
      <xdr:row>173</xdr:row>
      <xdr:rowOff>37546</xdr:rowOff>
    </xdr:to>
    <xdr:cxnSp macro="">
      <xdr:nvCxnSpPr>
        <xdr:cNvPr id="533" name="直線矢印コネクタ 532">
          <a:extLst>
            <a:ext uri="{FF2B5EF4-FFF2-40B4-BE49-F238E27FC236}">
              <a16:creationId xmlns:a16="http://schemas.microsoft.com/office/drawing/2014/main" id="{606D0839-EF56-4591-BCD3-BBEC573D30D4}"/>
            </a:ext>
          </a:extLst>
        </xdr:cNvPr>
        <xdr:cNvCxnSpPr>
          <a:cxnSpLocks/>
          <a:stCxn id="528" idx="2"/>
          <a:endCxn id="532" idx="0"/>
        </xdr:cNvCxnSpPr>
      </xdr:nvCxnSpPr>
      <xdr:spPr>
        <a:xfrm>
          <a:off x="1580772" y="32672494"/>
          <a:ext cx="1" cy="321552"/>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11</xdr:col>
      <xdr:colOff>21664</xdr:colOff>
      <xdr:row>172</xdr:row>
      <xdr:rowOff>189946</xdr:rowOff>
    </xdr:from>
    <xdr:to>
      <xdr:col>13</xdr:col>
      <xdr:colOff>116797</xdr:colOff>
      <xdr:row>174</xdr:row>
      <xdr:rowOff>112712</xdr:rowOff>
    </xdr:to>
    <xdr:sp macro="" textlink="">
      <xdr:nvSpPr>
        <xdr:cNvPr id="534" name="正方形/長方形 533">
          <a:extLst>
            <a:ext uri="{FF2B5EF4-FFF2-40B4-BE49-F238E27FC236}">
              <a16:creationId xmlns:a16="http://schemas.microsoft.com/office/drawing/2014/main" id="{C810CA45-B8FE-41D9-A37C-1B0CB9CF9D2A}"/>
            </a:ext>
          </a:extLst>
        </xdr:cNvPr>
        <xdr:cNvSpPr/>
      </xdr:nvSpPr>
      <xdr:spPr>
        <a:xfrm>
          <a:off x="2117164" y="32955946"/>
          <a:ext cx="476133" cy="30376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900">
              <a:solidFill>
                <a:sysClr val="windowText" lastClr="000000"/>
              </a:solidFill>
              <a:latin typeface="Meiryo UI" panose="020B0604030504040204" pitchFamily="50" charset="-128"/>
              <a:ea typeface="Meiryo UI" panose="020B0604030504040204" pitchFamily="50" charset="-128"/>
            </a:rPr>
            <a:t>No</a:t>
          </a:r>
          <a:endParaRPr kumimoji="1" lang="ja-JP" altLang="en-US" sz="9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5</xdr:col>
      <xdr:colOff>92075</xdr:colOff>
      <xdr:row>175</xdr:row>
      <xdr:rowOff>114680</xdr:rowOff>
    </xdr:from>
    <xdr:to>
      <xdr:col>8</xdr:col>
      <xdr:colOff>3058</xdr:colOff>
      <xdr:row>179</xdr:row>
      <xdr:rowOff>37446</xdr:rowOff>
    </xdr:to>
    <xdr:sp macro="" textlink="">
      <xdr:nvSpPr>
        <xdr:cNvPr id="535" name="正方形/長方形 534">
          <a:extLst>
            <a:ext uri="{FF2B5EF4-FFF2-40B4-BE49-F238E27FC236}">
              <a16:creationId xmlns:a16="http://schemas.microsoft.com/office/drawing/2014/main" id="{3C39BF43-D413-4CD4-A755-8F25B7028B01}"/>
            </a:ext>
          </a:extLst>
        </xdr:cNvPr>
        <xdr:cNvSpPr/>
      </xdr:nvSpPr>
      <xdr:spPr>
        <a:xfrm>
          <a:off x="1044575" y="33452180"/>
          <a:ext cx="482483" cy="30376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900">
              <a:solidFill>
                <a:sysClr val="windowText" lastClr="000000"/>
              </a:solidFill>
              <a:latin typeface="Meiryo UI" panose="020B0604030504040204" pitchFamily="50" charset="-128"/>
              <a:ea typeface="Meiryo UI" panose="020B0604030504040204" pitchFamily="50" charset="-128"/>
            </a:rPr>
            <a:t>Yes</a:t>
          </a:r>
          <a:endParaRPr kumimoji="1" lang="ja-JP" altLang="en-US" sz="9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11</xdr:col>
      <xdr:colOff>161169</xdr:colOff>
      <xdr:row>165</xdr:row>
      <xdr:rowOff>156886</xdr:rowOff>
    </xdr:from>
    <xdr:to>
      <xdr:col>49</xdr:col>
      <xdr:colOff>87202</xdr:colOff>
      <xdr:row>203</xdr:row>
      <xdr:rowOff>175609</xdr:rowOff>
    </xdr:to>
    <xdr:cxnSp macro="">
      <xdr:nvCxnSpPr>
        <xdr:cNvPr id="538" name="コネクタ: カギ線 537">
          <a:extLst>
            <a:ext uri="{FF2B5EF4-FFF2-40B4-BE49-F238E27FC236}">
              <a16:creationId xmlns:a16="http://schemas.microsoft.com/office/drawing/2014/main" id="{E7150632-C623-4226-8655-9F10023DC947}"/>
            </a:ext>
          </a:extLst>
        </xdr:cNvPr>
        <xdr:cNvCxnSpPr>
          <a:cxnSpLocks/>
          <a:stCxn id="522" idx="3"/>
          <a:endCxn id="418" idx="0"/>
        </xdr:cNvCxnSpPr>
      </xdr:nvCxnSpPr>
      <xdr:spPr>
        <a:xfrm>
          <a:off x="2256669" y="31589386"/>
          <a:ext cx="7165033" cy="7257723"/>
        </a:xfrm>
        <a:prstGeom prst="bentConnector2">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162757</xdr:colOff>
      <xdr:row>174</xdr:row>
      <xdr:rowOff>136248</xdr:rowOff>
    </xdr:from>
    <xdr:to>
      <xdr:col>49</xdr:col>
      <xdr:colOff>87202</xdr:colOff>
      <xdr:row>203</xdr:row>
      <xdr:rowOff>175609</xdr:rowOff>
    </xdr:to>
    <xdr:cxnSp macro="">
      <xdr:nvCxnSpPr>
        <xdr:cNvPr id="541" name="コネクタ: カギ線 540">
          <a:extLst>
            <a:ext uri="{FF2B5EF4-FFF2-40B4-BE49-F238E27FC236}">
              <a16:creationId xmlns:a16="http://schemas.microsoft.com/office/drawing/2014/main" id="{9DBA44DB-0CE1-4D34-A5B1-F36CD66E0E6F}"/>
            </a:ext>
          </a:extLst>
        </xdr:cNvPr>
        <xdr:cNvCxnSpPr>
          <a:cxnSpLocks/>
          <a:stCxn id="532" idx="3"/>
          <a:endCxn id="418" idx="0"/>
        </xdr:cNvCxnSpPr>
      </xdr:nvCxnSpPr>
      <xdr:spPr>
        <a:xfrm>
          <a:off x="2258257" y="33283248"/>
          <a:ext cx="7163445" cy="5563861"/>
        </a:xfrm>
        <a:prstGeom prst="bentConnector2">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52010</xdr:colOff>
      <xdr:row>176</xdr:row>
      <xdr:rowOff>44450</xdr:rowOff>
    </xdr:from>
    <xdr:to>
      <xdr:col>8</xdr:col>
      <xdr:colOff>56773</xdr:colOff>
      <xdr:row>179</xdr:row>
      <xdr:rowOff>158750</xdr:rowOff>
    </xdr:to>
    <xdr:cxnSp macro="">
      <xdr:nvCxnSpPr>
        <xdr:cNvPr id="544" name="直線矢印コネクタ 543">
          <a:extLst>
            <a:ext uri="{FF2B5EF4-FFF2-40B4-BE49-F238E27FC236}">
              <a16:creationId xmlns:a16="http://schemas.microsoft.com/office/drawing/2014/main" id="{F60007E6-2F40-43FF-8582-16B05754BD34}"/>
            </a:ext>
          </a:extLst>
        </xdr:cNvPr>
        <xdr:cNvCxnSpPr>
          <a:cxnSpLocks/>
          <a:stCxn id="532" idx="2"/>
          <a:endCxn id="461" idx="0"/>
        </xdr:cNvCxnSpPr>
      </xdr:nvCxnSpPr>
      <xdr:spPr>
        <a:xfrm flipH="1">
          <a:off x="1576010" y="33572450"/>
          <a:ext cx="4763" cy="685800"/>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15</xdr:col>
      <xdr:colOff>130175</xdr:colOff>
      <xdr:row>192</xdr:row>
      <xdr:rowOff>95250</xdr:rowOff>
    </xdr:from>
    <xdr:to>
      <xdr:col>21</xdr:col>
      <xdr:colOff>111125</xdr:colOff>
      <xdr:row>194</xdr:row>
      <xdr:rowOff>76200</xdr:rowOff>
    </xdr:to>
    <xdr:grpSp>
      <xdr:nvGrpSpPr>
        <xdr:cNvPr id="547" name="グループ化 546">
          <a:extLst>
            <a:ext uri="{FF2B5EF4-FFF2-40B4-BE49-F238E27FC236}">
              <a16:creationId xmlns:a16="http://schemas.microsoft.com/office/drawing/2014/main" id="{7AFFA276-5F22-4AAF-A3D8-6D0D4F80A6F3}"/>
            </a:ext>
          </a:extLst>
        </xdr:cNvPr>
        <xdr:cNvGrpSpPr/>
      </xdr:nvGrpSpPr>
      <xdr:grpSpPr>
        <a:xfrm>
          <a:off x="2987675" y="36671250"/>
          <a:ext cx="1123950" cy="361950"/>
          <a:chOff x="381000" y="6477000"/>
          <a:chExt cx="1123950" cy="371475"/>
        </a:xfrm>
      </xdr:grpSpPr>
      <xdr:sp macro="" textlink="">
        <xdr:nvSpPr>
          <xdr:cNvPr id="548" name="四角形: 角を丸くする 547">
            <a:extLst>
              <a:ext uri="{FF2B5EF4-FFF2-40B4-BE49-F238E27FC236}">
                <a16:creationId xmlns:a16="http://schemas.microsoft.com/office/drawing/2014/main" id="{5FE856E3-EF2E-EF69-7F11-04F2F4D9562B}"/>
              </a:ext>
            </a:extLst>
          </xdr:cNvPr>
          <xdr:cNvSpPr/>
        </xdr:nvSpPr>
        <xdr:spPr>
          <a:xfrm>
            <a:off x="381000" y="6477000"/>
            <a:ext cx="1123950" cy="371475"/>
          </a:xfrm>
          <a:prstGeom prst="roundRect">
            <a:avLst>
              <a:gd name="adj" fmla="val 50000"/>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en-US" altLang="ja-JP" sz="1000">
              <a:solidFill>
                <a:schemeClr val="tx1"/>
              </a:solidFill>
              <a:latin typeface="Meiryo UI" panose="020B0604030504040204" pitchFamily="50" charset="-128"/>
              <a:ea typeface="Meiryo UI" panose="020B0604030504040204" pitchFamily="50" charset="-128"/>
            </a:endParaRPr>
          </a:p>
        </xdr:txBody>
      </xdr:sp>
      <xdr:sp macro="" textlink="">
        <xdr:nvSpPr>
          <xdr:cNvPr id="549" name="テキスト ボックス 548">
            <a:extLst>
              <a:ext uri="{FF2B5EF4-FFF2-40B4-BE49-F238E27FC236}">
                <a16:creationId xmlns:a16="http://schemas.microsoft.com/office/drawing/2014/main" id="{2E152B16-F76E-874A-F074-DBE28FE82DED}"/>
              </a:ext>
            </a:extLst>
          </xdr:cNvPr>
          <xdr:cNvSpPr txBox="1"/>
        </xdr:nvSpPr>
        <xdr:spPr>
          <a:xfrm>
            <a:off x="533400" y="6486525"/>
            <a:ext cx="828675"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000">
                <a:latin typeface="Meiryo UI" panose="020B0604030504040204" pitchFamily="50" charset="-128"/>
                <a:ea typeface="Meiryo UI" panose="020B0604030504040204" pitchFamily="50" charset="-128"/>
              </a:rPr>
              <a:t>終了</a:t>
            </a:r>
            <a:r>
              <a:rPr kumimoji="1" lang="en-US" altLang="ja-JP" sz="1000">
                <a:latin typeface="Meiryo UI" panose="020B0604030504040204" pitchFamily="50" charset="-128"/>
                <a:ea typeface="Meiryo UI" panose="020B0604030504040204" pitchFamily="50" charset="-128"/>
              </a:rPr>
              <a:t>(</a:t>
            </a:r>
            <a:r>
              <a:rPr kumimoji="1" lang="ja-JP" altLang="en-US" sz="1000">
                <a:latin typeface="Meiryo UI" panose="020B0604030504040204" pitchFamily="50" charset="-128"/>
                <a:ea typeface="Meiryo UI" panose="020B0604030504040204" pitchFamily="50" charset="-128"/>
              </a:rPr>
              <a:t>正常</a:t>
            </a:r>
            <a:r>
              <a:rPr kumimoji="1" lang="en-US" altLang="ja-JP" sz="1000">
                <a:latin typeface="Meiryo UI" panose="020B0604030504040204" pitchFamily="50" charset="-128"/>
                <a:ea typeface="Meiryo UI" panose="020B0604030504040204" pitchFamily="50" charset="-128"/>
              </a:rPr>
              <a:t>)</a:t>
            </a:r>
            <a:endParaRPr kumimoji="1" lang="ja-JP" altLang="en-US" sz="1000">
              <a:latin typeface="Meiryo UI" panose="020B0604030504040204" pitchFamily="50" charset="-128"/>
              <a:ea typeface="Meiryo UI" panose="020B0604030504040204" pitchFamily="50" charset="-128"/>
            </a:endParaRPr>
          </a:p>
        </xdr:txBody>
      </xdr:sp>
    </xdr:grpSp>
    <xdr:clientData/>
  </xdr:twoCellAnchor>
  <xdr:twoCellAnchor>
    <xdr:from>
      <xdr:col>24</xdr:col>
      <xdr:colOff>19050</xdr:colOff>
      <xdr:row>192</xdr:row>
      <xdr:rowOff>95250</xdr:rowOff>
    </xdr:from>
    <xdr:to>
      <xdr:col>29</xdr:col>
      <xdr:colOff>189204</xdr:colOff>
      <xdr:row>194</xdr:row>
      <xdr:rowOff>76200</xdr:rowOff>
    </xdr:to>
    <xdr:grpSp>
      <xdr:nvGrpSpPr>
        <xdr:cNvPr id="563" name="グループ化 562">
          <a:extLst>
            <a:ext uri="{FF2B5EF4-FFF2-40B4-BE49-F238E27FC236}">
              <a16:creationId xmlns:a16="http://schemas.microsoft.com/office/drawing/2014/main" id="{F002E3B3-5C0C-4D6E-A12F-6BFBF690BB60}"/>
            </a:ext>
          </a:extLst>
        </xdr:cNvPr>
        <xdr:cNvGrpSpPr/>
      </xdr:nvGrpSpPr>
      <xdr:grpSpPr>
        <a:xfrm>
          <a:off x="4591050" y="36671250"/>
          <a:ext cx="1122654" cy="361950"/>
          <a:chOff x="381000" y="6477000"/>
          <a:chExt cx="1123950" cy="371475"/>
        </a:xfrm>
      </xdr:grpSpPr>
      <xdr:sp macro="" textlink="">
        <xdr:nvSpPr>
          <xdr:cNvPr id="564" name="四角形: 角を丸くする 563">
            <a:extLst>
              <a:ext uri="{FF2B5EF4-FFF2-40B4-BE49-F238E27FC236}">
                <a16:creationId xmlns:a16="http://schemas.microsoft.com/office/drawing/2014/main" id="{9A23BB05-22DE-E866-9DE4-745DDD6547C5}"/>
              </a:ext>
            </a:extLst>
          </xdr:cNvPr>
          <xdr:cNvSpPr/>
        </xdr:nvSpPr>
        <xdr:spPr>
          <a:xfrm>
            <a:off x="381000" y="6477000"/>
            <a:ext cx="1123950" cy="371475"/>
          </a:xfrm>
          <a:prstGeom prst="roundRect">
            <a:avLst>
              <a:gd name="adj" fmla="val 50000"/>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en-US" altLang="ja-JP" sz="1000">
              <a:solidFill>
                <a:schemeClr val="tx1"/>
              </a:solidFill>
              <a:latin typeface="Meiryo UI" panose="020B0604030504040204" pitchFamily="50" charset="-128"/>
              <a:ea typeface="Meiryo UI" panose="020B0604030504040204" pitchFamily="50" charset="-128"/>
            </a:endParaRPr>
          </a:p>
        </xdr:txBody>
      </xdr:sp>
      <xdr:sp macro="" textlink="">
        <xdr:nvSpPr>
          <xdr:cNvPr id="565" name="テキスト ボックス 564">
            <a:extLst>
              <a:ext uri="{FF2B5EF4-FFF2-40B4-BE49-F238E27FC236}">
                <a16:creationId xmlns:a16="http://schemas.microsoft.com/office/drawing/2014/main" id="{05E200AE-137A-AB7F-5C50-9657AD2F355C}"/>
              </a:ext>
            </a:extLst>
          </xdr:cNvPr>
          <xdr:cNvSpPr txBox="1"/>
        </xdr:nvSpPr>
        <xdr:spPr>
          <a:xfrm>
            <a:off x="530397" y="6483268"/>
            <a:ext cx="829632"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000">
                <a:latin typeface="Meiryo UI" panose="020B0604030504040204" pitchFamily="50" charset="-128"/>
                <a:ea typeface="Meiryo UI" panose="020B0604030504040204" pitchFamily="50" charset="-128"/>
              </a:rPr>
              <a:t>終了</a:t>
            </a:r>
            <a:r>
              <a:rPr kumimoji="1" lang="en-US" altLang="ja-JP" sz="1000">
                <a:latin typeface="Meiryo UI" panose="020B0604030504040204" pitchFamily="50" charset="-128"/>
                <a:ea typeface="Meiryo UI" panose="020B0604030504040204" pitchFamily="50" charset="-128"/>
              </a:rPr>
              <a:t>(</a:t>
            </a:r>
            <a:r>
              <a:rPr kumimoji="1" lang="ja-JP" altLang="en-US" sz="1000">
                <a:latin typeface="Meiryo UI" panose="020B0604030504040204" pitchFamily="50" charset="-128"/>
                <a:ea typeface="Meiryo UI" panose="020B0604030504040204" pitchFamily="50" charset="-128"/>
              </a:rPr>
              <a:t>異常</a:t>
            </a:r>
            <a:r>
              <a:rPr kumimoji="1" lang="en-US" altLang="ja-JP" sz="1000">
                <a:latin typeface="Meiryo UI" panose="020B0604030504040204" pitchFamily="50" charset="-128"/>
                <a:ea typeface="Meiryo UI" panose="020B0604030504040204" pitchFamily="50" charset="-128"/>
              </a:rPr>
              <a:t>)</a:t>
            </a:r>
            <a:endParaRPr kumimoji="1" lang="ja-JP" altLang="en-US" sz="1000">
              <a:latin typeface="Meiryo UI" panose="020B0604030504040204" pitchFamily="50" charset="-128"/>
              <a:ea typeface="Meiryo UI" panose="020B0604030504040204" pitchFamily="50" charset="-128"/>
            </a:endParaRPr>
          </a:p>
        </xdr:txBody>
      </xdr:sp>
    </xdr:grpSp>
    <xdr:clientData/>
  </xdr:twoCellAnchor>
  <xdr:twoCellAnchor>
    <xdr:from>
      <xdr:col>23</xdr:col>
      <xdr:colOff>149225</xdr:colOff>
      <xdr:row>188</xdr:row>
      <xdr:rowOff>85725</xdr:rowOff>
    </xdr:from>
    <xdr:to>
      <xdr:col>30</xdr:col>
      <xdr:colOff>54425</xdr:colOff>
      <xdr:row>190</xdr:row>
      <xdr:rowOff>116598</xdr:rowOff>
    </xdr:to>
    <xdr:grpSp>
      <xdr:nvGrpSpPr>
        <xdr:cNvPr id="567" name="グループ化 566">
          <a:extLst>
            <a:ext uri="{FF2B5EF4-FFF2-40B4-BE49-F238E27FC236}">
              <a16:creationId xmlns:a16="http://schemas.microsoft.com/office/drawing/2014/main" id="{3FC18BA2-4965-4973-8121-F5CBA984F87F}"/>
            </a:ext>
          </a:extLst>
        </xdr:cNvPr>
        <xdr:cNvGrpSpPr/>
      </xdr:nvGrpSpPr>
      <xdr:grpSpPr>
        <a:xfrm>
          <a:off x="4530725" y="35899725"/>
          <a:ext cx="1238700" cy="411873"/>
          <a:chOff x="4133004" y="6457948"/>
          <a:chExt cx="1238700" cy="405523"/>
        </a:xfrm>
      </xdr:grpSpPr>
      <xdr:sp macro="" textlink="">
        <xdr:nvSpPr>
          <xdr:cNvPr id="568" name="正方形/長方形 567">
            <a:extLst>
              <a:ext uri="{FF2B5EF4-FFF2-40B4-BE49-F238E27FC236}">
                <a16:creationId xmlns:a16="http://schemas.microsoft.com/office/drawing/2014/main" id="{2F16A646-FF27-456F-EE1C-DA8035B2B3B9}"/>
              </a:ext>
            </a:extLst>
          </xdr:cNvPr>
          <xdr:cNvSpPr/>
        </xdr:nvSpPr>
        <xdr:spPr>
          <a:xfrm>
            <a:off x="4133004" y="6457948"/>
            <a:ext cx="1238700" cy="405523"/>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1000">
              <a:solidFill>
                <a:schemeClr val="tx1"/>
              </a:solidFill>
              <a:latin typeface="Meiryo UI" panose="020B0604030504040204" pitchFamily="50" charset="-128"/>
              <a:ea typeface="Meiryo UI" panose="020B0604030504040204" pitchFamily="50" charset="-128"/>
            </a:endParaRPr>
          </a:p>
        </xdr:txBody>
      </xdr:sp>
      <xdr:sp macro="" textlink="">
        <xdr:nvSpPr>
          <xdr:cNvPr id="569" name="テキスト ボックス 568">
            <a:extLst>
              <a:ext uri="{FF2B5EF4-FFF2-40B4-BE49-F238E27FC236}">
                <a16:creationId xmlns:a16="http://schemas.microsoft.com/office/drawing/2014/main" id="{18F98DC2-0847-D5DE-29D0-18A3E89BF751}"/>
              </a:ext>
            </a:extLst>
          </xdr:cNvPr>
          <xdr:cNvSpPr txBox="1"/>
        </xdr:nvSpPr>
        <xdr:spPr>
          <a:xfrm>
            <a:off x="4145757" y="6465095"/>
            <a:ext cx="1216818" cy="3857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700">
                <a:latin typeface="Meiryo UI" panose="020B0604030504040204" pitchFamily="50" charset="-128"/>
                <a:ea typeface="Meiryo UI" panose="020B0604030504040204" pitchFamily="50" charset="-128"/>
              </a:rPr>
              <a:t>警告メッセージ出力</a:t>
            </a:r>
          </a:p>
        </xdr:txBody>
      </xdr:sp>
    </xdr:grpSp>
    <xdr:clientData/>
  </xdr:twoCellAnchor>
  <xdr:twoCellAnchor>
    <xdr:from>
      <xdr:col>27</xdr:col>
      <xdr:colOff>8387</xdr:colOff>
      <xdr:row>190</xdr:row>
      <xdr:rowOff>103688</xdr:rowOff>
    </xdr:from>
    <xdr:to>
      <xdr:col>27</xdr:col>
      <xdr:colOff>11113</xdr:colOff>
      <xdr:row>192</xdr:row>
      <xdr:rowOff>101357</xdr:rowOff>
    </xdr:to>
    <xdr:cxnSp macro="">
      <xdr:nvCxnSpPr>
        <xdr:cNvPr id="573" name="直線矢印コネクタ 572">
          <a:extLst>
            <a:ext uri="{FF2B5EF4-FFF2-40B4-BE49-F238E27FC236}">
              <a16:creationId xmlns:a16="http://schemas.microsoft.com/office/drawing/2014/main" id="{FA443CDA-46A4-4526-AED7-FCBEF40D517A}"/>
            </a:ext>
          </a:extLst>
        </xdr:cNvPr>
        <xdr:cNvCxnSpPr>
          <a:cxnSpLocks/>
          <a:stCxn id="569" idx="2"/>
          <a:endCxn id="565" idx="0"/>
        </xdr:cNvCxnSpPr>
      </xdr:nvCxnSpPr>
      <xdr:spPr>
        <a:xfrm>
          <a:off x="5151887" y="36298688"/>
          <a:ext cx="2726" cy="378669"/>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177800</xdr:colOff>
      <xdr:row>196</xdr:row>
      <xdr:rowOff>152400</xdr:rowOff>
    </xdr:from>
    <xdr:to>
      <xdr:col>11</xdr:col>
      <xdr:colOff>83000</xdr:colOff>
      <xdr:row>198</xdr:row>
      <xdr:rowOff>189623</xdr:rowOff>
    </xdr:to>
    <xdr:grpSp>
      <xdr:nvGrpSpPr>
        <xdr:cNvPr id="576" name="グループ化 575">
          <a:extLst>
            <a:ext uri="{FF2B5EF4-FFF2-40B4-BE49-F238E27FC236}">
              <a16:creationId xmlns:a16="http://schemas.microsoft.com/office/drawing/2014/main" id="{CE530B3E-3BAA-4F89-AC13-5F8D9ADECCBC}"/>
            </a:ext>
          </a:extLst>
        </xdr:cNvPr>
        <xdr:cNvGrpSpPr/>
      </xdr:nvGrpSpPr>
      <xdr:grpSpPr>
        <a:xfrm>
          <a:off x="939800" y="37490400"/>
          <a:ext cx="1238700" cy="418223"/>
          <a:chOff x="4133004" y="6457948"/>
          <a:chExt cx="1238700" cy="405523"/>
        </a:xfrm>
      </xdr:grpSpPr>
      <xdr:sp macro="" textlink="">
        <xdr:nvSpPr>
          <xdr:cNvPr id="577" name="正方形/長方形 576">
            <a:extLst>
              <a:ext uri="{FF2B5EF4-FFF2-40B4-BE49-F238E27FC236}">
                <a16:creationId xmlns:a16="http://schemas.microsoft.com/office/drawing/2014/main" id="{C61F519A-D6ED-9C65-0193-6665377D3D73}"/>
              </a:ext>
            </a:extLst>
          </xdr:cNvPr>
          <xdr:cNvSpPr/>
        </xdr:nvSpPr>
        <xdr:spPr>
          <a:xfrm>
            <a:off x="4133004" y="6457948"/>
            <a:ext cx="1238700" cy="405523"/>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1000">
              <a:solidFill>
                <a:schemeClr val="tx1"/>
              </a:solidFill>
              <a:latin typeface="Meiryo UI" panose="020B0604030504040204" pitchFamily="50" charset="-128"/>
              <a:ea typeface="Meiryo UI" panose="020B0604030504040204" pitchFamily="50" charset="-128"/>
            </a:endParaRPr>
          </a:p>
        </xdr:txBody>
      </xdr:sp>
      <xdr:sp macro="" textlink="">
        <xdr:nvSpPr>
          <xdr:cNvPr id="578" name="テキスト ボックス 577">
            <a:extLst>
              <a:ext uri="{FF2B5EF4-FFF2-40B4-BE49-F238E27FC236}">
                <a16:creationId xmlns:a16="http://schemas.microsoft.com/office/drawing/2014/main" id="{0BC2785E-8DAD-80AD-0714-258A53CDFB3D}"/>
              </a:ext>
            </a:extLst>
          </xdr:cNvPr>
          <xdr:cNvSpPr txBox="1"/>
        </xdr:nvSpPr>
        <xdr:spPr>
          <a:xfrm>
            <a:off x="4145757" y="6465095"/>
            <a:ext cx="1216818" cy="3857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700">
                <a:latin typeface="Meiryo UI" panose="020B0604030504040204" pitchFamily="50" charset="-128"/>
                <a:ea typeface="Meiryo UI" panose="020B0604030504040204" pitchFamily="50" charset="-128"/>
              </a:rPr>
              <a:t>受信フォルダから取込対象となるファイル名を取得</a:t>
            </a:r>
          </a:p>
        </xdr:txBody>
      </xdr:sp>
    </xdr:grpSp>
    <xdr:clientData/>
  </xdr:twoCellAnchor>
  <xdr:twoCellAnchor>
    <xdr:from>
      <xdr:col>3</xdr:col>
      <xdr:colOff>187325</xdr:colOff>
      <xdr:row>204</xdr:row>
      <xdr:rowOff>177800</xdr:rowOff>
    </xdr:from>
    <xdr:to>
      <xdr:col>12</xdr:col>
      <xdr:colOff>73025</xdr:colOff>
      <xdr:row>207</xdr:row>
      <xdr:rowOff>82550</xdr:rowOff>
    </xdr:to>
    <xdr:grpSp>
      <xdr:nvGrpSpPr>
        <xdr:cNvPr id="586" name="グループ化 585">
          <a:extLst>
            <a:ext uri="{FF2B5EF4-FFF2-40B4-BE49-F238E27FC236}">
              <a16:creationId xmlns:a16="http://schemas.microsoft.com/office/drawing/2014/main" id="{BFC65E4E-BCC3-4370-A347-8F120BDD24DD}"/>
            </a:ext>
          </a:extLst>
        </xdr:cNvPr>
        <xdr:cNvGrpSpPr/>
      </xdr:nvGrpSpPr>
      <xdr:grpSpPr>
        <a:xfrm>
          <a:off x="758825" y="39039800"/>
          <a:ext cx="1600200" cy="476250"/>
          <a:chOff x="152400" y="7233431"/>
          <a:chExt cx="1609271" cy="479273"/>
        </a:xfrm>
      </xdr:grpSpPr>
      <xdr:sp macro="" textlink="">
        <xdr:nvSpPr>
          <xdr:cNvPr id="587" name="フローチャート: データ 586">
            <a:extLst>
              <a:ext uri="{FF2B5EF4-FFF2-40B4-BE49-F238E27FC236}">
                <a16:creationId xmlns:a16="http://schemas.microsoft.com/office/drawing/2014/main" id="{CA3A24E5-CC0B-3262-BE30-AA2C01963D5D}"/>
              </a:ext>
            </a:extLst>
          </xdr:cNvPr>
          <xdr:cNvSpPr/>
        </xdr:nvSpPr>
        <xdr:spPr>
          <a:xfrm>
            <a:off x="152400" y="7233431"/>
            <a:ext cx="1609271" cy="479273"/>
          </a:xfrm>
          <a:prstGeom prst="flowChartInputOutpu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1000">
              <a:solidFill>
                <a:schemeClr val="tx1"/>
              </a:solidFill>
              <a:latin typeface="Meiryo UI" panose="020B0604030504040204" pitchFamily="50" charset="-128"/>
              <a:ea typeface="Meiryo UI" panose="020B0604030504040204" pitchFamily="50" charset="-128"/>
            </a:endParaRPr>
          </a:p>
        </xdr:txBody>
      </xdr:sp>
      <xdr:sp macro="" textlink="">
        <xdr:nvSpPr>
          <xdr:cNvPr id="588" name="テキスト ボックス 587">
            <a:extLst>
              <a:ext uri="{FF2B5EF4-FFF2-40B4-BE49-F238E27FC236}">
                <a16:creationId xmlns:a16="http://schemas.microsoft.com/office/drawing/2014/main" id="{4BB6211E-10EF-371A-A0FF-052A7DF4C37A}"/>
              </a:ext>
            </a:extLst>
          </xdr:cNvPr>
          <xdr:cNvSpPr txBox="1"/>
        </xdr:nvSpPr>
        <xdr:spPr>
          <a:xfrm>
            <a:off x="238611" y="7236985"/>
            <a:ext cx="1446428" cy="463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700" b="0"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n-cs"/>
              </a:rPr>
              <a:t>取込対象ファイルを受信フォルダ→作業フォルダへ移動</a:t>
            </a:r>
          </a:p>
        </xdr:txBody>
      </xdr:sp>
    </xdr:grpSp>
    <xdr:clientData/>
  </xdr:twoCellAnchor>
  <xdr:twoCellAnchor>
    <xdr:from>
      <xdr:col>3</xdr:col>
      <xdr:colOff>187325</xdr:colOff>
      <xdr:row>209</xdr:row>
      <xdr:rowOff>38100</xdr:rowOff>
    </xdr:from>
    <xdr:to>
      <xdr:col>12</xdr:col>
      <xdr:colOff>73025</xdr:colOff>
      <xdr:row>211</xdr:row>
      <xdr:rowOff>133350</xdr:rowOff>
    </xdr:to>
    <xdr:grpSp>
      <xdr:nvGrpSpPr>
        <xdr:cNvPr id="591" name="グループ化 590">
          <a:extLst>
            <a:ext uri="{FF2B5EF4-FFF2-40B4-BE49-F238E27FC236}">
              <a16:creationId xmlns:a16="http://schemas.microsoft.com/office/drawing/2014/main" id="{FFDA5C39-4337-CEA4-000B-AE9BD7208BCE}"/>
            </a:ext>
          </a:extLst>
        </xdr:cNvPr>
        <xdr:cNvGrpSpPr/>
      </xdr:nvGrpSpPr>
      <xdr:grpSpPr>
        <a:xfrm>
          <a:off x="758825" y="39852600"/>
          <a:ext cx="1600200" cy="476250"/>
          <a:chOff x="152400" y="7233431"/>
          <a:chExt cx="1609271" cy="479273"/>
        </a:xfrm>
      </xdr:grpSpPr>
      <xdr:sp macro="" textlink="">
        <xdr:nvSpPr>
          <xdr:cNvPr id="592" name="フローチャート: データ 591">
            <a:extLst>
              <a:ext uri="{FF2B5EF4-FFF2-40B4-BE49-F238E27FC236}">
                <a16:creationId xmlns:a16="http://schemas.microsoft.com/office/drawing/2014/main" id="{897601AB-0702-9FC2-8326-C27CAA21E5DF}"/>
              </a:ext>
            </a:extLst>
          </xdr:cNvPr>
          <xdr:cNvSpPr/>
        </xdr:nvSpPr>
        <xdr:spPr>
          <a:xfrm>
            <a:off x="152400" y="7233431"/>
            <a:ext cx="1609271" cy="479273"/>
          </a:xfrm>
          <a:prstGeom prst="flowChartInputOutpu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1000">
              <a:solidFill>
                <a:schemeClr val="tx1"/>
              </a:solidFill>
              <a:latin typeface="Meiryo UI" panose="020B0604030504040204" pitchFamily="50" charset="-128"/>
              <a:ea typeface="Meiryo UI" panose="020B0604030504040204" pitchFamily="50" charset="-128"/>
            </a:endParaRPr>
          </a:p>
        </xdr:txBody>
      </xdr:sp>
      <xdr:sp macro="" textlink="">
        <xdr:nvSpPr>
          <xdr:cNvPr id="593" name="テキスト ボックス 592">
            <a:extLst>
              <a:ext uri="{FF2B5EF4-FFF2-40B4-BE49-F238E27FC236}">
                <a16:creationId xmlns:a16="http://schemas.microsoft.com/office/drawing/2014/main" id="{C3A62C58-07AE-6E5D-F188-DE41A6B2BFD1}"/>
              </a:ext>
            </a:extLst>
          </xdr:cNvPr>
          <xdr:cNvSpPr txBox="1"/>
        </xdr:nvSpPr>
        <xdr:spPr>
          <a:xfrm>
            <a:off x="238611" y="7236985"/>
            <a:ext cx="1446428" cy="463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700" b="0"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n-cs"/>
              </a:rPr>
              <a:t>ファイル読み込み</a:t>
            </a:r>
            <a:endParaRPr kumimoji="1" lang="en-US" altLang="ja-JP" sz="700" b="0"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700" b="0"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n-cs"/>
              </a:rPr>
              <a:t>（コンテナにデータ格納）</a:t>
            </a:r>
          </a:p>
        </xdr:txBody>
      </xdr:sp>
    </xdr:grpSp>
    <xdr:clientData/>
  </xdr:twoCellAnchor>
  <xdr:twoCellAnchor>
    <xdr:from>
      <xdr:col>8</xdr:col>
      <xdr:colOff>34925</xdr:colOff>
      <xdr:row>211</xdr:row>
      <xdr:rowOff>133350</xdr:rowOff>
    </xdr:from>
    <xdr:to>
      <xdr:col>8</xdr:col>
      <xdr:colOff>36513</xdr:colOff>
      <xdr:row>213</xdr:row>
      <xdr:rowOff>67032</xdr:rowOff>
    </xdr:to>
    <xdr:cxnSp macro="">
      <xdr:nvCxnSpPr>
        <xdr:cNvPr id="595" name="直線矢印コネクタ 594">
          <a:extLst>
            <a:ext uri="{FF2B5EF4-FFF2-40B4-BE49-F238E27FC236}">
              <a16:creationId xmlns:a16="http://schemas.microsoft.com/office/drawing/2014/main" id="{2D629DD1-B884-4C26-A56C-049DD89FC490}"/>
            </a:ext>
          </a:extLst>
        </xdr:cNvPr>
        <xdr:cNvCxnSpPr>
          <a:cxnSpLocks/>
          <a:stCxn id="592" idx="4"/>
          <a:endCxn id="603" idx="0"/>
        </xdr:cNvCxnSpPr>
      </xdr:nvCxnSpPr>
      <xdr:spPr>
        <a:xfrm>
          <a:off x="1558925" y="40328850"/>
          <a:ext cx="1588" cy="314682"/>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15875</xdr:colOff>
      <xdr:row>213</xdr:row>
      <xdr:rowOff>63500</xdr:rowOff>
    </xdr:from>
    <xdr:to>
      <xdr:col>12</xdr:col>
      <xdr:colOff>92075</xdr:colOff>
      <xdr:row>215</xdr:row>
      <xdr:rowOff>158750</xdr:rowOff>
    </xdr:to>
    <xdr:grpSp>
      <xdr:nvGrpSpPr>
        <xdr:cNvPr id="601" name="グループ化 600">
          <a:extLst>
            <a:ext uri="{FF2B5EF4-FFF2-40B4-BE49-F238E27FC236}">
              <a16:creationId xmlns:a16="http://schemas.microsoft.com/office/drawing/2014/main" id="{7D593AAD-363E-41D3-E9A4-DFC7F84B0A43}"/>
            </a:ext>
          </a:extLst>
        </xdr:cNvPr>
        <xdr:cNvGrpSpPr/>
      </xdr:nvGrpSpPr>
      <xdr:grpSpPr>
        <a:xfrm>
          <a:off x="777875" y="40640000"/>
          <a:ext cx="1600200" cy="476250"/>
          <a:chOff x="152400" y="7233431"/>
          <a:chExt cx="1609271" cy="479273"/>
        </a:xfrm>
      </xdr:grpSpPr>
      <xdr:sp macro="" textlink="">
        <xdr:nvSpPr>
          <xdr:cNvPr id="602" name="フローチャート: データ 601">
            <a:extLst>
              <a:ext uri="{FF2B5EF4-FFF2-40B4-BE49-F238E27FC236}">
                <a16:creationId xmlns:a16="http://schemas.microsoft.com/office/drawing/2014/main" id="{341A2EF6-B037-1DCD-64AB-DCB5627202B2}"/>
              </a:ext>
            </a:extLst>
          </xdr:cNvPr>
          <xdr:cNvSpPr/>
        </xdr:nvSpPr>
        <xdr:spPr>
          <a:xfrm>
            <a:off x="152400" y="7233431"/>
            <a:ext cx="1609271" cy="479273"/>
          </a:xfrm>
          <a:prstGeom prst="flowChartInputOutpu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1000">
              <a:solidFill>
                <a:schemeClr val="tx1"/>
              </a:solidFill>
              <a:latin typeface="Meiryo UI" panose="020B0604030504040204" pitchFamily="50" charset="-128"/>
              <a:ea typeface="Meiryo UI" panose="020B0604030504040204" pitchFamily="50" charset="-128"/>
            </a:endParaRPr>
          </a:p>
        </xdr:txBody>
      </xdr:sp>
      <xdr:sp macro="" textlink="">
        <xdr:nvSpPr>
          <xdr:cNvPr id="603" name="テキスト ボックス 602">
            <a:extLst>
              <a:ext uri="{FF2B5EF4-FFF2-40B4-BE49-F238E27FC236}">
                <a16:creationId xmlns:a16="http://schemas.microsoft.com/office/drawing/2014/main" id="{124E645C-725C-548F-2D23-3E0935EB8710}"/>
              </a:ext>
            </a:extLst>
          </xdr:cNvPr>
          <xdr:cNvSpPr txBox="1"/>
        </xdr:nvSpPr>
        <xdr:spPr>
          <a:xfrm>
            <a:off x="193909" y="7236985"/>
            <a:ext cx="1491130" cy="463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700" b="0"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n-cs"/>
              </a:rPr>
              <a:t>アーカイブ処理</a:t>
            </a:r>
            <a:endParaRPr kumimoji="1" lang="en-US" altLang="ja-JP" sz="700" b="0"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kumimoji="1" lang="en-US" altLang="ja-JP" sz="700" b="0"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n-cs"/>
              </a:rPr>
              <a:t>(</a:t>
            </a:r>
            <a:r>
              <a:rPr kumimoji="1" lang="ja-JP" altLang="en-US" sz="700" b="0"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n-cs"/>
              </a:rPr>
              <a:t>作業フォルダ→アーカイブフォルダ</a:t>
            </a:r>
            <a:r>
              <a:rPr kumimoji="1" lang="en-US" altLang="ja-JP" sz="700" b="0"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n-cs"/>
              </a:rPr>
              <a:t>)</a:t>
            </a:r>
            <a:endParaRPr kumimoji="1" lang="ja-JP" altLang="en-US" sz="700" b="0"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n-cs"/>
            </a:endParaRPr>
          </a:p>
        </xdr:txBody>
      </xdr:sp>
    </xdr:grpSp>
    <xdr:clientData/>
  </xdr:twoCellAnchor>
  <xdr:twoCellAnchor>
    <xdr:from>
      <xdr:col>8</xdr:col>
      <xdr:colOff>36513</xdr:colOff>
      <xdr:row>215</xdr:row>
      <xdr:rowOff>149933</xdr:rowOff>
    </xdr:from>
    <xdr:to>
      <xdr:col>8</xdr:col>
      <xdr:colOff>39288</xdr:colOff>
      <xdr:row>218</xdr:row>
      <xdr:rowOff>30447</xdr:rowOff>
    </xdr:to>
    <xdr:cxnSp macro="">
      <xdr:nvCxnSpPr>
        <xdr:cNvPr id="605" name="直線矢印コネクタ 604">
          <a:extLst>
            <a:ext uri="{FF2B5EF4-FFF2-40B4-BE49-F238E27FC236}">
              <a16:creationId xmlns:a16="http://schemas.microsoft.com/office/drawing/2014/main" id="{F182593C-E529-4753-BF97-C1589FF10001}"/>
            </a:ext>
          </a:extLst>
        </xdr:cNvPr>
        <xdr:cNvCxnSpPr>
          <a:cxnSpLocks/>
          <a:stCxn id="603" idx="2"/>
          <a:endCxn id="498" idx="3"/>
        </xdr:cNvCxnSpPr>
      </xdr:nvCxnSpPr>
      <xdr:spPr>
        <a:xfrm>
          <a:off x="1560513" y="41107433"/>
          <a:ext cx="2775" cy="45201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14</xdr:col>
      <xdr:colOff>187325</xdr:colOff>
      <xdr:row>200</xdr:row>
      <xdr:rowOff>184149</xdr:rowOff>
    </xdr:from>
    <xdr:to>
      <xdr:col>32</xdr:col>
      <xdr:colOff>0</xdr:colOff>
      <xdr:row>207</xdr:row>
      <xdr:rowOff>53975</xdr:rowOff>
    </xdr:to>
    <xdr:sp macro="" textlink="">
      <xdr:nvSpPr>
        <xdr:cNvPr id="608" name="吹き出し: 四角形 607">
          <a:extLst>
            <a:ext uri="{FF2B5EF4-FFF2-40B4-BE49-F238E27FC236}">
              <a16:creationId xmlns:a16="http://schemas.microsoft.com/office/drawing/2014/main" id="{30313E2A-EDFA-4B4C-5A2C-83F707283B64}"/>
            </a:ext>
          </a:extLst>
        </xdr:cNvPr>
        <xdr:cNvSpPr/>
      </xdr:nvSpPr>
      <xdr:spPr>
        <a:xfrm>
          <a:off x="2854325" y="38284149"/>
          <a:ext cx="3241675" cy="1203326"/>
        </a:xfrm>
        <a:prstGeom prst="wedgeRectCallout">
          <a:avLst>
            <a:gd name="adj1" fmla="val -59963"/>
            <a:gd name="adj2" fmla="val 37990"/>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r>
            <a:rPr kumimoji="1" lang="ja-JP" altLang="en-US" sz="1000">
              <a:latin typeface="Meiryo UI" panose="020B0604030504040204" pitchFamily="50" charset="-128"/>
              <a:ea typeface="Meiryo UI" panose="020B0604030504040204" pitchFamily="50" charset="-128"/>
            </a:rPr>
            <a:t>ファイル書き出し中などの理由で例外発生時には</a:t>
          </a:r>
          <a:endParaRPr kumimoji="1" lang="en-US" altLang="ja-JP" sz="1000">
            <a:latin typeface="Meiryo UI" panose="020B0604030504040204" pitchFamily="50" charset="-128"/>
            <a:ea typeface="Meiryo UI" panose="020B0604030504040204" pitchFamily="50" charset="-128"/>
          </a:endParaRPr>
        </a:p>
        <a:p>
          <a:pPr algn="l"/>
          <a:r>
            <a:rPr kumimoji="1" lang="en-US" altLang="ja-JP" sz="1000">
              <a:latin typeface="Meiryo UI" panose="020B0604030504040204" pitchFamily="50" charset="-128"/>
              <a:ea typeface="Meiryo UI" panose="020B0604030504040204" pitchFamily="50" charset="-128"/>
            </a:rPr>
            <a:t>[</a:t>
          </a:r>
          <a:r>
            <a:rPr kumimoji="1" lang="ja-JP" altLang="en-US" sz="1000">
              <a:latin typeface="Meiryo UI" panose="020B0604030504040204" pitchFamily="50" charset="-128"/>
              <a:ea typeface="Meiryo UI" panose="020B0604030504040204" pitchFamily="50" charset="-128"/>
            </a:rPr>
            <a:t>ファイル取込定義マスタ</a:t>
          </a:r>
          <a:r>
            <a:rPr kumimoji="1" lang="en-US" altLang="ja-JP" sz="1000">
              <a:latin typeface="Meiryo UI" panose="020B0604030504040204" pitchFamily="50" charset="-128"/>
              <a:ea typeface="Meiryo UI" panose="020B0604030504040204" pitchFamily="50" charset="-128"/>
            </a:rPr>
            <a:t>.</a:t>
          </a:r>
          <a:r>
            <a:rPr kumimoji="1" lang="ja-JP" altLang="en-US" sz="1000">
              <a:latin typeface="Meiryo UI" panose="020B0604030504040204" pitchFamily="50" charset="-128"/>
              <a:ea typeface="Meiryo UI" panose="020B0604030504040204" pitchFamily="50" charset="-128"/>
            </a:rPr>
            <a:t>リトライ回数</a:t>
          </a:r>
          <a:r>
            <a:rPr kumimoji="1" lang="en-US" altLang="ja-JP" sz="1000">
              <a:latin typeface="Meiryo UI" panose="020B0604030504040204" pitchFamily="50" charset="-128"/>
              <a:ea typeface="Meiryo UI" panose="020B0604030504040204" pitchFamily="50" charset="-128"/>
            </a:rPr>
            <a:t>]</a:t>
          </a:r>
          <a:r>
            <a:rPr kumimoji="1" lang="ja-JP" altLang="en-US" sz="1000">
              <a:latin typeface="Meiryo UI" panose="020B0604030504040204" pitchFamily="50" charset="-128"/>
              <a:ea typeface="Meiryo UI" panose="020B0604030504040204" pitchFamily="50" charset="-128"/>
            </a:rPr>
            <a:t>の設定されている</a:t>
          </a:r>
          <a:endParaRPr kumimoji="1" lang="en-US" altLang="ja-JP" sz="1000">
            <a:latin typeface="Meiryo UI" panose="020B0604030504040204" pitchFamily="50" charset="-128"/>
            <a:ea typeface="Meiryo UI" panose="020B0604030504040204" pitchFamily="50" charset="-128"/>
          </a:endParaRPr>
        </a:p>
        <a:p>
          <a:pPr algn="l"/>
          <a:r>
            <a:rPr kumimoji="1" lang="ja-JP" altLang="en-US" sz="1000">
              <a:latin typeface="Meiryo UI" panose="020B0604030504040204" pitchFamily="50" charset="-128"/>
              <a:ea typeface="Meiryo UI" panose="020B0604030504040204" pitchFamily="50" charset="-128"/>
            </a:rPr>
            <a:t>回数分、ウェイトしたのちリトライする</a:t>
          </a:r>
          <a:endParaRPr kumimoji="1" lang="en-US" altLang="ja-JP" sz="1000">
            <a:latin typeface="Meiryo UI" panose="020B0604030504040204" pitchFamily="50" charset="-128"/>
            <a:ea typeface="Meiryo UI" panose="020B0604030504040204" pitchFamily="50" charset="-128"/>
          </a:endParaRPr>
        </a:p>
        <a:p>
          <a:pPr algn="l"/>
          <a:r>
            <a:rPr kumimoji="1" lang="en-US" altLang="ja-JP" sz="1000">
              <a:latin typeface="Meiryo UI" panose="020B0604030504040204" pitchFamily="50" charset="-128"/>
              <a:ea typeface="Meiryo UI" panose="020B0604030504040204" pitchFamily="50" charset="-128"/>
            </a:rPr>
            <a:t>※</a:t>
          </a:r>
          <a:r>
            <a:rPr kumimoji="1" lang="ja-JP" altLang="en-US" sz="1000">
              <a:latin typeface="Meiryo UI" panose="020B0604030504040204" pitchFamily="50" charset="-128"/>
              <a:ea typeface="Meiryo UI" panose="020B0604030504040204" pitchFamily="50" charset="-128"/>
            </a:rPr>
            <a:t>リトライ回数</a:t>
          </a:r>
          <a:r>
            <a:rPr kumimoji="1" lang="en-US" altLang="ja-JP" sz="1000">
              <a:latin typeface="Meiryo UI" panose="020B0604030504040204" pitchFamily="50" charset="-128"/>
              <a:ea typeface="Meiryo UI" panose="020B0604030504040204" pitchFamily="50" charset="-128"/>
            </a:rPr>
            <a:t>&gt;[</a:t>
          </a:r>
          <a:r>
            <a:rPr kumimoji="1" lang="ja-JP" altLang="en-US" sz="1000">
              <a:latin typeface="Meiryo UI" panose="020B0604030504040204" pitchFamily="50" charset="-128"/>
              <a:ea typeface="Meiryo UI" panose="020B0604030504040204" pitchFamily="50" charset="-128"/>
            </a:rPr>
            <a:t>ファイル取込定義マスタ</a:t>
          </a:r>
          <a:r>
            <a:rPr kumimoji="1" lang="en-US" altLang="ja-JP" sz="1000">
              <a:latin typeface="Meiryo UI" panose="020B0604030504040204" pitchFamily="50" charset="-128"/>
              <a:ea typeface="Meiryo UI" panose="020B0604030504040204" pitchFamily="50" charset="-128"/>
            </a:rPr>
            <a:t>.</a:t>
          </a:r>
          <a:r>
            <a:rPr kumimoji="1" lang="ja-JP" altLang="en-US" sz="1000">
              <a:latin typeface="Meiryo UI" panose="020B0604030504040204" pitchFamily="50" charset="-128"/>
              <a:ea typeface="Meiryo UI" panose="020B0604030504040204" pitchFamily="50" charset="-128"/>
            </a:rPr>
            <a:t>リトライ回数</a:t>
          </a:r>
          <a:r>
            <a:rPr kumimoji="1" lang="en-US" altLang="ja-JP" sz="1000">
              <a:latin typeface="Meiryo UI" panose="020B0604030504040204" pitchFamily="50" charset="-128"/>
              <a:ea typeface="Meiryo UI" panose="020B0604030504040204" pitchFamily="50" charset="-128"/>
            </a:rPr>
            <a:t>]</a:t>
          </a:r>
          <a:r>
            <a:rPr kumimoji="1" lang="ja-JP" altLang="en-US" sz="1000">
              <a:latin typeface="Meiryo UI" panose="020B0604030504040204" pitchFamily="50" charset="-128"/>
              <a:ea typeface="Meiryo UI" panose="020B0604030504040204" pitchFamily="50" charset="-128"/>
            </a:rPr>
            <a:t>となった場合は異常終了となる</a:t>
          </a:r>
        </a:p>
      </xdr:txBody>
    </xdr:sp>
    <xdr:clientData/>
  </xdr:twoCellAnchor>
  <xdr:twoCellAnchor>
    <xdr:from>
      <xdr:col>2</xdr:col>
      <xdr:colOff>104775</xdr:colOff>
      <xdr:row>225</xdr:row>
      <xdr:rowOff>2241</xdr:rowOff>
    </xdr:from>
    <xdr:to>
      <xdr:col>7</xdr:col>
      <xdr:colOff>172011</xdr:colOff>
      <xdr:row>226</xdr:row>
      <xdr:rowOff>115507</xdr:rowOff>
    </xdr:to>
    <xdr:sp macro="" textlink="">
      <xdr:nvSpPr>
        <xdr:cNvPr id="617" name="正方形/長方形 616">
          <a:extLst>
            <a:ext uri="{FF2B5EF4-FFF2-40B4-BE49-F238E27FC236}">
              <a16:creationId xmlns:a16="http://schemas.microsoft.com/office/drawing/2014/main" id="{39DBC1F0-553A-4486-B5F6-88FDF308EA54}"/>
            </a:ext>
          </a:extLst>
        </xdr:cNvPr>
        <xdr:cNvSpPr/>
      </xdr:nvSpPr>
      <xdr:spPr>
        <a:xfrm>
          <a:off x="485775" y="42864741"/>
          <a:ext cx="1019736" cy="30376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ysClr val="windowText" lastClr="000000"/>
              </a:solidFill>
              <a:latin typeface="Meiryo UI" panose="020B0604030504040204" pitchFamily="50" charset="-128"/>
              <a:ea typeface="Meiryo UI" panose="020B0604030504040204" pitchFamily="50" charset="-128"/>
            </a:rPr>
            <a:t>ファイル存在任意</a:t>
          </a:r>
        </a:p>
      </xdr:txBody>
    </xdr:sp>
    <xdr:clientData/>
  </xdr:twoCellAnchor>
  <xdr:twoCellAnchor>
    <xdr:from>
      <xdr:col>11</xdr:col>
      <xdr:colOff>76762</xdr:colOff>
      <xdr:row>222</xdr:row>
      <xdr:rowOff>47625</xdr:rowOff>
    </xdr:from>
    <xdr:to>
      <xdr:col>16</xdr:col>
      <xdr:colOff>124270</xdr:colOff>
      <xdr:row>223</xdr:row>
      <xdr:rowOff>170416</xdr:rowOff>
    </xdr:to>
    <xdr:sp macro="" textlink="">
      <xdr:nvSpPr>
        <xdr:cNvPr id="618" name="正方形/長方形 617">
          <a:extLst>
            <a:ext uri="{FF2B5EF4-FFF2-40B4-BE49-F238E27FC236}">
              <a16:creationId xmlns:a16="http://schemas.microsoft.com/office/drawing/2014/main" id="{CEB7F3BD-846D-41EB-92A0-5B283B070DDD}"/>
            </a:ext>
          </a:extLst>
        </xdr:cNvPr>
        <xdr:cNvSpPr/>
      </xdr:nvSpPr>
      <xdr:spPr>
        <a:xfrm>
          <a:off x="2172262" y="42338625"/>
          <a:ext cx="1000008" cy="31329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ysClr val="windowText" lastClr="000000"/>
              </a:solidFill>
              <a:latin typeface="Meiryo UI" panose="020B0604030504040204" pitchFamily="50" charset="-128"/>
              <a:ea typeface="Meiryo UI" panose="020B0604030504040204" pitchFamily="50" charset="-128"/>
            </a:rPr>
            <a:t>ファイル存在必須</a:t>
          </a:r>
        </a:p>
      </xdr:txBody>
    </xdr:sp>
    <xdr:clientData/>
  </xdr:twoCellAnchor>
  <xdr:twoCellAnchor>
    <xdr:from>
      <xdr:col>4</xdr:col>
      <xdr:colOff>130736</xdr:colOff>
      <xdr:row>222</xdr:row>
      <xdr:rowOff>78441</xdr:rowOff>
    </xdr:from>
    <xdr:to>
      <xdr:col>11</xdr:col>
      <xdr:colOff>136330</xdr:colOff>
      <xdr:row>225</xdr:row>
      <xdr:rowOff>88520</xdr:rowOff>
    </xdr:to>
    <xdr:grpSp>
      <xdr:nvGrpSpPr>
        <xdr:cNvPr id="619" name="グループ化 618">
          <a:extLst>
            <a:ext uri="{FF2B5EF4-FFF2-40B4-BE49-F238E27FC236}">
              <a16:creationId xmlns:a16="http://schemas.microsoft.com/office/drawing/2014/main" id="{DBABE3A7-CEA8-4A38-9771-AD73371B594E}"/>
            </a:ext>
          </a:extLst>
        </xdr:cNvPr>
        <xdr:cNvGrpSpPr/>
      </xdr:nvGrpSpPr>
      <xdr:grpSpPr>
        <a:xfrm>
          <a:off x="892736" y="42369441"/>
          <a:ext cx="1339094" cy="581579"/>
          <a:chOff x="6017381" y="6405437"/>
          <a:chExt cx="1355675" cy="584603"/>
        </a:xfrm>
      </xdr:grpSpPr>
      <xdr:sp macro="" textlink="">
        <xdr:nvSpPr>
          <xdr:cNvPr id="620" name="ひし形 619">
            <a:extLst>
              <a:ext uri="{FF2B5EF4-FFF2-40B4-BE49-F238E27FC236}">
                <a16:creationId xmlns:a16="http://schemas.microsoft.com/office/drawing/2014/main" id="{21B195F2-6504-7BFD-1CD0-EFBE54A66AA7}"/>
              </a:ext>
            </a:extLst>
          </xdr:cNvPr>
          <xdr:cNvSpPr/>
        </xdr:nvSpPr>
        <xdr:spPr>
          <a:xfrm>
            <a:off x="6028662" y="6407868"/>
            <a:ext cx="1337699" cy="579287"/>
          </a:xfrm>
          <a:prstGeom prst="diamond">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en-US" altLang="ja-JP" sz="1000">
              <a:solidFill>
                <a:schemeClr val="tx1"/>
              </a:solidFill>
              <a:latin typeface="Meiryo UI" panose="020B0604030504040204" pitchFamily="50" charset="-128"/>
              <a:ea typeface="Meiryo UI" panose="020B0604030504040204" pitchFamily="50" charset="-128"/>
            </a:endParaRPr>
          </a:p>
        </xdr:txBody>
      </xdr:sp>
      <xdr:sp macro="" textlink="">
        <xdr:nvSpPr>
          <xdr:cNvPr id="621" name="テキスト ボックス 620">
            <a:extLst>
              <a:ext uri="{FF2B5EF4-FFF2-40B4-BE49-F238E27FC236}">
                <a16:creationId xmlns:a16="http://schemas.microsoft.com/office/drawing/2014/main" id="{AF8C64E3-8D11-26BA-9DAE-B97F9F2D99D5}"/>
              </a:ext>
            </a:extLst>
          </xdr:cNvPr>
          <xdr:cNvSpPr txBox="1"/>
        </xdr:nvSpPr>
        <xdr:spPr>
          <a:xfrm>
            <a:off x="6017381" y="6405437"/>
            <a:ext cx="1355675" cy="5846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700">
                <a:latin typeface="Meiryo UI" panose="020B0604030504040204" pitchFamily="50" charset="-128"/>
                <a:ea typeface="Meiryo UI" panose="020B0604030504040204" pitchFamily="50" charset="-128"/>
              </a:rPr>
              <a:t>読み込み種別</a:t>
            </a:r>
          </a:p>
        </xdr:txBody>
      </xdr:sp>
    </xdr:grpSp>
    <xdr:clientData/>
  </xdr:twoCellAnchor>
  <xdr:twoCellAnchor>
    <xdr:from>
      <xdr:col>11</xdr:col>
      <xdr:colOff>136330</xdr:colOff>
      <xdr:row>223</xdr:row>
      <xdr:rowOff>177143</xdr:rowOff>
    </xdr:from>
    <xdr:to>
      <xdr:col>18</xdr:col>
      <xdr:colOff>4385</xdr:colOff>
      <xdr:row>226</xdr:row>
      <xdr:rowOff>123825</xdr:rowOff>
    </xdr:to>
    <xdr:cxnSp macro="">
      <xdr:nvCxnSpPr>
        <xdr:cNvPr id="629" name="コネクタ: カギ線 628">
          <a:extLst>
            <a:ext uri="{FF2B5EF4-FFF2-40B4-BE49-F238E27FC236}">
              <a16:creationId xmlns:a16="http://schemas.microsoft.com/office/drawing/2014/main" id="{7219C893-2352-458B-9516-0E64E844B2D2}"/>
            </a:ext>
          </a:extLst>
        </xdr:cNvPr>
        <xdr:cNvCxnSpPr>
          <a:cxnSpLocks/>
          <a:stCxn id="621" idx="3"/>
          <a:endCxn id="639" idx="0"/>
        </xdr:cNvCxnSpPr>
      </xdr:nvCxnSpPr>
      <xdr:spPr>
        <a:xfrm>
          <a:off x="2231830" y="42658643"/>
          <a:ext cx="1201555" cy="518182"/>
        </a:xfrm>
        <a:prstGeom prst="bentConnector2">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177800</xdr:colOff>
      <xdr:row>236</xdr:row>
      <xdr:rowOff>47625</xdr:rowOff>
    </xdr:from>
    <xdr:to>
      <xdr:col>11</xdr:col>
      <xdr:colOff>83000</xdr:colOff>
      <xdr:row>238</xdr:row>
      <xdr:rowOff>75323</xdr:rowOff>
    </xdr:to>
    <xdr:grpSp>
      <xdr:nvGrpSpPr>
        <xdr:cNvPr id="632" name="グループ化 631">
          <a:extLst>
            <a:ext uri="{FF2B5EF4-FFF2-40B4-BE49-F238E27FC236}">
              <a16:creationId xmlns:a16="http://schemas.microsoft.com/office/drawing/2014/main" id="{63B67A48-4075-F4F2-54AD-F239D39C988D}"/>
            </a:ext>
          </a:extLst>
        </xdr:cNvPr>
        <xdr:cNvGrpSpPr/>
      </xdr:nvGrpSpPr>
      <xdr:grpSpPr>
        <a:xfrm>
          <a:off x="939800" y="45005625"/>
          <a:ext cx="1238700" cy="408698"/>
          <a:chOff x="4133004" y="6457948"/>
          <a:chExt cx="1238700" cy="405523"/>
        </a:xfrm>
      </xdr:grpSpPr>
      <xdr:sp macro="" textlink="">
        <xdr:nvSpPr>
          <xdr:cNvPr id="633" name="正方形/長方形 632">
            <a:extLst>
              <a:ext uri="{FF2B5EF4-FFF2-40B4-BE49-F238E27FC236}">
                <a16:creationId xmlns:a16="http://schemas.microsoft.com/office/drawing/2014/main" id="{9519B7A8-9B68-4C1D-BD70-38A8A6E2DEBB}"/>
              </a:ext>
            </a:extLst>
          </xdr:cNvPr>
          <xdr:cNvSpPr/>
        </xdr:nvSpPr>
        <xdr:spPr>
          <a:xfrm>
            <a:off x="4133004" y="6457948"/>
            <a:ext cx="1238700" cy="405523"/>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1000">
              <a:solidFill>
                <a:schemeClr val="tx1"/>
              </a:solidFill>
              <a:latin typeface="Meiryo UI" panose="020B0604030504040204" pitchFamily="50" charset="-128"/>
              <a:ea typeface="Meiryo UI" panose="020B0604030504040204" pitchFamily="50" charset="-128"/>
            </a:endParaRPr>
          </a:p>
        </xdr:txBody>
      </xdr:sp>
      <xdr:sp macro="" textlink="">
        <xdr:nvSpPr>
          <xdr:cNvPr id="634" name="テキスト ボックス 633">
            <a:extLst>
              <a:ext uri="{FF2B5EF4-FFF2-40B4-BE49-F238E27FC236}">
                <a16:creationId xmlns:a16="http://schemas.microsoft.com/office/drawing/2014/main" id="{BDC0D83B-C0B2-5544-E079-3767F355E482}"/>
              </a:ext>
            </a:extLst>
          </xdr:cNvPr>
          <xdr:cNvSpPr txBox="1"/>
        </xdr:nvSpPr>
        <xdr:spPr>
          <a:xfrm>
            <a:off x="4145757" y="6465095"/>
            <a:ext cx="1216818" cy="3857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700">
                <a:latin typeface="Meiryo UI" panose="020B0604030504040204" pitchFamily="50" charset="-128"/>
                <a:ea typeface="Meiryo UI" panose="020B0604030504040204" pitchFamily="50" charset="-128"/>
              </a:rPr>
              <a:t>戻り値＝</a:t>
            </a:r>
            <a:r>
              <a:rPr kumimoji="1" lang="en-US" altLang="ja-JP" sz="700">
                <a:latin typeface="Meiryo UI" panose="020B0604030504040204" pitchFamily="50" charset="-128"/>
                <a:ea typeface="Meiryo UI" panose="020B0604030504040204" pitchFamily="50" charset="-128"/>
              </a:rPr>
              <a:t>true</a:t>
            </a:r>
            <a:r>
              <a:rPr kumimoji="1" lang="ja-JP" altLang="en-US" sz="700">
                <a:latin typeface="Meiryo UI" panose="020B0604030504040204" pitchFamily="50" charset="-128"/>
                <a:ea typeface="Meiryo UI" panose="020B0604030504040204" pitchFamily="50" charset="-128"/>
              </a:rPr>
              <a:t>をセット</a:t>
            </a:r>
          </a:p>
        </xdr:txBody>
      </xdr:sp>
    </xdr:grpSp>
    <xdr:clientData/>
  </xdr:twoCellAnchor>
  <xdr:twoCellAnchor>
    <xdr:from>
      <xdr:col>14</xdr:col>
      <xdr:colOff>95250</xdr:colOff>
      <xdr:row>226</xdr:row>
      <xdr:rowOff>120650</xdr:rowOff>
    </xdr:from>
    <xdr:to>
      <xdr:col>21</xdr:col>
      <xdr:colOff>107194</xdr:colOff>
      <xdr:row>229</xdr:row>
      <xdr:rowOff>130729</xdr:rowOff>
    </xdr:to>
    <xdr:grpSp>
      <xdr:nvGrpSpPr>
        <xdr:cNvPr id="637" name="グループ化 636">
          <a:extLst>
            <a:ext uri="{FF2B5EF4-FFF2-40B4-BE49-F238E27FC236}">
              <a16:creationId xmlns:a16="http://schemas.microsoft.com/office/drawing/2014/main" id="{60994B5A-24CF-4B75-9E52-4CC0C40BAC75}"/>
            </a:ext>
          </a:extLst>
        </xdr:cNvPr>
        <xdr:cNvGrpSpPr/>
      </xdr:nvGrpSpPr>
      <xdr:grpSpPr>
        <a:xfrm>
          <a:off x="2762250" y="43173650"/>
          <a:ext cx="1345444" cy="581579"/>
          <a:chOff x="6017381" y="6405437"/>
          <a:chExt cx="1355675" cy="584603"/>
        </a:xfrm>
      </xdr:grpSpPr>
      <xdr:sp macro="" textlink="">
        <xdr:nvSpPr>
          <xdr:cNvPr id="638" name="ひし形 637">
            <a:extLst>
              <a:ext uri="{FF2B5EF4-FFF2-40B4-BE49-F238E27FC236}">
                <a16:creationId xmlns:a16="http://schemas.microsoft.com/office/drawing/2014/main" id="{5E6E4CA9-A729-E021-8EF3-D5D3C5B0FA25}"/>
              </a:ext>
            </a:extLst>
          </xdr:cNvPr>
          <xdr:cNvSpPr/>
        </xdr:nvSpPr>
        <xdr:spPr>
          <a:xfrm>
            <a:off x="6028662" y="6407868"/>
            <a:ext cx="1337699" cy="579287"/>
          </a:xfrm>
          <a:prstGeom prst="diamond">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en-US" altLang="ja-JP" sz="1000">
              <a:solidFill>
                <a:schemeClr val="tx1"/>
              </a:solidFill>
              <a:latin typeface="Meiryo UI" panose="020B0604030504040204" pitchFamily="50" charset="-128"/>
              <a:ea typeface="Meiryo UI" panose="020B0604030504040204" pitchFamily="50" charset="-128"/>
            </a:endParaRPr>
          </a:p>
        </xdr:txBody>
      </xdr:sp>
      <xdr:sp macro="" textlink="">
        <xdr:nvSpPr>
          <xdr:cNvPr id="639" name="テキスト ボックス 638">
            <a:extLst>
              <a:ext uri="{FF2B5EF4-FFF2-40B4-BE49-F238E27FC236}">
                <a16:creationId xmlns:a16="http://schemas.microsoft.com/office/drawing/2014/main" id="{D9DB2743-4350-C0AF-0291-DFB6CDB497FD}"/>
              </a:ext>
            </a:extLst>
          </xdr:cNvPr>
          <xdr:cNvSpPr txBox="1"/>
        </xdr:nvSpPr>
        <xdr:spPr>
          <a:xfrm>
            <a:off x="6017381" y="6405437"/>
            <a:ext cx="1355675" cy="5846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700">
                <a:latin typeface="Meiryo UI" panose="020B0604030504040204" pitchFamily="50" charset="-128"/>
                <a:ea typeface="Meiryo UI" panose="020B0604030504040204" pitchFamily="50" charset="-128"/>
              </a:rPr>
              <a:t>取込件数が</a:t>
            </a:r>
            <a:r>
              <a:rPr kumimoji="1" lang="en-US" altLang="ja-JP" sz="700">
                <a:latin typeface="Meiryo UI" panose="020B0604030504040204" pitchFamily="50" charset="-128"/>
                <a:ea typeface="Meiryo UI" panose="020B0604030504040204" pitchFamily="50" charset="-128"/>
              </a:rPr>
              <a:t>1</a:t>
            </a:r>
            <a:r>
              <a:rPr kumimoji="1" lang="ja-JP" altLang="en-US" sz="700">
                <a:latin typeface="Meiryo UI" panose="020B0604030504040204" pitchFamily="50" charset="-128"/>
                <a:ea typeface="Meiryo UI" panose="020B0604030504040204" pitchFamily="50" charset="-128"/>
              </a:rPr>
              <a:t>件以上</a:t>
            </a:r>
            <a:endParaRPr kumimoji="1" lang="en-US" altLang="ja-JP" sz="700">
              <a:latin typeface="Meiryo UI" panose="020B0604030504040204" pitchFamily="50" charset="-128"/>
              <a:ea typeface="Meiryo UI" panose="020B0604030504040204" pitchFamily="50" charset="-128"/>
            </a:endParaRPr>
          </a:p>
        </xdr:txBody>
      </xdr:sp>
    </xdr:grpSp>
    <xdr:clientData/>
  </xdr:twoCellAnchor>
  <xdr:twoCellAnchor>
    <xdr:from>
      <xdr:col>21</xdr:col>
      <xdr:colOff>37539</xdr:colOff>
      <xdr:row>226</xdr:row>
      <xdr:rowOff>142875</xdr:rowOff>
    </xdr:from>
    <xdr:to>
      <xdr:col>23</xdr:col>
      <xdr:colOff>132672</xdr:colOff>
      <xdr:row>228</xdr:row>
      <xdr:rowOff>78341</xdr:rowOff>
    </xdr:to>
    <xdr:sp macro="" textlink="">
      <xdr:nvSpPr>
        <xdr:cNvPr id="641" name="正方形/長方形 640">
          <a:extLst>
            <a:ext uri="{FF2B5EF4-FFF2-40B4-BE49-F238E27FC236}">
              <a16:creationId xmlns:a16="http://schemas.microsoft.com/office/drawing/2014/main" id="{DED3E07A-52E0-4461-9D0F-91F2C38FAD68}"/>
            </a:ext>
          </a:extLst>
        </xdr:cNvPr>
        <xdr:cNvSpPr/>
      </xdr:nvSpPr>
      <xdr:spPr>
        <a:xfrm>
          <a:off x="4038039" y="43195875"/>
          <a:ext cx="476133" cy="31646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900">
              <a:solidFill>
                <a:sysClr val="windowText" lastClr="000000"/>
              </a:solidFill>
              <a:latin typeface="Meiryo UI" panose="020B0604030504040204" pitchFamily="50" charset="-128"/>
              <a:ea typeface="Meiryo UI" panose="020B0604030504040204" pitchFamily="50" charset="-128"/>
            </a:rPr>
            <a:t>No</a:t>
          </a:r>
          <a:endParaRPr kumimoji="1" lang="ja-JP" altLang="en-US" sz="9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15</xdr:col>
      <xdr:colOff>104775</xdr:colOff>
      <xdr:row>229</xdr:row>
      <xdr:rowOff>67609</xdr:rowOff>
    </xdr:from>
    <xdr:to>
      <xdr:col>18</xdr:col>
      <xdr:colOff>18933</xdr:colOff>
      <xdr:row>231</xdr:row>
      <xdr:rowOff>3075</xdr:rowOff>
    </xdr:to>
    <xdr:sp macro="" textlink="">
      <xdr:nvSpPr>
        <xdr:cNvPr id="642" name="正方形/長方形 641">
          <a:extLst>
            <a:ext uri="{FF2B5EF4-FFF2-40B4-BE49-F238E27FC236}">
              <a16:creationId xmlns:a16="http://schemas.microsoft.com/office/drawing/2014/main" id="{1FFE513C-3C34-4204-AA2C-7301966CD227}"/>
            </a:ext>
          </a:extLst>
        </xdr:cNvPr>
        <xdr:cNvSpPr/>
      </xdr:nvSpPr>
      <xdr:spPr>
        <a:xfrm>
          <a:off x="2962275" y="43692109"/>
          <a:ext cx="485658" cy="31646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900">
              <a:solidFill>
                <a:sysClr val="windowText" lastClr="000000"/>
              </a:solidFill>
              <a:latin typeface="Meiryo UI" panose="020B0604030504040204" pitchFamily="50" charset="-128"/>
              <a:ea typeface="Meiryo UI" panose="020B0604030504040204" pitchFamily="50" charset="-128"/>
            </a:rPr>
            <a:t>Yes</a:t>
          </a:r>
          <a:endParaRPr kumimoji="1" lang="ja-JP" altLang="en-US" sz="9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8</xdr:col>
      <xdr:colOff>40137</xdr:colOff>
      <xdr:row>229</xdr:row>
      <xdr:rowOff>130729</xdr:rowOff>
    </xdr:from>
    <xdr:to>
      <xdr:col>18</xdr:col>
      <xdr:colOff>4385</xdr:colOff>
      <xdr:row>236</xdr:row>
      <xdr:rowOff>51709</xdr:rowOff>
    </xdr:to>
    <xdr:cxnSp macro="">
      <xdr:nvCxnSpPr>
        <xdr:cNvPr id="643" name="コネクタ: カギ線 642">
          <a:extLst>
            <a:ext uri="{FF2B5EF4-FFF2-40B4-BE49-F238E27FC236}">
              <a16:creationId xmlns:a16="http://schemas.microsoft.com/office/drawing/2014/main" id="{91D940BC-DD40-4306-A604-3966373C79D8}"/>
            </a:ext>
          </a:extLst>
        </xdr:cNvPr>
        <xdr:cNvCxnSpPr>
          <a:cxnSpLocks/>
          <a:stCxn id="639" idx="2"/>
          <a:endCxn id="634" idx="0"/>
        </xdr:cNvCxnSpPr>
      </xdr:nvCxnSpPr>
      <xdr:spPr>
        <a:xfrm rot="5400000">
          <a:off x="1871521" y="43447845"/>
          <a:ext cx="1254480" cy="1869248"/>
        </a:xfrm>
        <a:prstGeom prst="bentConnector3">
          <a:avLst>
            <a:gd name="adj1" fmla="val 50000"/>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36962</xdr:colOff>
      <xdr:row>228</xdr:row>
      <xdr:rowOff>32027</xdr:rowOff>
    </xdr:from>
    <xdr:to>
      <xdr:col>21</xdr:col>
      <xdr:colOff>104019</xdr:colOff>
      <xdr:row>241</xdr:row>
      <xdr:rowOff>118440</xdr:rowOff>
    </xdr:to>
    <xdr:cxnSp macro="">
      <xdr:nvCxnSpPr>
        <xdr:cNvPr id="646" name="コネクタ: カギ線 645">
          <a:extLst>
            <a:ext uri="{FF2B5EF4-FFF2-40B4-BE49-F238E27FC236}">
              <a16:creationId xmlns:a16="http://schemas.microsoft.com/office/drawing/2014/main" id="{31F02B4D-A3FF-4A76-A748-0850A3BCF83D}"/>
            </a:ext>
          </a:extLst>
        </xdr:cNvPr>
        <xdr:cNvCxnSpPr>
          <a:cxnSpLocks/>
          <a:stCxn id="639" idx="3"/>
          <a:endCxn id="659" idx="0"/>
        </xdr:cNvCxnSpPr>
      </xdr:nvCxnSpPr>
      <xdr:spPr>
        <a:xfrm flipH="1">
          <a:off x="1560962" y="43466027"/>
          <a:ext cx="2543557" cy="2562913"/>
        </a:xfrm>
        <a:prstGeom prst="bentConnector4">
          <a:avLst>
            <a:gd name="adj1" fmla="val -8987"/>
            <a:gd name="adj2" fmla="val 86783"/>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36962</xdr:colOff>
      <xdr:row>238</xdr:row>
      <xdr:rowOff>75323</xdr:rowOff>
    </xdr:from>
    <xdr:to>
      <xdr:col>8</xdr:col>
      <xdr:colOff>38325</xdr:colOff>
      <xdr:row>241</xdr:row>
      <xdr:rowOff>118440</xdr:rowOff>
    </xdr:to>
    <xdr:cxnSp macro="">
      <xdr:nvCxnSpPr>
        <xdr:cNvPr id="651" name="直線矢印コネクタ 650">
          <a:extLst>
            <a:ext uri="{FF2B5EF4-FFF2-40B4-BE49-F238E27FC236}">
              <a16:creationId xmlns:a16="http://schemas.microsoft.com/office/drawing/2014/main" id="{ACEEEFF1-4963-4110-A89E-55A29322914B}"/>
            </a:ext>
          </a:extLst>
        </xdr:cNvPr>
        <xdr:cNvCxnSpPr>
          <a:cxnSpLocks/>
          <a:stCxn id="633" idx="2"/>
          <a:endCxn id="659" idx="0"/>
        </xdr:cNvCxnSpPr>
      </xdr:nvCxnSpPr>
      <xdr:spPr>
        <a:xfrm flipH="1">
          <a:off x="1560962" y="45414323"/>
          <a:ext cx="1363" cy="614617"/>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180975</xdr:colOff>
      <xdr:row>241</xdr:row>
      <xdr:rowOff>111125</xdr:rowOff>
    </xdr:from>
    <xdr:to>
      <xdr:col>11</xdr:col>
      <xdr:colOff>86175</xdr:colOff>
      <xdr:row>243</xdr:row>
      <xdr:rowOff>141998</xdr:rowOff>
    </xdr:to>
    <xdr:grpSp>
      <xdr:nvGrpSpPr>
        <xdr:cNvPr id="657" name="グループ化 656">
          <a:extLst>
            <a:ext uri="{FF2B5EF4-FFF2-40B4-BE49-F238E27FC236}">
              <a16:creationId xmlns:a16="http://schemas.microsoft.com/office/drawing/2014/main" id="{DBA1E8C9-36FB-C060-80E0-6D5DAA6088F0}"/>
            </a:ext>
          </a:extLst>
        </xdr:cNvPr>
        <xdr:cNvGrpSpPr/>
      </xdr:nvGrpSpPr>
      <xdr:grpSpPr>
        <a:xfrm>
          <a:off x="942975" y="46021625"/>
          <a:ext cx="1238700" cy="411873"/>
          <a:chOff x="4133004" y="6457948"/>
          <a:chExt cx="1238700" cy="405523"/>
        </a:xfrm>
      </xdr:grpSpPr>
      <xdr:sp macro="" textlink="">
        <xdr:nvSpPr>
          <xdr:cNvPr id="658" name="正方形/長方形 657">
            <a:extLst>
              <a:ext uri="{FF2B5EF4-FFF2-40B4-BE49-F238E27FC236}">
                <a16:creationId xmlns:a16="http://schemas.microsoft.com/office/drawing/2014/main" id="{3822F9F5-FCFD-39DF-BD49-D8275AEF1C6C}"/>
              </a:ext>
            </a:extLst>
          </xdr:cNvPr>
          <xdr:cNvSpPr/>
        </xdr:nvSpPr>
        <xdr:spPr>
          <a:xfrm>
            <a:off x="4133004" y="6457948"/>
            <a:ext cx="1238700" cy="405523"/>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1000">
              <a:solidFill>
                <a:schemeClr val="tx1"/>
              </a:solidFill>
              <a:latin typeface="Meiryo UI" panose="020B0604030504040204" pitchFamily="50" charset="-128"/>
              <a:ea typeface="Meiryo UI" panose="020B0604030504040204" pitchFamily="50" charset="-128"/>
            </a:endParaRPr>
          </a:p>
        </xdr:txBody>
      </xdr:sp>
      <xdr:sp macro="" textlink="">
        <xdr:nvSpPr>
          <xdr:cNvPr id="659" name="テキスト ボックス 658">
            <a:extLst>
              <a:ext uri="{FF2B5EF4-FFF2-40B4-BE49-F238E27FC236}">
                <a16:creationId xmlns:a16="http://schemas.microsoft.com/office/drawing/2014/main" id="{7C619FBF-1400-163F-780D-4D8149CB4D60}"/>
              </a:ext>
            </a:extLst>
          </xdr:cNvPr>
          <xdr:cNvSpPr txBox="1"/>
        </xdr:nvSpPr>
        <xdr:spPr>
          <a:xfrm>
            <a:off x="4145757" y="6465095"/>
            <a:ext cx="1216818" cy="3857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700">
                <a:latin typeface="Meiryo UI" panose="020B0604030504040204" pitchFamily="50" charset="-128"/>
                <a:ea typeface="Meiryo UI" panose="020B0604030504040204" pitchFamily="50" charset="-128"/>
              </a:rPr>
              <a:t>呼出し元クラスへ受渡し用に取込データ</a:t>
            </a:r>
            <a:r>
              <a:rPr kumimoji="1" lang="en-US" altLang="ja-JP" sz="700">
                <a:latin typeface="Meiryo UI" panose="020B0604030504040204" pitchFamily="50" charset="-128"/>
                <a:ea typeface="Meiryo UI" panose="020B0604030504040204" pitchFamily="50" charset="-128"/>
              </a:rPr>
              <a:t>(</a:t>
            </a:r>
            <a:r>
              <a:rPr kumimoji="1" lang="ja-JP" altLang="en-US" sz="700">
                <a:latin typeface="Meiryo UI" panose="020B0604030504040204" pitchFamily="50" charset="-128"/>
                <a:ea typeface="Meiryo UI" panose="020B0604030504040204" pitchFamily="50" charset="-128"/>
              </a:rPr>
              <a:t>コンテナ</a:t>
            </a:r>
            <a:r>
              <a:rPr kumimoji="1" lang="en-US" altLang="ja-JP" sz="700">
                <a:latin typeface="Meiryo UI" panose="020B0604030504040204" pitchFamily="50" charset="-128"/>
                <a:ea typeface="Meiryo UI" panose="020B0604030504040204" pitchFamily="50" charset="-128"/>
              </a:rPr>
              <a:t>)</a:t>
            </a:r>
            <a:r>
              <a:rPr kumimoji="1" lang="ja-JP" altLang="en-US" sz="700">
                <a:latin typeface="Meiryo UI" panose="020B0604030504040204" pitchFamily="50" charset="-128"/>
                <a:ea typeface="Meiryo UI" panose="020B0604030504040204" pitchFamily="50" charset="-128"/>
              </a:rPr>
              <a:t>をセット</a:t>
            </a:r>
          </a:p>
        </xdr:txBody>
      </xdr:sp>
    </xdr:grp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EEACDD-94CD-4589-A523-91D283294AB3}">
  <dimension ref="A2:AE35"/>
  <sheetViews>
    <sheetView showGridLines="0" tabSelected="1" zoomScale="70" zoomScaleNormal="70" workbookViewId="0"/>
  </sheetViews>
  <sheetFormatPr defaultColWidth="2.5" defaultRowHeight="15"/>
  <cols>
    <col min="1" max="16384" width="2.5" style="45"/>
  </cols>
  <sheetData>
    <row r="2" spans="1:31">
      <c r="C2" s="46"/>
      <c r="D2" s="46"/>
      <c r="E2" s="46"/>
      <c r="F2" s="46"/>
      <c r="G2" s="46"/>
      <c r="H2" s="46"/>
      <c r="I2" s="46"/>
      <c r="J2" s="46"/>
      <c r="K2" s="46"/>
      <c r="L2" s="46"/>
      <c r="M2" s="46"/>
      <c r="N2" s="46"/>
      <c r="O2" s="46"/>
      <c r="P2" s="46"/>
      <c r="Q2" s="46"/>
    </row>
    <row r="3" spans="1:31">
      <c r="B3" s="46" t="s">
        <v>0</v>
      </c>
    </row>
    <row r="4" spans="1:31" ht="15.75" customHeight="1">
      <c r="A4" s="47"/>
      <c r="B4" s="47"/>
      <c r="C4" s="47"/>
      <c r="D4" s="47"/>
      <c r="E4" s="47"/>
      <c r="F4" s="47"/>
      <c r="G4" s="47"/>
      <c r="H4" s="47"/>
      <c r="I4" s="47"/>
      <c r="J4" s="183"/>
      <c r="K4" s="183"/>
      <c r="L4" s="183"/>
    </row>
    <row r="5" spans="1:31" ht="15.75" customHeight="1">
      <c r="A5" s="48"/>
      <c r="B5" s="48"/>
      <c r="C5" s="48"/>
      <c r="D5" s="48"/>
      <c r="E5" s="48"/>
      <c r="F5" s="48"/>
      <c r="G5" s="48"/>
      <c r="H5" s="48"/>
      <c r="I5" s="48"/>
      <c r="J5" s="184"/>
      <c r="K5" s="184"/>
      <c r="L5" s="184"/>
    </row>
    <row r="10" spans="1:31" ht="15" customHeight="1">
      <c r="B10" s="185" t="s">
        <v>1</v>
      </c>
      <c r="C10" s="186"/>
      <c r="D10" s="186"/>
      <c r="E10" s="186"/>
      <c r="F10" s="186"/>
      <c r="G10" s="186"/>
      <c r="H10" s="186"/>
      <c r="I10" s="186"/>
      <c r="J10" s="186"/>
      <c r="K10" s="186"/>
      <c r="L10" s="186"/>
      <c r="M10" s="186"/>
      <c r="N10" s="186"/>
      <c r="O10" s="186"/>
      <c r="P10" s="186"/>
      <c r="Q10" s="186"/>
      <c r="R10" s="186"/>
      <c r="S10" s="186"/>
      <c r="T10" s="186"/>
      <c r="U10" s="186"/>
      <c r="V10" s="186"/>
      <c r="W10" s="186"/>
      <c r="X10" s="186"/>
      <c r="Y10" s="186"/>
      <c r="Z10" s="186"/>
      <c r="AA10" s="186"/>
      <c r="AB10" s="186"/>
      <c r="AC10" s="186"/>
      <c r="AD10" s="186"/>
      <c r="AE10" s="187"/>
    </row>
    <row r="11" spans="1:31" ht="15" customHeight="1">
      <c r="B11" s="188"/>
      <c r="C11" s="189"/>
      <c r="D11" s="189"/>
      <c r="E11" s="189"/>
      <c r="F11" s="189"/>
      <c r="G11" s="189"/>
      <c r="H11" s="189"/>
      <c r="I11" s="189"/>
      <c r="J11" s="189"/>
      <c r="K11" s="189"/>
      <c r="L11" s="189"/>
      <c r="M11" s="189"/>
      <c r="N11" s="189"/>
      <c r="O11" s="189"/>
      <c r="P11" s="189"/>
      <c r="Q11" s="189"/>
      <c r="R11" s="189"/>
      <c r="S11" s="189"/>
      <c r="T11" s="189"/>
      <c r="U11" s="189"/>
      <c r="V11" s="189"/>
      <c r="W11" s="189"/>
      <c r="X11" s="189"/>
      <c r="Y11" s="189"/>
      <c r="Z11" s="189"/>
      <c r="AA11" s="189"/>
      <c r="AB11" s="189"/>
      <c r="AC11" s="189"/>
      <c r="AD11" s="189"/>
      <c r="AE11" s="190"/>
    </row>
    <row r="12" spans="1:31" ht="15" customHeight="1">
      <c r="B12" s="188"/>
      <c r="C12" s="189"/>
      <c r="D12" s="189"/>
      <c r="E12" s="189"/>
      <c r="F12" s="189"/>
      <c r="G12" s="189"/>
      <c r="H12" s="189"/>
      <c r="I12" s="189"/>
      <c r="J12" s="189"/>
      <c r="K12" s="189"/>
      <c r="L12" s="189"/>
      <c r="M12" s="189"/>
      <c r="N12" s="189"/>
      <c r="O12" s="189"/>
      <c r="P12" s="189"/>
      <c r="Q12" s="189"/>
      <c r="R12" s="189"/>
      <c r="S12" s="189"/>
      <c r="T12" s="189"/>
      <c r="U12" s="189"/>
      <c r="V12" s="189"/>
      <c r="W12" s="189"/>
      <c r="X12" s="189"/>
      <c r="Y12" s="189"/>
      <c r="Z12" s="189"/>
      <c r="AA12" s="189"/>
      <c r="AB12" s="189"/>
      <c r="AC12" s="189"/>
      <c r="AD12" s="189"/>
      <c r="AE12" s="190"/>
    </row>
    <row r="13" spans="1:31" ht="15" customHeight="1">
      <c r="B13" s="188"/>
      <c r="C13" s="189"/>
      <c r="D13" s="189"/>
      <c r="E13" s="189"/>
      <c r="F13" s="189"/>
      <c r="G13" s="189"/>
      <c r="H13" s="189"/>
      <c r="I13" s="189"/>
      <c r="J13" s="189"/>
      <c r="K13" s="189"/>
      <c r="L13" s="189"/>
      <c r="M13" s="189"/>
      <c r="N13" s="189"/>
      <c r="O13" s="189"/>
      <c r="P13" s="189"/>
      <c r="Q13" s="189"/>
      <c r="R13" s="189"/>
      <c r="S13" s="189"/>
      <c r="T13" s="189"/>
      <c r="U13" s="189"/>
      <c r="V13" s="189"/>
      <c r="W13" s="189"/>
      <c r="X13" s="189"/>
      <c r="Y13" s="189"/>
      <c r="Z13" s="189"/>
      <c r="AA13" s="189"/>
      <c r="AB13" s="189"/>
      <c r="AC13" s="189"/>
      <c r="AD13" s="189"/>
      <c r="AE13" s="190"/>
    </row>
    <row r="14" spans="1:31">
      <c r="B14" s="191" t="str">
        <f>変更履歴!W2&amp;"_詳細設計書_"&amp;変更履歴!AE2</f>
        <v>FO-088_詳細設計書_AzureFiles連携共通インターフェース</v>
      </c>
      <c r="C14" s="183"/>
      <c r="D14" s="183"/>
      <c r="E14" s="183"/>
      <c r="F14" s="183"/>
      <c r="G14" s="183"/>
      <c r="H14" s="183"/>
      <c r="I14" s="183"/>
      <c r="J14" s="183"/>
      <c r="K14" s="183"/>
      <c r="L14" s="183"/>
      <c r="M14" s="183"/>
      <c r="N14" s="183"/>
      <c r="O14" s="183"/>
      <c r="P14" s="183"/>
      <c r="Q14" s="183"/>
      <c r="R14" s="183"/>
      <c r="S14" s="183"/>
      <c r="T14" s="183"/>
      <c r="U14" s="183"/>
      <c r="V14" s="183"/>
      <c r="W14" s="183"/>
      <c r="X14" s="183"/>
      <c r="Y14" s="183"/>
      <c r="Z14" s="183"/>
      <c r="AA14" s="183"/>
      <c r="AB14" s="183"/>
      <c r="AC14" s="183"/>
      <c r="AD14" s="183"/>
      <c r="AE14" s="192"/>
    </row>
    <row r="15" spans="1:31">
      <c r="B15" s="191"/>
      <c r="C15" s="183"/>
      <c r="D15" s="183"/>
      <c r="E15" s="183"/>
      <c r="F15" s="183"/>
      <c r="G15" s="183"/>
      <c r="H15" s="183"/>
      <c r="I15" s="183"/>
      <c r="J15" s="183"/>
      <c r="K15" s="183"/>
      <c r="L15" s="183"/>
      <c r="M15" s="183"/>
      <c r="N15" s="183"/>
      <c r="O15" s="183"/>
      <c r="P15" s="183"/>
      <c r="Q15" s="183"/>
      <c r="R15" s="183"/>
      <c r="S15" s="183"/>
      <c r="T15" s="183"/>
      <c r="U15" s="183"/>
      <c r="V15" s="183"/>
      <c r="W15" s="183"/>
      <c r="X15" s="183"/>
      <c r="Y15" s="183"/>
      <c r="Z15" s="183"/>
      <c r="AA15" s="183"/>
      <c r="AB15" s="183"/>
      <c r="AC15" s="183"/>
      <c r="AD15" s="183"/>
      <c r="AE15" s="192"/>
    </row>
    <row r="16" spans="1:31">
      <c r="B16" s="193"/>
      <c r="C16" s="194"/>
      <c r="D16" s="194"/>
      <c r="E16" s="194"/>
      <c r="F16" s="194"/>
      <c r="G16" s="194"/>
      <c r="H16" s="194"/>
      <c r="I16" s="194"/>
      <c r="J16" s="194"/>
      <c r="K16" s="194"/>
      <c r="L16" s="194"/>
      <c r="M16" s="194"/>
      <c r="N16" s="194"/>
      <c r="O16" s="194"/>
      <c r="P16" s="194"/>
      <c r="Q16" s="194"/>
      <c r="R16" s="194"/>
      <c r="S16" s="194"/>
      <c r="T16" s="194"/>
      <c r="U16" s="194"/>
      <c r="V16" s="194"/>
      <c r="W16" s="194"/>
      <c r="X16" s="194"/>
      <c r="Y16" s="194"/>
      <c r="Z16" s="194"/>
      <c r="AA16" s="194"/>
      <c r="AB16" s="194"/>
      <c r="AC16" s="194"/>
      <c r="AD16" s="194"/>
      <c r="AE16" s="195"/>
    </row>
    <row r="21" spans="2:31">
      <c r="AA21" s="29" t="s">
        <v>2</v>
      </c>
    </row>
    <row r="22" spans="2:31" ht="15" customHeight="1">
      <c r="B22" s="196" t="str">
        <f ca="1">"第"&amp;IF(COUNTA(変更履歴!BF5:BI10000)=1,"",INDIRECT("変更履歴!BF"&amp;COUNTA(変更履歴!BF5:BI10000)+4))&amp;"版"</f>
        <v>第1.1版</v>
      </c>
      <c r="C22" s="196"/>
      <c r="D22" s="196"/>
      <c r="E22" s="196"/>
      <c r="F22" s="196"/>
      <c r="G22" s="196"/>
      <c r="H22" s="196"/>
      <c r="I22" s="196"/>
      <c r="J22" s="196"/>
      <c r="K22" s="196"/>
      <c r="L22" s="196"/>
      <c r="M22" s="196"/>
      <c r="N22" s="196"/>
      <c r="O22" s="196"/>
      <c r="P22" s="196"/>
      <c r="Q22" s="196"/>
      <c r="R22" s="196"/>
      <c r="S22" s="196"/>
      <c r="T22" s="196"/>
      <c r="U22" s="196"/>
      <c r="V22" s="196"/>
      <c r="W22" s="196"/>
      <c r="X22" s="196"/>
      <c r="Y22" s="196"/>
      <c r="Z22" s="196"/>
      <c r="AA22" s="196"/>
      <c r="AB22" s="196"/>
      <c r="AC22" s="196"/>
      <c r="AD22" s="196"/>
      <c r="AE22" s="196"/>
    </row>
    <row r="23" spans="2:31" ht="15" customHeight="1">
      <c r="B23" s="196"/>
      <c r="C23" s="196"/>
      <c r="D23" s="196"/>
      <c r="E23" s="196"/>
      <c r="F23" s="196"/>
      <c r="G23" s="196"/>
      <c r="H23" s="196"/>
      <c r="I23" s="196"/>
      <c r="J23" s="196"/>
      <c r="K23" s="196"/>
      <c r="L23" s="196"/>
      <c r="M23" s="196"/>
      <c r="N23" s="196"/>
      <c r="O23" s="196"/>
      <c r="P23" s="196"/>
      <c r="Q23" s="196"/>
      <c r="R23" s="196"/>
      <c r="S23" s="196"/>
      <c r="T23" s="196"/>
      <c r="U23" s="196"/>
      <c r="V23" s="196"/>
      <c r="W23" s="196"/>
      <c r="X23" s="196"/>
      <c r="Y23" s="196"/>
      <c r="Z23" s="196"/>
      <c r="AA23" s="196"/>
      <c r="AB23" s="196"/>
      <c r="AC23" s="196"/>
      <c r="AD23" s="196"/>
      <c r="AE23" s="196"/>
    </row>
    <row r="24" spans="2:31">
      <c r="B24" s="182">
        <f ca="1">IF(OR(COUNTA(変更履歴!A:E)=2),"",INDIRECT("変更履歴!A"&amp;COUNTA(変更履歴!A:E)+3))</f>
        <v>45726</v>
      </c>
      <c r="C24" s="182"/>
      <c r="D24" s="182"/>
      <c r="E24" s="182"/>
      <c r="F24" s="182"/>
      <c r="G24" s="182"/>
      <c r="H24" s="182"/>
      <c r="I24" s="182"/>
      <c r="J24" s="182"/>
      <c r="K24" s="182"/>
      <c r="L24" s="182"/>
      <c r="M24" s="182"/>
      <c r="N24" s="182"/>
      <c r="O24" s="182"/>
      <c r="P24" s="182"/>
      <c r="Q24" s="182"/>
      <c r="R24" s="182"/>
      <c r="S24" s="182"/>
      <c r="T24" s="182"/>
      <c r="U24" s="182"/>
      <c r="V24" s="182"/>
      <c r="W24" s="182"/>
      <c r="X24" s="182"/>
      <c r="Y24" s="182"/>
      <c r="Z24" s="182"/>
      <c r="AA24" s="182"/>
      <c r="AB24" s="182"/>
      <c r="AC24" s="182"/>
      <c r="AD24" s="182"/>
      <c r="AE24" s="182"/>
    </row>
    <row r="25" spans="2:31">
      <c r="B25" s="182"/>
      <c r="C25" s="182"/>
      <c r="D25" s="182"/>
      <c r="E25" s="182"/>
      <c r="F25" s="182"/>
      <c r="G25" s="182"/>
      <c r="H25" s="182"/>
      <c r="I25" s="182"/>
      <c r="J25" s="182"/>
      <c r="K25" s="182"/>
      <c r="L25" s="182"/>
      <c r="M25" s="182"/>
      <c r="N25" s="182"/>
      <c r="O25" s="182"/>
      <c r="P25" s="182"/>
      <c r="Q25" s="182"/>
      <c r="R25" s="182"/>
      <c r="S25" s="182"/>
      <c r="T25" s="182"/>
      <c r="U25" s="182"/>
      <c r="V25" s="182"/>
      <c r="W25" s="182"/>
      <c r="X25" s="182"/>
      <c r="Y25" s="182"/>
      <c r="Z25" s="182"/>
      <c r="AA25" s="182"/>
      <c r="AB25" s="182"/>
      <c r="AC25" s="182"/>
      <c r="AD25" s="182"/>
      <c r="AE25" s="182"/>
    </row>
    <row r="26" spans="2:31">
      <c r="B26" s="196" t="s">
        <v>3</v>
      </c>
      <c r="C26" s="196"/>
      <c r="D26" s="196"/>
      <c r="E26" s="196"/>
      <c r="F26" s="196"/>
      <c r="G26" s="196"/>
      <c r="H26" s="196"/>
      <c r="I26" s="196"/>
      <c r="J26" s="196"/>
      <c r="K26" s="196"/>
      <c r="L26" s="196"/>
      <c r="M26" s="196"/>
      <c r="N26" s="196"/>
      <c r="O26" s="196"/>
      <c r="P26" s="196"/>
      <c r="Q26" s="196"/>
      <c r="R26" s="196"/>
      <c r="S26" s="196"/>
      <c r="T26" s="196"/>
      <c r="U26" s="196"/>
      <c r="V26" s="196"/>
      <c r="W26" s="196"/>
      <c r="X26" s="196"/>
      <c r="Y26" s="196"/>
      <c r="Z26" s="196"/>
      <c r="AA26" s="196"/>
      <c r="AB26" s="196"/>
      <c r="AC26" s="196"/>
      <c r="AD26" s="196"/>
      <c r="AE26" s="196"/>
    </row>
    <row r="27" spans="2:31">
      <c r="B27" s="196"/>
      <c r="C27" s="196"/>
      <c r="D27" s="196"/>
      <c r="E27" s="196"/>
      <c r="F27" s="196"/>
      <c r="G27" s="196"/>
      <c r="H27" s="196"/>
      <c r="I27" s="196"/>
      <c r="J27" s="196"/>
      <c r="K27" s="196"/>
      <c r="L27" s="196"/>
      <c r="M27" s="196"/>
      <c r="N27" s="196"/>
      <c r="O27" s="196"/>
      <c r="P27" s="196"/>
      <c r="Q27" s="196"/>
      <c r="R27" s="196"/>
      <c r="S27" s="196"/>
      <c r="T27" s="196"/>
      <c r="U27" s="196"/>
      <c r="V27" s="196"/>
      <c r="W27" s="196"/>
      <c r="X27" s="196"/>
      <c r="Y27" s="196"/>
      <c r="Z27" s="196"/>
      <c r="AA27" s="196"/>
      <c r="AB27" s="196"/>
      <c r="AC27" s="196"/>
      <c r="AD27" s="196"/>
      <c r="AE27" s="196"/>
    </row>
    <row r="29" spans="2:31">
      <c r="F29" s="204" t="s">
        <v>4</v>
      </c>
      <c r="G29" s="204"/>
      <c r="H29" s="204"/>
      <c r="I29" s="204"/>
      <c r="J29" s="204"/>
      <c r="K29" s="204"/>
      <c r="O29" s="209" t="s">
        <v>5</v>
      </c>
      <c r="P29" s="204"/>
      <c r="Q29" s="204"/>
      <c r="R29" s="204"/>
      <c r="V29" s="206" t="s">
        <v>6</v>
      </c>
      <c r="W29" s="206"/>
      <c r="X29" s="206"/>
      <c r="Y29" s="206"/>
      <c r="Z29" s="206"/>
      <c r="AA29" s="206"/>
    </row>
    <row r="30" spans="2:31">
      <c r="F30" s="207">
        <f>変更履歴!AV2</f>
        <v>45453</v>
      </c>
      <c r="G30" s="208"/>
      <c r="H30" s="208"/>
      <c r="I30" s="208"/>
      <c r="J30" s="208"/>
      <c r="K30" s="208"/>
      <c r="L30" s="21"/>
      <c r="N30" s="207">
        <v>45457</v>
      </c>
      <c r="O30" s="208"/>
      <c r="P30" s="208"/>
      <c r="Q30" s="208"/>
      <c r="R30" s="208"/>
      <c r="S30" s="210"/>
      <c r="V30" s="207">
        <v>45489</v>
      </c>
      <c r="W30" s="208"/>
      <c r="X30" s="208"/>
      <c r="Y30" s="208"/>
      <c r="Z30" s="208"/>
      <c r="AA30" s="208"/>
      <c r="AB30" s="21"/>
    </row>
    <row r="31" spans="2:31">
      <c r="F31" s="197" t="str">
        <f>変更履歴!BB2</f>
        <v>JBS石岡</v>
      </c>
      <c r="G31" s="198"/>
      <c r="H31" s="198"/>
      <c r="I31" s="198"/>
      <c r="J31" s="198"/>
      <c r="K31" s="198"/>
      <c r="L31" s="21"/>
      <c r="N31" s="197" t="s">
        <v>7</v>
      </c>
      <c r="O31" s="198"/>
      <c r="P31" s="198"/>
      <c r="Q31" s="198"/>
      <c r="R31" s="198"/>
      <c r="S31" s="199"/>
      <c r="V31" s="197" t="s">
        <v>8</v>
      </c>
      <c r="W31" s="198"/>
      <c r="X31" s="198"/>
      <c r="Y31" s="198"/>
      <c r="Z31" s="198"/>
      <c r="AA31" s="198"/>
      <c r="AB31" s="21"/>
    </row>
    <row r="32" spans="2:31">
      <c r="F32" s="200"/>
      <c r="G32" s="201"/>
      <c r="H32" s="201"/>
      <c r="I32" s="201"/>
      <c r="J32" s="201"/>
      <c r="K32" s="201"/>
      <c r="L32" s="21"/>
      <c r="N32" s="200"/>
      <c r="O32" s="201"/>
      <c r="P32" s="201"/>
      <c r="Q32" s="201"/>
      <c r="R32" s="201"/>
      <c r="S32" s="202"/>
      <c r="V32" s="200"/>
      <c r="W32" s="201"/>
      <c r="X32" s="201"/>
      <c r="Y32" s="201"/>
      <c r="Z32" s="201"/>
      <c r="AA32" s="201"/>
      <c r="AB32" s="21"/>
    </row>
    <row r="33" spans="6:28">
      <c r="F33" s="200"/>
      <c r="G33" s="201"/>
      <c r="H33" s="201"/>
      <c r="I33" s="201"/>
      <c r="J33" s="201"/>
      <c r="K33" s="201"/>
      <c r="L33" s="21"/>
      <c r="N33" s="200"/>
      <c r="O33" s="201"/>
      <c r="P33" s="201"/>
      <c r="Q33" s="201"/>
      <c r="R33" s="201"/>
      <c r="S33" s="202"/>
      <c r="V33" s="200"/>
      <c r="W33" s="201"/>
      <c r="X33" s="201"/>
      <c r="Y33" s="201"/>
      <c r="Z33" s="201"/>
      <c r="AA33" s="201"/>
      <c r="AB33" s="21"/>
    </row>
    <row r="34" spans="6:28">
      <c r="F34" s="200"/>
      <c r="G34" s="201"/>
      <c r="H34" s="201"/>
      <c r="I34" s="201"/>
      <c r="J34" s="201"/>
      <c r="K34" s="201"/>
      <c r="L34" s="21"/>
      <c r="N34" s="200"/>
      <c r="O34" s="201"/>
      <c r="P34" s="201"/>
      <c r="Q34" s="201"/>
      <c r="R34" s="201"/>
      <c r="S34" s="202"/>
      <c r="V34" s="200"/>
      <c r="W34" s="201"/>
      <c r="X34" s="201"/>
      <c r="Y34" s="201"/>
      <c r="Z34" s="201"/>
      <c r="AA34" s="201"/>
      <c r="AB34" s="21"/>
    </row>
    <row r="35" spans="6:28">
      <c r="F35" s="203"/>
      <c r="G35" s="204"/>
      <c r="H35" s="204"/>
      <c r="I35" s="204"/>
      <c r="J35" s="204"/>
      <c r="K35" s="204"/>
      <c r="L35" s="21"/>
      <c r="N35" s="203"/>
      <c r="O35" s="204"/>
      <c r="P35" s="204"/>
      <c r="Q35" s="204"/>
      <c r="R35" s="204"/>
      <c r="S35" s="205"/>
      <c r="V35" s="203"/>
      <c r="W35" s="204"/>
      <c r="X35" s="204"/>
      <c r="Y35" s="204"/>
      <c r="Z35" s="204"/>
      <c r="AA35" s="204"/>
      <c r="AB35" s="21"/>
    </row>
  </sheetData>
  <mergeCells count="15">
    <mergeCell ref="N31:S35"/>
    <mergeCell ref="V31:AA35"/>
    <mergeCell ref="V29:AA29"/>
    <mergeCell ref="V30:AA30"/>
    <mergeCell ref="B26:AE27"/>
    <mergeCell ref="F29:K29"/>
    <mergeCell ref="O29:R29"/>
    <mergeCell ref="F30:K30"/>
    <mergeCell ref="N30:S30"/>
    <mergeCell ref="F31:K35"/>
    <mergeCell ref="B24:AE25"/>
    <mergeCell ref="J4:L5"/>
    <mergeCell ref="B10:AE13"/>
    <mergeCell ref="B14:AE16"/>
    <mergeCell ref="B22:AE23"/>
  </mergeCells>
  <phoneticPr fontId="2"/>
  <printOptions horizontalCentered="1"/>
  <pageMargins left="0.23622047244094491" right="0.23622047244094491" top="0.74803149606299213" bottom="0.74803149606299213" header="0.31496062992125984" footer="0.31496062992125984"/>
  <pageSetup paperSize="9" scale="85"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E21000-8ED4-49DE-896E-CA6035270F90}">
  <dimension ref="A1:BP40"/>
  <sheetViews>
    <sheetView showGridLines="0" zoomScale="70" zoomScaleNormal="70" workbookViewId="0">
      <pane ySplit="5" topLeftCell="A6" activePane="bottomLeft" state="frozen"/>
      <selection pane="bottomLeft" activeCell="A6" sqref="A6:E6"/>
    </sheetView>
  </sheetViews>
  <sheetFormatPr defaultColWidth="2.5" defaultRowHeight="15" customHeight="1"/>
  <cols>
    <col min="1" max="47" width="2.5" style="1"/>
    <col min="48" max="48" width="2.5" style="1" customWidth="1"/>
    <col min="49" max="16384" width="2.5" style="1"/>
  </cols>
  <sheetData>
    <row r="1" spans="1:68" s="43" customFormat="1" ht="15" customHeight="1" thickBot="1">
      <c r="A1" s="294" t="s">
        <v>9</v>
      </c>
      <c r="B1" s="295"/>
      <c r="C1" s="295"/>
      <c r="D1" s="295"/>
      <c r="E1" s="296"/>
      <c r="F1" s="303" t="s">
        <v>10</v>
      </c>
      <c r="G1" s="304"/>
      <c r="H1" s="304"/>
      <c r="I1" s="304"/>
      <c r="J1" s="304"/>
      <c r="K1" s="304"/>
      <c r="L1" s="304"/>
      <c r="M1" s="304"/>
      <c r="N1" s="304"/>
      <c r="O1" s="304"/>
      <c r="P1" s="305"/>
      <c r="Q1" s="306" t="s">
        <v>11</v>
      </c>
      <c r="R1" s="307"/>
      <c r="S1" s="307"/>
      <c r="T1" s="307"/>
      <c r="U1" s="307"/>
      <c r="V1" s="308"/>
      <c r="W1" s="303" t="s">
        <v>12</v>
      </c>
      <c r="X1" s="304"/>
      <c r="Y1" s="304"/>
      <c r="Z1" s="304"/>
      <c r="AA1" s="304"/>
      <c r="AB1" s="304"/>
      <c r="AC1" s="304"/>
      <c r="AD1" s="305"/>
      <c r="AE1" s="303" t="s">
        <v>13</v>
      </c>
      <c r="AF1" s="304"/>
      <c r="AG1" s="304"/>
      <c r="AH1" s="304"/>
      <c r="AI1" s="304"/>
      <c r="AJ1" s="304"/>
      <c r="AK1" s="304"/>
      <c r="AL1" s="304"/>
      <c r="AM1" s="304"/>
      <c r="AN1" s="304"/>
      <c r="AO1" s="304"/>
      <c r="AP1" s="304"/>
      <c r="AQ1" s="304"/>
      <c r="AR1" s="304"/>
      <c r="AS1" s="305"/>
      <c r="AT1" s="309" t="s">
        <v>14</v>
      </c>
      <c r="AU1" s="310"/>
      <c r="AV1" s="310"/>
      <c r="AW1" s="310"/>
      <c r="AX1" s="310"/>
      <c r="AY1" s="310"/>
      <c r="AZ1" s="310"/>
      <c r="BA1" s="311"/>
      <c r="BB1" s="266" t="s">
        <v>15</v>
      </c>
      <c r="BC1" s="267"/>
      <c r="BD1" s="268"/>
      <c r="BE1" s="268"/>
      <c r="BF1" s="268"/>
      <c r="BG1" s="268"/>
      <c r="BH1" s="268"/>
      <c r="BI1" s="269"/>
      <c r="BJ1" s="45"/>
      <c r="BK1" s="45"/>
      <c r="BL1" s="45"/>
      <c r="BM1" s="45"/>
      <c r="BN1" s="45"/>
      <c r="BO1" s="45"/>
      <c r="BP1" s="45"/>
    </row>
    <row r="2" spans="1:68" s="43" customFormat="1" ht="15" customHeight="1">
      <c r="A2" s="297"/>
      <c r="B2" s="298"/>
      <c r="C2" s="298"/>
      <c r="D2" s="298"/>
      <c r="E2" s="299"/>
      <c r="F2" s="270" t="s">
        <v>16</v>
      </c>
      <c r="G2" s="271"/>
      <c r="H2" s="271"/>
      <c r="I2" s="271"/>
      <c r="J2" s="271"/>
      <c r="K2" s="271"/>
      <c r="L2" s="271"/>
      <c r="M2" s="271"/>
      <c r="N2" s="271"/>
      <c r="O2" s="271"/>
      <c r="P2" s="272"/>
      <c r="Q2" s="270" t="s">
        <v>17</v>
      </c>
      <c r="R2" s="271"/>
      <c r="S2" s="271"/>
      <c r="T2" s="271"/>
      <c r="U2" s="271"/>
      <c r="V2" s="272"/>
      <c r="W2" s="276" t="s">
        <v>18</v>
      </c>
      <c r="X2" s="277"/>
      <c r="Y2" s="277"/>
      <c r="Z2" s="277"/>
      <c r="AA2" s="277"/>
      <c r="AB2" s="277"/>
      <c r="AC2" s="277"/>
      <c r="AD2" s="278"/>
      <c r="AE2" s="270" t="s">
        <v>19</v>
      </c>
      <c r="AF2" s="271"/>
      <c r="AG2" s="271"/>
      <c r="AH2" s="271"/>
      <c r="AI2" s="271"/>
      <c r="AJ2" s="271"/>
      <c r="AK2" s="271"/>
      <c r="AL2" s="271"/>
      <c r="AM2" s="271"/>
      <c r="AN2" s="271"/>
      <c r="AO2" s="271"/>
      <c r="AP2" s="271"/>
      <c r="AQ2" s="271"/>
      <c r="AR2" s="271"/>
      <c r="AS2" s="272"/>
      <c r="AT2" s="282" t="s">
        <v>20</v>
      </c>
      <c r="AU2" s="283"/>
      <c r="AV2" s="284">
        <f>A6</f>
        <v>45453</v>
      </c>
      <c r="AW2" s="284"/>
      <c r="AX2" s="284"/>
      <c r="AY2" s="284"/>
      <c r="AZ2" s="284"/>
      <c r="BA2" s="285"/>
      <c r="BB2" s="286" t="str">
        <f>AZ6</f>
        <v>JBS石岡</v>
      </c>
      <c r="BC2" s="287"/>
      <c r="BD2" s="288"/>
      <c r="BE2" s="288"/>
      <c r="BF2" s="288"/>
      <c r="BG2" s="288"/>
      <c r="BH2" s="288"/>
      <c r="BI2" s="289"/>
      <c r="BJ2" s="45"/>
      <c r="BK2" s="45"/>
      <c r="BL2" s="45"/>
      <c r="BM2" s="45"/>
      <c r="BN2" s="45"/>
      <c r="BO2" s="45"/>
      <c r="BP2" s="45"/>
    </row>
    <row r="3" spans="1:68" s="43" customFormat="1" ht="15" customHeight="1" thickBot="1">
      <c r="A3" s="300"/>
      <c r="B3" s="301"/>
      <c r="C3" s="301"/>
      <c r="D3" s="301"/>
      <c r="E3" s="302"/>
      <c r="F3" s="273"/>
      <c r="G3" s="274"/>
      <c r="H3" s="274"/>
      <c r="I3" s="274"/>
      <c r="J3" s="274"/>
      <c r="K3" s="274"/>
      <c r="L3" s="274"/>
      <c r="M3" s="274"/>
      <c r="N3" s="274"/>
      <c r="O3" s="274"/>
      <c r="P3" s="275"/>
      <c r="Q3" s="273"/>
      <c r="R3" s="274"/>
      <c r="S3" s="274"/>
      <c r="T3" s="274"/>
      <c r="U3" s="274"/>
      <c r="V3" s="275"/>
      <c r="W3" s="279"/>
      <c r="X3" s="280"/>
      <c r="Y3" s="280"/>
      <c r="Z3" s="280"/>
      <c r="AA3" s="280"/>
      <c r="AB3" s="280"/>
      <c r="AC3" s="280"/>
      <c r="AD3" s="281"/>
      <c r="AE3" s="273"/>
      <c r="AF3" s="274"/>
      <c r="AG3" s="274"/>
      <c r="AH3" s="274"/>
      <c r="AI3" s="274"/>
      <c r="AJ3" s="274"/>
      <c r="AK3" s="274"/>
      <c r="AL3" s="274"/>
      <c r="AM3" s="274"/>
      <c r="AN3" s="274"/>
      <c r="AO3" s="274"/>
      <c r="AP3" s="274"/>
      <c r="AQ3" s="274"/>
      <c r="AR3" s="274"/>
      <c r="AS3" s="275"/>
      <c r="AT3" s="290" t="s">
        <v>21</v>
      </c>
      <c r="AU3" s="291"/>
      <c r="AV3" s="292">
        <f t="array" aca="1" ref="AV3" ca="1">IF(OR(COUNTA(A:E)=2),"",INDIRECT("A"&amp;COUNTA(A:E)+3))</f>
        <v>45726</v>
      </c>
      <c r="AW3" s="292"/>
      <c r="AX3" s="292"/>
      <c r="AY3" s="292"/>
      <c r="AZ3" s="292"/>
      <c r="BA3" s="293"/>
      <c r="BB3" s="254" t="str">
        <f t="array" aca="1" ref="BB3" ca="1">IF(COUNTA(AZ5:BE100018)=1,"",INDIRECT("AZ"&amp;COUNTA(AZ5:BE100018)+4))</f>
        <v>JBS石岡</v>
      </c>
      <c r="BC3" s="255"/>
      <c r="BD3" s="256"/>
      <c r="BE3" s="256"/>
      <c r="BF3" s="256"/>
      <c r="BG3" s="256"/>
      <c r="BH3" s="256"/>
      <c r="BI3" s="257"/>
      <c r="BJ3" s="45"/>
      <c r="BK3" s="45"/>
      <c r="BL3" s="45"/>
      <c r="BM3" s="45"/>
      <c r="BN3" s="45"/>
      <c r="BO3" s="45"/>
      <c r="BP3" s="45"/>
    </row>
    <row r="4" spans="1:68" ht="15" customHeight="1" thickBot="1">
      <c r="A4" s="3"/>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44" t="s">
        <v>22</v>
      </c>
      <c r="AX4" s="3"/>
      <c r="AY4" s="3"/>
      <c r="AZ4" s="3"/>
      <c r="BA4" s="3"/>
      <c r="BB4" s="3"/>
      <c r="BC4" s="3"/>
      <c r="BD4" s="3"/>
      <c r="BE4" s="3"/>
      <c r="BF4" s="3"/>
      <c r="BG4" s="3"/>
      <c r="BH4" s="3"/>
      <c r="BI4" s="3"/>
    </row>
    <row r="5" spans="1:68" s="94" customFormat="1" ht="15" customHeight="1" thickBot="1">
      <c r="A5" s="258" t="s">
        <v>23</v>
      </c>
      <c r="B5" s="259"/>
      <c r="C5" s="259"/>
      <c r="D5" s="259"/>
      <c r="E5" s="260"/>
      <c r="F5" s="261" t="s">
        <v>24</v>
      </c>
      <c r="G5" s="262"/>
      <c r="H5" s="262"/>
      <c r="I5" s="262"/>
      <c r="J5" s="262"/>
      <c r="K5" s="262"/>
      <c r="L5" s="262"/>
      <c r="M5" s="262"/>
      <c r="N5" s="262"/>
      <c r="O5" s="262"/>
      <c r="P5" s="262"/>
      <c r="Q5" s="262"/>
      <c r="R5" s="262"/>
      <c r="S5" s="263"/>
      <c r="T5" s="262" t="s">
        <v>25</v>
      </c>
      <c r="U5" s="262"/>
      <c r="V5" s="262"/>
      <c r="W5" s="262"/>
      <c r="X5" s="262"/>
      <c r="Y5" s="262"/>
      <c r="Z5" s="262"/>
      <c r="AA5" s="262"/>
      <c r="AB5" s="262"/>
      <c r="AC5" s="262"/>
      <c r="AD5" s="262"/>
      <c r="AE5" s="262"/>
      <c r="AF5" s="262"/>
      <c r="AG5" s="262"/>
      <c r="AH5" s="262"/>
      <c r="AI5" s="262"/>
      <c r="AJ5" s="262"/>
      <c r="AK5" s="262"/>
      <c r="AL5" s="262"/>
      <c r="AM5" s="262"/>
      <c r="AN5" s="262"/>
      <c r="AO5" s="262"/>
      <c r="AP5" s="262"/>
      <c r="AQ5" s="262"/>
      <c r="AR5" s="262"/>
      <c r="AS5" s="262"/>
      <c r="AT5" s="262"/>
      <c r="AU5" s="262"/>
      <c r="AV5" s="262"/>
      <c r="AW5" s="262"/>
      <c r="AX5" s="262"/>
      <c r="AY5" s="262"/>
      <c r="AZ5" s="258" t="s">
        <v>26</v>
      </c>
      <c r="BA5" s="259"/>
      <c r="BB5" s="259"/>
      <c r="BC5" s="259"/>
      <c r="BD5" s="259"/>
      <c r="BE5" s="264"/>
      <c r="BF5" s="265" t="s">
        <v>27</v>
      </c>
      <c r="BG5" s="265"/>
      <c r="BH5" s="259"/>
      <c r="BI5" s="264"/>
    </row>
    <row r="6" spans="1:68" ht="15" customHeight="1">
      <c r="A6" s="240">
        <v>45453</v>
      </c>
      <c r="B6" s="241"/>
      <c r="C6" s="241"/>
      <c r="D6" s="241"/>
      <c r="E6" s="242"/>
      <c r="F6" s="243" t="s">
        <v>28</v>
      </c>
      <c r="G6" s="244"/>
      <c r="H6" s="244"/>
      <c r="I6" s="244"/>
      <c r="J6" s="244"/>
      <c r="K6" s="244"/>
      <c r="L6" s="244"/>
      <c r="M6" s="244"/>
      <c r="N6" s="244"/>
      <c r="O6" s="244"/>
      <c r="P6" s="244"/>
      <c r="Q6" s="244"/>
      <c r="R6" s="244"/>
      <c r="S6" s="245"/>
      <c r="T6" s="246" t="s">
        <v>29</v>
      </c>
      <c r="U6" s="246"/>
      <c r="V6" s="246"/>
      <c r="W6" s="246"/>
      <c r="X6" s="246"/>
      <c r="Y6" s="246"/>
      <c r="Z6" s="246"/>
      <c r="AA6" s="246"/>
      <c r="AB6" s="246"/>
      <c r="AC6" s="246"/>
      <c r="AD6" s="246"/>
      <c r="AE6" s="246"/>
      <c r="AF6" s="246"/>
      <c r="AG6" s="246"/>
      <c r="AH6" s="246"/>
      <c r="AI6" s="246"/>
      <c r="AJ6" s="246"/>
      <c r="AK6" s="246"/>
      <c r="AL6" s="246"/>
      <c r="AM6" s="246"/>
      <c r="AN6" s="246"/>
      <c r="AO6" s="246"/>
      <c r="AP6" s="246"/>
      <c r="AQ6" s="246"/>
      <c r="AR6" s="246"/>
      <c r="AS6" s="246"/>
      <c r="AT6" s="246"/>
      <c r="AU6" s="246"/>
      <c r="AV6" s="246"/>
      <c r="AW6" s="246"/>
      <c r="AX6" s="246"/>
      <c r="AY6" s="246"/>
      <c r="AZ6" s="247" t="s">
        <v>30</v>
      </c>
      <c r="BA6" s="248"/>
      <c r="BB6" s="248"/>
      <c r="BC6" s="248"/>
      <c r="BD6" s="248"/>
      <c r="BE6" s="249"/>
      <c r="BF6" s="250" t="s">
        <v>31</v>
      </c>
      <c r="BG6" s="250"/>
      <c r="BH6" s="251"/>
      <c r="BI6" s="252"/>
    </row>
    <row r="7" spans="1:68" ht="13.5" customHeight="1">
      <c r="A7" s="211">
        <v>45726</v>
      </c>
      <c r="B7" s="212"/>
      <c r="C7" s="212"/>
      <c r="D7" s="212"/>
      <c r="E7" s="213"/>
      <c r="F7" s="253" t="s">
        <v>497</v>
      </c>
      <c r="G7" s="215"/>
      <c r="H7" s="215"/>
      <c r="I7" s="215"/>
      <c r="J7" s="215"/>
      <c r="K7" s="215"/>
      <c r="L7" s="215"/>
      <c r="M7" s="215"/>
      <c r="N7" s="215"/>
      <c r="O7" s="215"/>
      <c r="P7" s="215"/>
      <c r="Q7" s="215"/>
      <c r="R7" s="215"/>
      <c r="S7" s="216"/>
      <c r="T7" s="238" t="s">
        <v>508</v>
      </c>
      <c r="U7" s="239"/>
      <c r="V7" s="239"/>
      <c r="W7" s="239"/>
      <c r="X7" s="239"/>
      <c r="Y7" s="239"/>
      <c r="Z7" s="239"/>
      <c r="AA7" s="239"/>
      <c r="AB7" s="239"/>
      <c r="AC7" s="239"/>
      <c r="AD7" s="239"/>
      <c r="AE7" s="239"/>
      <c r="AF7" s="239"/>
      <c r="AG7" s="239"/>
      <c r="AH7" s="239"/>
      <c r="AI7" s="239"/>
      <c r="AJ7" s="239"/>
      <c r="AK7" s="239"/>
      <c r="AL7" s="239"/>
      <c r="AM7" s="239"/>
      <c r="AN7" s="239"/>
      <c r="AO7" s="239"/>
      <c r="AP7" s="239"/>
      <c r="AQ7" s="239"/>
      <c r="AR7" s="239"/>
      <c r="AS7" s="239"/>
      <c r="AT7" s="239"/>
      <c r="AU7" s="239"/>
      <c r="AV7" s="239"/>
      <c r="AW7" s="239"/>
      <c r="AX7" s="239"/>
      <c r="AY7" s="239"/>
      <c r="AZ7" s="247" t="s">
        <v>30</v>
      </c>
      <c r="BA7" s="248"/>
      <c r="BB7" s="248"/>
      <c r="BC7" s="248"/>
      <c r="BD7" s="248"/>
      <c r="BE7" s="249"/>
      <c r="BF7" s="250" t="s">
        <v>509</v>
      </c>
      <c r="BG7" s="250"/>
      <c r="BH7" s="251"/>
      <c r="BI7" s="252"/>
    </row>
    <row r="8" spans="1:68" ht="14.4">
      <c r="A8" s="211"/>
      <c r="B8" s="212"/>
      <c r="C8" s="212"/>
      <c r="D8" s="212"/>
      <c r="E8" s="213"/>
      <c r="F8" s="214"/>
      <c r="G8" s="215"/>
      <c r="H8" s="215"/>
      <c r="I8" s="215"/>
      <c r="J8" s="215"/>
      <c r="K8" s="215"/>
      <c r="L8" s="215"/>
      <c r="M8" s="215"/>
      <c r="N8" s="215"/>
      <c r="O8" s="215"/>
      <c r="P8" s="215"/>
      <c r="Q8" s="215"/>
      <c r="R8" s="215"/>
      <c r="S8" s="216"/>
      <c r="T8" s="238"/>
      <c r="U8" s="239"/>
      <c r="V8" s="239"/>
      <c r="W8" s="239"/>
      <c r="X8" s="239"/>
      <c r="Y8" s="239"/>
      <c r="Z8" s="239"/>
      <c r="AA8" s="239"/>
      <c r="AB8" s="239"/>
      <c r="AC8" s="239"/>
      <c r="AD8" s="239"/>
      <c r="AE8" s="239"/>
      <c r="AF8" s="239"/>
      <c r="AG8" s="239"/>
      <c r="AH8" s="239"/>
      <c r="AI8" s="239"/>
      <c r="AJ8" s="239"/>
      <c r="AK8" s="239"/>
      <c r="AL8" s="239"/>
      <c r="AM8" s="239"/>
      <c r="AN8" s="239"/>
      <c r="AO8" s="239"/>
      <c r="AP8" s="239"/>
      <c r="AQ8" s="239"/>
      <c r="AR8" s="239"/>
      <c r="AS8" s="239"/>
      <c r="AT8" s="239"/>
      <c r="AU8" s="239"/>
      <c r="AV8" s="239"/>
      <c r="AW8" s="239"/>
      <c r="AX8" s="239"/>
      <c r="AY8" s="239"/>
      <c r="AZ8" s="219"/>
      <c r="BA8" s="220"/>
      <c r="BB8" s="220"/>
      <c r="BC8" s="220"/>
      <c r="BD8" s="220"/>
      <c r="BE8" s="221"/>
      <c r="BF8" s="222"/>
      <c r="BG8" s="222"/>
      <c r="BH8" s="223"/>
      <c r="BI8" s="224"/>
    </row>
    <row r="9" spans="1:68" ht="14.4">
      <c r="A9" s="211"/>
      <c r="B9" s="212"/>
      <c r="C9" s="212"/>
      <c r="D9" s="212"/>
      <c r="E9" s="213"/>
      <c r="F9" s="214"/>
      <c r="G9" s="215"/>
      <c r="H9" s="215"/>
      <c r="I9" s="215"/>
      <c r="J9" s="215"/>
      <c r="K9" s="215"/>
      <c r="L9" s="215"/>
      <c r="M9" s="215"/>
      <c r="N9" s="215"/>
      <c r="O9" s="215"/>
      <c r="P9" s="215"/>
      <c r="Q9" s="215"/>
      <c r="R9" s="215"/>
      <c r="S9" s="216"/>
      <c r="T9" s="217"/>
      <c r="U9" s="218"/>
      <c r="V9" s="218"/>
      <c r="W9" s="218"/>
      <c r="X9" s="218"/>
      <c r="Y9" s="218"/>
      <c r="Z9" s="218"/>
      <c r="AA9" s="218"/>
      <c r="AB9" s="218"/>
      <c r="AC9" s="218"/>
      <c r="AD9" s="218"/>
      <c r="AE9" s="218"/>
      <c r="AF9" s="218"/>
      <c r="AG9" s="218"/>
      <c r="AH9" s="218"/>
      <c r="AI9" s="218"/>
      <c r="AJ9" s="218"/>
      <c r="AK9" s="218"/>
      <c r="AL9" s="218"/>
      <c r="AM9" s="218"/>
      <c r="AN9" s="218"/>
      <c r="AO9" s="218"/>
      <c r="AP9" s="218"/>
      <c r="AQ9" s="218"/>
      <c r="AR9" s="218"/>
      <c r="AS9" s="218"/>
      <c r="AT9" s="218"/>
      <c r="AU9" s="218"/>
      <c r="AV9" s="218"/>
      <c r="AW9" s="218"/>
      <c r="AX9" s="218"/>
      <c r="AY9" s="218"/>
      <c r="AZ9" s="219"/>
      <c r="BA9" s="220"/>
      <c r="BB9" s="220"/>
      <c r="BC9" s="220"/>
      <c r="BD9" s="220"/>
      <c r="BE9" s="221"/>
      <c r="BF9" s="222"/>
      <c r="BG9" s="222"/>
      <c r="BH9" s="223"/>
      <c r="BI9" s="224"/>
    </row>
    <row r="10" spans="1:68" ht="14.4">
      <c r="A10" s="211"/>
      <c r="B10" s="212"/>
      <c r="C10" s="212"/>
      <c r="D10" s="212"/>
      <c r="E10" s="213"/>
      <c r="F10" s="214"/>
      <c r="G10" s="215"/>
      <c r="H10" s="215"/>
      <c r="I10" s="215"/>
      <c r="J10" s="215"/>
      <c r="K10" s="215"/>
      <c r="L10" s="215"/>
      <c r="M10" s="215"/>
      <c r="N10" s="215"/>
      <c r="O10" s="215"/>
      <c r="P10" s="215"/>
      <c r="Q10" s="215"/>
      <c r="R10" s="215"/>
      <c r="S10" s="216"/>
      <c r="T10" s="217"/>
      <c r="U10" s="218"/>
      <c r="V10" s="218"/>
      <c r="W10" s="218"/>
      <c r="X10" s="218"/>
      <c r="Y10" s="218"/>
      <c r="Z10" s="218"/>
      <c r="AA10" s="218"/>
      <c r="AB10" s="218"/>
      <c r="AC10" s="218"/>
      <c r="AD10" s="218"/>
      <c r="AE10" s="218"/>
      <c r="AF10" s="218"/>
      <c r="AG10" s="218"/>
      <c r="AH10" s="218"/>
      <c r="AI10" s="218"/>
      <c r="AJ10" s="218"/>
      <c r="AK10" s="218"/>
      <c r="AL10" s="218"/>
      <c r="AM10" s="218"/>
      <c r="AN10" s="218"/>
      <c r="AO10" s="218"/>
      <c r="AP10" s="218"/>
      <c r="AQ10" s="218"/>
      <c r="AR10" s="218"/>
      <c r="AS10" s="218"/>
      <c r="AT10" s="218"/>
      <c r="AU10" s="218"/>
      <c r="AV10" s="218"/>
      <c r="AW10" s="218"/>
      <c r="AX10" s="218"/>
      <c r="AY10" s="218"/>
      <c r="AZ10" s="219"/>
      <c r="BA10" s="220"/>
      <c r="BB10" s="220"/>
      <c r="BC10" s="220"/>
      <c r="BD10" s="220"/>
      <c r="BE10" s="221"/>
      <c r="BF10" s="222"/>
      <c r="BG10" s="222"/>
      <c r="BH10" s="223"/>
      <c r="BI10" s="224"/>
    </row>
    <row r="11" spans="1:68" ht="14.4">
      <c r="A11" s="211"/>
      <c r="B11" s="212"/>
      <c r="C11" s="212"/>
      <c r="D11" s="212"/>
      <c r="E11" s="213"/>
      <c r="F11" s="214"/>
      <c r="G11" s="215"/>
      <c r="H11" s="215"/>
      <c r="I11" s="215"/>
      <c r="J11" s="215"/>
      <c r="K11" s="215"/>
      <c r="L11" s="215"/>
      <c r="M11" s="215"/>
      <c r="N11" s="215"/>
      <c r="O11" s="215"/>
      <c r="P11" s="215"/>
      <c r="Q11" s="215"/>
      <c r="R11" s="215"/>
      <c r="S11" s="216"/>
      <c r="T11" s="217"/>
      <c r="U11" s="218"/>
      <c r="V11" s="218"/>
      <c r="W11" s="218"/>
      <c r="X11" s="218"/>
      <c r="Y11" s="218"/>
      <c r="Z11" s="218"/>
      <c r="AA11" s="218"/>
      <c r="AB11" s="218"/>
      <c r="AC11" s="218"/>
      <c r="AD11" s="218"/>
      <c r="AE11" s="218"/>
      <c r="AF11" s="218"/>
      <c r="AG11" s="218"/>
      <c r="AH11" s="218"/>
      <c r="AI11" s="218"/>
      <c r="AJ11" s="218"/>
      <c r="AK11" s="218"/>
      <c r="AL11" s="218"/>
      <c r="AM11" s="218"/>
      <c r="AN11" s="218"/>
      <c r="AO11" s="218"/>
      <c r="AP11" s="218"/>
      <c r="AQ11" s="218"/>
      <c r="AR11" s="218"/>
      <c r="AS11" s="218"/>
      <c r="AT11" s="218"/>
      <c r="AU11" s="218"/>
      <c r="AV11" s="218"/>
      <c r="AW11" s="218"/>
      <c r="AX11" s="218"/>
      <c r="AY11" s="218"/>
      <c r="AZ11" s="219"/>
      <c r="BA11" s="220"/>
      <c r="BB11" s="220"/>
      <c r="BC11" s="220"/>
      <c r="BD11" s="220"/>
      <c r="BE11" s="221"/>
      <c r="BF11" s="222"/>
      <c r="BG11" s="222"/>
      <c r="BH11" s="223"/>
      <c r="BI11" s="224"/>
    </row>
    <row r="12" spans="1:68" ht="15" customHeight="1">
      <c r="A12" s="211"/>
      <c r="B12" s="212"/>
      <c r="C12" s="212"/>
      <c r="D12" s="212"/>
      <c r="E12" s="213"/>
      <c r="F12" s="214"/>
      <c r="G12" s="215"/>
      <c r="H12" s="215"/>
      <c r="I12" s="215"/>
      <c r="J12" s="215"/>
      <c r="K12" s="215"/>
      <c r="L12" s="215"/>
      <c r="M12" s="215"/>
      <c r="N12" s="215"/>
      <c r="O12" s="215"/>
      <c r="P12" s="215"/>
      <c r="Q12" s="215"/>
      <c r="R12" s="215"/>
      <c r="S12" s="216"/>
      <c r="T12" s="218"/>
      <c r="U12" s="218"/>
      <c r="V12" s="218"/>
      <c r="W12" s="218"/>
      <c r="X12" s="218"/>
      <c r="Y12" s="218"/>
      <c r="Z12" s="218"/>
      <c r="AA12" s="218"/>
      <c r="AB12" s="218"/>
      <c r="AC12" s="218"/>
      <c r="AD12" s="218"/>
      <c r="AE12" s="218"/>
      <c r="AF12" s="218"/>
      <c r="AG12" s="218"/>
      <c r="AH12" s="218"/>
      <c r="AI12" s="218"/>
      <c r="AJ12" s="218"/>
      <c r="AK12" s="218"/>
      <c r="AL12" s="218"/>
      <c r="AM12" s="218"/>
      <c r="AN12" s="218"/>
      <c r="AO12" s="218"/>
      <c r="AP12" s="218"/>
      <c r="AQ12" s="218"/>
      <c r="AR12" s="218"/>
      <c r="AS12" s="218"/>
      <c r="AT12" s="218"/>
      <c r="AU12" s="218"/>
      <c r="AV12" s="218"/>
      <c r="AW12" s="218"/>
      <c r="AX12" s="218"/>
      <c r="AY12" s="218"/>
      <c r="AZ12" s="219"/>
      <c r="BA12" s="220"/>
      <c r="BB12" s="220"/>
      <c r="BC12" s="220"/>
      <c r="BD12" s="220"/>
      <c r="BE12" s="221"/>
      <c r="BF12" s="222"/>
      <c r="BG12" s="222"/>
      <c r="BH12" s="223"/>
      <c r="BI12" s="224"/>
    </row>
    <row r="13" spans="1:68" ht="14.4">
      <c r="A13" s="211"/>
      <c r="B13" s="212"/>
      <c r="C13" s="212"/>
      <c r="D13" s="212"/>
      <c r="E13" s="213"/>
      <c r="F13" s="214"/>
      <c r="G13" s="215"/>
      <c r="H13" s="215"/>
      <c r="I13" s="215"/>
      <c r="J13" s="215"/>
      <c r="K13" s="215"/>
      <c r="L13" s="215"/>
      <c r="M13" s="215"/>
      <c r="N13" s="215"/>
      <c r="O13" s="215"/>
      <c r="P13" s="215"/>
      <c r="Q13" s="215"/>
      <c r="R13" s="215"/>
      <c r="S13" s="216"/>
      <c r="T13" s="217"/>
      <c r="U13" s="218"/>
      <c r="V13" s="218"/>
      <c r="W13" s="218"/>
      <c r="X13" s="218"/>
      <c r="Y13" s="218"/>
      <c r="Z13" s="218"/>
      <c r="AA13" s="218"/>
      <c r="AB13" s="218"/>
      <c r="AC13" s="218"/>
      <c r="AD13" s="218"/>
      <c r="AE13" s="218"/>
      <c r="AF13" s="218"/>
      <c r="AG13" s="218"/>
      <c r="AH13" s="218"/>
      <c r="AI13" s="218"/>
      <c r="AJ13" s="218"/>
      <c r="AK13" s="218"/>
      <c r="AL13" s="218"/>
      <c r="AM13" s="218"/>
      <c r="AN13" s="218"/>
      <c r="AO13" s="218"/>
      <c r="AP13" s="218"/>
      <c r="AQ13" s="218"/>
      <c r="AR13" s="218"/>
      <c r="AS13" s="218"/>
      <c r="AT13" s="218"/>
      <c r="AU13" s="218"/>
      <c r="AV13" s="218"/>
      <c r="AW13" s="218"/>
      <c r="AX13" s="218"/>
      <c r="AY13" s="218"/>
      <c r="AZ13" s="219"/>
      <c r="BA13" s="220"/>
      <c r="BB13" s="220"/>
      <c r="BC13" s="220"/>
      <c r="BD13" s="220"/>
      <c r="BE13" s="221"/>
      <c r="BF13" s="222"/>
      <c r="BG13" s="222"/>
      <c r="BH13" s="223"/>
      <c r="BI13" s="224"/>
    </row>
    <row r="14" spans="1:68" ht="14.4">
      <c r="A14" s="211"/>
      <c r="B14" s="212"/>
      <c r="C14" s="212"/>
      <c r="D14" s="212"/>
      <c r="E14" s="213"/>
      <c r="F14" s="214"/>
      <c r="G14" s="215"/>
      <c r="H14" s="215"/>
      <c r="I14" s="215"/>
      <c r="J14" s="215"/>
      <c r="K14" s="215"/>
      <c r="L14" s="215"/>
      <c r="M14" s="215"/>
      <c r="N14" s="215"/>
      <c r="O14" s="215"/>
      <c r="P14" s="215"/>
      <c r="Q14" s="215"/>
      <c r="R14" s="215"/>
      <c r="S14" s="216"/>
      <c r="T14" s="217"/>
      <c r="U14" s="218"/>
      <c r="V14" s="218"/>
      <c r="W14" s="218"/>
      <c r="X14" s="218"/>
      <c r="Y14" s="218"/>
      <c r="Z14" s="218"/>
      <c r="AA14" s="218"/>
      <c r="AB14" s="218"/>
      <c r="AC14" s="218"/>
      <c r="AD14" s="218"/>
      <c r="AE14" s="218"/>
      <c r="AF14" s="218"/>
      <c r="AG14" s="218"/>
      <c r="AH14" s="218"/>
      <c r="AI14" s="218"/>
      <c r="AJ14" s="218"/>
      <c r="AK14" s="218"/>
      <c r="AL14" s="218"/>
      <c r="AM14" s="218"/>
      <c r="AN14" s="218"/>
      <c r="AO14" s="218"/>
      <c r="AP14" s="218"/>
      <c r="AQ14" s="218"/>
      <c r="AR14" s="218"/>
      <c r="AS14" s="218"/>
      <c r="AT14" s="218"/>
      <c r="AU14" s="218"/>
      <c r="AV14" s="218"/>
      <c r="AW14" s="218"/>
      <c r="AX14" s="218"/>
      <c r="AY14" s="218"/>
      <c r="AZ14" s="219"/>
      <c r="BA14" s="220"/>
      <c r="BB14" s="220"/>
      <c r="BC14" s="220"/>
      <c r="BD14" s="220"/>
      <c r="BE14" s="221"/>
      <c r="BF14" s="222"/>
      <c r="BG14" s="222"/>
      <c r="BH14" s="223"/>
      <c r="BI14" s="224"/>
    </row>
    <row r="15" spans="1:68" ht="14.4">
      <c r="A15" s="211"/>
      <c r="B15" s="212"/>
      <c r="C15" s="212"/>
      <c r="D15" s="212"/>
      <c r="E15" s="213"/>
      <c r="F15" s="214"/>
      <c r="G15" s="215"/>
      <c r="H15" s="215"/>
      <c r="I15" s="215"/>
      <c r="J15" s="215"/>
      <c r="K15" s="215"/>
      <c r="L15" s="215"/>
      <c r="M15" s="215"/>
      <c r="N15" s="215"/>
      <c r="O15" s="215"/>
      <c r="P15" s="215"/>
      <c r="Q15" s="215"/>
      <c r="R15" s="215"/>
      <c r="S15" s="216"/>
      <c r="T15" s="217"/>
      <c r="U15" s="218"/>
      <c r="V15" s="218"/>
      <c r="W15" s="218"/>
      <c r="X15" s="218"/>
      <c r="Y15" s="218"/>
      <c r="Z15" s="218"/>
      <c r="AA15" s="218"/>
      <c r="AB15" s="218"/>
      <c r="AC15" s="218"/>
      <c r="AD15" s="218"/>
      <c r="AE15" s="218"/>
      <c r="AF15" s="218"/>
      <c r="AG15" s="218"/>
      <c r="AH15" s="218"/>
      <c r="AI15" s="218"/>
      <c r="AJ15" s="218"/>
      <c r="AK15" s="218"/>
      <c r="AL15" s="218"/>
      <c r="AM15" s="218"/>
      <c r="AN15" s="218"/>
      <c r="AO15" s="218"/>
      <c r="AP15" s="218"/>
      <c r="AQ15" s="218"/>
      <c r="AR15" s="218"/>
      <c r="AS15" s="218"/>
      <c r="AT15" s="218"/>
      <c r="AU15" s="218"/>
      <c r="AV15" s="218"/>
      <c r="AW15" s="218"/>
      <c r="AX15" s="218"/>
      <c r="AY15" s="218"/>
      <c r="AZ15" s="219"/>
      <c r="BA15" s="220"/>
      <c r="BB15" s="220"/>
      <c r="BC15" s="220"/>
      <c r="BD15" s="220"/>
      <c r="BE15" s="221"/>
      <c r="BF15" s="222"/>
      <c r="BG15" s="222"/>
      <c r="BH15" s="223"/>
      <c r="BI15" s="224"/>
    </row>
    <row r="16" spans="1:68" ht="14.4">
      <c r="A16" s="211"/>
      <c r="B16" s="212"/>
      <c r="C16" s="212"/>
      <c r="D16" s="212"/>
      <c r="E16" s="213"/>
      <c r="F16" s="214"/>
      <c r="G16" s="215"/>
      <c r="H16" s="215"/>
      <c r="I16" s="215"/>
      <c r="J16" s="215"/>
      <c r="K16" s="215"/>
      <c r="L16" s="215"/>
      <c r="M16" s="215"/>
      <c r="N16" s="215"/>
      <c r="O16" s="215"/>
      <c r="P16" s="215"/>
      <c r="Q16" s="215"/>
      <c r="R16" s="215"/>
      <c r="S16" s="216"/>
      <c r="T16" s="217"/>
      <c r="U16" s="218"/>
      <c r="V16" s="218"/>
      <c r="W16" s="218"/>
      <c r="X16" s="218"/>
      <c r="Y16" s="218"/>
      <c r="Z16" s="218"/>
      <c r="AA16" s="218"/>
      <c r="AB16" s="218"/>
      <c r="AC16" s="218"/>
      <c r="AD16" s="218"/>
      <c r="AE16" s="218"/>
      <c r="AF16" s="218"/>
      <c r="AG16" s="218"/>
      <c r="AH16" s="218"/>
      <c r="AI16" s="218"/>
      <c r="AJ16" s="218"/>
      <c r="AK16" s="218"/>
      <c r="AL16" s="218"/>
      <c r="AM16" s="218"/>
      <c r="AN16" s="218"/>
      <c r="AO16" s="218"/>
      <c r="AP16" s="218"/>
      <c r="AQ16" s="218"/>
      <c r="AR16" s="218"/>
      <c r="AS16" s="218"/>
      <c r="AT16" s="218"/>
      <c r="AU16" s="218"/>
      <c r="AV16" s="218"/>
      <c r="AW16" s="218"/>
      <c r="AX16" s="218"/>
      <c r="AY16" s="218"/>
      <c r="AZ16" s="219"/>
      <c r="BA16" s="220"/>
      <c r="BB16" s="220"/>
      <c r="BC16" s="220"/>
      <c r="BD16" s="220"/>
      <c r="BE16" s="221"/>
      <c r="BF16" s="222"/>
      <c r="BG16" s="222"/>
      <c r="BH16" s="223"/>
      <c r="BI16" s="224"/>
    </row>
    <row r="17" spans="1:61" ht="14.4">
      <c r="A17" s="211"/>
      <c r="B17" s="212"/>
      <c r="C17" s="212"/>
      <c r="D17" s="212"/>
      <c r="E17" s="213"/>
      <c r="F17" s="214"/>
      <c r="G17" s="215"/>
      <c r="H17" s="215"/>
      <c r="I17" s="215"/>
      <c r="J17" s="215"/>
      <c r="K17" s="215"/>
      <c r="L17" s="215"/>
      <c r="M17" s="215"/>
      <c r="N17" s="215"/>
      <c r="O17" s="215"/>
      <c r="P17" s="215"/>
      <c r="Q17" s="215"/>
      <c r="R17" s="215"/>
      <c r="S17" s="216"/>
      <c r="T17" s="217"/>
      <c r="U17" s="218"/>
      <c r="V17" s="218"/>
      <c r="W17" s="218"/>
      <c r="X17" s="218"/>
      <c r="Y17" s="218"/>
      <c r="Z17" s="218"/>
      <c r="AA17" s="218"/>
      <c r="AB17" s="218"/>
      <c r="AC17" s="218"/>
      <c r="AD17" s="218"/>
      <c r="AE17" s="218"/>
      <c r="AF17" s="218"/>
      <c r="AG17" s="218"/>
      <c r="AH17" s="218"/>
      <c r="AI17" s="218"/>
      <c r="AJ17" s="218"/>
      <c r="AK17" s="218"/>
      <c r="AL17" s="218"/>
      <c r="AM17" s="218"/>
      <c r="AN17" s="218"/>
      <c r="AO17" s="218"/>
      <c r="AP17" s="218"/>
      <c r="AQ17" s="218"/>
      <c r="AR17" s="218"/>
      <c r="AS17" s="218"/>
      <c r="AT17" s="218"/>
      <c r="AU17" s="218"/>
      <c r="AV17" s="218"/>
      <c r="AW17" s="218"/>
      <c r="AX17" s="218"/>
      <c r="AY17" s="218"/>
      <c r="AZ17" s="219"/>
      <c r="BA17" s="220"/>
      <c r="BB17" s="220"/>
      <c r="BC17" s="220"/>
      <c r="BD17" s="220"/>
      <c r="BE17" s="221"/>
      <c r="BF17" s="222"/>
      <c r="BG17" s="222"/>
      <c r="BH17" s="223"/>
      <c r="BI17" s="224"/>
    </row>
    <row r="18" spans="1:61" ht="14.4">
      <c r="A18" s="211"/>
      <c r="B18" s="212"/>
      <c r="C18" s="212"/>
      <c r="D18" s="212"/>
      <c r="E18" s="213"/>
      <c r="F18" s="214"/>
      <c r="G18" s="215"/>
      <c r="H18" s="215"/>
      <c r="I18" s="215"/>
      <c r="J18" s="215"/>
      <c r="K18" s="215"/>
      <c r="L18" s="215"/>
      <c r="M18" s="215"/>
      <c r="N18" s="215"/>
      <c r="O18" s="215"/>
      <c r="P18" s="215"/>
      <c r="Q18" s="215"/>
      <c r="R18" s="215"/>
      <c r="S18" s="216"/>
      <c r="T18" s="217"/>
      <c r="U18" s="218"/>
      <c r="V18" s="218"/>
      <c r="W18" s="218"/>
      <c r="X18" s="218"/>
      <c r="Y18" s="218"/>
      <c r="Z18" s="218"/>
      <c r="AA18" s="218"/>
      <c r="AB18" s="218"/>
      <c r="AC18" s="218"/>
      <c r="AD18" s="218"/>
      <c r="AE18" s="218"/>
      <c r="AF18" s="218"/>
      <c r="AG18" s="218"/>
      <c r="AH18" s="218"/>
      <c r="AI18" s="218"/>
      <c r="AJ18" s="218"/>
      <c r="AK18" s="218"/>
      <c r="AL18" s="218"/>
      <c r="AM18" s="218"/>
      <c r="AN18" s="218"/>
      <c r="AO18" s="218"/>
      <c r="AP18" s="218"/>
      <c r="AQ18" s="218"/>
      <c r="AR18" s="218"/>
      <c r="AS18" s="218"/>
      <c r="AT18" s="218"/>
      <c r="AU18" s="218"/>
      <c r="AV18" s="218"/>
      <c r="AW18" s="218"/>
      <c r="AX18" s="218"/>
      <c r="AY18" s="218"/>
      <c r="AZ18" s="219"/>
      <c r="BA18" s="220"/>
      <c r="BB18" s="220"/>
      <c r="BC18" s="220"/>
      <c r="BD18" s="220"/>
      <c r="BE18" s="221"/>
      <c r="BF18" s="222"/>
      <c r="BG18" s="222"/>
      <c r="BH18" s="223"/>
      <c r="BI18" s="224"/>
    </row>
    <row r="19" spans="1:61" ht="14.4">
      <c r="A19" s="211"/>
      <c r="B19" s="212"/>
      <c r="C19" s="212"/>
      <c r="D19" s="212"/>
      <c r="E19" s="213"/>
      <c r="F19" s="214"/>
      <c r="G19" s="215"/>
      <c r="H19" s="215"/>
      <c r="I19" s="215"/>
      <c r="J19" s="215"/>
      <c r="K19" s="215"/>
      <c r="L19" s="215"/>
      <c r="M19" s="215"/>
      <c r="N19" s="215"/>
      <c r="O19" s="215"/>
      <c r="P19" s="215"/>
      <c r="Q19" s="215"/>
      <c r="R19" s="215"/>
      <c r="S19" s="216"/>
      <c r="T19" s="217"/>
      <c r="U19" s="218"/>
      <c r="V19" s="218"/>
      <c r="W19" s="218"/>
      <c r="X19" s="218"/>
      <c r="Y19" s="218"/>
      <c r="Z19" s="218"/>
      <c r="AA19" s="218"/>
      <c r="AB19" s="218"/>
      <c r="AC19" s="218"/>
      <c r="AD19" s="218"/>
      <c r="AE19" s="218"/>
      <c r="AF19" s="218"/>
      <c r="AG19" s="218"/>
      <c r="AH19" s="218"/>
      <c r="AI19" s="218"/>
      <c r="AJ19" s="218"/>
      <c r="AK19" s="218"/>
      <c r="AL19" s="218"/>
      <c r="AM19" s="218"/>
      <c r="AN19" s="218"/>
      <c r="AO19" s="218"/>
      <c r="AP19" s="218"/>
      <c r="AQ19" s="218"/>
      <c r="AR19" s="218"/>
      <c r="AS19" s="218"/>
      <c r="AT19" s="218"/>
      <c r="AU19" s="218"/>
      <c r="AV19" s="218"/>
      <c r="AW19" s="218"/>
      <c r="AX19" s="218"/>
      <c r="AY19" s="218"/>
      <c r="AZ19" s="219"/>
      <c r="BA19" s="220"/>
      <c r="BB19" s="220"/>
      <c r="BC19" s="220"/>
      <c r="BD19" s="220"/>
      <c r="BE19" s="221"/>
      <c r="BF19" s="222"/>
      <c r="BG19" s="222"/>
      <c r="BH19" s="223"/>
      <c r="BI19" s="224"/>
    </row>
    <row r="20" spans="1:61" ht="14.4">
      <c r="A20" s="211"/>
      <c r="B20" s="212"/>
      <c r="C20" s="212"/>
      <c r="D20" s="212"/>
      <c r="E20" s="213"/>
      <c r="F20" s="214"/>
      <c r="G20" s="215"/>
      <c r="H20" s="215"/>
      <c r="I20" s="215"/>
      <c r="J20" s="215"/>
      <c r="K20" s="215"/>
      <c r="L20" s="215"/>
      <c r="M20" s="215"/>
      <c r="N20" s="215"/>
      <c r="O20" s="215"/>
      <c r="P20" s="215"/>
      <c r="Q20" s="215"/>
      <c r="R20" s="215"/>
      <c r="S20" s="216"/>
      <c r="T20" s="217"/>
      <c r="U20" s="218"/>
      <c r="V20" s="218"/>
      <c r="W20" s="218"/>
      <c r="X20" s="218"/>
      <c r="Y20" s="218"/>
      <c r="Z20" s="218"/>
      <c r="AA20" s="218"/>
      <c r="AB20" s="218"/>
      <c r="AC20" s="218"/>
      <c r="AD20" s="218"/>
      <c r="AE20" s="218"/>
      <c r="AF20" s="218"/>
      <c r="AG20" s="218"/>
      <c r="AH20" s="218"/>
      <c r="AI20" s="218"/>
      <c r="AJ20" s="218"/>
      <c r="AK20" s="218"/>
      <c r="AL20" s="218"/>
      <c r="AM20" s="218"/>
      <c r="AN20" s="218"/>
      <c r="AO20" s="218"/>
      <c r="AP20" s="218"/>
      <c r="AQ20" s="218"/>
      <c r="AR20" s="218"/>
      <c r="AS20" s="218"/>
      <c r="AT20" s="218"/>
      <c r="AU20" s="218"/>
      <c r="AV20" s="218"/>
      <c r="AW20" s="218"/>
      <c r="AX20" s="218"/>
      <c r="AY20" s="218"/>
      <c r="AZ20" s="219"/>
      <c r="BA20" s="220"/>
      <c r="BB20" s="220"/>
      <c r="BC20" s="220"/>
      <c r="BD20" s="220"/>
      <c r="BE20" s="221"/>
      <c r="BF20" s="222"/>
      <c r="BG20" s="222"/>
      <c r="BH20" s="223"/>
      <c r="BI20" s="224"/>
    </row>
    <row r="21" spans="1:61" ht="14.4">
      <c r="A21" s="211"/>
      <c r="B21" s="212"/>
      <c r="C21" s="212"/>
      <c r="D21" s="212"/>
      <c r="E21" s="213"/>
      <c r="F21" s="214"/>
      <c r="G21" s="215"/>
      <c r="H21" s="215"/>
      <c r="I21" s="215"/>
      <c r="J21" s="215"/>
      <c r="K21" s="215"/>
      <c r="L21" s="215"/>
      <c r="M21" s="215"/>
      <c r="N21" s="215"/>
      <c r="O21" s="215"/>
      <c r="P21" s="215"/>
      <c r="Q21" s="215"/>
      <c r="R21" s="215"/>
      <c r="S21" s="216"/>
      <c r="T21" s="217"/>
      <c r="U21" s="218"/>
      <c r="V21" s="218"/>
      <c r="W21" s="218"/>
      <c r="X21" s="218"/>
      <c r="Y21" s="218"/>
      <c r="Z21" s="218"/>
      <c r="AA21" s="218"/>
      <c r="AB21" s="218"/>
      <c r="AC21" s="218"/>
      <c r="AD21" s="218"/>
      <c r="AE21" s="218"/>
      <c r="AF21" s="218"/>
      <c r="AG21" s="218"/>
      <c r="AH21" s="218"/>
      <c r="AI21" s="218"/>
      <c r="AJ21" s="218"/>
      <c r="AK21" s="218"/>
      <c r="AL21" s="218"/>
      <c r="AM21" s="218"/>
      <c r="AN21" s="218"/>
      <c r="AO21" s="218"/>
      <c r="AP21" s="218"/>
      <c r="AQ21" s="218"/>
      <c r="AR21" s="218"/>
      <c r="AS21" s="218"/>
      <c r="AT21" s="218"/>
      <c r="AU21" s="218"/>
      <c r="AV21" s="218"/>
      <c r="AW21" s="218"/>
      <c r="AX21" s="218"/>
      <c r="AY21" s="218"/>
      <c r="AZ21" s="219"/>
      <c r="BA21" s="220"/>
      <c r="BB21" s="220"/>
      <c r="BC21" s="220"/>
      <c r="BD21" s="220"/>
      <c r="BE21" s="221"/>
      <c r="BF21" s="222"/>
      <c r="BG21" s="222"/>
      <c r="BH21" s="223"/>
      <c r="BI21" s="224"/>
    </row>
    <row r="22" spans="1:61" ht="14.4">
      <c r="A22" s="211"/>
      <c r="B22" s="212"/>
      <c r="C22" s="212"/>
      <c r="D22" s="212"/>
      <c r="E22" s="213"/>
      <c r="F22" s="214"/>
      <c r="G22" s="215"/>
      <c r="H22" s="215"/>
      <c r="I22" s="215"/>
      <c r="J22" s="215"/>
      <c r="K22" s="215"/>
      <c r="L22" s="215"/>
      <c r="M22" s="215"/>
      <c r="N22" s="215"/>
      <c r="O22" s="215"/>
      <c r="P22" s="215"/>
      <c r="Q22" s="215"/>
      <c r="R22" s="215"/>
      <c r="S22" s="216"/>
      <c r="T22" s="217"/>
      <c r="U22" s="218"/>
      <c r="V22" s="218"/>
      <c r="W22" s="218"/>
      <c r="X22" s="218"/>
      <c r="Y22" s="218"/>
      <c r="Z22" s="218"/>
      <c r="AA22" s="218"/>
      <c r="AB22" s="218"/>
      <c r="AC22" s="218"/>
      <c r="AD22" s="218"/>
      <c r="AE22" s="218"/>
      <c r="AF22" s="218"/>
      <c r="AG22" s="218"/>
      <c r="AH22" s="218"/>
      <c r="AI22" s="218"/>
      <c r="AJ22" s="218"/>
      <c r="AK22" s="218"/>
      <c r="AL22" s="218"/>
      <c r="AM22" s="218"/>
      <c r="AN22" s="218"/>
      <c r="AO22" s="218"/>
      <c r="AP22" s="218"/>
      <c r="AQ22" s="218"/>
      <c r="AR22" s="218"/>
      <c r="AS22" s="218"/>
      <c r="AT22" s="218"/>
      <c r="AU22" s="218"/>
      <c r="AV22" s="218"/>
      <c r="AW22" s="218"/>
      <c r="AX22" s="218"/>
      <c r="AY22" s="218"/>
      <c r="AZ22" s="219"/>
      <c r="BA22" s="220"/>
      <c r="BB22" s="220"/>
      <c r="BC22" s="220"/>
      <c r="BD22" s="220"/>
      <c r="BE22" s="221"/>
      <c r="BF22" s="222"/>
      <c r="BG22" s="222"/>
      <c r="BH22" s="223"/>
      <c r="BI22" s="224"/>
    </row>
    <row r="23" spans="1:61" ht="14.4">
      <c r="A23" s="211"/>
      <c r="B23" s="212"/>
      <c r="C23" s="212"/>
      <c r="D23" s="212"/>
      <c r="E23" s="213"/>
      <c r="F23" s="214"/>
      <c r="G23" s="215"/>
      <c r="H23" s="215"/>
      <c r="I23" s="215"/>
      <c r="J23" s="215"/>
      <c r="K23" s="215"/>
      <c r="L23" s="215"/>
      <c r="M23" s="215"/>
      <c r="N23" s="215"/>
      <c r="O23" s="215"/>
      <c r="P23" s="215"/>
      <c r="Q23" s="215"/>
      <c r="R23" s="215"/>
      <c r="S23" s="216"/>
      <c r="T23" s="217"/>
      <c r="U23" s="218"/>
      <c r="V23" s="218"/>
      <c r="W23" s="218"/>
      <c r="X23" s="218"/>
      <c r="Y23" s="218"/>
      <c r="Z23" s="218"/>
      <c r="AA23" s="218"/>
      <c r="AB23" s="218"/>
      <c r="AC23" s="218"/>
      <c r="AD23" s="218"/>
      <c r="AE23" s="218"/>
      <c r="AF23" s="218"/>
      <c r="AG23" s="218"/>
      <c r="AH23" s="218"/>
      <c r="AI23" s="218"/>
      <c r="AJ23" s="218"/>
      <c r="AK23" s="218"/>
      <c r="AL23" s="218"/>
      <c r="AM23" s="218"/>
      <c r="AN23" s="218"/>
      <c r="AO23" s="218"/>
      <c r="AP23" s="218"/>
      <c r="AQ23" s="218"/>
      <c r="AR23" s="218"/>
      <c r="AS23" s="218"/>
      <c r="AT23" s="218"/>
      <c r="AU23" s="218"/>
      <c r="AV23" s="218"/>
      <c r="AW23" s="218"/>
      <c r="AX23" s="218"/>
      <c r="AY23" s="218"/>
      <c r="AZ23" s="219"/>
      <c r="BA23" s="220"/>
      <c r="BB23" s="220"/>
      <c r="BC23" s="220"/>
      <c r="BD23" s="220"/>
      <c r="BE23" s="221"/>
      <c r="BF23" s="222"/>
      <c r="BG23" s="222"/>
      <c r="BH23" s="223"/>
      <c r="BI23" s="224"/>
    </row>
    <row r="24" spans="1:61" ht="14.4">
      <c r="A24" s="211"/>
      <c r="B24" s="212"/>
      <c r="C24" s="212"/>
      <c r="D24" s="212"/>
      <c r="E24" s="213"/>
      <c r="F24" s="214"/>
      <c r="G24" s="215"/>
      <c r="H24" s="215"/>
      <c r="I24" s="215"/>
      <c r="J24" s="215"/>
      <c r="K24" s="215"/>
      <c r="L24" s="215"/>
      <c r="M24" s="215"/>
      <c r="N24" s="215"/>
      <c r="O24" s="215"/>
      <c r="P24" s="215"/>
      <c r="Q24" s="215"/>
      <c r="R24" s="215"/>
      <c r="S24" s="216"/>
      <c r="T24" s="217"/>
      <c r="U24" s="218"/>
      <c r="V24" s="218"/>
      <c r="W24" s="218"/>
      <c r="X24" s="218"/>
      <c r="Y24" s="218"/>
      <c r="Z24" s="218"/>
      <c r="AA24" s="218"/>
      <c r="AB24" s="218"/>
      <c r="AC24" s="218"/>
      <c r="AD24" s="218"/>
      <c r="AE24" s="218"/>
      <c r="AF24" s="218"/>
      <c r="AG24" s="218"/>
      <c r="AH24" s="218"/>
      <c r="AI24" s="218"/>
      <c r="AJ24" s="218"/>
      <c r="AK24" s="218"/>
      <c r="AL24" s="218"/>
      <c r="AM24" s="218"/>
      <c r="AN24" s="218"/>
      <c r="AO24" s="218"/>
      <c r="AP24" s="218"/>
      <c r="AQ24" s="218"/>
      <c r="AR24" s="218"/>
      <c r="AS24" s="218"/>
      <c r="AT24" s="218"/>
      <c r="AU24" s="218"/>
      <c r="AV24" s="218"/>
      <c r="AW24" s="218"/>
      <c r="AX24" s="218"/>
      <c r="AY24" s="218"/>
      <c r="AZ24" s="219"/>
      <c r="BA24" s="220"/>
      <c r="BB24" s="220"/>
      <c r="BC24" s="220"/>
      <c r="BD24" s="220"/>
      <c r="BE24" s="221"/>
      <c r="BF24" s="222"/>
      <c r="BG24" s="222"/>
      <c r="BH24" s="223"/>
      <c r="BI24" s="224"/>
    </row>
    <row r="25" spans="1:61" ht="14.4">
      <c r="A25" s="211"/>
      <c r="B25" s="212"/>
      <c r="C25" s="212"/>
      <c r="D25" s="212"/>
      <c r="E25" s="213"/>
      <c r="F25" s="214"/>
      <c r="G25" s="215"/>
      <c r="H25" s="215"/>
      <c r="I25" s="215"/>
      <c r="J25" s="215"/>
      <c r="K25" s="215"/>
      <c r="L25" s="215"/>
      <c r="M25" s="215"/>
      <c r="N25" s="215"/>
      <c r="O25" s="215"/>
      <c r="P25" s="215"/>
      <c r="Q25" s="215"/>
      <c r="R25" s="215"/>
      <c r="S25" s="216"/>
      <c r="T25" s="217"/>
      <c r="U25" s="218"/>
      <c r="V25" s="218"/>
      <c r="W25" s="218"/>
      <c r="X25" s="218"/>
      <c r="Y25" s="218"/>
      <c r="Z25" s="218"/>
      <c r="AA25" s="218"/>
      <c r="AB25" s="218"/>
      <c r="AC25" s="218"/>
      <c r="AD25" s="218"/>
      <c r="AE25" s="218"/>
      <c r="AF25" s="218"/>
      <c r="AG25" s="218"/>
      <c r="AH25" s="218"/>
      <c r="AI25" s="218"/>
      <c r="AJ25" s="218"/>
      <c r="AK25" s="218"/>
      <c r="AL25" s="218"/>
      <c r="AM25" s="218"/>
      <c r="AN25" s="218"/>
      <c r="AO25" s="218"/>
      <c r="AP25" s="218"/>
      <c r="AQ25" s="218"/>
      <c r="AR25" s="218"/>
      <c r="AS25" s="218"/>
      <c r="AT25" s="218"/>
      <c r="AU25" s="218"/>
      <c r="AV25" s="218"/>
      <c r="AW25" s="218"/>
      <c r="AX25" s="218"/>
      <c r="AY25" s="218"/>
      <c r="AZ25" s="219"/>
      <c r="BA25" s="220"/>
      <c r="BB25" s="220"/>
      <c r="BC25" s="220"/>
      <c r="BD25" s="220"/>
      <c r="BE25" s="221"/>
      <c r="BF25" s="222"/>
      <c r="BG25" s="222"/>
      <c r="BH25" s="223"/>
      <c r="BI25" s="224"/>
    </row>
    <row r="26" spans="1:61" ht="14.4">
      <c r="A26" s="211"/>
      <c r="B26" s="212"/>
      <c r="C26" s="212"/>
      <c r="D26" s="212"/>
      <c r="E26" s="213"/>
      <c r="F26" s="214"/>
      <c r="G26" s="215"/>
      <c r="H26" s="215"/>
      <c r="I26" s="215"/>
      <c r="J26" s="215"/>
      <c r="K26" s="215"/>
      <c r="L26" s="215"/>
      <c r="M26" s="215"/>
      <c r="N26" s="215"/>
      <c r="O26" s="215"/>
      <c r="P26" s="215"/>
      <c r="Q26" s="215"/>
      <c r="R26" s="215"/>
      <c r="S26" s="216"/>
      <c r="T26" s="217"/>
      <c r="U26" s="218"/>
      <c r="V26" s="218"/>
      <c r="W26" s="218"/>
      <c r="X26" s="218"/>
      <c r="Y26" s="218"/>
      <c r="Z26" s="218"/>
      <c r="AA26" s="218"/>
      <c r="AB26" s="218"/>
      <c r="AC26" s="218"/>
      <c r="AD26" s="218"/>
      <c r="AE26" s="218"/>
      <c r="AF26" s="218"/>
      <c r="AG26" s="218"/>
      <c r="AH26" s="218"/>
      <c r="AI26" s="218"/>
      <c r="AJ26" s="218"/>
      <c r="AK26" s="218"/>
      <c r="AL26" s="218"/>
      <c r="AM26" s="218"/>
      <c r="AN26" s="218"/>
      <c r="AO26" s="218"/>
      <c r="AP26" s="218"/>
      <c r="AQ26" s="218"/>
      <c r="AR26" s="218"/>
      <c r="AS26" s="218"/>
      <c r="AT26" s="218"/>
      <c r="AU26" s="218"/>
      <c r="AV26" s="218"/>
      <c r="AW26" s="218"/>
      <c r="AX26" s="218"/>
      <c r="AY26" s="218"/>
      <c r="AZ26" s="219"/>
      <c r="BA26" s="220"/>
      <c r="BB26" s="220"/>
      <c r="BC26" s="220"/>
      <c r="BD26" s="220"/>
      <c r="BE26" s="221"/>
      <c r="BF26" s="222"/>
      <c r="BG26" s="222"/>
      <c r="BH26" s="223"/>
      <c r="BI26" s="224"/>
    </row>
    <row r="27" spans="1:61" ht="14.4">
      <c r="A27" s="211"/>
      <c r="B27" s="212"/>
      <c r="C27" s="212"/>
      <c r="D27" s="212"/>
      <c r="E27" s="213"/>
      <c r="F27" s="214"/>
      <c r="G27" s="215"/>
      <c r="H27" s="215"/>
      <c r="I27" s="215"/>
      <c r="J27" s="215"/>
      <c r="K27" s="215"/>
      <c r="L27" s="215"/>
      <c r="M27" s="215"/>
      <c r="N27" s="215"/>
      <c r="O27" s="215"/>
      <c r="P27" s="215"/>
      <c r="Q27" s="215"/>
      <c r="R27" s="215"/>
      <c r="S27" s="216"/>
      <c r="T27" s="217"/>
      <c r="U27" s="218"/>
      <c r="V27" s="218"/>
      <c r="W27" s="218"/>
      <c r="X27" s="218"/>
      <c r="Y27" s="218"/>
      <c r="Z27" s="218"/>
      <c r="AA27" s="218"/>
      <c r="AB27" s="218"/>
      <c r="AC27" s="218"/>
      <c r="AD27" s="218"/>
      <c r="AE27" s="218"/>
      <c r="AF27" s="218"/>
      <c r="AG27" s="218"/>
      <c r="AH27" s="218"/>
      <c r="AI27" s="218"/>
      <c r="AJ27" s="218"/>
      <c r="AK27" s="218"/>
      <c r="AL27" s="218"/>
      <c r="AM27" s="218"/>
      <c r="AN27" s="218"/>
      <c r="AO27" s="218"/>
      <c r="AP27" s="218"/>
      <c r="AQ27" s="218"/>
      <c r="AR27" s="218"/>
      <c r="AS27" s="218"/>
      <c r="AT27" s="218"/>
      <c r="AU27" s="218"/>
      <c r="AV27" s="218"/>
      <c r="AW27" s="218"/>
      <c r="AX27" s="218"/>
      <c r="AY27" s="218"/>
      <c r="AZ27" s="219"/>
      <c r="BA27" s="220"/>
      <c r="BB27" s="220"/>
      <c r="BC27" s="220"/>
      <c r="BD27" s="220"/>
      <c r="BE27" s="221"/>
      <c r="BF27" s="222"/>
      <c r="BG27" s="222"/>
      <c r="BH27" s="223"/>
      <c r="BI27" s="224"/>
    </row>
    <row r="28" spans="1:61" ht="14.4">
      <c r="A28" s="211"/>
      <c r="B28" s="212"/>
      <c r="C28" s="212"/>
      <c r="D28" s="212"/>
      <c r="E28" s="213"/>
      <c r="F28" s="214"/>
      <c r="G28" s="215"/>
      <c r="H28" s="215"/>
      <c r="I28" s="215"/>
      <c r="J28" s="215"/>
      <c r="K28" s="215"/>
      <c r="L28" s="215"/>
      <c r="M28" s="215"/>
      <c r="N28" s="215"/>
      <c r="O28" s="215"/>
      <c r="P28" s="215"/>
      <c r="Q28" s="215"/>
      <c r="R28" s="215"/>
      <c r="S28" s="216"/>
      <c r="T28" s="217"/>
      <c r="U28" s="218"/>
      <c r="V28" s="218"/>
      <c r="W28" s="218"/>
      <c r="X28" s="218"/>
      <c r="Y28" s="218"/>
      <c r="Z28" s="218"/>
      <c r="AA28" s="218"/>
      <c r="AB28" s="218"/>
      <c r="AC28" s="218"/>
      <c r="AD28" s="218"/>
      <c r="AE28" s="218"/>
      <c r="AF28" s="218"/>
      <c r="AG28" s="218"/>
      <c r="AH28" s="218"/>
      <c r="AI28" s="218"/>
      <c r="AJ28" s="218"/>
      <c r="AK28" s="218"/>
      <c r="AL28" s="218"/>
      <c r="AM28" s="218"/>
      <c r="AN28" s="218"/>
      <c r="AO28" s="218"/>
      <c r="AP28" s="218"/>
      <c r="AQ28" s="218"/>
      <c r="AR28" s="218"/>
      <c r="AS28" s="218"/>
      <c r="AT28" s="218"/>
      <c r="AU28" s="218"/>
      <c r="AV28" s="218"/>
      <c r="AW28" s="218"/>
      <c r="AX28" s="218"/>
      <c r="AY28" s="218"/>
      <c r="AZ28" s="219"/>
      <c r="BA28" s="220"/>
      <c r="BB28" s="220"/>
      <c r="BC28" s="220"/>
      <c r="BD28" s="220"/>
      <c r="BE28" s="221"/>
      <c r="BF28" s="222"/>
      <c r="BG28" s="222"/>
      <c r="BH28" s="223"/>
      <c r="BI28" s="224"/>
    </row>
    <row r="29" spans="1:61" ht="14.4">
      <c r="A29" s="211"/>
      <c r="B29" s="212"/>
      <c r="C29" s="212"/>
      <c r="D29" s="212"/>
      <c r="E29" s="213"/>
      <c r="F29" s="214"/>
      <c r="G29" s="215"/>
      <c r="H29" s="215"/>
      <c r="I29" s="215"/>
      <c r="J29" s="215"/>
      <c r="K29" s="215"/>
      <c r="L29" s="215"/>
      <c r="M29" s="215"/>
      <c r="N29" s="215"/>
      <c r="O29" s="215"/>
      <c r="P29" s="215"/>
      <c r="Q29" s="215"/>
      <c r="R29" s="215"/>
      <c r="S29" s="216"/>
      <c r="T29" s="217"/>
      <c r="U29" s="218"/>
      <c r="V29" s="218"/>
      <c r="W29" s="218"/>
      <c r="X29" s="218"/>
      <c r="Y29" s="218"/>
      <c r="Z29" s="218"/>
      <c r="AA29" s="218"/>
      <c r="AB29" s="218"/>
      <c r="AC29" s="218"/>
      <c r="AD29" s="218"/>
      <c r="AE29" s="218"/>
      <c r="AF29" s="218"/>
      <c r="AG29" s="218"/>
      <c r="AH29" s="218"/>
      <c r="AI29" s="218"/>
      <c r="AJ29" s="218"/>
      <c r="AK29" s="218"/>
      <c r="AL29" s="218"/>
      <c r="AM29" s="218"/>
      <c r="AN29" s="218"/>
      <c r="AO29" s="218"/>
      <c r="AP29" s="218"/>
      <c r="AQ29" s="218"/>
      <c r="AR29" s="218"/>
      <c r="AS29" s="218"/>
      <c r="AT29" s="218"/>
      <c r="AU29" s="218"/>
      <c r="AV29" s="218"/>
      <c r="AW29" s="218"/>
      <c r="AX29" s="218"/>
      <c r="AY29" s="218"/>
      <c r="AZ29" s="219"/>
      <c r="BA29" s="220"/>
      <c r="BB29" s="220"/>
      <c r="BC29" s="220"/>
      <c r="BD29" s="220"/>
      <c r="BE29" s="221"/>
      <c r="BF29" s="222"/>
      <c r="BG29" s="222"/>
      <c r="BH29" s="223"/>
      <c r="BI29" s="224"/>
    </row>
    <row r="30" spans="1:61" ht="14.4">
      <c r="A30" s="211"/>
      <c r="B30" s="212"/>
      <c r="C30" s="212"/>
      <c r="D30" s="212"/>
      <c r="E30" s="213"/>
      <c r="F30" s="214"/>
      <c r="G30" s="215"/>
      <c r="H30" s="215"/>
      <c r="I30" s="215"/>
      <c r="J30" s="215"/>
      <c r="K30" s="215"/>
      <c r="L30" s="215"/>
      <c r="M30" s="215"/>
      <c r="N30" s="215"/>
      <c r="O30" s="215"/>
      <c r="P30" s="215"/>
      <c r="Q30" s="215"/>
      <c r="R30" s="215"/>
      <c r="S30" s="216"/>
      <c r="T30" s="217"/>
      <c r="U30" s="218"/>
      <c r="V30" s="218"/>
      <c r="W30" s="218"/>
      <c r="X30" s="218"/>
      <c r="Y30" s="218"/>
      <c r="Z30" s="218"/>
      <c r="AA30" s="218"/>
      <c r="AB30" s="218"/>
      <c r="AC30" s="218"/>
      <c r="AD30" s="218"/>
      <c r="AE30" s="218"/>
      <c r="AF30" s="218"/>
      <c r="AG30" s="218"/>
      <c r="AH30" s="218"/>
      <c r="AI30" s="218"/>
      <c r="AJ30" s="218"/>
      <c r="AK30" s="218"/>
      <c r="AL30" s="218"/>
      <c r="AM30" s="218"/>
      <c r="AN30" s="218"/>
      <c r="AO30" s="218"/>
      <c r="AP30" s="218"/>
      <c r="AQ30" s="218"/>
      <c r="AR30" s="218"/>
      <c r="AS30" s="218"/>
      <c r="AT30" s="218"/>
      <c r="AU30" s="218"/>
      <c r="AV30" s="218"/>
      <c r="AW30" s="218"/>
      <c r="AX30" s="218"/>
      <c r="AY30" s="218"/>
      <c r="AZ30" s="219"/>
      <c r="BA30" s="220"/>
      <c r="BB30" s="220"/>
      <c r="BC30" s="220"/>
      <c r="BD30" s="220"/>
      <c r="BE30" s="221"/>
      <c r="BF30" s="222"/>
      <c r="BG30" s="222"/>
      <c r="BH30" s="223"/>
      <c r="BI30" s="224"/>
    </row>
    <row r="31" spans="1:61" ht="14.4">
      <c r="A31" s="211"/>
      <c r="B31" s="212"/>
      <c r="C31" s="212"/>
      <c r="D31" s="212"/>
      <c r="E31" s="213"/>
      <c r="F31" s="214"/>
      <c r="G31" s="215"/>
      <c r="H31" s="215"/>
      <c r="I31" s="215"/>
      <c r="J31" s="215"/>
      <c r="K31" s="215"/>
      <c r="L31" s="215"/>
      <c r="M31" s="215"/>
      <c r="N31" s="215"/>
      <c r="O31" s="215"/>
      <c r="P31" s="215"/>
      <c r="Q31" s="215"/>
      <c r="R31" s="215"/>
      <c r="S31" s="216"/>
      <c r="T31" s="217"/>
      <c r="U31" s="218"/>
      <c r="V31" s="218"/>
      <c r="W31" s="218"/>
      <c r="X31" s="218"/>
      <c r="Y31" s="218"/>
      <c r="Z31" s="218"/>
      <c r="AA31" s="218"/>
      <c r="AB31" s="218"/>
      <c r="AC31" s="218"/>
      <c r="AD31" s="218"/>
      <c r="AE31" s="218"/>
      <c r="AF31" s="218"/>
      <c r="AG31" s="218"/>
      <c r="AH31" s="218"/>
      <c r="AI31" s="218"/>
      <c r="AJ31" s="218"/>
      <c r="AK31" s="218"/>
      <c r="AL31" s="218"/>
      <c r="AM31" s="218"/>
      <c r="AN31" s="218"/>
      <c r="AO31" s="218"/>
      <c r="AP31" s="218"/>
      <c r="AQ31" s="218"/>
      <c r="AR31" s="218"/>
      <c r="AS31" s="218"/>
      <c r="AT31" s="218"/>
      <c r="AU31" s="218"/>
      <c r="AV31" s="218"/>
      <c r="AW31" s="218"/>
      <c r="AX31" s="218"/>
      <c r="AY31" s="218"/>
      <c r="AZ31" s="219"/>
      <c r="BA31" s="220"/>
      <c r="BB31" s="220"/>
      <c r="BC31" s="220"/>
      <c r="BD31" s="220"/>
      <c r="BE31" s="221"/>
      <c r="BF31" s="222"/>
      <c r="BG31" s="222"/>
      <c r="BH31" s="223"/>
      <c r="BI31" s="224"/>
    </row>
    <row r="32" spans="1:61" ht="14.4">
      <c r="A32" s="211"/>
      <c r="B32" s="212"/>
      <c r="C32" s="212"/>
      <c r="D32" s="212"/>
      <c r="E32" s="213"/>
      <c r="F32" s="214"/>
      <c r="G32" s="215"/>
      <c r="H32" s="215"/>
      <c r="I32" s="215"/>
      <c r="J32" s="215"/>
      <c r="K32" s="215"/>
      <c r="L32" s="215"/>
      <c r="M32" s="215"/>
      <c r="N32" s="215"/>
      <c r="O32" s="215"/>
      <c r="P32" s="215"/>
      <c r="Q32" s="215"/>
      <c r="R32" s="215"/>
      <c r="S32" s="216"/>
      <c r="T32" s="217"/>
      <c r="U32" s="218"/>
      <c r="V32" s="218"/>
      <c r="W32" s="218"/>
      <c r="X32" s="218"/>
      <c r="Y32" s="218"/>
      <c r="Z32" s="218"/>
      <c r="AA32" s="218"/>
      <c r="AB32" s="218"/>
      <c r="AC32" s="218"/>
      <c r="AD32" s="218"/>
      <c r="AE32" s="218"/>
      <c r="AF32" s="218"/>
      <c r="AG32" s="218"/>
      <c r="AH32" s="218"/>
      <c r="AI32" s="218"/>
      <c r="AJ32" s="218"/>
      <c r="AK32" s="218"/>
      <c r="AL32" s="218"/>
      <c r="AM32" s="218"/>
      <c r="AN32" s="218"/>
      <c r="AO32" s="218"/>
      <c r="AP32" s="218"/>
      <c r="AQ32" s="218"/>
      <c r="AR32" s="218"/>
      <c r="AS32" s="218"/>
      <c r="AT32" s="218"/>
      <c r="AU32" s="218"/>
      <c r="AV32" s="218"/>
      <c r="AW32" s="218"/>
      <c r="AX32" s="218"/>
      <c r="AY32" s="218"/>
      <c r="AZ32" s="219"/>
      <c r="BA32" s="220"/>
      <c r="BB32" s="220"/>
      <c r="BC32" s="220"/>
      <c r="BD32" s="220"/>
      <c r="BE32" s="221"/>
      <c r="BF32" s="222"/>
      <c r="BG32" s="222"/>
      <c r="BH32" s="223"/>
      <c r="BI32" s="224"/>
    </row>
    <row r="33" spans="1:61" ht="14.4">
      <c r="A33" s="211"/>
      <c r="B33" s="212"/>
      <c r="C33" s="212"/>
      <c r="D33" s="212"/>
      <c r="E33" s="213"/>
      <c r="F33" s="214"/>
      <c r="G33" s="215"/>
      <c r="H33" s="215"/>
      <c r="I33" s="215"/>
      <c r="J33" s="215"/>
      <c r="K33" s="215"/>
      <c r="L33" s="215"/>
      <c r="M33" s="215"/>
      <c r="N33" s="215"/>
      <c r="O33" s="215"/>
      <c r="P33" s="215"/>
      <c r="Q33" s="215"/>
      <c r="R33" s="215"/>
      <c r="S33" s="216"/>
      <c r="T33" s="217"/>
      <c r="U33" s="218"/>
      <c r="V33" s="218"/>
      <c r="W33" s="218"/>
      <c r="X33" s="218"/>
      <c r="Y33" s="218"/>
      <c r="Z33" s="218"/>
      <c r="AA33" s="218"/>
      <c r="AB33" s="218"/>
      <c r="AC33" s="218"/>
      <c r="AD33" s="218"/>
      <c r="AE33" s="218"/>
      <c r="AF33" s="218"/>
      <c r="AG33" s="218"/>
      <c r="AH33" s="218"/>
      <c r="AI33" s="218"/>
      <c r="AJ33" s="218"/>
      <c r="AK33" s="218"/>
      <c r="AL33" s="218"/>
      <c r="AM33" s="218"/>
      <c r="AN33" s="218"/>
      <c r="AO33" s="218"/>
      <c r="AP33" s="218"/>
      <c r="AQ33" s="218"/>
      <c r="AR33" s="218"/>
      <c r="AS33" s="218"/>
      <c r="AT33" s="218"/>
      <c r="AU33" s="218"/>
      <c r="AV33" s="218"/>
      <c r="AW33" s="218"/>
      <c r="AX33" s="218"/>
      <c r="AY33" s="218"/>
      <c r="AZ33" s="219"/>
      <c r="BA33" s="220"/>
      <c r="BB33" s="220"/>
      <c r="BC33" s="220"/>
      <c r="BD33" s="220"/>
      <c r="BE33" s="221"/>
      <c r="BF33" s="222"/>
      <c r="BG33" s="222"/>
      <c r="BH33" s="223"/>
      <c r="BI33" s="224"/>
    </row>
    <row r="34" spans="1:61" ht="14.4">
      <c r="A34" s="211"/>
      <c r="B34" s="212"/>
      <c r="C34" s="212"/>
      <c r="D34" s="212"/>
      <c r="E34" s="213"/>
      <c r="F34" s="214"/>
      <c r="G34" s="215"/>
      <c r="H34" s="215"/>
      <c r="I34" s="215"/>
      <c r="J34" s="215"/>
      <c r="K34" s="215"/>
      <c r="L34" s="215"/>
      <c r="M34" s="215"/>
      <c r="N34" s="215"/>
      <c r="O34" s="215"/>
      <c r="P34" s="215"/>
      <c r="Q34" s="215"/>
      <c r="R34" s="215"/>
      <c r="S34" s="216"/>
      <c r="T34" s="217"/>
      <c r="U34" s="218"/>
      <c r="V34" s="218"/>
      <c r="W34" s="218"/>
      <c r="X34" s="218"/>
      <c r="Y34" s="218"/>
      <c r="Z34" s="218"/>
      <c r="AA34" s="218"/>
      <c r="AB34" s="218"/>
      <c r="AC34" s="218"/>
      <c r="AD34" s="218"/>
      <c r="AE34" s="218"/>
      <c r="AF34" s="218"/>
      <c r="AG34" s="218"/>
      <c r="AH34" s="218"/>
      <c r="AI34" s="218"/>
      <c r="AJ34" s="218"/>
      <c r="AK34" s="218"/>
      <c r="AL34" s="218"/>
      <c r="AM34" s="218"/>
      <c r="AN34" s="218"/>
      <c r="AO34" s="218"/>
      <c r="AP34" s="218"/>
      <c r="AQ34" s="218"/>
      <c r="AR34" s="218"/>
      <c r="AS34" s="218"/>
      <c r="AT34" s="218"/>
      <c r="AU34" s="218"/>
      <c r="AV34" s="218"/>
      <c r="AW34" s="218"/>
      <c r="AX34" s="218"/>
      <c r="AY34" s="218"/>
      <c r="AZ34" s="219"/>
      <c r="BA34" s="220"/>
      <c r="BB34" s="220"/>
      <c r="BC34" s="220"/>
      <c r="BD34" s="220"/>
      <c r="BE34" s="221"/>
      <c r="BF34" s="222"/>
      <c r="BG34" s="222"/>
      <c r="BH34" s="223"/>
      <c r="BI34" s="224"/>
    </row>
    <row r="35" spans="1:61" ht="14.4">
      <c r="A35" s="211"/>
      <c r="B35" s="212"/>
      <c r="C35" s="212"/>
      <c r="D35" s="212"/>
      <c r="E35" s="213"/>
      <c r="F35" s="214"/>
      <c r="G35" s="215"/>
      <c r="H35" s="215"/>
      <c r="I35" s="215"/>
      <c r="J35" s="215"/>
      <c r="K35" s="215"/>
      <c r="L35" s="215"/>
      <c r="M35" s="215"/>
      <c r="N35" s="215"/>
      <c r="O35" s="215"/>
      <c r="P35" s="215"/>
      <c r="Q35" s="215"/>
      <c r="R35" s="215"/>
      <c r="S35" s="216"/>
      <c r="T35" s="217"/>
      <c r="U35" s="218"/>
      <c r="V35" s="218"/>
      <c r="W35" s="218"/>
      <c r="X35" s="218"/>
      <c r="Y35" s="218"/>
      <c r="Z35" s="218"/>
      <c r="AA35" s="218"/>
      <c r="AB35" s="218"/>
      <c r="AC35" s="218"/>
      <c r="AD35" s="218"/>
      <c r="AE35" s="218"/>
      <c r="AF35" s="218"/>
      <c r="AG35" s="218"/>
      <c r="AH35" s="218"/>
      <c r="AI35" s="218"/>
      <c r="AJ35" s="218"/>
      <c r="AK35" s="218"/>
      <c r="AL35" s="218"/>
      <c r="AM35" s="218"/>
      <c r="AN35" s="218"/>
      <c r="AO35" s="218"/>
      <c r="AP35" s="218"/>
      <c r="AQ35" s="218"/>
      <c r="AR35" s="218"/>
      <c r="AS35" s="218"/>
      <c r="AT35" s="218"/>
      <c r="AU35" s="218"/>
      <c r="AV35" s="218"/>
      <c r="AW35" s="218"/>
      <c r="AX35" s="218"/>
      <c r="AY35" s="218"/>
      <c r="AZ35" s="219"/>
      <c r="BA35" s="220"/>
      <c r="BB35" s="220"/>
      <c r="BC35" s="220"/>
      <c r="BD35" s="220"/>
      <c r="BE35" s="221"/>
      <c r="BF35" s="222"/>
      <c r="BG35" s="222"/>
      <c r="BH35" s="223"/>
      <c r="BI35" s="224"/>
    </row>
    <row r="36" spans="1:61" ht="14.4">
      <c r="A36" s="211"/>
      <c r="B36" s="212"/>
      <c r="C36" s="212"/>
      <c r="D36" s="212"/>
      <c r="E36" s="213"/>
      <c r="F36" s="214"/>
      <c r="G36" s="215"/>
      <c r="H36" s="215"/>
      <c r="I36" s="215"/>
      <c r="J36" s="215"/>
      <c r="K36" s="215"/>
      <c r="L36" s="215"/>
      <c r="M36" s="215"/>
      <c r="N36" s="215"/>
      <c r="O36" s="215"/>
      <c r="P36" s="215"/>
      <c r="Q36" s="215"/>
      <c r="R36" s="215"/>
      <c r="S36" s="216"/>
      <c r="T36" s="217"/>
      <c r="U36" s="218"/>
      <c r="V36" s="218"/>
      <c r="W36" s="218"/>
      <c r="X36" s="218"/>
      <c r="Y36" s="218"/>
      <c r="Z36" s="218"/>
      <c r="AA36" s="218"/>
      <c r="AB36" s="218"/>
      <c r="AC36" s="218"/>
      <c r="AD36" s="218"/>
      <c r="AE36" s="218"/>
      <c r="AF36" s="218"/>
      <c r="AG36" s="218"/>
      <c r="AH36" s="218"/>
      <c r="AI36" s="218"/>
      <c r="AJ36" s="218"/>
      <c r="AK36" s="218"/>
      <c r="AL36" s="218"/>
      <c r="AM36" s="218"/>
      <c r="AN36" s="218"/>
      <c r="AO36" s="218"/>
      <c r="AP36" s="218"/>
      <c r="AQ36" s="218"/>
      <c r="AR36" s="218"/>
      <c r="AS36" s="218"/>
      <c r="AT36" s="218"/>
      <c r="AU36" s="218"/>
      <c r="AV36" s="218"/>
      <c r="AW36" s="218"/>
      <c r="AX36" s="218"/>
      <c r="AY36" s="218"/>
      <c r="AZ36" s="219"/>
      <c r="BA36" s="220"/>
      <c r="BB36" s="220"/>
      <c r="BC36" s="220"/>
      <c r="BD36" s="220"/>
      <c r="BE36" s="221"/>
      <c r="BF36" s="222"/>
      <c r="BG36" s="222"/>
      <c r="BH36" s="223"/>
      <c r="BI36" s="224"/>
    </row>
    <row r="37" spans="1:61" ht="14.4">
      <c r="A37" s="211"/>
      <c r="B37" s="212"/>
      <c r="C37" s="212"/>
      <c r="D37" s="212"/>
      <c r="E37" s="213"/>
      <c r="F37" s="214"/>
      <c r="G37" s="215"/>
      <c r="H37" s="215"/>
      <c r="I37" s="215"/>
      <c r="J37" s="215"/>
      <c r="K37" s="215"/>
      <c r="L37" s="215"/>
      <c r="M37" s="215"/>
      <c r="N37" s="215"/>
      <c r="O37" s="215"/>
      <c r="P37" s="215"/>
      <c r="Q37" s="215"/>
      <c r="R37" s="215"/>
      <c r="S37" s="216"/>
      <c r="T37" s="217"/>
      <c r="U37" s="218"/>
      <c r="V37" s="218"/>
      <c r="W37" s="218"/>
      <c r="X37" s="218"/>
      <c r="Y37" s="218"/>
      <c r="Z37" s="218"/>
      <c r="AA37" s="218"/>
      <c r="AB37" s="218"/>
      <c r="AC37" s="218"/>
      <c r="AD37" s="218"/>
      <c r="AE37" s="218"/>
      <c r="AF37" s="218"/>
      <c r="AG37" s="218"/>
      <c r="AH37" s="218"/>
      <c r="AI37" s="218"/>
      <c r="AJ37" s="218"/>
      <c r="AK37" s="218"/>
      <c r="AL37" s="218"/>
      <c r="AM37" s="218"/>
      <c r="AN37" s="218"/>
      <c r="AO37" s="218"/>
      <c r="AP37" s="218"/>
      <c r="AQ37" s="218"/>
      <c r="AR37" s="218"/>
      <c r="AS37" s="218"/>
      <c r="AT37" s="218"/>
      <c r="AU37" s="218"/>
      <c r="AV37" s="218"/>
      <c r="AW37" s="218"/>
      <c r="AX37" s="218"/>
      <c r="AY37" s="218"/>
      <c r="AZ37" s="219"/>
      <c r="BA37" s="220"/>
      <c r="BB37" s="220"/>
      <c r="BC37" s="220"/>
      <c r="BD37" s="220"/>
      <c r="BE37" s="221"/>
      <c r="BF37" s="222"/>
      <c r="BG37" s="222"/>
      <c r="BH37" s="223"/>
      <c r="BI37" s="224"/>
    </row>
    <row r="38" spans="1:61" ht="14.4">
      <c r="A38" s="211"/>
      <c r="B38" s="212"/>
      <c r="C38" s="212"/>
      <c r="D38" s="212"/>
      <c r="E38" s="213"/>
      <c r="F38" s="214"/>
      <c r="G38" s="215"/>
      <c r="H38" s="215"/>
      <c r="I38" s="215"/>
      <c r="J38" s="215"/>
      <c r="K38" s="215"/>
      <c r="L38" s="215"/>
      <c r="M38" s="215"/>
      <c r="N38" s="215"/>
      <c r="O38" s="215"/>
      <c r="P38" s="215"/>
      <c r="Q38" s="215"/>
      <c r="R38" s="215"/>
      <c r="S38" s="216"/>
      <c r="T38" s="217"/>
      <c r="U38" s="218"/>
      <c r="V38" s="218"/>
      <c r="W38" s="218"/>
      <c r="X38" s="218"/>
      <c r="Y38" s="218"/>
      <c r="Z38" s="218"/>
      <c r="AA38" s="218"/>
      <c r="AB38" s="218"/>
      <c r="AC38" s="218"/>
      <c r="AD38" s="218"/>
      <c r="AE38" s="218"/>
      <c r="AF38" s="218"/>
      <c r="AG38" s="218"/>
      <c r="AH38" s="218"/>
      <c r="AI38" s="218"/>
      <c r="AJ38" s="218"/>
      <c r="AK38" s="218"/>
      <c r="AL38" s="218"/>
      <c r="AM38" s="218"/>
      <c r="AN38" s="218"/>
      <c r="AO38" s="218"/>
      <c r="AP38" s="218"/>
      <c r="AQ38" s="218"/>
      <c r="AR38" s="218"/>
      <c r="AS38" s="218"/>
      <c r="AT38" s="218"/>
      <c r="AU38" s="218"/>
      <c r="AV38" s="218"/>
      <c r="AW38" s="218"/>
      <c r="AX38" s="218"/>
      <c r="AY38" s="218"/>
      <c r="AZ38" s="219"/>
      <c r="BA38" s="220"/>
      <c r="BB38" s="220"/>
      <c r="BC38" s="220"/>
      <c r="BD38" s="220"/>
      <c r="BE38" s="221"/>
      <c r="BF38" s="222"/>
      <c r="BG38" s="222"/>
      <c r="BH38" s="223"/>
      <c r="BI38" s="224"/>
    </row>
    <row r="39" spans="1:61" ht="15" customHeight="1">
      <c r="A39" s="211"/>
      <c r="B39" s="212"/>
      <c r="C39" s="212"/>
      <c r="D39" s="212"/>
      <c r="E39" s="213"/>
      <c r="F39" s="214"/>
      <c r="G39" s="215"/>
      <c r="H39" s="215"/>
      <c r="I39" s="215"/>
      <c r="J39" s="215"/>
      <c r="K39" s="215"/>
      <c r="L39" s="215"/>
      <c r="M39" s="215"/>
      <c r="N39" s="215"/>
      <c r="O39" s="215"/>
      <c r="P39" s="215"/>
      <c r="Q39" s="215"/>
      <c r="R39" s="215"/>
      <c r="S39" s="216"/>
      <c r="T39" s="218"/>
      <c r="U39" s="218"/>
      <c r="V39" s="218"/>
      <c r="W39" s="218"/>
      <c r="X39" s="218"/>
      <c r="Y39" s="218"/>
      <c r="Z39" s="218"/>
      <c r="AA39" s="218"/>
      <c r="AB39" s="218"/>
      <c r="AC39" s="218"/>
      <c r="AD39" s="218"/>
      <c r="AE39" s="218"/>
      <c r="AF39" s="218"/>
      <c r="AG39" s="218"/>
      <c r="AH39" s="218"/>
      <c r="AI39" s="218"/>
      <c r="AJ39" s="218"/>
      <c r="AK39" s="218"/>
      <c r="AL39" s="218"/>
      <c r="AM39" s="218"/>
      <c r="AN39" s="218"/>
      <c r="AO39" s="218"/>
      <c r="AP39" s="218"/>
      <c r="AQ39" s="218"/>
      <c r="AR39" s="218"/>
      <c r="AS39" s="218"/>
      <c r="AT39" s="218"/>
      <c r="AU39" s="218"/>
      <c r="AV39" s="218"/>
      <c r="AW39" s="218"/>
      <c r="AX39" s="218"/>
      <c r="AY39" s="218"/>
      <c r="AZ39" s="219"/>
      <c r="BA39" s="220"/>
      <c r="BB39" s="220"/>
      <c r="BC39" s="220"/>
      <c r="BD39" s="220"/>
      <c r="BE39" s="221"/>
      <c r="BF39" s="222"/>
      <c r="BG39" s="222"/>
      <c r="BH39" s="223"/>
      <c r="BI39" s="224"/>
    </row>
    <row r="40" spans="1:61" ht="15" customHeight="1" thickBot="1">
      <c r="A40" s="225"/>
      <c r="B40" s="226"/>
      <c r="C40" s="226"/>
      <c r="D40" s="226"/>
      <c r="E40" s="227"/>
      <c r="F40" s="228"/>
      <c r="G40" s="229"/>
      <c r="H40" s="229"/>
      <c r="I40" s="229"/>
      <c r="J40" s="229"/>
      <c r="K40" s="229"/>
      <c r="L40" s="229"/>
      <c r="M40" s="229"/>
      <c r="N40" s="229"/>
      <c r="O40" s="229"/>
      <c r="P40" s="229"/>
      <c r="Q40" s="229"/>
      <c r="R40" s="229"/>
      <c r="S40" s="230"/>
      <c r="T40" s="231"/>
      <c r="U40" s="231"/>
      <c r="V40" s="231"/>
      <c r="W40" s="231"/>
      <c r="X40" s="231"/>
      <c r="Y40" s="231"/>
      <c r="Z40" s="231"/>
      <c r="AA40" s="231"/>
      <c r="AB40" s="231"/>
      <c r="AC40" s="231"/>
      <c r="AD40" s="231"/>
      <c r="AE40" s="231"/>
      <c r="AF40" s="231"/>
      <c r="AG40" s="231"/>
      <c r="AH40" s="231"/>
      <c r="AI40" s="231"/>
      <c r="AJ40" s="231"/>
      <c r="AK40" s="231"/>
      <c r="AL40" s="231"/>
      <c r="AM40" s="231"/>
      <c r="AN40" s="231"/>
      <c r="AO40" s="231"/>
      <c r="AP40" s="231"/>
      <c r="AQ40" s="231"/>
      <c r="AR40" s="231"/>
      <c r="AS40" s="231"/>
      <c r="AT40" s="231"/>
      <c r="AU40" s="231"/>
      <c r="AV40" s="231"/>
      <c r="AW40" s="231"/>
      <c r="AX40" s="231"/>
      <c r="AY40" s="231"/>
      <c r="AZ40" s="232"/>
      <c r="BA40" s="233"/>
      <c r="BB40" s="233"/>
      <c r="BC40" s="233"/>
      <c r="BD40" s="233"/>
      <c r="BE40" s="234"/>
      <c r="BF40" s="235"/>
      <c r="BG40" s="235"/>
      <c r="BH40" s="236"/>
      <c r="BI40" s="237"/>
    </row>
  </sheetData>
  <mergeCells count="197">
    <mergeCell ref="A30:E30"/>
    <mergeCell ref="F30:S30"/>
    <mergeCell ref="T30:AY30"/>
    <mergeCell ref="AZ30:BE30"/>
    <mergeCell ref="BF30:BI30"/>
    <mergeCell ref="A37:E37"/>
    <mergeCell ref="F37:S37"/>
    <mergeCell ref="T37:AY37"/>
    <mergeCell ref="AZ37:BE37"/>
    <mergeCell ref="BF37:BI37"/>
    <mergeCell ref="A31:E31"/>
    <mergeCell ref="F31:S31"/>
    <mergeCell ref="T31:AY31"/>
    <mergeCell ref="AZ31:BE31"/>
    <mergeCell ref="BF31:BI31"/>
    <mergeCell ref="A32:E32"/>
    <mergeCell ref="F32:S32"/>
    <mergeCell ref="T32:AY32"/>
    <mergeCell ref="AZ32:BE32"/>
    <mergeCell ref="BF32:BI32"/>
    <mergeCell ref="A33:E33"/>
    <mergeCell ref="F33:S33"/>
    <mergeCell ref="T33:AY33"/>
    <mergeCell ref="AZ33:BE33"/>
    <mergeCell ref="A28:E28"/>
    <mergeCell ref="F28:S28"/>
    <mergeCell ref="T28:AY28"/>
    <mergeCell ref="AZ28:BE28"/>
    <mergeCell ref="BF28:BI28"/>
    <mergeCell ref="A29:E29"/>
    <mergeCell ref="F29:S29"/>
    <mergeCell ref="T29:AY29"/>
    <mergeCell ref="AZ29:BE29"/>
    <mergeCell ref="BF29:BI29"/>
    <mergeCell ref="A26:E26"/>
    <mergeCell ref="F26:S26"/>
    <mergeCell ref="T26:AY26"/>
    <mergeCell ref="AZ26:BE26"/>
    <mergeCell ref="BF26:BI26"/>
    <mergeCell ref="A27:E27"/>
    <mergeCell ref="F27:S27"/>
    <mergeCell ref="T27:AY27"/>
    <mergeCell ref="AZ27:BE27"/>
    <mergeCell ref="BF27:BI27"/>
    <mergeCell ref="A24:E24"/>
    <mergeCell ref="F24:S24"/>
    <mergeCell ref="T24:AY24"/>
    <mergeCell ref="AZ24:BE24"/>
    <mergeCell ref="BF24:BI24"/>
    <mergeCell ref="A25:E25"/>
    <mergeCell ref="F25:S25"/>
    <mergeCell ref="T25:AY25"/>
    <mergeCell ref="AZ25:BE25"/>
    <mergeCell ref="BF25:BI25"/>
    <mergeCell ref="A22:E22"/>
    <mergeCell ref="F22:S22"/>
    <mergeCell ref="T22:AY22"/>
    <mergeCell ref="AZ22:BE22"/>
    <mergeCell ref="BF22:BI22"/>
    <mergeCell ref="A23:E23"/>
    <mergeCell ref="F23:S23"/>
    <mergeCell ref="T23:AY23"/>
    <mergeCell ref="AZ23:BE23"/>
    <mergeCell ref="BF23:BI23"/>
    <mergeCell ref="A20:E20"/>
    <mergeCell ref="F20:S20"/>
    <mergeCell ref="T20:AY20"/>
    <mergeCell ref="AZ20:BE20"/>
    <mergeCell ref="BF20:BI20"/>
    <mergeCell ref="A21:E21"/>
    <mergeCell ref="F21:S21"/>
    <mergeCell ref="T21:AY21"/>
    <mergeCell ref="AZ21:BE21"/>
    <mergeCell ref="BF21:BI21"/>
    <mergeCell ref="A18:E18"/>
    <mergeCell ref="F18:S18"/>
    <mergeCell ref="T18:AY18"/>
    <mergeCell ref="AZ18:BE18"/>
    <mergeCell ref="BF18:BI18"/>
    <mergeCell ref="A19:E19"/>
    <mergeCell ref="F19:S19"/>
    <mergeCell ref="T19:AY19"/>
    <mergeCell ref="AZ19:BE19"/>
    <mergeCell ref="BF19:BI19"/>
    <mergeCell ref="A16:E16"/>
    <mergeCell ref="F16:S16"/>
    <mergeCell ref="T16:AY16"/>
    <mergeCell ref="AZ16:BE16"/>
    <mergeCell ref="BF16:BI16"/>
    <mergeCell ref="A17:E17"/>
    <mergeCell ref="F17:S17"/>
    <mergeCell ref="T17:AY17"/>
    <mergeCell ref="AZ17:BE17"/>
    <mergeCell ref="BF17:BI17"/>
    <mergeCell ref="A14:E14"/>
    <mergeCell ref="F14:S14"/>
    <mergeCell ref="T14:AY14"/>
    <mergeCell ref="AZ14:BE14"/>
    <mergeCell ref="BF14:BI14"/>
    <mergeCell ref="A15:E15"/>
    <mergeCell ref="F15:S15"/>
    <mergeCell ref="T15:AY15"/>
    <mergeCell ref="AZ15:BE15"/>
    <mergeCell ref="BF15:BI15"/>
    <mergeCell ref="BB3:BI3"/>
    <mergeCell ref="A5:E5"/>
    <mergeCell ref="F5:S5"/>
    <mergeCell ref="T5:AY5"/>
    <mergeCell ref="AZ5:BE5"/>
    <mergeCell ref="BF5:BI5"/>
    <mergeCell ref="BB1:BI1"/>
    <mergeCell ref="F2:P3"/>
    <mergeCell ref="Q2:V3"/>
    <mergeCell ref="W2:AD3"/>
    <mergeCell ref="AE2:AS3"/>
    <mergeCell ref="AT2:AU2"/>
    <mergeCell ref="AV2:BA2"/>
    <mergeCell ref="BB2:BI2"/>
    <mergeCell ref="AT3:AU3"/>
    <mergeCell ref="AV3:BA3"/>
    <mergeCell ref="A1:E3"/>
    <mergeCell ref="F1:P1"/>
    <mergeCell ref="Q1:V1"/>
    <mergeCell ref="W1:AD1"/>
    <mergeCell ref="AE1:AS1"/>
    <mergeCell ref="AT1:BA1"/>
    <mergeCell ref="A6:E6"/>
    <mergeCell ref="F6:S6"/>
    <mergeCell ref="T6:AY6"/>
    <mergeCell ref="AZ6:BE6"/>
    <mergeCell ref="BF6:BI6"/>
    <mergeCell ref="A7:E7"/>
    <mergeCell ref="F7:S7"/>
    <mergeCell ref="T7:AY7"/>
    <mergeCell ref="AZ7:BE7"/>
    <mergeCell ref="BF7:BI7"/>
    <mergeCell ref="A8:E8"/>
    <mergeCell ref="F8:S8"/>
    <mergeCell ref="T8:AY8"/>
    <mergeCell ref="AZ8:BE8"/>
    <mergeCell ref="BF8:BI8"/>
    <mergeCell ref="A9:E9"/>
    <mergeCell ref="F9:S9"/>
    <mergeCell ref="T9:AY9"/>
    <mergeCell ref="AZ9:BE9"/>
    <mergeCell ref="BF9:BI9"/>
    <mergeCell ref="A10:E10"/>
    <mergeCell ref="F10:S10"/>
    <mergeCell ref="T10:AY10"/>
    <mergeCell ref="AZ10:BE10"/>
    <mergeCell ref="BF10:BI10"/>
    <mergeCell ref="A11:E11"/>
    <mergeCell ref="F11:S11"/>
    <mergeCell ref="T11:AY11"/>
    <mergeCell ref="AZ11:BE11"/>
    <mergeCell ref="BF11:BI11"/>
    <mergeCell ref="A12:E12"/>
    <mergeCell ref="F12:S12"/>
    <mergeCell ref="T12:AY12"/>
    <mergeCell ref="AZ12:BE12"/>
    <mergeCell ref="BF12:BI12"/>
    <mergeCell ref="A13:E13"/>
    <mergeCell ref="F13:S13"/>
    <mergeCell ref="T13:AY13"/>
    <mergeCell ref="AZ13:BE13"/>
    <mergeCell ref="BF13:BI13"/>
    <mergeCell ref="BF33:BI33"/>
    <mergeCell ref="A34:E34"/>
    <mergeCell ref="F34:S34"/>
    <mergeCell ref="T34:AY34"/>
    <mergeCell ref="AZ34:BE34"/>
    <mergeCell ref="BF34:BI34"/>
    <mergeCell ref="A35:E35"/>
    <mergeCell ref="F35:S35"/>
    <mergeCell ref="T35:AY35"/>
    <mergeCell ref="AZ35:BE35"/>
    <mergeCell ref="BF35:BI35"/>
    <mergeCell ref="A36:E36"/>
    <mergeCell ref="F36:S36"/>
    <mergeCell ref="T36:AY36"/>
    <mergeCell ref="AZ36:BE36"/>
    <mergeCell ref="BF36:BI36"/>
    <mergeCell ref="A40:E40"/>
    <mergeCell ref="F40:S40"/>
    <mergeCell ref="T40:AY40"/>
    <mergeCell ref="AZ40:BE40"/>
    <mergeCell ref="BF40:BI40"/>
    <mergeCell ref="A39:E39"/>
    <mergeCell ref="F39:S39"/>
    <mergeCell ref="T39:AY39"/>
    <mergeCell ref="AZ39:BE39"/>
    <mergeCell ref="BF39:BI39"/>
    <mergeCell ref="BF38:BI38"/>
    <mergeCell ref="AZ38:BE38"/>
    <mergeCell ref="T38:AY38"/>
    <mergeCell ref="F38:S38"/>
    <mergeCell ref="A38:E38"/>
  </mergeCells>
  <phoneticPr fontId="2"/>
  <printOptions horizontalCentered="1"/>
  <pageMargins left="0.23622047244094491" right="0.23622047244094491" top="0.74803149606299213" bottom="0.74803149606299213" header="0.31496062992125984" footer="0.31496062992125984"/>
  <pageSetup paperSize="9" scale="85"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C581A-4BE4-4DB7-82AA-E5B6D12C77B6}">
  <dimension ref="A1:BI48"/>
  <sheetViews>
    <sheetView showGridLines="0" zoomScale="70" zoomScaleNormal="70" workbookViewId="0">
      <selection sqref="A1:E3"/>
    </sheetView>
  </sheetViews>
  <sheetFormatPr defaultColWidth="2.5" defaultRowHeight="15" customHeight="1"/>
  <cols>
    <col min="1" max="16384" width="2.5" style="45"/>
  </cols>
  <sheetData>
    <row r="1" spans="1:61" s="1" customFormat="1" ht="15" customHeight="1" thickBot="1">
      <c r="A1" s="294" t="s">
        <v>32</v>
      </c>
      <c r="B1" s="295"/>
      <c r="C1" s="295"/>
      <c r="D1" s="295"/>
      <c r="E1" s="296"/>
      <c r="F1" s="303" t="str">
        <f>変更履歴!F1</f>
        <v>システム名</v>
      </c>
      <c r="G1" s="304"/>
      <c r="H1" s="304"/>
      <c r="I1" s="304"/>
      <c r="J1" s="304"/>
      <c r="K1" s="304"/>
      <c r="L1" s="304"/>
      <c r="M1" s="304"/>
      <c r="N1" s="304"/>
      <c r="O1" s="304"/>
      <c r="P1" s="305"/>
      <c r="Q1" s="306" t="str">
        <f>変更履歴!Q1</f>
        <v>機能分類</v>
      </c>
      <c r="R1" s="307"/>
      <c r="S1" s="307"/>
      <c r="T1" s="307"/>
      <c r="U1" s="307"/>
      <c r="V1" s="308"/>
      <c r="W1" s="303" t="str">
        <f>変更履歴!W1</f>
        <v>機能ＩＤ</v>
      </c>
      <c r="X1" s="304"/>
      <c r="Y1" s="304"/>
      <c r="Z1" s="304"/>
      <c r="AA1" s="304"/>
      <c r="AB1" s="304"/>
      <c r="AC1" s="304"/>
      <c r="AD1" s="305"/>
      <c r="AE1" s="303" t="str">
        <f>変更履歴!AE1</f>
        <v>機能名称</v>
      </c>
      <c r="AF1" s="304"/>
      <c r="AG1" s="304"/>
      <c r="AH1" s="304"/>
      <c r="AI1" s="304"/>
      <c r="AJ1" s="304"/>
      <c r="AK1" s="304"/>
      <c r="AL1" s="304"/>
      <c r="AM1" s="304"/>
      <c r="AN1" s="304"/>
      <c r="AO1" s="304"/>
      <c r="AP1" s="304"/>
      <c r="AQ1" s="304"/>
      <c r="AR1" s="304"/>
      <c r="AS1" s="305"/>
      <c r="AT1" s="309" t="str">
        <f>変更履歴!AT1</f>
        <v>日付</v>
      </c>
      <c r="AU1" s="310"/>
      <c r="AV1" s="310"/>
      <c r="AW1" s="310"/>
      <c r="AX1" s="310"/>
      <c r="AY1" s="310"/>
      <c r="AZ1" s="310"/>
      <c r="BA1" s="311"/>
      <c r="BB1" s="266" t="str">
        <f>変更履歴!BB1</f>
        <v>更新者</v>
      </c>
      <c r="BC1" s="268"/>
      <c r="BD1" s="268"/>
      <c r="BE1" s="268"/>
      <c r="BF1" s="268"/>
      <c r="BG1" s="268"/>
      <c r="BH1" s="268"/>
      <c r="BI1" s="269"/>
    </row>
    <row r="2" spans="1:61" s="1" customFormat="1" ht="15" customHeight="1">
      <c r="A2" s="297"/>
      <c r="B2" s="298"/>
      <c r="C2" s="298"/>
      <c r="D2" s="298"/>
      <c r="E2" s="299"/>
      <c r="F2" s="270" t="str">
        <f>変更履歴!F2</f>
        <v>Dynamics365 for Finance and Operations</v>
      </c>
      <c r="G2" s="271"/>
      <c r="H2" s="271"/>
      <c r="I2" s="271"/>
      <c r="J2" s="271"/>
      <c r="K2" s="271"/>
      <c r="L2" s="271"/>
      <c r="M2" s="271"/>
      <c r="N2" s="271"/>
      <c r="O2" s="271"/>
      <c r="P2" s="272"/>
      <c r="Q2" s="270" t="str">
        <f>変更履歴!Q2</f>
        <v>システム共通</v>
      </c>
      <c r="R2" s="271"/>
      <c r="S2" s="271"/>
      <c r="T2" s="271"/>
      <c r="U2" s="271"/>
      <c r="V2" s="272"/>
      <c r="W2" s="276" t="str">
        <f>変更履歴!W2</f>
        <v>FO-088</v>
      </c>
      <c r="X2" s="277"/>
      <c r="Y2" s="277"/>
      <c r="Z2" s="277"/>
      <c r="AA2" s="277"/>
      <c r="AB2" s="277"/>
      <c r="AC2" s="277"/>
      <c r="AD2" s="278"/>
      <c r="AE2" s="270" t="str">
        <f>変更履歴!AE2</f>
        <v>AzureFiles連携共通インターフェース</v>
      </c>
      <c r="AF2" s="271"/>
      <c r="AG2" s="271"/>
      <c r="AH2" s="271"/>
      <c r="AI2" s="271"/>
      <c r="AJ2" s="271"/>
      <c r="AK2" s="271"/>
      <c r="AL2" s="271"/>
      <c r="AM2" s="271"/>
      <c r="AN2" s="271"/>
      <c r="AO2" s="271"/>
      <c r="AP2" s="271"/>
      <c r="AQ2" s="271"/>
      <c r="AR2" s="271"/>
      <c r="AS2" s="272"/>
      <c r="AT2" s="282" t="str">
        <f>変更履歴!AT2</f>
        <v>作成</v>
      </c>
      <c r="AU2" s="283"/>
      <c r="AV2" s="284">
        <f>変更履歴!AV2</f>
        <v>45453</v>
      </c>
      <c r="AW2" s="284"/>
      <c r="AX2" s="284"/>
      <c r="AY2" s="284"/>
      <c r="AZ2" s="284"/>
      <c r="BA2" s="285"/>
      <c r="BB2" s="286" t="str">
        <f>変更履歴!BB2</f>
        <v>JBS石岡</v>
      </c>
      <c r="BC2" s="288"/>
      <c r="BD2" s="288"/>
      <c r="BE2" s="288"/>
      <c r="BF2" s="288"/>
      <c r="BG2" s="288"/>
      <c r="BH2" s="288"/>
      <c r="BI2" s="289"/>
    </row>
    <row r="3" spans="1:61" s="1" customFormat="1" ht="15" customHeight="1" thickBot="1">
      <c r="A3" s="300"/>
      <c r="B3" s="301"/>
      <c r="C3" s="301"/>
      <c r="D3" s="301"/>
      <c r="E3" s="302"/>
      <c r="F3" s="273"/>
      <c r="G3" s="274"/>
      <c r="H3" s="274"/>
      <c r="I3" s="274"/>
      <c r="J3" s="274"/>
      <c r="K3" s="274"/>
      <c r="L3" s="274"/>
      <c r="M3" s="274"/>
      <c r="N3" s="274"/>
      <c r="O3" s="274"/>
      <c r="P3" s="275"/>
      <c r="Q3" s="273"/>
      <c r="R3" s="274"/>
      <c r="S3" s="274"/>
      <c r="T3" s="274"/>
      <c r="U3" s="274"/>
      <c r="V3" s="275"/>
      <c r="W3" s="279"/>
      <c r="X3" s="280"/>
      <c r="Y3" s="280"/>
      <c r="Z3" s="280"/>
      <c r="AA3" s="280"/>
      <c r="AB3" s="280"/>
      <c r="AC3" s="280"/>
      <c r="AD3" s="281"/>
      <c r="AE3" s="273"/>
      <c r="AF3" s="274"/>
      <c r="AG3" s="274"/>
      <c r="AH3" s="274"/>
      <c r="AI3" s="274"/>
      <c r="AJ3" s="274"/>
      <c r="AK3" s="274"/>
      <c r="AL3" s="274"/>
      <c r="AM3" s="274"/>
      <c r="AN3" s="274"/>
      <c r="AO3" s="274"/>
      <c r="AP3" s="274"/>
      <c r="AQ3" s="274"/>
      <c r="AR3" s="274"/>
      <c r="AS3" s="275"/>
      <c r="AT3" s="290" t="str">
        <f>変更履歴!AT3</f>
        <v>更新</v>
      </c>
      <c r="AU3" s="291"/>
      <c r="AV3" s="316">
        <f ca="1">変更履歴!AV3</f>
        <v>45726</v>
      </c>
      <c r="AW3" s="317"/>
      <c r="AX3" s="317"/>
      <c r="AY3" s="317"/>
      <c r="AZ3" s="317"/>
      <c r="BA3" s="318"/>
      <c r="BB3" s="313" t="str">
        <f ca="1">変更履歴!BB3</f>
        <v>JBS石岡</v>
      </c>
      <c r="BC3" s="314"/>
      <c r="BD3" s="314"/>
      <c r="BE3" s="314"/>
      <c r="BF3" s="314"/>
      <c r="BG3" s="314"/>
      <c r="BH3" s="314"/>
      <c r="BI3" s="315"/>
    </row>
    <row r="4" spans="1:61" s="1" customFormat="1" ht="15" customHeight="1" thickBot="1">
      <c r="A4" s="312"/>
      <c r="B4" s="312"/>
      <c r="C4" s="312"/>
      <c r="D4" s="312"/>
      <c r="E4" s="312"/>
      <c r="F4" s="312"/>
      <c r="G4" s="312"/>
      <c r="H4" s="312"/>
    </row>
    <row r="5" spans="1:61" s="1" customFormat="1" ht="15" customHeight="1">
      <c r="A5" s="2" t="s">
        <v>33</v>
      </c>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4"/>
    </row>
    <row r="6" spans="1:61" s="1" customFormat="1" ht="15" customHeight="1">
      <c r="A6" s="15"/>
      <c r="B6" s="5" t="s">
        <v>34</v>
      </c>
      <c r="C6" s="1" t="s">
        <v>35</v>
      </c>
      <c r="BI6" s="26"/>
    </row>
    <row r="7" spans="1:61" s="1" customFormat="1" ht="15" customHeight="1">
      <c r="A7" s="15"/>
      <c r="B7" s="5" t="s">
        <v>36</v>
      </c>
      <c r="C7" s="1" t="s">
        <v>37</v>
      </c>
      <c r="BI7" s="26"/>
    </row>
    <row r="8" spans="1:61" s="1" customFormat="1" ht="15" customHeight="1">
      <c r="A8" s="15"/>
      <c r="B8" s="5"/>
      <c r="BI8" s="26"/>
    </row>
    <row r="9" spans="1:61" s="1" customFormat="1" ht="15" customHeight="1">
      <c r="A9" s="15"/>
      <c r="B9" s="5"/>
      <c r="BI9" s="26"/>
    </row>
    <row r="10" spans="1:61" s="1" customFormat="1" ht="15" customHeight="1">
      <c r="A10" s="16" t="s">
        <v>38</v>
      </c>
      <c r="BI10" s="26"/>
    </row>
    <row r="11" spans="1:61" s="1" customFormat="1" ht="15" customHeight="1">
      <c r="A11" s="15"/>
      <c r="B11" s="5" t="s">
        <v>34</v>
      </c>
      <c r="C11" s="1" t="s">
        <v>39</v>
      </c>
      <c r="BI11" s="26"/>
    </row>
    <row r="12" spans="1:61" s="1" customFormat="1" ht="15" customHeight="1">
      <c r="A12" s="15"/>
      <c r="B12" s="5" t="s">
        <v>40</v>
      </c>
      <c r="C12" s="1" t="s">
        <v>41</v>
      </c>
      <c r="BI12" s="26"/>
    </row>
    <row r="13" spans="1:61" s="1" customFormat="1" ht="15" customHeight="1">
      <c r="A13" s="15"/>
      <c r="B13" s="5" t="s">
        <v>42</v>
      </c>
      <c r="C13" s="1" t="s">
        <v>471</v>
      </c>
      <c r="BI13" s="26"/>
    </row>
    <row r="14" spans="1:61" s="1" customFormat="1" ht="15" customHeight="1">
      <c r="A14" s="16"/>
      <c r="B14" s="5" t="s">
        <v>43</v>
      </c>
      <c r="C14" s="1" t="s">
        <v>44</v>
      </c>
      <c r="BI14" s="26"/>
    </row>
    <row r="15" spans="1:61" s="1" customFormat="1" ht="15" customHeight="1">
      <c r="A15" s="16"/>
      <c r="B15" s="5"/>
      <c r="BI15" s="26"/>
    </row>
    <row r="16" spans="1:61" s="1" customFormat="1" ht="15" customHeight="1">
      <c r="A16" s="16"/>
      <c r="B16" s="5"/>
      <c r="BI16" s="26"/>
    </row>
    <row r="17" spans="1:61" s="1" customFormat="1" ht="15" customHeight="1">
      <c r="A17" s="15"/>
      <c r="B17" s="5"/>
      <c r="BI17" s="26"/>
    </row>
    <row r="18" spans="1:61" s="1" customFormat="1" ht="15" customHeight="1">
      <c r="A18" s="16" t="s">
        <v>45</v>
      </c>
      <c r="BI18" s="26"/>
    </row>
    <row r="19" spans="1:61" s="1" customFormat="1" ht="15" customHeight="1">
      <c r="A19" s="15"/>
      <c r="B19" s="5" t="s">
        <v>46</v>
      </c>
      <c r="C19" s="1" t="s">
        <v>47</v>
      </c>
      <c r="BI19" s="26"/>
    </row>
    <row r="20" spans="1:61" s="1" customFormat="1" ht="15" customHeight="1">
      <c r="A20" s="15"/>
      <c r="B20" s="5"/>
      <c r="BI20" s="26"/>
    </row>
    <row r="21" spans="1:61" s="1" customFormat="1" ht="15" customHeight="1">
      <c r="A21" s="15"/>
      <c r="B21" s="5"/>
      <c r="BI21" s="26"/>
    </row>
    <row r="22" spans="1:61" s="1" customFormat="1" ht="15" customHeight="1">
      <c r="A22" s="16" t="s">
        <v>48</v>
      </c>
      <c r="BI22" s="26"/>
    </row>
    <row r="23" spans="1:61" s="1" customFormat="1" ht="15" customHeight="1">
      <c r="A23" s="15"/>
      <c r="B23" s="5" t="s">
        <v>34</v>
      </c>
      <c r="C23" s="1" t="s">
        <v>49</v>
      </c>
      <c r="BI23" s="26"/>
    </row>
    <row r="24" spans="1:61" s="1" customFormat="1" ht="15" customHeight="1">
      <c r="A24" s="15"/>
      <c r="C24" s="1" t="s">
        <v>50</v>
      </c>
      <c r="BI24" s="26"/>
    </row>
    <row r="25" spans="1:61" s="1" customFormat="1" ht="15" customHeight="1">
      <c r="A25" s="15"/>
      <c r="B25" s="5"/>
      <c r="BI25" s="26"/>
    </row>
    <row r="26" spans="1:61" s="1" customFormat="1" ht="15" customHeight="1">
      <c r="A26" s="15"/>
      <c r="B26" s="5" t="s">
        <v>36</v>
      </c>
      <c r="C26" s="1" t="s">
        <v>51</v>
      </c>
      <c r="BI26" s="26"/>
    </row>
    <row r="27" spans="1:61" s="1" customFormat="1" ht="15" customHeight="1">
      <c r="A27" s="15"/>
      <c r="B27" s="5"/>
      <c r="C27" s="1" t="s">
        <v>52</v>
      </c>
      <c r="BI27" s="26"/>
    </row>
    <row r="28" spans="1:61" s="1" customFormat="1" ht="15" customHeight="1">
      <c r="A28" s="15"/>
      <c r="B28" s="5"/>
      <c r="C28" s="1" t="s">
        <v>53</v>
      </c>
      <c r="BI28" s="26"/>
    </row>
    <row r="29" spans="1:61" s="1" customFormat="1" ht="15" customHeight="1">
      <c r="A29" s="15"/>
      <c r="B29" s="5"/>
      <c r="BI29" s="26"/>
    </row>
    <row r="30" spans="1:61" s="1" customFormat="1" ht="15" customHeight="1">
      <c r="A30" s="15"/>
      <c r="BI30" s="26"/>
    </row>
    <row r="31" spans="1:61" s="1" customFormat="1" ht="15" customHeight="1">
      <c r="A31" s="16" t="s">
        <v>54</v>
      </c>
      <c r="BI31" s="26"/>
    </row>
    <row r="32" spans="1:61" s="1" customFormat="1" ht="15" customHeight="1">
      <c r="A32" s="15"/>
      <c r="B32" s="5" t="s">
        <v>34</v>
      </c>
      <c r="C32" s="1" t="s">
        <v>55</v>
      </c>
      <c r="BI32" s="26"/>
    </row>
    <row r="33" spans="1:61" s="1" customFormat="1" ht="15" customHeight="1">
      <c r="A33" s="15"/>
      <c r="B33" s="5"/>
      <c r="BI33" s="26"/>
    </row>
    <row r="34" spans="1:61" s="1" customFormat="1" ht="15" customHeight="1">
      <c r="A34" s="15"/>
      <c r="B34" s="5"/>
      <c r="BI34" s="26"/>
    </row>
    <row r="35" spans="1:61" s="1" customFormat="1" ht="15" customHeight="1" thickBot="1">
      <c r="A35" s="19"/>
      <c r="B35" s="27"/>
      <c r="C35" s="27"/>
      <c r="D35" s="27"/>
      <c r="E35" s="27"/>
      <c r="F35" s="27"/>
      <c r="G35" s="27"/>
      <c r="H35" s="27"/>
      <c r="I35" s="27"/>
      <c r="J35" s="27"/>
      <c r="K35" s="27"/>
      <c r="L35" s="27"/>
      <c r="M35" s="27"/>
      <c r="N35" s="27"/>
      <c r="O35" s="27"/>
      <c r="P35" s="27"/>
      <c r="Q35" s="27"/>
      <c r="R35" s="27"/>
      <c r="S35" s="27"/>
      <c r="T35" s="27"/>
      <c r="U35" s="27"/>
      <c r="V35" s="27"/>
      <c r="W35" s="27"/>
      <c r="X35" s="27"/>
      <c r="Y35" s="27"/>
      <c r="Z35" s="27"/>
      <c r="AA35" s="27"/>
      <c r="AB35" s="27"/>
      <c r="AC35" s="27"/>
      <c r="AD35" s="27"/>
      <c r="AE35" s="27"/>
      <c r="AF35" s="27"/>
      <c r="AG35" s="27"/>
      <c r="AH35" s="27"/>
      <c r="AI35" s="27"/>
      <c r="AJ35" s="27"/>
      <c r="AK35" s="27"/>
      <c r="AL35" s="27"/>
      <c r="AM35" s="27"/>
      <c r="AN35" s="27"/>
      <c r="AO35" s="27"/>
      <c r="AP35" s="27"/>
      <c r="AQ35" s="27"/>
      <c r="AR35" s="27"/>
      <c r="AS35" s="27"/>
      <c r="AT35" s="27"/>
      <c r="AU35" s="27"/>
      <c r="AV35" s="27"/>
      <c r="AW35" s="27"/>
      <c r="AX35" s="27"/>
      <c r="AY35" s="27"/>
      <c r="AZ35" s="27"/>
      <c r="BA35" s="27"/>
      <c r="BB35" s="27"/>
      <c r="BC35" s="27"/>
      <c r="BD35" s="27"/>
      <c r="BE35" s="27"/>
      <c r="BF35" s="27"/>
      <c r="BG35" s="27"/>
      <c r="BH35" s="27"/>
      <c r="BI35" s="28"/>
    </row>
    <row r="36" spans="1:61" s="1" customFormat="1" ht="15" customHeight="1"/>
    <row r="37" spans="1:61" s="1" customFormat="1" ht="15" customHeight="1"/>
    <row r="38" spans="1:61" s="1" customFormat="1" ht="15" customHeight="1"/>
    <row r="39" spans="1:61" s="1" customFormat="1" ht="15" customHeight="1"/>
    <row r="40" spans="1:61" s="1" customFormat="1" ht="15" customHeight="1"/>
    <row r="41" spans="1:61" s="1" customFormat="1" ht="15" customHeight="1"/>
    <row r="42" spans="1:61" s="1" customFormat="1" ht="15" customHeight="1"/>
    <row r="43" spans="1:61" s="1" customFormat="1" ht="15" customHeight="1"/>
    <row r="44" spans="1:61" s="1" customFormat="1" ht="15" customHeight="1"/>
    <row r="45" spans="1:61" s="1" customFormat="1" ht="15" customHeight="1"/>
    <row r="46" spans="1:61" s="1" customFormat="1" ht="15" customHeight="1"/>
    <row r="47" spans="1:61" s="1" customFormat="1" ht="15" customHeight="1"/>
    <row r="48" spans="1:61" s="1" customFormat="1" ht="15" customHeight="1"/>
  </sheetData>
  <mergeCells count="18">
    <mergeCell ref="AT3:AU3"/>
    <mergeCell ref="AV3:BA3"/>
    <mergeCell ref="A4:H4"/>
    <mergeCell ref="BB3:BI3"/>
    <mergeCell ref="BB1:BI1"/>
    <mergeCell ref="A1:E3"/>
    <mergeCell ref="F1:P1"/>
    <mergeCell ref="Q1:V1"/>
    <mergeCell ref="W1:AD1"/>
    <mergeCell ref="AE1:AS1"/>
    <mergeCell ref="AT1:BA1"/>
    <mergeCell ref="F2:P3"/>
    <mergeCell ref="Q2:V3"/>
    <mergeCell ref="W2:AD3"/>
    <mergeCell ref="AE2:AS3"/>
    <mergeCell ref="AT2:AU2"/>
    <mergeCell ref="AV2:BA2"/>
    <mergeCell ref="BB2:BI2"/>
  </mergeCells>
  <phoneticPr fontId="2"/>
  <printOptions horizontalCentered="1"/>
  <pageMargins left="0.23622047244094491" right="0.23622047244094491" top="0.74803149606299213" bottom="0.74803149606299213" header="0.31496062992125984" footer="0.31496062992125984"/>
  <pageSetup paperSize="9" scale="85"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CE8814-B2D9-4DA6-AC9E-028D89350E4F}">
  <dimension ref="A1:BI48"/>
  <sheetViews>
    <sheetView showGridLines="0" zoomScale="70" zoomScaleNormal="70" workbookViewId="0">
      <pane ySplit="5" topLeftCell="A6" activePane="bottomLeft" state="frozen"/>
      <selection pane="bottomLeft" sqref="A1:E3"/>
    </sheetView>
  </sheetViews>
  <sheetFormatPr defaultColWidth="2.5" defaultRowHeight="15" customHeight="1"/>
  <cols>
    <col min="1" max="16384" width="2.5" style="45"/>
  </cols>
  <sheetData>
    <row r="1" spans="1:61" s="1" customFormat="1" ht="15" customHeight="1" thickBot="1">
      <c r="A1" s="294" t="s">
        <v>32</v>
      </c>
      <c r="B1" s="295"/>
      <c r="C1" s="295"/>
      <c r="D1" s="295"/>
      <c r="E1" s="296"/>
      <c r="F1" s="303" t="str">
        <f>変更履歴!F1</f>
        <v>システム名</v>
      </c>
      <c r="G1" s="304"/>
      <c r="H1" s="304"/>
      <c r="I1" s="304"/>
      <c r="J1" s="304"/>
      <c r="K1" s="304"/>
      <c r="L1" s="304"/>
      <c r="M1" s="304"/>
      <c r="N1" s="304"/>
      <c r="O1" s="304"/>
      <c r="P1" s="305"/>
      <c r="Q1" s="306" t="str">
        <f>変更履歴!Q1</f>
        <v>機能分類</v>
      </c>
      <c r="R1" s="307"/>
      <c r="S1" s="307"/>
      <c r="T1" s="307"/>
      <c r="U1" s="307"/>
      <c r="V1" s="308"/>
      <c r="W1" s="303" t="str">
        <f>変更履歴!W1</f>
        <v>機能ＩＤ</v>
      </c>
      <c r="X1" s="304"/>
      <c r="Y1" s="304"/>
      <c r="Z1" s="304"/>
      <c r="AA1" s="304"/>
      <c r="AB1" s="304"/>
      <c r="AC1" s="304"/>
      <c r="AD1" s="305"/>
      <c r="AE1" s="303" t="str">
        <f>変更履歴!AE1</f>
        <v>機能名称</v>
      </c>
      <c r="AF1" s="304"/>
      <c r="AG1" s="304"/>
      <c r="AH1" s="304"/>
      <c r="AI1" s="304"/>
      <c r="AJ1" s="304"/>
      <c r="AK1" s="304"/>
      <c r="AL1" s="304"/>
      <c r="AM1" s="304"/>
      <c r="AN1" s="304"/>
      <c r="AO1" s="304"/>
      <c r="AP1" s="304"/>
      <c r="AQ1" s="304"/>
      <c r="AR1" s="304"/>
      <c r="AS1" s="305"/>
      <c r="AT1" s="309" t="str">
        <f>変更履歴!AT1</f>
        <v>日付</v>
      </c>
      <c r="AU1" s="310"/>
      <c r="AV1" s="310"/>
      <c r="AW1" s="310"/>
      <c r="AX1" s="310"/>
      <c r="AY1" s="310"/>
      <c r="AZ1" s="310"/>
      <c r="BA1" s="311"/>
      <c r="BB1" s="266" t="str">
        <f>変更履歴!BB1</f>
        <v>更新者</v>
      </c>
      <c r="BC1" s="268"/>
      <c r="BD1" s="268"/>
      <c r="BE1" s="268"/>
      <c r="BF1" s="268"/>
      <c r="BG1" s="268"/>
      <c r="BH1" s="268"/>
      <c r="BI1" s="269"/>
    </row>
    <row r="2" spans="1:61" s="1" customFormat="1" ht="15" customHeight="1">
      <c r="A2" s="297"/>
      <c r="B2" s="298"/>
      <c r="C2" s="298"/>
      <c r="D2" s="298"/>
      <c r="E2" s="299"/>
      <c r="F2" s="270" t="str">
        <f>変更履歴!F2</f>
        <v>Dynamics365 for Finance and Operations</v>
      </c>
      <c r="G2" s="271"/>
      <c r="H2" s="271"/>
      <c r="I2" s="271"/>
      <c r="J2" s="271"/>
      <c r="K2" s="271"/>
      <c r="L2" s="271"/>
      <c r="M2" s="271"/>
      <c r="N2" s="271"/>
      <c r="O2" s="271"/>
      <c r="P2" s="272"/>
      <c r="Q2" s="270" t="str">
        <f>変更履歴!Q2</f>
        <v>システム共通</v>
      </c>
      <c r="R2" s="271"/>
      <c r="S2" s="271"/>
      <c r="T2" s="271"/>
      <c r="U2" s="271"/>
      <c r="V2" s="272"/>
      <c r="W2" s="276" t="str">
        <f>変更履歴!W2</f>
        <v>FO-088</v>
      </c>
      <c r="X2" s="277"/>
      <c r="Y2" s="277"/>
      <c r="Z2" s="277"/>
      <c r="AA2" s="277"/>
      <c r="AB2" s="277"/>
      <c r="AC2" s="277"/>
      <c r="AD2" s="278"/>
      <c r="AE2" s="270" t="str">
        <f>変更履歴!AE2</f>
        <v>AzureFiles連携共通インターフェース</v>
      </c>
      <c r="AF2" s="271"/>
      <c r="AG2" s="271"/>
      <c r="AH2" s="271"/>
      <c r="AI2" s="271"/>
      <c r="AJ2" s="271"/>
      <c r="AK2" s="271"/>
      <c r="AL2" s="271"/>
      <c r="AM2" s="271"/>
      <c r="AN2" s="271"/>
      <c r="AO2" s="271"/>
      <c r="AP2" s="271"/>
      <c r="AQ2" s="271"/>
      <c r="AR2" s="271"/>
      <c r="AS2" s="272"/>
      <c r="AT2" s="282" t="str">
        <f>変更履歴!AT2</f>
        <v>作成</v>
      </c>
      <c r="AU2" s="283"/>
      <c r="AV2" s="284">
        <f>変更履歴!AV2</f>
        <v>45453</v>
      </c>
      <c r="AW2" s="284"/>
      <c r="AX2" s="284"/>
      <c r="AY2" s="284"/>
      <c r="AZ2" s="284"/>
      <c r="BA2" s="285"/>
      <c r="BB2" s="286" t="str">
        <f>変更履歴!BB2</f>
        <v>JBS石岡</v>
      </c>
      <c r="BC2" s="288"/>
      <c r="BD2" s="288"/>
      <c r="BE2" s="288"/>
      <c r="BF2" s="288"/>
      <c r="BG2" s="288"/>
      <c r="BH2" s="288"/>
      <c r="BI2" s="289"/>
    </row>
    <row r="3" spans="1:61" s="1" customFormat="1" ht="15" customHeight="1" thickBot="1">
      <c r="A3" s="300"/>
      <c r="B3" s="301"/>
      <c r="C3" s="301"/>
      <c r="D3" s="301"/>
      <c r="E3" s="302"/>
      <c r="F3" s="273"/>
      <c r="G3" s="274"/>
      <c r="H3" s="274"/>
      <c r="I3" s="274"/>
      <c r="J3" s="274"/>
      <c r="K3" s="274"/>
      <c r="L3" s="274"/>
      <c r="M3" s="274"/>
      <c r="N3" s="274"/>
      <c r="O3" s="274"/>
      <c r="P3" s="275"/>
      <c r="Q3" s="273"/>
      <c r="R3" s="274"/>
      <c r="S3" s="274"/>
      <c r="T3" s="274"/>
      <c r="U3" s="274"/>
      <c r="V3" s="275"/>
      <c r="W3" s="279"/>
      <c r="X3" s="280"/>
      <c r="Y3" s="280"/>
      <c r="Z3" s="280"/>
      <c r="AA3" s="280"/>
      <c r="AB3" s="280"/>
      <c r="AC3" s="280"/>
      <c r="AD3" s="281"/>
      <c r="AE3" s="273"/>
      <c r="AF3" s="274"/>
      <c r="AG3" s="274"/>
      <c r="AH3" s="274"/>
      <c r="AI3" s="274"/>
      <c r="AJ3" s="274"/>
      <c r="AK3" s="274"/>
      <c r="AL3" s="274"/>
      <c r="AM3" s="274"/>
      <c r="AN3" s="274"/>
      <c r="AO3" s="274"/>
      <c r="AP3" s="274"/>
      <c r="AQ3" s="274"/>
      <c r="AR3" s="274"/>
      <c r="AS3" s="275"/>
      <c r="AT3" s="290" t="str">
        <f>変更履歴!AT3</f>
        <v>更新</v>
      </c>
      <c r="AU3" s="291"/>
      <c r="AV3" s="316">
        <f ca="1">変更履歴!AV3</f>
        <v>45726</v>
      </c>
      <c r="AW3" s="317"/>
      <c r="AX3" s="317"/>
      <c r="AY3" s="317"/>
      <c r="AZ3" s="317"/>
      <c r="BA3" s="318"/>
      <c r="BB3" s="313" t="str">
        <f ca="1">変更履歴!BB3</f>
        <v>JBS石岡</v>
      </c>
      <c r="BC3" s="314"/>
      <c r="BD3" s="314"/>
      <c r="BE3" s="314"/>
      <c r="BF3" s="314"/>
      <c r="BG3" s="314"/>
      <c r="BH3" s="314"/>
      <c r="BI3" s="315"/>
    </row>
    <row r="4" spans="1:61" s="1" customFormat="1" ht="15" customHeight="1" thickBot="1">
      <c r="A4" s="312"/>
      <c r="B4" s="312"/>
      <c r="C4" s="312"/>
      <c r="D4" s="312"/>
      <c r="E4" s="312"/>
      <c r="F4" s="312"/>
      <c r="G4" s="312"/>
      <c r="H4" s="312"/>
    </row>
    <row r="5" spans="1:61" s="94" customFormat="1" ht="15" customHeight="1" thickBot="1">
      <c r="A5" s="319" t="s">
        <v>56</v>
      </c>
      <c r="B5" s="321"/>
      <c r="C5" s="327" t="s">
        <v>57</v>
      </c>
      <c r="D5" s="328"/>
      <c r="E5" s="328"/>
      <c r="F5" s="328"/>
      <c r="G5" s="328"/>
      <c r="H5" s="328"/>
      <c r="I5" s="328"/>
      <c r="J5" s="329"/>
      <c r="K5" s="330" t="s">
        <v>58</v>
      </c>
      <c r="L5" s="331"/>
      <c r="M5" s="331"/>
      <c r="N5" s="331"/>
      <c r="O5" s="331"/>
      <c r="P5" s="331"/>
      <c r="Q5" s="331"/>
      <c r="R5" s="331"/>
      <c r="S5" s="331"/>
      <c r="T5" s="331"/>
      <c r="U5" s="331"/>
      <c r="V5" s="331"/>
      <c r="W5" s="331"/>
      <c r="X5" s="331"/>
      <c r="Y5" s="331"/>
      <c r="Z5" s="331"/>
      <c r="AA5" s="331"/>
      <c r="AB5" s="332"/>
      <c r="AC5" s="319" t="s">
        <v>59</v>
      </c>
      <c r="AD5" s="320"/>
      <c r="AE5" s="320"/>
      <c r="AF5" s="320"/>
      <c r="AG5" s="320"/>
      <c r="AH5" s="320"/>
      <c r="AI5" s="320"/>
      <c r="AJ5" s="320"/>
      <c r="AK5" s="320"/>
      <c r="AL5" s="320"/>
      <c r="AM5" s="320"/>
      <c r="AN5" s="320"/>
      <c r="AO5" s="320"/>
      <c r="AP5" s="320"/>
      <c r="AQ5" s="320"/>
      <c r="AR5" s="321"/>
      <c r="AS5" s="319" t="s">
        <v>60</v>
      </c>
      <c r="AT5" s="321"/>
      <c r="AU5" s="319" t="s">
        <v>61</v>
      </c>
      <c r="AV5" s="320"/>
      <c r="AW5" s="320"/>
      <c r="AX5" s="320"/>
      <c r="AY5" s="320"/>
      <c r="AZ5" s="320"/>
      <c r="BA5" s="320"/>
      <c r="BB5" s="320"/>
      <c r="BC5" s="320"/>
      <c r="BD5" s="320"/>
      <c r="BE5" s="320"/>
      <c r="BF5" s="320"/>
      <c r="BG5" s="320"/>
      <c r="BH5" s="320"/>
      <c r="BI5" s="321"/>
    </row>
    <row r="6" spans="1:61" s="1" customFormat="1" ht="15" customHeight="1">
      <c r="A6" s="346">
        <f>ROW()-5</f>
        <v>1</v>
      </c>
      <c r="B6" s="347"/>
      <c r="C6" s="333" t="s">
        <v>62</v>
      </c>
      <c r="D6" s="334"/>
      <c r="E6" s="334"/>
      <c r="F6" s="334"/>
      <c r="G6" s="334"/>
      <c r="H6" s="334"/>
      <c r="I6" s="334"/>
      <c r="J6" s="335"/>
      <c r="K6" s="336" t="s">
        <v>63</v>
      </c>
      <c r="L6" s="337"/>
      <c r="M6" s="337"/>
      <c r="N6" s="337"/>
      <c r="O6" s="337"/>
      <c r="P6" s="337"/>
      <c r="Q6" s="337"/>
      <c r="R6" s="337"/>
      <c r="S6" s="337"/>
      <c r="T6" s="337"/>
      <c r="U6" s="337"/>
      <c r="V6" s="337"/>
      <c r="W6" s="337"/>
      <c r="X6" s="337"/>
      <c r="Y6" s="337"/>
      <c r="Z6" s="337"/>
      <c r="AA6" s="337"/>
      <c r="AB6" s="338"/>
      <c r="AC6" s="336" t="s">
        <v>64</v>
      </c>
      <c r="AD6" s="337"/>
      <c r="AE6" s="337"/>
      <c r="AF6" s="337"/>
      <c r="AG6" s="337"/>
      <c r="AH6" s="337"/>
      <c r="AI6" s="337"/>
      <c r="AJ6" s="337"/>
      <c r="AK6" s="337"/>
      <c r="AL6" s="337"/>
      <c r="AM6" s="337"/>
      <c r="AN6" s="337"/>
      <c r="AO6" s="337"/>
      <c r="AP6" s="337"/>
      <c r="AQ6" s="337"/>
      <c r="AR6" s="338"/>
      <c r="AS6" s="341" t="s">
        <v>65</v>
      </c>
      <c r="AT6" s="342"/>
      <c r="AU6" s="336" t="s">
        <v>66</v>
      </c>
      <c r="AV6" s="337"/>
      <c r="AW6" s="337"/>
      <c r="AX6" s="337"/>
      <c r="AY6" s="337"/>
      <c r="AZ6" s="337"/>
      <c r="BA6" s="337"/>
      <c r="BB6" s="337"/>
      <c r="BC6" s="337"/>
      <c r="BD6" s="337"/>
      <c r="BE6" s="337"/>
      <c r="BF6" s="337"/>
      <c r="BG6" s="337"/>
      <c r="BH6" s="337"/>
      <c r="BI6" s="338"/>
    </row>
    <row r="7" spans="1:61" s="1" customFormat="1" ht="15" customHeight="1">
      <c r="A7" s="346">
        <f t="shared" ref="A7:A38" si="0">ROW()-5</f>
        <v>2</v>
      </c>
      <c r="B7" s="347"/>
      <c r="C7" s="324" t="s">
        <v>62</v>
      </c>
      <c r="D7" s="325"/>
      <c r="E7" s="325"/>
      <c r="F7" s="325"/>
      <c r="G7" s="325"/>
      <c r="H7" s="325"/>
      <c r="I7" s="325"/>
      <c r="J7" s="326"/>
      <c r="K7" s="350" t="s">
        <v>67</v>
      </c>
      <c r="L7" s="351"/>
      <c r="M7" s="351"/>
      <c r="N7" s="351"/>
      <c r="O7" s="351"/>
      <c r="P7" s="351"/>
      <c r="Q7" s="351"/>
      <c r="R7" s="351"/>
      <c r="S7" s="351"/>
      <c r="T7" s="351"/>
      <c r="U7" s="351"/>
      <c r="V7" s="351"/>
      <c r="W7" s="351"/>
      <c r="X7" s="351"/>
      <c r="Y7" s="351"/>
      <c r="Z7" s="351"/>
      <c r="AA7" s="351"/>
      <c r="AB7" s="352"/>
      <c r="AC7" s="350" t="s">
        <v>68</v>
      </c>
      <c r="AD7" s="351"/>
      <c r="AE7" s="351"/>
      <c r="AF7" s="351"/>
      <c r="AG7" s="351"/>
      <c r="AH7" s="351"/>
      <c r="AI7" s="351"/>
      <c r="AJ7" s="351"/>
      <c r="AK7" s="351"/>
      <c r="AL7" s="351"/>
      <c r="AM7" s="351"/>
      <c r="AN7" s="351"/>
      <c r="AO7" s="351"/>
      <c r="AP7" s="351"/>
      <c r="AQ7" s="351"/>
      <c r="AR7" s="352"/>
      <c r="AS7" s="322" t="s">
        <v>65</v>
      </c>
      <c r="AT7" s="323"/>
      <c r="AU7" s="350" t="s">
        <v>66</v>
      </c>
      <c r="AV7" s="351"/>
      <c r="AW7" s="351"/>
      <c r="AX7" s="351"/>
      <c r="AY7" s="351"/>
      <c r="AZ7" s="351"/>
      <c r="BA7" s="351"/>
      <c r="BB7" s="351"/>
      <c r="BC7" s="351"/>
      <c r="BD7" s="351"/>
      <c r="BE7" s="351"/>
      <c r="BF7" s="351"/>
      <c r="BG7" s="351"/>
      <c r="BH7" s="351"/>
      <c r="BI7" s="352"/>
    </row>
    <row r="8" spans="1:61" s="1" customFormat="1" ht="15" customHeight="1">
      <c r="A8" s="346">
        <f t="shared" si="0"/>
        <v>3</v>
      </c>
      <c r="B8" s="347"/>
      <c r="C8" s="324" t="s">
        <v>62</v>
      </c>
      <c r="D8" s="325"/>
      <c r="E8" s="325"/>
      <c r="F8" s="325"/>
      <c r="G8" s="325"/>
      <c r="H8" s="325"/>
      <c r="I8" s="325"/>
      <c r="J8" s="326"/>
      <c r="K8" s="350" t="s">
        <v>69</v>
      </c>
      <c r="L8" s="351"/>
      <c r="M8" s="351"/>
      <c r="N8" s="351"/>
      <c r="O8" s="351"/>
      <c r="P8" s="351"/>
      <c r="Q8" s="351"/>
      <c r="R8" s="351"/>
      <c r="S8" s="351"/>
      <c r="T8" s="351"/>
      <c r="U8" s="351"/>
      <c r="V8" s="351"/>
      <c r="W8" s="351"/>
      <c r="X8" s="351"/>
      <c r="Y8" s="351"/>
      <c r="Z8" s="351"/>
      <c r="AA8" s="351"/>
      <c r="AB8" s="352"/>
      <c r="AC8" s="350" t="s">
        <v>70</v>
      </c>
      <c r="AD8" s="351"/>
      <c r="AE8" s="351"/>
      <c r="AF8" s="351"/>
      <c r="AG8" s="351"/>
      <c r="AH8" s="351"/>
      <c r="AI8" s="351"/>
      <c r="AJ8" s="351"/>
      <c r="AK8" s="351"/>
      <c r="AL8" s="351"/>
      <c r="AM8" s="351"/>
      <c r="AN8" s="351"/>
      <c r="AO8" s="351"/>
      <c r="AP8" s="351"/>
      <c r="AQ8" s="351"/>
      <c r="AR8" s="352"/>
      <c r="AS8" s="322" t="s">
        <v>65</v>
      </c>
      <c r="AT8" s="323"/>
      <c r="AU8" s="350" t="s">
        <v>66</v>
      </c>
      <c r="AV8" s="351"/>
      <c r="AW8" s="351"/>
      <c r="AX8" s="351"/>
      <c r="AY8" s="351"/>
      <c r="AZ8" s="351"/>
      <c r="BA8" s="351"/>
      <c r="BB8" s="351"/>
      <c r="BC8" s="351"/>
      <c r="BD8" s="351"/>
      <c r="BE8" s="351"/>
      <c r="BF8" s="351"/>
      <c r="BG8" s="351"/>
      <c r="BH8" s="351"/>
      <c r="BI8" s="352"/>
    </row>
    <row r="9" spans="1:61" s="1" customFormat="1" ht="15" customHeight="1">
      <c r="A9" s="346">
        <f t="shared" si="0"/>
        <v>4</v>
      </c>
      <c r="B9" s="347"/>
      <c r="C9" s="324"/>
      <c r="D9" s="325"/>
      <c r="E9" s="325"/>
      <c r="F9" s="325"/>
      <c r="G9" s="325"/>
      <c r="H9" s="325"/>
      <c r="I9" s="325"/>
      <c r="J9" s="326"/>
      <c r="K9" s="350"/>
      <c r="L9" s="351"/>
      <c r="M9" s="351"/>
      <c r="N9" s="351"/>
      <c r="O9" s="351"/>
      <c r="P9" s="351"/>
      <c r="Q9" s="351"/>
      <c r="R9" s="351"/>
      <c r="S9" s="351"/>
      <c r="T9" s="351"/>
      <c r="U9" s="351"/>
      <c r="V9" s="351"/>
      <c r="W9" s="351"/>
      <c r="X9" s="351"/>
      <c r="Y9" s="351"/>
      <c r="Z9" s="351"/>
      <c r="AA9" s="351"/>
      <c r="AB9" s="352"/>
      <c r="AC9" s="350"/>
      <c r="AD9" s="351"/>
      <c r="AE9" s="351"/>
      <c r="AF9" s="351"/>
      <c r="AG9" s="351"/>
      <c r="AH9" s="351"/>
      <c r="AI9" s="351"/>
      <c r="AJ9" s="351"/>
      <c r="AK9" s="351"/>
      <c r="AL9" s="351"/>
      <c r="AM9" s="351"/>
      <c r="AN9" s="351"/>
      <c r="AO9" s="351"/>
      <c r="AP9" s="351"/>
      <c r="AQ9" s="351"/>
      <c r="AR9" s="352"/>
      <c r="AS9" s="322"/>
      <c r="AT9" s="323"/>
      <c r="AU9" s="350"/>
      <c r="AV9" s="351"/>
      <c r="AW9" s="351"/>
      <c r="AX9" s="351"/>
      <c r="AY9" s="351"/>
      <c r="AZ9" s="351"/>
      <c r="BA9" s="351"/>
      <c r="BB9" s="351"/>
      <c r="BC9" s="351"/>
      <c r="BD9" s="351"/>
      <c r="BE9" s="351"/>
      <c r="BF9" s="351"/>
      <c r="BG9" s="351"/>
      <c r="BH9" s="351"/>
      <c r="BI9" s="352"/>
    </row>
    <row r="10" spans="1:61" s="1" customFormat="1" ht="15" customHeight="1">
      <c r="A10" s="346">
        <f t="shared" si="0"/>
        <v>5</v>
      </c>
      <c r="B10" s="347"/>
      <c r="C10" s="324"/>
      <c r="D10" s="325"/>
      <c r="E10" s="325"/>
      <c r="F10" s="325"/>
      <c r="G10" s="325"/>
      <c r="H10" s="325"/>
      <c r="I10" s="325"/>
      <c r="J10" s="326"/>
      <c r="K10" s="350"/>
      <c r="L10" s="351"/>
      <c r="M10" s="351"/>
      <c r="N10" s="351"/>
      <c r="O10" s="351"/>
      <c r="P10" s="351"/>
      <c r="Q10" s="351"/>
      <c r="R10" s="351"/>
      <c r="S10" s="351"/>
      <c r="T10" s="351"/>
      <c r="U10" s="351"/>
      <c r="V10" s="351"/>
      <c r="W10" s="351"/>
      <c r="X10" s="351"/>
      <c r="Y10" s="351"/>
      <c r="Z10" s="351"/>
      <c r="AA10" s="351"/>
      <c r="AB10" s="352"/>
      <c r="AC10" s="350"/>
      <c r="AD10" s="351"/>
      <c r="AE10" s="351"/>
      <c r="AF10" s="351"/>
      <c r="AG10" s="351"/>
      <c r="AH10" s="351"/>
      <c r="AI10" s="351"/>
      <c r="AJ10" s="351"/>
      <c r="AK10" s="351"/>
      <c r="AL10" s="351"/>
      <c r="AM10" s="351"/>
      <c r="AN10" s="351"/>
      <c r="AO10" s="351"/>
      <c r="AP10" s="351"/>
      <c r="AQ10" s="351"/>
      <c r="AR10" s="352"/>
      <c r="AS10" s="322"/>
      <c r="AT10" s="323"/>
      <c r="AU10" s="350"/>
      <c r="AV10" s="351"/>
      <c r="AW10" s="351"/>
      <c r="AX10" s="351"/>
      <c r="AY10" s="351"/>
      <c r="AZ10" s="351"/>
      <c r="BA10" s="351"/>
      <c r="BB10" s="351"/>
      <c r="BC10" s="351"/>
      <c r="BD10" s="351"/>
      <c r="BE10" s="351"/>
      <c r="BF10" s="351"/>
      <c r="BG10" s="351"/>
      <c r="BH10" s="351"/>
      <c r="BI10" s="352"/>
    </row>
    <row r="11" spans="1:61" s="1" customFormat="1" ht="15" customHeight="1">
      <c r="A11" s="346">
        <f t="shared" si="0"/>
        <v>6</v>
      </c>
      <c r="B11" s="347"/>
      <c r="C11" s="324"/>
      <c r="D11" s="325"/>
      <c r="E11" s="325"/>
      <c r="F11" s="325"/>
      <c r="G11" s="325"/>
      <c r="H11" s="325"/>
      <c r="I11" s="325"/>
      <c r="J11" s="326"/>
      <c r="K11" s="350"/>
      <c r="L11" s="351"/>
      <c r="M11" s="351"/>
      <c r="N11" s="351"/>
      <c r="O11" s="351"/>
      <c r="P11" s="351"/>
      <c r="Q11" s="351"/>
      <c r="R11" s="351"/>
      <c r="S11" s="351"/>
      <c r="T11" s="351"/>
      <c r="U11" s="351"/>
      <c r="V11" s="351"/>
      <c r="W11" s="351"/>
      <c r="X11" s="351"/>
      <c r="Y11" s="351"/>
      <c r="Z11" s="351"/>
      <c r="AA11" s="351"/>
      <c r="AB11" s="352"/>
      <c r="AC11" s="350"/>
      <c r="AD11" s="351"/>
      <c r="AE11" s="351"/>
      <c r="AF11" s="351"/>
      <c r="AG11" s="351"/>
      <c r="AH11" s="351"/>
      <c r="AI11" s="351"/>
      <c r="AJ11" s="351"/>
      <c r="AK11" s="351"/>
      <c r="AL11" s="351"/>
      <c r="AM11" s="351"/>
      <c r="AN11" s="351"/>
      <c r="AO11" s="351"/>
      <c r="AP11" s="351"/>
      <c r="AQ11" s="351"/>
      <c r="AR11" s="352"/>
      <c r="AS11" s="322"/>
      <c r="AT11" s="323"/>
      <c r="AU11" s="350"/>
      <c r="AV11" s="351"/>
      <c r="AW11" s="351"/>
      <c r="AX11" s="351"/>
      <c r="AY11" s="351"/>
      <c r="AZ11" s="351"/>
      <c r="BA11" s="351"/>
      <c r="BB11" s="351"/>
      <c r="BC11" s="351"/>
      <c r="BD11" s="351"/>
      <c r="BE11" s="351"/>
      <c r="BF11" s="351"/>
      <c r="BG11" s="351"/>
      <c r="BH11" s="351"/>
      <c r="BI11" s="352"/>
    </row>
    <row r="12" spans="1:61" s="1" customFormat="1" ht="15" customHeight="1">
      <c r="A12" s="346">
        <f t="shared" si="0"/>
        <v>7</v>
      </c>
      <c r="B12" s="347"/>
      <c r="C12" s="324"/>
      <c r="D12" s="325"/>
      <c r="E12" s="325"/>
      <c r="F12" s="325"/>
      <c r="G12" s="325"/>
      <c r="H12" s="325"/>
      <c r="I12" s="325"/>
      <c r="J12" s="326"/>
      <c r="K12" s="350"/>
      <c r="L12" s="351"/>
      <c r="M12" s="351"/>
      <c r="N12" s="351"/>
      <c r="O12" s="351"/>
      <c r="P12" s="351"/>
      <c r="Q12" s="351"/>
      <c r="R12" s="351"/>
      <c r="S12" s="351"/>
      <c r="T12" s="351"/>
      <c r="U12" s="351"/>
      <c r="V12" s="351"/>
      <c r="W12" s="351"/>
      <c r="X12" s="351"/>
      <c r="Y12" s="351"/>
      <c r="Z12" s="351"/>
      <c r="AA12" s="351"/>
      <c r="AB12" s="352"/>
      <c r="AC12" s="350"/>
      <c r="AD12" s="351"/>
      <c r="AE12" s="351"/>
      <c r="AF12" s="351"/>
      <c r="AG12" s="351"/>
      <c r="AH12" s="351"/>
      <c r="AI12" s="351"/>
      <c r="AJ12" s="351"/>
      <c r="AK12" s="351"/>
      <c r="AL12" s="351"/>
      <c r="AM12" s="351"/>
      <c r="AN12" s="351"/>
      <c r="AO12" s="351"/>
      <c r="AP12" s="351"/>
      <c r="AQ12" s="351"/>
      <c r="AR12" s="352"/>
      <c r="AS12" s="322"/>
      <c r="AT12" s="323"/>
      <c r="AU12" s="350"/>
      <c r="AV12" s="351"/>
      <c r="AW12" s="351"/>
      <c r="AX12" s="351"/>
      <c r="AY12" s="351"/>
      <c r="AZ12" s="351"/>
      <c r="BA12" s="351"/>
      <c r="BB12" s="351"/>
      <c r="BC12" s="351"/>
      <c r="BD12" s="351"/>
      <c r="BE12" s="351"/>
      <c r="BF12" s="351"/>
      <c r="BG12" s="351"/>
      <c r="BH12" s="351"/>
      <c r="BI12" s="352"/>
    </row>
    <row r="13" spans="1:61" s="1" customFormat="1" ht="15" customHeight="1">
      <c r="A13" s="346">
        <f t="shared" si="0"/>
        <v>8</v>
      </c>
      <c r="B13" s="347"/>
      <c r="C13" s="324"/>
      <c r="D13" s="325"/>
      <c r="E13" s="325"/>
      <c r="F13" s="325"/>
      <c r="G13" s="325"/>
      <c r="H13" s="325"/>
      <c r="I13" s="325"/>
      <c r="J13" s="326"/>
      <c r="K13" s="350"/>
      <c r="L13" s="351"/>
      <c r="M13" s="351"/>
      <c r="N13" s="351"/>
      <c r="O13" s="351"/>
      <c r="P13" s="351"/>
      <c r="Q13" s="351"/>
      <c r="R13" s="351"/>
      <c r="S13" s="351"/>
      <c r="T13" s="351"/>
      <c r="U13" s="351"/>
      <c r="V13" s="351"/>
      <c r="W13" s="351"/>
      <c r="X13" s="351"/>
      <c r="Y13" s="351"/>
      <c r="Z13" s="351"/>
      <c r="AA13" s="351"/>
      <c r="AB13" s="352"/>
      <c r="AC13" s="350"/>
      <c r="AD13" s="351"/>
      <c r="AE13" s="351"/>
      <c r="AF13" s="351"/>
      <c r="AG13" s="351"/>
      <c r="AH13" s="351"/>
      <c r="AI13" s="351"/>
      <c r="AJ13" s="351"/>
      <c r="AK13" s="351"/>
      <c r="AL13" s="351"/>
      <c r="AM13" s="351"/>
      <c r="AN13" s="351"/>
      <c r="AO13" s="351"/>
      <c r="AP13" s="351"/>
      <c r="AQ13" s="351"/>
      <c r="AR13" s="352"/>
      <c r="AS13" s="322"/>
      <c r="AT13" s="323"/>
      <c r="AU13" s="350"/>
      <c r="AV13" s="351"/>
      <c r="AW13" s="351"/>
      <c r="AX13" s="351"/>
      <c r="AY13" s="351"/>
      <c r="AZ13" s="351"/>
      <c r="BA13" s="351"/>
      <c r="BB13" s="351"/>
      <c r="BC13" s="351"/>
      <c r="BD13" s="351"/>
      <c r="BE13" s="351"/>
      <c r="BF13" s="351"/>
      <c r="BG13" s="351"/>
      <c r="BH13" s="351"/>
      <c r="BI13" s="352"/>
    </row>
    <row r="14" spans="1:61" s="1" customFormat="1" ht="15" customHeight="1">
      <c r="A14" s="346">
        <f t="shared" si="0"/>
        <v>9</v>
      </c>
      <c r="B14" s="347"/>
      <c r="C14" s="324"/>
      <c r="D14" s="325"/>
      <c r="E14" s="325"/>
      <c r="F14" s="325"/>
      <c r="G14" s="325"/>
      <c r="H14" s="325"/>
      <c r="I14" s="325"/>
      <c r="J14" s="326"/>
      <c r="K14" s="350"/>
      <c r="L14" s="351"/>
      <c r="M14" s="351"/>
      <c r="N14" s="351"/>
      <c r="O14" s="351"/>
      <c r="P14" s="351"/>
      <c r="Q14" s="351"/>
      <c r="R14" s="351"/>
      <c r="S14" s="351"/>
      <c r="T14" s="351"/>
      <c r="U14" s="351"/>
      <c r="V14" s="351"/>
      <c r="W14" s="351"/>
      <c r="X14" s="351"/>
      <c r="Y14" s="351"/>
      <c r="Z14" s="351"/>
      <c r="AA14" s="351"/>
      <c r="AB14" s="352"/>
      <c r="AC14" s="350"/>
      <c r="AD14" s="351"/>
      <c r="AE14" s="351"/>
      <c r="AF14" s="351"/>
      <c r="AG14" s="351"/>
      <c r="AH14" s="351"/>
      <c r="AI14" s="351"/>
      <c r="AJ14" s="351"/>
      <c r="AK14" s="351"/>
      <c r="AL14" s="351"/>
      <c r="AM14" s="351"/>
      <c r="AN14" s="351"/>
      <c r="AO14" s="351"/>
      <c r="AP14" s="351"/>
      <c r="AQ14" s="351"/>
      <c r="AR14" s="352"/>
      <c r="AS14" s="322"/>
      <c r="AT14" s="323"/>
      <c r="AU14" s="350"/>
      <c r="AV14" s="351"/>
      <c r="AW14" s="351"/>
      <c r="AX14" s="351"/>
      <c r="AY14" s="351"/>
      <c r="AZ14" s="351"/>
      <c r="BA14" s="351"/>
      <c r="BB14" s="351"/>
      <c r="BC14" s="351"/>
      <c r="BD14" s="351"/>
      <c r="BE14" s="351"/>
      <c r="BF14" s="351"/>
      <c r="BG14" s="351"/>
      <c r="BH14" s="351"/>
      <c r="BI14" s="352"/>
    </row>
    <row r="15" spans="1:61" s="1" customFormat="1" ht="15" customHeight="1">
      <c r="A15" s="346">
        <f t="shared" si="0"/>
        <v>10</v>
      </c>
      <c r="B15" s="347"/>
      <c r="C15" s="324"/>
      <c r="D15" s="325"/>
      <c r="E15" s="325"/>
      <c r="F15" s="325"/>
      <c r="G15" s="325"/>
      <c r="H15" s="325"/>
      <c r="I15" s="325"/>
      <c r="J15" s="326"/>
      <c r="K15" s="350"/>
      <c r="L15" s="351"/>
      <c r="M15" s="351"/>
      <c r="N15" s="351"/>
      <c r="O15" s="351"/>
      <c r="P15" s="351"/>
      <c r="Q15" s="351"/>
      <c r="R15" s="351"/>
      <c r="S15" s="351"/>
      <c r="T15" s="351"/>
      <c r="U15" s="351"/>
      <c r="V15" s="351"/>
      <c r="W15" s="351"/>
      <c r="X15" s="351"/>
      <c r="Y15" s="351"/>
      <c r="Z15" s="351"/>
      <c r="AA15" s="351"/>
      <c r="AB15" s="352"/>
      <c r="AC15" s="350"/>
      <c r="AD15" s="351"/>
      <c r="AE15" s="351"/>
      <c r="AF15" s="351"/>
      <c r="AG15" s="351"/>
      <c r="AH15" s="351"/>
      <c r="AI15" s="351"/>
      <c r="AJ15" s="351"/>
      <c r="AK15" s="351"/>
      <c r="AL15" s="351"/>
      <c r="AM15" s="351"/>
      <c r="AN15" s="351"/>
      <c r="AO15" s="351"/>
      <c r="AP15" s="351"/>
      <c r="AQ15" s="351"/>
      <c r="AR15" s="352"/>
      <c r="AS15" s="322"/>
      <c r="AT15" s="323"/>
      <c r="AU15" s="350"/>
      <c r="AV15" s="351"/>
      <c r="AW15" s="351"/>
      <c r="AX15" s="351"/>
      <c r="AY15" s="351"/>
      <c r="AZ15" s="351"/>
      <c r="BA15" s="351"/>
      <c r="BB15" s="351"/>
      <c r="BC15" s="351"/>
      <c r="BD15" s="351"/>
      <c r="BE15" s="351"/>
      <c r="BF15" s="351"/>
      <c r="BG15" s="351"/>
      <c r="BH15" s="351"/>
      <c r="BI15" s="352"/>
    </row>
    <row r="16" spans="1:61" s="1" customFormat="1" ht="15" customHeight="1">
      <c r="A16" s="346">
        <f t="shared" si="0"/>
        <v>11</v>
      </c>
      <c r="B16" s="347"/>
      <c r="C16" s="324"/>
      <c r="D16" s="325"/>
      <c r="E16" s="325"/>
      <c r="F16" s="325"/>
      <c r="G16" s="325"/>
      <c r="H16" s="325"/>
      <c r="I16" s="325"/>
      <c r="J16" s="326"/>
      <c r="K16" s="350"/>
      <c r="L16" s="351"/>
      <c r="M16" s="351"/>
      <c r="N16" s="351"/>
      <c r="O16" s="351"/>
      <c r="P16" s="351"/>
      <c r="Q16" s="351"/>
      <c r="R16" s="351"/>
      <c r="S16" s="351"/>
      <c r="T16" s="351"/>
      <c r="U16" s="351"/>
      <c r="V16" s="351"/>
      <c r="W16" s="351"/>
      <c r="X16" s="351"/>
      <c r="Y16" s="351"/>
      <c r="Z16" s="351"/>
      <c r="AA16" s="351"/>
      <c r="AB16" s="352"/>
      <c r="AC16" s="350"/>
      <c r="AD16" s="351"/>
      <c r="AE16" s="351"/>
      <c r="AF16" s="351"/>
      <c r="AG16" s="351"/>
      <c r="AH16" s="351"/>
      <c r="AI16" s="351"/>
      <c r="AJ16" s="351"/>
      <c r="AK16" s="351"/>
      <c r="AL16" s="351"/>
      <c r="AM16" s="351"/>
      <c r="AN16" s="351"/>
      <c r="AO16" s="351"/>
      <c r="AP16" s="351"/>
      <c r="AQ16" s="351"/>
      <c r="AR16" s="352"/>
      <c r="AS16" s="322"/>
      <c r="AT16" s="323"/>
      <c r="AU16" s="350"/>
      <c r="AV16" s="351"/>
      <c r="AW16" s="351"/>
      <c r="AX16" s="351"/>
      <c r="AY16" s="351"/>
      <c r="AZ16" s="351"/>
      <c r="BA16" s="351"/>
      <c r="BB16" s="351"/>
      <c r="BC16" s="351"/>
      <c r="BD16" s="351"/>
      <c r="BE16" s="351"/>
      <c r="BF16" s="351"/>
      <c r="BG16" s="351"/>
      <c r="BH16" s="351"/>
      <c r="BI16" s="352"/>
    </row>
    <row r="17" spans="1:61" s="1" customFormat="1" ht="15" customHeight="1">
      <c r="A17" s="346">
        <f t="shared" si="0"/>
        <v>12</v>
      </c>
      <c r="B17" s="347"/>
      <c r="C17" s="324"/>
      <c r="D17" s="325"/>
      <c r="E17" s="325"/>
      <c r="F17" s="325"/>
      <c r="G17" s="325"/>
      <c r="H17" s="325"/>
      <c r="I17" s="325"/>
      <c r="J17" s="326"/>
      <c r="K17" s="350"/>
      <c r="L17" s="351"/>
      <c r="M17" s="351"/>
      <c r="N17" s="351"/>
      <c r="O17" s="351"/>
      <c r="P17" s="351"/>
      <c r="Q17" s="351"/>
      <c r="R17" s="351"/>
      <c r="S17" s="351"/>
      <c r="T17" s="351"/>
      <c r="U17" s="351"/>
      <c r="V17" s="351"/>
      <c r="W17" s="351"/>
      <c r="X17" s="351"/>
      <c r="Y17" s="351"/>
      <c r="Z17" s="351"/>
      <c r="AA17" s="351"/>
      <c r="AB17" s="352"/>
      <c r="AC17" s="350"/>
      <c r="AD17" s="351"/>
      <c r="AE17" s="351"/>
      <c r="AF17" s="351"/>
      <c r="AG17" s="351"/>
      <c r="AH17" s="351"/>
      <c r="AI17" s="351"/>
      <c r="AJ17" s="351"/>
      <c r="AK17" s="351"/>
      <c r="AL17" s="351"/>
      <c r="AM17" s="351"/>
      <c r="AN17" s="351"/>
      <c r="AO17" s="351"/>
      <c r="AP17" s="351"/>
      <c r="AQ17" s="351"/>
      <c r="AR17" s="352"/>
      <c r="AS17" s="322"/>
      <c r="AT17" s="323"/>
      <c r="AU17" s="350"/>
      <c r="AV17" s="351"/>
      <c r="AW17" s="351"/>
      <c r="AX17" s="351"/>
      <c r="AY17" s="351"/>
      <c r="AZ17" s="351"/>
      <c r="BA17" s="351"/>
      <c r="BB17" s="351"/>
      <c r="BC17" s="351"/>
      <c r="BD17" s="351"/>
      <c r="BE17" s="351"/>
      <c r="BF17" s="351"/>
      <c r="BG17" s="351"/>
      <c r="BH17" s="351"/>
      <c r="BI17" s="352"/>
    </row>
    <row r="18" spans="1:61" s="1" customFormat="1" ht="15" customHeight="1">
      <c r="A18" s="346">
        <f t="shared" si="0"/>
        <v>13</v>
      </c>
      <c r="B18" s="347"/>
      <c r="C18" s="324"/>
      <c r="D18" s="325"/>
      <c r="E18" s="325"/>
      <c r="F18" s="325"/>
      <c r="G18" s="325"/>
      <c r="H18" s="325"/>
      <c r="I18" s="325"/>
      <c r="J18" s="326"/>
      <c r="K18" s="350"/>
      <c r="L18" s="351"/>
      <c r="M18" s="351"/>
      <c r="N18" s="351"/>
      <c r="O18" s="351"/>
      <c r="P18" s="351"/>
      <c r="Q18" s="351"/>
      <c r="R18" s="351"/>
      <c r="S18" s="351"/>
      <c r="T18" s="351"/>
      <c r="U18" s="351"/>
      <c r="V18" s="351"/>
      <c r="W18" s="351"/>
      <c r="X18" s="351"/>
      <c r="Y18" s="351"/>
      <c r="Z18" s="351"/>
      <c r="AA18" s="351"/>
      <c r="AB18" s="352"/>
      <c r="AC18" s="350"/>
      <c r="AD18" s="351"/>
      <c r="AE18" s="351"/>
      <c r="AF18" s="351"/>
      <c r="AG18" s="351"/>
      <c r="AH18" s="351"/>
      <c r="AI18" s="351"/>
      <c r="AJ18" s="351"/>
      <c r="AK18" s="351"/>
      <c r="AL18" s="351"/>
      <c r="AM18" s="351"/>
      <c r="AN18" s="351"/>
      <c r="AO18" s="351"/>
      <c r="AP18" s="351"/>
      <c r="AQ18" s="351"/>
      <c r="AR18" s="352"/>
      <c r="AS18" s="322"/>
      <c r="AT18" s="323"/>
      <c r="AU18" s="350"/>
      <c r="AV18" s="351"/>
      <c r="AW18" s="351"/>
      <c r="AX18" s="351"/>
      <c r="AY18" s="351"/>
      <c r="AZ18" s="351"/>
      <c r="BA18" s="351"/>
      <c r="BB18" s="351"/>
      <c r="BC18" s="351"/>
      <c r="BD18" s="351"/>
      <c r="BE18" s="351"/>
      <c r="BF18" s="351"/>
      <c r="BG18" s="351"/>
      <c r="BH18" s="351"/>
      <c r="BI18" s="352"/>
    </row>
    <row r="19" spans="1:61" s="1" customFormat="1" ht="15" customHeight="1">
      <c r="A19" s="346">
        <f t="shared" si="0"/>
        <v>14</v>
      </c>
      <c r="B19" s="347"/>
      <c r="C19" s="324"/>
      <c r="D19" s="325"/>
      <c r="E19" s="325"/>
      <c r="F19" s="325"/>
      <c r="G19" s="325"/>
      <c r="H19" s="325"/>
      <c r="I19" s="325"/>
      <c r="J19" s="326"/>
      <c r="K19" s="350"/>
      <c r="L19" s="351"/>
      <c r="M19" s="351"/>
      <c r="N19" s="351"/>
      <c r="O19" s="351"/>
      <c r="P19" s="351"/>
      <c r="Q19" s="351"/>
      <c r="R19" s="351"/>
      <c r="S19" s="351"/>
      <c r="T19" s="351"/>
      <c r="U19" s="351"/>
      <c r="V19" s="351"/>
      <c r="W19" s="351"/>
      <c r="X19" s="351"/>
      <c r="Y19" s="351"/>
      <c r="Z19" s="351"/>
      <c r="AA19" s="351"/>
      <c r="AB19" s="352"/>
      <c r="AC19" s="350"/>
      <c r="AD19" s="351"/>
      <c r="AE19" s="351"/>
      <c r="AF19" s="351"/>
      <c r="AG19" s="351"/>
      <c r="AH19" s="351"/>
      <c r="AI19" s="351"/>
      <c r="AJ19" s="351"/>
      <c r="AK19" s="351"/>
      <c r="AL19" s="351"/>
      <c r="AM19" s="351"/>
      <c r="AN19" s="351"/>
      <c r="AO19" s="351"/>
      <c r="AP19" s="351"/>
      <c r="AQ19" s="351"/>
      <c r="AR19" s="352"/>
      <c r="AS19" s="322"/>
      <c r="AT19" s="323"/>
      <c r="AU19" s="350"/>
      <c r="AV19" s="351"/>
      <c r="AW19" s="351"/>
      <c r="AX19" s="351"/>
      <c r="AY19" s="351"/>
      <c r="AZ19" s="351"/>
      <c r="BA19" s="351"/>
      <c r="BB19" s="351"/>
      <c r="BC19" s="351"/>
      <c r="BD19" s="351"/>
      <c r="BE19" s="351"/>
      <c r="BF19" s="351"/>
      <c r="BG19" s="351"/>
      <c r="BH19" s="351"/>
      <c r="BI19" s="352"/>
    </row>
    <row r="20" spans="1:61" s="1" customFormat="1" ht="15" customHeight="1">
      <c r="A20" s="346">
        <f t="shared" si="0"/>
        <v>15</v>
      </c>
      <c r="B20" s="347"/>
      <c r="C20" s="324"/>
      <c r="D20" s="325"/>
      <c r="E20" s="325"/>
      <c r="F20" s="325"/>
      <c r="G20" s="325"/>
      <c r="H20" s="325"/>
      <c r="I20" s="325"/>
      <c r="J20" s="326"/>
      <c r="K20" s="350"/>
      <c r="L20" s="351"/>
      <c r="M20" s="351"/>
      <c r="N20" s="351"/>
      <c r="O20" s="351"/>
      <c r="P20" s="351"/>
      <c r="Q20" s="351"/>
      <c r="R20" s="351"/>
      <c r="S20" s="351"/>
      <c r="T20" s="351"/>
      <c r="U20" s="351"/>
      <c r="V20" s="351"/>
      <c r="W20" s="351"/>
      <c r="X20" s="351"/>
      <c r="Y20" s="351"/>
      <c r="Z20" s="351"/>
      <c r="AA20" s="351"/>
      <c r="AB20" s="352"/>
      <c r="AC20" s="350"/>
      <c r="AD20" s="351"/>
      <c r="AE20" s="351"/>
      <c r="AF20" s="351"/>
      <c r="AG20" s="351"/>
      <c r="AH20" s="351"/>
      <c r="AI20" s="351"/>
      <c r="AJ20" s="351"/>
      <c r="AK20" s="351"/>
      <c r="AL20" s="351"/>
      <c r="AM20" s="351"/>
      <c r="AN20" s="351"/>
      <c r="AO20" s="351"/>
      <c r="AP20" s="351"/>
      <c r="AQ20" s="351"/>
      <c r="AR20" s="352"/>
      <c r="AS20" s="322"/>
      <c r="AT20" s="323"/>
      <c r="AU20" s="350"/>
      <c r="AV20" s="351"/>
      <c r="AW20" s="351"/>
      <c r="AX20" s="351"/>
      <c r="AY20" s="351"/>
      <c r="AZ20" s="351"/>
      <c r="BA20" s="351"/>
      <c r="BB20" s="351"/>
      <c r="BC20" s="351"/>
      <c r="BD20" s="351"/>
      <c r="BE20" s="351"/>
      <c r="BF20" s="351"/>
      <c r="BG20" s="351"/>
      <c r="BH20" s="351"/>
      <c r="BI20" s="352"/>
    </row>
    <row r="21" spans="1:61" s="1" customFormat="1" ht="15" customHeight="1">
      <c r="A21" s="346">
        <f t="shared" si="0"/>
        <v>16</v>
      </c>
      <c r="B21" s="347"/>
      <c r="C21" s="324"/>
      <c r="D21" s="325"/>
      <c r="E21" s="325"/>
      <c r="F21" s="325"/>
      <c r="G21" s="325"/>
      <c r="H21" s="325"/>
      <c r="I21" s="325"/>
      <c r="J21" s="326"/>
      <c r="K21" s="350"/>
      <c r="L21" s="351"/>
      <c r="M21" s="351"/>
      <c r="N21" s="351"/>
      <c r="O21" s="351"/>
      <c r="P21" s="351"/>
      <c r="Q21" s="351"/>
      <c r="R21" s="351"/>
      <c r="S21" s="351"/>
      <c r="T21" s="351"/>
      <c r="U21" s="351"/>
      <c r="V21" s="351"/>
      <c r="W21" s="351"/>
      <c r="X21" s="351"/>
      <c r="Y21" s="351"/>
      <c r="Z21" s="351"/>
      <c r="AA21" s="351"/>
      <c r="AB21" s="352"/>
      <c r="AC21" s="350"/>
      <c r="AD21" s="351"/>
      <c r="AE21" s="351"/>
      <c r="AF21" s="351"/>
      <c r="AG21" s="351"/>
      <c r="AH21" s="351"/>
      <c r="AI21" s="351"/>
      <c r="AJ21" s="351"/>
      <c r="AK21" s="351"/>
      <c r="AL21" s="351"/>
      <c r="AM21" s="351"/>
      <c r="AN21" s="351"/>
      <c r="AO21" s="351"/>
      <c r="AP21" s="351"/>
      <c r="AQ21" s="351"/>
      <c r="AR21" s="352"/>
      <c r="AS21" s="322"/>
      <c r="AT21" s="323"/>
      <c r="AU21" s="350"/>
      <c r="AV21" s="351"/>
      <c r="AW21" s="351"/>
      <c r="AX21" s="351"/>
      <c r="AY21" s="351"/>
      <c r="AZ21" s="351"/>
      <c r="BA21" s="351"/>
      <c r="BB21" s="351"/>
      <c r="BC21" s="351"/>
      <c r="BD21" s="351"/>
      <c r="BE21" s="351"/>
      <c r="BF21" s="351"/>
      <c r="BG21" s="351"/>
      <c r="BH21" s="351"/>
      <c r="BI21" s="352"/>
    </row>
    <row r="22" spans="1:61" s="1" customFormat="1" ht="15" customHeight="1">
      <c r="A22" s="346">
        <f t="shared" si="0"/>
        <v>17</v>
      </c>
      <c r="B22" s="347"/>
      <c r="C22" s="324"/>
      <c r="D22" s="325"/>
      <c r="E22" s="325"/>
      <c r="F22" s="325"/>
      <c r="G22" s="325"/>
      <c r="H22" s="325"/>
      <c r="I22" s="325"/>
      <c r="J22" s="326"/>
      <c r="K22" s="350"/>
      <c r="L22" s="351"/>
      <c r="M22" s="351"/>
      <c r="N22" s="351"/>
      <c r="O22" s="351"/>
      <c r="P22" s="351"/>
      <c r="Q22" s="351"/>
      <c r="R22" s="351"/>
      <c r="S22" s="351"/>
      <c r="T22" s="351"/>
      <c r="U22" s="351"/>
      <c r="V22" s="351"/>
      <c r="W22" s="351"/>
      <c r="X22" s="351"/>
      <c r="Y22" s="351"/>
      <c r="Z22" s="351"/>
      <c r="AA22" s="351"/>
      <c r="AB22" s="352"/>
      <c r="AC22" s="350"/>
      <c r="AD22" s="351"/>
      <c r="AE22" s="351"/>
      <c r="AF22" s="351"/>
      <c r="AG22" s="351"/>
      <c r="AH22" s="351"/>
      <c r="AI22" s="351"/>
      <c r="AJ22" s="351"/>
      <c r="AK22" s="351"/>
      <c r="AL22" s="351"/>
      <c r="AM22" s="351"/>
      <c r="AN22" s="351"/>
      <c r="AO22" s="351"/>
      <c r="AP22" s="351"/>
      <c r="AQ22" s="351"/>
      <c r="AR22" s="352"/>
      <c r="AS22" s="322"/>
      <c r="AT22" s="323"/>
      <c r="AU22" s="350"/>
      <c r="AV22" s="351"/>
      <c r="AW22" s="351"/>
      <c r="AX22" s="351"/>
      <c r="AY22" s="351"/>
      <c r="AZ22" s="351"/>
      <c r="BA22" s="351"/>
      <c r="BB22" s="351"/>
      <c r="BC22" s="351"/>
      <c r="BD22" s="351"/>
      <c r="BE22" s="351"/>
      <c r="BF22" s="351"/>
      <c r="BG22" s="351"/>
      <c r="BH22" s="351"/>
      <c r="BI22" s="352"/>
    </row>
    <row r="23" spans="1:61" s="1" customFormat="1" ht="15" customHeight="1">
      <c r="A23" s="346">
        <f t="shared" si="0"/>
        <v>18</v>
      </c>
      <c r="B23" s="347"/>
      <c r="C23" s="324"/>
      <c r="D23" s="325"/>
      <c r="E23" s="325"/>
      <c r="F23" s="325"/>
      <c r="G23" s="325"/>
      <c r="H23" s="325"/>
      <c r="I23" s="325"/>
      <c r="J23" s="326"/>
      <c r="K23" s="350"/>
      <c r="L23" s="351"/>
      <c r="M23" s="351"/>
      <c r="N23" s="351"/>
      <c r="O23" s="351"/>
      <c r="P23" s="351"/>
      <c r="Q23" s="351"/>
      <c r="R23" s="351"/>
      <c r="S23" s="351"/>
      <c r="T23" s="351"/>
      <c r="U23" s="351"/>
      <c r="V23" s="351"/>
      <c r="W23" s="351"/>
      <c r="X23" s="351"/>
      <c r="Y23" s="351"/>
      <c r="Z23" s="351"/>
      <c r="AA23" s="351"/>
      <c r="AB23" s="352"/>
      <c r="AC23" s="350"/>
      <c r="AD23" s="351"/>
      <c r="AE23" s="351"/>
      <c r="AF23" s="351"/>
      <c r="AG23" s="351"/>
      <c r="AH23" s="351"/>
      <c r="AI23" s="351"/>
      <c r="AJ23" s="351"/>
      <c r="AK23" s="351"/>
      <c r="AL23" s="351"/>
      <c r="AM23" s="351"/>
      <c r="AN23" s="351"/>
      <c r="AO23" s="351"/>
      <c r="AP23" s="351"/>
      <c r="AQ23" s="351"/>
      <c r="AR23" s="352"/>
      <c r="AS23" s="322"/>
      <c r="AT23" s="323"/>
      <c r="AU23" s="350"/>
      <c r="AV23" s="351"/>
      <c r="AW23" s="351"/>
      <c r="AX23" s="351"/>
      <c r="AY23" s="351"/>
      <c r="AZ23" s="351"/>
      <c r="BA23" s="351"/>
      <c r="BB23" s="351"/>
      <c r="BC23" s="351"/>
      <c r="BD23" s="351"/>
      <c r="BE23" s="351"/>
      <c r="BF23" s="351"/>
      <c r="BG23" s="351"/>
      <c r="BH23" s="351"/>
      <c r="BI23" s="352"/>
    </row>
    <row r="24" spans="1:61" s="1" customFormat="1" ht="15" customHeight="1">
      <c r="A24" s="346">
        <f t="shared" si="0"/>
        <v>19</v>
      </c>
      <c r="B24" s="347"/>
      <c r="C24" s="324"/>
      <c r="D24" s="325"/>
      <c r="E24" s="325"/>
      <c r="F24" s="325"/>
      <c r="G24" s="325"/>
      <c r="H24" s="325"/>
      <c r="I24" s="325"/>
      <c r="J24" s="326"/>
      <c r="K24" s="350"/>
      <c r="L24" s="351"/>
      <c r="M24" s="351"/>
      <c r="N24" s="351"/>
      <c r="O24" s="351"/>
      <c r="P24" s="351"/>
      <c r="Q24" s="351"/>
      <c r="R24" s="351"/>
      <c r="S24" s="351"/>
      <c r="T24" s="351"/>
      <c r="U24" s="351"/>
      <c r="V24" s="351"/>
      <c r="W24" s="351"/>
      <c r="X24" s="351"/>
      <c r="Y24" s="351"/>
      <c r="Z24" s="351"/>
      <c r="AA24" s="351"/>
      <c r="AB24" s="352"/>
      <c r="AC24" s="350"/>
      <c r="AD24" s="351"/>
      <c r="AE24" s="351"/>
      <c r="AF24" s="351"/>
      <c r="AG24" s="351"/>
      <c r="AH24" s="351"/>
      <c r="AI24" s="351"/>
      <c r="AJ24" s="351"/>
      <c r="AK24" s="351"/>
      <c r="AL24" s="351"/>
      <c r="AM24" s="351"/>
      <c r="AN24" s="351"/>
      <c r="AO24" s="351"/>
      <c r="AP24" s="351"/>
      <c r="AQ24" s="351"/>
      <c r="AR24" s="352"/>
      <c r="AS24" s="322"/>
      <c r="AT24" s="323"/>
      <c r="AU24" s="350"/>
      <c r="AV24" s="351"/>
      <c r="AW24" s="351"/>
      <c r="AX24" s="351"/>
      <c r="AY24" s="351"/>
      <c r="AZ24" s="351"/>
      <c r="BA24" s="351"/>
      <c r="BB24" s="351"/>
      <c r="BC24" s="351"/>
      <c r="BD24" s="351"/>
      <c r="BE24" s="351"/>
      <c r="BF24" s="351"/>
      <c r="BG24" s="351"/>
      <c r="BH24" s="351"/>
      <c r="BI24" s="352"/>
    </row>
    <row r="25" spans="1:61" s="1" customFormat="1" ht="15" customHeight="1">
      <c r="A25" s="346">
        <f t="shared" si="0"/>
        <v>20</v>
      </c>
      <c r="B25" s="347"/>
      <c r="C25" s="324"/>
      <c r="D25" s="325"/>
      <c r="E25" s="325"/>
      <c r="F25" s="325"/>
      <c r="G25" s="325"/>
      <c r="H25" s="325"/>
      <c r="I25" s="325"/>
      <c r="J25" s="326"/>
      <c r="K25" s="350"/>
      <c r="L25" s="351"/>
      <c r="M25" s="351"/>
      <c r="N25" s="351"/>
      <c r="O25" s="351"/>
      <c r="P25" s="351"/>
      <c r="Q25" s="351"/>
      <c r="R25" s="351"/>
      <c r="S25" s="351"/>
      <c r="T25" s="351"/>
      <c r="U25" s="351"/>
      <c r="V25" s="351"/>
      <c r="W25" s="351"/>
      <c r="X25" s="351"/>
      <c r="Y25" s="351"/>
      <c r="Z25" s="351"/>
      <c r="AA25" s="351"/>
      <c r="AB25" s="352"/>
      <c r="AC25" s="350"/>
      <c r="AD25" s="351"/>
      <c r="AE25" s="351"/>
      <c r="AF25" s="351"/>
      <c r="AG25" s="351"/>
      <c r="AH25" s="351"/>
      <c r="AI25" s="351"/>
      <c r="AJ25" s="351"/>
      <c r="AK25" s="351"/>
      <c r="AL25" s="351"/>
      <c r="AM25" s="351"/>
      <c r="AN25" s="351"/>
      <c r="AO25" s="351"/>
      <c r="AP25" s="351"/>
      <c r="AQ25" s="351"/>
      <c r="AR25" s="352"/>
      <c r="AS25" s="322"/>
      <c r="AT25" s="323"/>
      <c r="AU25" s="350"/>
      <c r="AV25" s="351"/>
      <c r="AW25" s="351"/>
      <c r="AX25" s="351"/>
      <c r="AY25" s="351"/>
      <c r="AZ25" s="351"/>
      <c r="BA25" s="351"/>
      <c r="BB25" s="351"/>
      <c r="BC25" s="351"/>
      <c r="BD25" s="351"/>
      <c r="BE25" s="351"/>
      <c r="BF25" s="351"/>
      <c r="BG25" s="351"/>
      <c r="BH25" s="351"/>
      <c r="BI25" s="352"/>
    </row>
    <row r="26" spans="1:61" s="1" customFormat="1" ht="15" customHeight="1">
      <c r="A26" s="346">
        <f t="shared" si="0"/>
        <v>21</v>
      </c>
      <c r="B26" s="347"/>
      <c r="C26" s="324"/>
      <c r="D26" s="325"/>
      <c r="E26" s="325"/>
      <c r="F26" s="325"/>
      <c r="G26" s="325"/>
      <c r="H26" s="325"/>
      <c r="I26" s="325"/>
      <c r="J26" s="326"/>
      <c r="K26" s="350"/>
      <c r="L26" s="351"/>
      <c r="M26" s="351"/>
      <c r="N26" s="351"/>
      <c r="O26" s="351"/>
      <c r="P26" s="351"/>
      <c r="Q26" s="351"/>
      <c r="R26" s="351"/>
      <c r="S26" s="351"/>
      <c r="T26" s="351"/>
      <c r="U26" s="351"/>
      <c r="V26" s="351"/>
      <c r="W26" s="351"/>
      <c r="X26" s="351"/>
      <c r="Y26" s="351"/>
      <c r="Z26" s="351"/>
      <c r="AA26" s="351"/>
      <c r="AB26" s="352"/>
      <c r="AC26" s="350"/>
      <c r="AD26" s="351"/>
      <c r="AE26" s="351"/>
      <c r="AF26" s="351"/>
      <c r="AG26" s="351"/>
      <c r="AH26" s="351"/>
      <c r="AI26" s="351"/>
      <c r="AJ26" s="351"/>
      <c r="AK26" s="351"/>
      <c r="AL26" s="351"/>
      <c r="AM26" s="351"/>
      <c r="AN26" s="351"/>
      <c r="AO26" s="351"/>
      <c r="AP26" s="351"/>
      <c r="AQ26" s="351"/>
      <c r="AR26" s="352"/>
      <c r="AS26" s="322"/>
      <c r="AT26" s="323"/>
      <c r="AU26" s="350"/>
      <c r="AV26" s="351"/>
      <c r="AW26" s="351"/>
      <c r="AX26" s="351"/>
      <c r="AY26" s="351"/>
      <c r="AZ26" s="351"/>
      <c r="BA26" s="351"/>
      <c r="BB26" s="351"/>
      <c r="BC26" s="351"/>
      <c r="BD26" s="351"/>
      <c r="BE26" s="351"/>
      <c r="BF26" s="351"/>
      <c r="BG26" s="351"/>
      <c r="BH26" s="351"/>
      <c r="BI26" s="352"/>
    </row>
    <row r="27" spans="1:61" s="1" customFormat="1" ht="15" customHeight="1">
      <c r="A27" s="346">
        <f t="shared" si="0"/>
        <v>22</v>
      </c>
      <c r="B27" s="347"/>
      <c r="C27" s="324"/>
      <c r="D27" s="325"/>
      <c r="E27" s="325"/>
      <c r="F27" s="325"/>
      <c r="G27" s="325"/>
      <c r="H27" s="325"/>
      <c r="I27" s="325"/>
      <c r="J27" s="326"/>
      <c r="K27" s="350"/>
      <c r="L27" s="351"/>
      <c r="M27" s="351"/>
      <c r="N27" s="351"/>
      <c r="O27" s="351"/>
      <c r="P27" s="351"/>
      <c r="Q27" s="351"/>
      <c r="R27" s="351"/>
      <c r="S27" s="351"/>
      <c r="T27" s="351"/>
      <c r="U27" s="351"/>
      <c r="V27" s="351"/>
      <c r="W27" s="351"/>
      <c r="X27" s="351"/>
      <c r="Y27" s="351"/>
      <c r="Z27" s="351"/>
      <c r="AA27" s="351"/>
      <c r="AB27" s="352"/>
      <c r="AC27" s="350"/>
      <c r="AD27" s="351"/>
      <c r="AE27" s="351"/>
      <c r="AF27" s="351"/>
      <c r="AG27" s="351"/>
      <c r="AH27" s="351"/>
      <c r="AI27" s="351"/>
      <c r="AJ27" s="351"/>
      <c r="AK27" s="351"/>
      <c r="AL27" s="351"/>
      <c r="AM27" s="351"/>
      <c r="AN27" s="351"/>
      <c r="AO27" s="351"/>
      <c r="AP27" s="351"/>
      <c r="AQ27" s="351"/>
      <c r="AR27" s="352"/>
      <c r="AS27" s="322"/>
      <c r="AT27" s="323"/>
      <c r="AU27" s="350"/>
      <c r="AV27" s="351"/>
      <c r="AW27" s="351"/>
      <c r="AX27" s="351"/>
      <c r="AY27" s="351"/>
      <c r="AZ27" s="351"/>
      <c r="BA27" s="351"/>
      <c r="BB27" s="351"/>
      <c r="BC27" s="351"/>
      <c r="BD27" s="351"/>
      <c r="BE27" s="351"/>
      <c r="BF27" s="351"/>
      <c r="BG27" s="351"/>
      <c r="BH27" s="351"/>
      <c r="BI27" s="352"/>
    </row>
    <row r="28" spans="1:61" s="1" customFormat="1" ht="15" customHeight="1">
      <c r="A28" s="346">
        <f t="shared" si="0"/>
        <v>23</v>
      </c>
      <c r="B28" s="347"/>
      <c r="C28" s="324"/>
      <c r="D28" s="325"/>
      <c r="E28" s="325"/>
      <c r="F28" s="325"/>
      <c r="G28" s="325"/>
      <c r="H28" s="325"/>
      <c r="I28" s="325"/>
      <c r="J28" s="326"/>
      <c r="K28" s="350"/>
      <c r="L28" s="351"/>
      <c r="M28" s="351"/>
      <c r="N28" s="351"/>
      <c r="O28" s="351"/>
      <c r="P28" s="351"/>
      <c r="Q28" s="351"/>
      <c r="R28" s="351"/>
      <c r="S28" s="351"/>
      <c r="T28" s="351"/>
      <c r="U28" s="351"/>
      <c r="V28" s="351"/>
      <c r="W28" s="351"/>
      <c r="X28" s="351"/>
      <c r="Y28" s="351"/>
      <c r="Z28" s="351"/>
      <c r="AA28" s="351"/>
      <c r="AB28" s="352"/>
      <c r="AC28" s="350"/>
      <c r="AD28" s="351"/>
      <c r="AE28" s="351"/>
      <c r="AF28" s="351"/>
      <c r="AG28" s="351"/>
      <c r="AH28" s="351"/>
      <c r="AI28" s="351"/>
      <c r="AJ28" s="351"/>
      <c r="AK28" s="351"/>
      <c r="AL28" s="351"/>
      <c r="AM28" s="351"/>
      <c r="AN28" s="351"/>
      <c r="AO28" s="351"/>
      <c r="AP28" s="351"/>
      <c r="AQ28" s="351"/>
      <c r="AR28" s="352"/>
      <c r="AS28" s="322"/>
      <c r="AT28" s="323"/>
      <c r="AU28" s="350"/>
      <c r="AV28" s="351"/>
      <c r="AW28" s="351"/>
      <c r="AX28" s="351"/>
      <c r="AY28" s="351"/>
      <c r="AZ28" s="351"/>
      <c r="BA28" s="351"/>
      <c r="BB28" s="351"/>
      <c r="BC28" s="351"/>
      <c r="BD28" s="351"/>
      <c r="BE28" s="351"/>
      <c r="BF28" s="351"/>
      <c r="BG28" s="351"/>
      <c r="BH28" s="351"/>
      <c r="BI28" s="352"/>
    </row>
    <row r="29" spans="1:61" s="1" customFormat="1" ht="15" customHeight="1">
      <c r="A29" s="346">
        <f t="shared" si="0"/>
        <v>24</v>
      </c>
      <c r="B29" s="347"/>
      <c r="C29" s="324"/>
      <c r="D29" s="325"/>
      <c r="E29" s="325"/>
      <c r="F29" s="325"/>
      <c r="G29" s="325"/>
      <c r="H29" s="325"/>
      <c r="I29" s="325"/>
      <c r="J29" s="326"/>
      <c r="K29" s="350"/>
      <c r="L29" s="351"/>
      <c r="M29" s="351"/>
      <c r="N29" s="351"/>
      <c r="O29" s="351"/>
      <c r="P29" s="351"/>
      <c r="Q29" s="351"/>
      <c r="R29" s="351"/>
      <c r="S29" s="351"/>
      <c r="T29" s="351"/>
      <c r="U29" s="351"/>
      <c r="V29" s="351"/>
      <c r="W29" s="351"/>
      <c r="X29" s="351"/>
      <c r="Y29" s="351"/>
      <c r="Z29" s="351"/>
      <c r="AA29" s="351"/>
      <c r="AB29" s="352"/>
      <c r="AC29" s="350"/>
      <c r="AD29" s="351"/>
      <c r="AE29" s="351"/>
      <c r="AF29" s="351"/>
      <c r="AG29" s="351"/>
      <c r="AH29" s="351"/>
      <c r="AI29" s="351"/>
      <c r="AJ29" s="351"/>
      <c r="AK29" s="351"/>
      <c r="AL29" s="351"/>
      <c r="AM29" s="351"/>
      <c r="AN29" s="351"/>
      <c r="AO29" s="351"/>
      <c r="AP29" s="351"/>
      <c r="AQ29" s="351"/>
      <c r="AR29" s="352"/>
      <c r="AS29" s="322"/>
      <c r="AT29" s="323"/>
      <c r="AU29" s="350"/>
      <c r="AV29" s="351"/>
      <c r="AW29" s="351"/>
      <c r="AX29" s="351"/>
      <c r="AY29" s="351"/>
      <c r="AZ29" s="351"/>
      <c r="BA29" s="351"/>
      <c r="BB29" s="351"/>
      <c r="BC29" s="351"/>
      <c r="BD29" s="351"/>
      <c r="BE29" s="351"/>
      <c r="BF29" s="351"/>
      <c r="BG29" s="351"/>
      <c r="BH29" s="351"/>
      <c r="BI29" s="352"/>
    </row>
    <row r="30" spans="1:61" s="1" customFormat="1" ht="15" customHeight="1">
      <c r="A30" s="346">
        <f t="shared" si="0"/>
        <v>25</v>
      </c>
      <c r="B30" s="347"/>
      <c r="C30" s="324"/>
      <c r="D30" s="325"/>
      <c r="E30" s="325"/>
      <c r="F30" s="325"/>
      <c r="G30" s="325"/>
      <c r="H30" s="325"/>
      <c r="I30" s="325"/>
      <c r="J30" s="326"/>
      <c r="K30" s="350"/>
      <c r="L30" s="351"/>
      <c r="M30" s="351"/>
      <c r="N30" s="351"/>
      <c r="O30" s="351"/>
      <c r="P30" s="351"/>
      <c r="Q30" s="351"/>
      <c r="R30" s="351"/>
      <c r="S30" s="351"/>
      <c r="T30" s="351"/>
      <c r="U30" s="351"/>
      <c r="V30" s="351"/>
      <c r="W30" s="351"/>
      <c r="X30" s="351"/>
      <c r="Y30" s="351"/>
      <c r="Z30" s="351"/>
      <c r="AA30" s="351"/>
      <c r="AB30" s="352"/>
      <c r="AC30" s="350"/>
      <c r="AD30" s="351"/>
      <c r="AE30" s="351"/>
      <c r="AF30" s="351"/>
      <c r="AG30" s="351"/>
      <c r="AH30" s="351"/>
      <c r="AI30" s="351"/>
      <c r="AJ30" s="351"/>
      <c r="AK30" s="351"/>
      <c r="AL30" s="351"/>
      <c r="AM30" s="351"/>
      <c r="AN30" s="351"/>
      <c r="AO30" s="351"/>
      <c r="AP30" s="351"/>
      <c r="AQ30" s="351"/>
      <c r="AR30" s="352"/>
      <c r="AS30" s="322"/>
      <c r="AT30" s="323"/>
      <c r="AU30" s="350"/>
      <c r="AV30" s="351"/>
      <c r="AW30" s="351"/>
      <c r="AX30" s="351"/>
      <c r="AY30" s="351"/>
      <c r="AZ30" s="351"/>
      <c r="BA30" s="351"/>
      <c r="BB30" s="351"/>
      <c r="BC30" s="351"/>
      <c r="BD30" s="351"/>
      <c r="BE30" s="351"/>
      <c r="BF30" s="351"/>
      <c r="BG30" s="351"/>
      <c r="BH30" s="351"/>
      <c r="BI30" s="352"/>
    </row>
    <row r="31" spans="1:61" s="1" customFormat="1" ht="15" customHeight="1">
      <c r="A31" s="346">
        <f t="shared" si="0"/>
        <v>26</v>
      </c>
      <c r="B31" s="347"/>
      <c r="C31" s="324"/>
      <c r="D31" s="325"/>
      <c r="E31" s="325"/>
      <c r="F31" s="325"/>
      <c r="G31" s="325"/>
      <c r="H31" s="325"/>
      <c r="I31" s="325"/>
      <c r="J31" s="326"/>
      <c r="K31" s="350"/>
      <c r="L31" s="351"/>
      <c r="M31" s="351"/>
      <c r="N31" s="351"/>
      <c r="O31" s="351"/>
      <c r="P31" s="351"/>
      <c r="Q31" s="351"/>
      <c r="R31" s="351"/>
      <c r="S31" s="351"/>
      <c r="T31" s="351"/>
      <c r="U31" s="351"/>
      <c r="V31" s="351"/>
      <c r="W31" s="351"/>
      <c r="X31" s="351"/>
      <c r="Y31" s="351"/>
      <c r="Z31" s="351"/>
      <c r="AA31" s="351"/>
      <c r="AB31" s="352"/>
      <c r="AC31" s="350"/>
      <c r="AD31" s="351"/>
      <c r="AE31" s="351"/>
      <c r="AF31" s="351"/>
      <c r="AG31" s="351"/>
      <c r="AH31" s="351"/>
      <c r="AI31" s="351"/>
      <c r="AJ31" s="351"/>
      <c r="AK31" s="351"/>
      <c r="AL31" s="351"/>
      <c r="AM31" s="351"/>
      <c r="AN31" s="351"/>
      <c r="AO31" s="351"/>
      <c r="AP31" s="351"/>
      <c r="AQ31" s="351"/>
      <c r="AR31" s="352"/>
      <c r="AS31" s="322"/>
      <c r="AT31" s="323"/>
      <c r="AU31" s="350"/>
      <c r="AV31" s="351"/>
      <c r="AW31" s="351"/>
      <c r="AX31" s="351"/>
      <c r="AY31" s="351"/>
      <c r="AZ31" s="351"/>
      <c r="BA31" s="351"/>
      <c r="BB31" s="351"/>
      <c r="BC31" s="351"/>
      <c r="BD31" s="351"/>
      <c r="BE31" s="351"/>
      <c r="BF31" s="351"/>
      <c r="BG31" s="351"/>
      <c r="BH31" s="351"/>
      <c r="BI31" s="352"/>
    </row>
    <row r="32" spans="1:61" s="1" customFormat="1" ht="15" customHeight="1">
      <c r="A32" s="346">
        <f t="shared" si="0"/>
        <v>27</v>
      </c>
      <c r="B32" s="347"/>
      <c r="C32" s="324"/>
      <c r="D32" s="325"/>
      <c r="E32" s="325"/>
      <c r="F32" s="325"/>
      <c r="G32" s="325"/>
      <c r="H32" s="325"/>
      <c r="I32" s="325"/>
      <c r="J32" s="326"/>
      <c r="K32" s="350"/>
      <c r="L32" s="351"/>
      <c r="M32" s="351"/>
      <c r="N32" s="351"/>
      <c r="O32" s="351"/>
      <c r="P32" s="351"/>
      <c r="Q32" s="351"/>
      <c r="R32" s="351"/>
      <c r="S32" s="351"/>
      <c r="T32" s="351"/>
      <c r="U32" s="351"/>
      <c r="V32" s="351"/>
      <c r="W32" s="351"/>
      <c r="X32" s="351"/>
      <c r="Y32" s="351"/>
      <c r="Z32" s="351"/>
      <c r="AA32" s="351"/>
      <c r="AB32" s="352"/>
      <c r="AC32" s="350"/>
      <c r="AD32" s="351"/>
      <c r="AE32" s="351"/>
      <c r="AF32" s="351"/>
      <c r="AG32" s="351"/>
      <c r="AH32" s="351"/>
      <c r="AI32" s="351"/>
      <c r="AJ32" s="351"/>
      <c r="AK32" s="351"/>
      <c r="AL32" s="351"/>
      <c r="AM32" s="351"/>
      <c r="AN32" s="351"/>
      <c r="AO32" s="351"/>
      <c r="AP32" s="351"/>
      <c r="AQ32" s="351"/>
      <c r="AR32" s="352"/>
      <c r="AS32" s="322"/>
      <c r="AT32" s="323"/>
      <c r="AU32" s="350"/>
      <c r="AV32" s="351"/>
      <c r="AW32" s="351"/>
      <c r="AX32" s="351"/>
      <c r="AY32" s="351"/>
      <c r="AZ32" s="351"/>
      <c r="BA32" s="351"/>
      <c r="BB32" s="351"/>
      <c r="BC32" s="351"/>
      <c r="BD32" s="351"/>
      <c r="BE32" s="351"/>
      <c r="BF32" s="351"/>
      <c r="BG32" s="351"/>
      <c r="BH32" s="351"/>
      <c r="BI32" s="352"/>
    </row>
    <row r="33" spans="1:61" s="1" customFormat="1" ht="15" customHeight="1">
      <c r="A33" s="346">
        <f t="shared" si="0"/>
        <v>28</v>
      </c>
      <c r="B33" s="347"/>
      <c r="C33" s="324"/>
      <c r="D33" s="325"/>
      <c r="E33" s="325"/>
      <c r="F33" s="325"/>
      <c r="G33" s="325"/>
      <c r="H33" s="325"/>
      <c r="I33" s="325"/>
      <c r="J33" s="326"/>
      <c r="K33" s="350"/>
      <c r="L33" s="351"/>
      <c r="M33" s="351"/>
      <c r="N33" s="351"/>
      <c r="O33" s="351"/>
      <c r="P33" s="351"/>
      <c r="Q33" s="351"/>
      <c r="R33" s="351"/>
      <c r="S33" s="351"/>
      <c r="T33" s="351"/>
      <c r="U33" s="351"/>
      <c r="V33" s="351"/>
      <c r="W33" s="351"/>
      <c r="X33" s="351"/>
      <c r="Y33" s="351"/>
      <c r="Z33" s="351"/>
      <c r="AA33" s="351"/>
      <c r="AB33" s="352"/>
      <c r="AC33" s="350"/>
      <c r="AD33" s="351"/>
      <c r="AE33" s="351"/>
      <c r="AF33" s="351"/>
      <c r="AG33" s="351"/>
      <c r="AH33" s="351"/>
      <c r="AI33" s="351"/>
      <c r="AJ33" s="351"/>
      <c r="AK33" s="351"/>
      <c r="AL33" s="351"/>
      <c r="AM33" s="351"/>
      <c r="AN33" s="351"/>
      <c r="AO33" s="351"/>
      <c r="AP33" s="351"/>
      <c r="AQ33" s="351"/>
      <c r="AR33" s="352"/>
      <c r="AS33" s="322"/>
      <c r="AT33" s="323"/>
      <c r="AU33" s="350"/>
      <c r="AV33" s="351"/>
      <c r="AW33" s="351"/>
      <c r="AX33" s="351"/>
      <c r="AY33" s="351"/>
      <c r="AZ33" s="351"/>
      <c r="BA33" s="351"/>
      <c r="BB33" s="351"/>
      <c r="BC33" s="351"/>
      <c r="BD33" s="351"/>
      <c r="BE33" s="351"/>
      <c r="BF33" s="351"/>
      <c r="BG33" s="351"/>
      <c r="BH33" s="351"/>
      <c r="BI33" s="352"/>
    </row>
    <row r="34" spans="1:61" s="1" customFormat="1" ht="15" customHeight="1">
      <c r="A34" s="346">
        <f t="shared" si="0"/>
        <v>29</v>
      </c>
      <c r="B34" s="347"/>
      <c r="C34" s="324"/>
      <c r="D34" s="325"/>
      <c r="E34" s="325"/>
      <c r="F34" s="325"/>
      <c r="G34" s="325"/>
      <c r="H34" s="325"/>
      <c r="I34" s="325"/>
      <c r="J34" s="326"/>
      <c r="K34" s="350"/>
      <c r="L34" s="351"/>
      <c r="M34" s="351"/>
      <c r="N34" s="351"/>
      <c r="O34" s="351"/>
      <c r="P34" s="351"/>
      <c r="Q34" s="351"/>
      <c r="R34" s="351"/>
      <c r="S34" s="351"/>
      <c r="T34" s="351"/>
      <c r="U34" s="351"/>
      <c r="V34" s="351"/>
      <c r="W34" s="351"/>
      <c r="X34" s="351"/>
      <c r="Y34" s="351"/>
      <c r="Z34" s="351"/>
      <c r="AA34" s="351"/>
      <c r="AB34" s="352"/>
      <c r="AC34" s="350"/>
      <c r="AD34" s="351"/>
      <c r="AE34" s="351"/>
      <c r="AF34" s="351"/>
      <c r="AG34" s="351"/>
      <c r="AH34" s="351"/>
      <c r="AI34" s="351"/>
      <c r="AJ34" s="351"/>
      <c r="AK34" s="351"/>
      <c r="AL34" s="351"/>
      <c r="AM34" s="351"/>
      <c r="AN34" s="351"/>
      <c r="AO34" s="351"/>
      <c r="AP34" s="351"/>
      <c r="AQ34" s="351"/>
      <c r="AR34" s="352"/>
      <c r="AS34" s="322"/>
      <c r="AT34" s="323"/>
      <c r="AU34" s="350"/>
      <c r="AV34" s="351"/>
      <c r="AW34" s="351"/>
      <c r="AX34" s="351"/>
      <c r="AY34" s="351"/>
      <c r="AZ34" s="351"/>
      <c r="BA34" s="351"/>
      <c r="BB34" s="351"/>
      <c r="BC34" s="351"/>
      <c r="BD34" s="351"/>
      <c r="BE34" s="351"/>
      <c r="BF34" s="351"/>
      <c r="BG34" s="351"/>
      <c r="BH34" s="351"/>
      <c r="BI34" s="352"/>
    </row>
    <row r="35" spans="1:61" s="1" customFormat="1" ht="15" customHeight="1">
      <c r="A35" s="346">
        <f t="shared" si="0"/>
        <v>30</v>
      </c>
      <c r="B35" s="347"/>
      <c r="C35" s="324"/>
      <c r="D35" s="325"/>
      <c r="E35" s="325"/>
      <c r="F35" s="325"/>
      <c r="G35" s="325"/>
      <c r="H35" s="325"/>
      <c r="I35" s="325"/>
      <c r="J35" s="326"/>
      <c r="K35" s="350"/>
      <c r="L35" s="351"/>
      <c r="M35" s="351"/>
      <c r="N35" s="351"/>
      <c r="O35" s="351"/>
      <c r="P35" s="351"/>
      <c r="Q35" s="351"/>
      <c r="R35" s="351"/>
      <c r="S35" s="351"/>
      <c r="T35" s="351"/>
      <c r="U35" s="351"/>
      <c r="V35" s="351"/>
      <c r="W35" s="351"/>
      <c r="X35" s="351"/>
      <c r="Y35" s="351"/>
      <c r="Z35" s="351"/>
      <c r="AA35" s="351"/>
      <c r="AB35" s="352"/>
      <c r="AC35" s="350"/>
      <c r="AD35" s="351"/>
      <c r="AE35" s="351"/>
      <c r="AF35" s="351"/>
      <c r="AG35" s="351"/>
      <c r="AH35" s="351"/>
      <c r="AI35" s="351"/>
      <c r="AJ35" s="351"/>
      <c r="AK35" s="351"/>
      <c r="AL35" s="351"/>
      <c r="AM35" s="351"/>
      <c r="AN35" s="351"/>
      <c r="AO35" s="351"/>
      <c r="AP35" s="351"/>
      <c r="AQ35" s="351"/>
      <c r="AR35" s="352"/>
      <c r="AS35" s="322"/>
      <c r="AT35" s="323"/>
      <c r="AU35" s="350"/>
      <c r="AV35" s="351"/>
      <c r="AW35" s="351"/>
      <c r="AX35" s="351"/>
      <c r="AY35" s="351"/>
      <c r="AZ35" s="351"/>
      <c r="BA35" s="351"/>
      <c r="BB35" s="351"/>
      <c r="BC35" s="351"/>
      <c r="BD35" s="351"/>
      <c r="BE35" s="351"/>
      <c r="BF35" s="351"/>
      <c r="BG35" s="351"/>
      <c r="BH35" s="351"/>
      <c r="BI35" s="352"/>
    </row>
    <row r="36" spans="1:61" s="1" customFormat="1" ht="15" customHeight="1">
      <c r="A36" s="346">
        <f t="shared" si="0"/>
        <v>31</v>
      </c>
      <c r="B36" s="347"/>
      <c r="C36" s="324"/>
      <c r="D36" s="325"/>
      <c r="E36" s="325"/>
      <c r="F36" s="325"/>
      <c r="G36" s="325"/>
      <c r="H36" s="325"/>
      <c r="I36" s="325"/>
      <c r="J36" s="326"/>
      <c r="K36" s="350"/>
      <c r="L36" s="351"/>
      <c r="M36" s="351"/>
      <c r="N36" s="351"/>
      <c r="O36" s="351"/>
      <c r="P36" s="351"/>
      <c r="Q36" s="351"/>
      <c r="R36" s="351"/>
      <c r="S36" s="351"/>
      <c r="T36" s="351"/>
      <c r="U36" s="351"/>
      <c r="V36" s="351"/>
      <c r="W36" s="351"/>
      <c r="X36" s="351"/>
      <c r="Y36" s="351"/>
      <c r="Z36" s="351"/>
      <c r="AA36" s="351"/>
      <c r="AB36" s="352"/>
      <c r="AC36" s="350"/>
      <c r="AD36" s="351"/>
      <c r="AE36" s="351"/>
      <c r="AF36" s="351"/>
      <c r="AG36" s="351"/>
      <c r="AH36" s="351"/>
      <c r="AI36" s="351"/>
      <c r="AJ36" s="351"/>
      <c r="AK36" s="351"/>
      <c r="AL36" s="351"/>
      <c r="AM36" s="351"/>
      <c r="AN36" s="351"/>
      <c r="AO36" s="351"/>
      <c r="AP36" s="351"/>
      <c r="AQ36" s="351"/>
      <c r="AR36" s="352"/>
      <c r="AS36" s="322"/>
      <c r="AT36" s="323"/>
      <c r="AU36" s="350"/>
      <c r="AV36" s="351"/>
      <c r="AW36" s="351"/>
      <c r="AX36" s="351"/>
      <c r="AY36" s="351"/>
      <c r="AZ36" s="351"/>
      <c r="BA36" s="351"/>
      <c r="BB36" s="351"/>
      <c r="BC36" s="351"/>
      <c r="BD36" s="351"/>
      <c r="BE36" s="351"/>
      <c r="BF36" s="351"/>
      <c r="BG36" s="351"/>
      <c r="BH36" s="351"/>
      <c r="BI36" s="352"/>
    </row>
    <row r="37" spans="1:61" s="1" customFormat="1" ht="15" customHeight="1">
      <c r="A37" s="348">
        <f t="shared" si="0"/>
        <v>32</v>
      </c>
      <c r="B37" s="349"/>
      <c r="C37" s="324"/>
      <c r="D37" s="325"/>
      <c r="E37" s="325"/>
      <c r="F37" s="325"/>
      <c r="G37" s="325"/>
      <c r="H37" s="325"/>
      <c r="I37" s="325"/>
      <c r="J37" s="326"/>
      <c r="K37" s="350"/>
      <c r="L37" s="351"/>
      <c r="M37" s="351"/>
      <c r="N37" s="351"/>
      <c r="O37" s="351"/>
      <c r="P37" s="351"/>
      <c r="Q37" s="351"/>
      <c r="R37" s="351"/>
      <c r="S37" s="351"/>
      <c r="T37" s="351"/>
      <c r="U37" s="351"/>
      <c r="V37" s="351"/>
      <c r="W37" s="351"/>
      <c r="X37" s="351"/>
      <c r="Y37" s="351"/>
      <c r="Z37" s="351"/>
      <c r="AA37" s="351"/>
      <c r="AB37" s="352"/>
      <c r="AC37" s="350"/>
      <c r="AD37" s="351"/>
      <c r="AE37" s="351"/>
      <c r="AF37" s="351"/>
      <c r="AG37" s="351"/>
      <c r="AH37" s="351"/>
      <c r="AI37" s="351"/>
      <c r="AJ37" s="351"/>
      <c r="AK37" s="351"/>
      <c r="AL37" s="351"/>
      <c r="AM37" s="351"/>
      <c r="AN37" s="351"/>
      <c r="AO37" s="351"/>
      <c r="AP37" s="351"/>
      <c r="AQ37" s="351"/>
      <c r="AR37" s="352"/>
      <c r="AS37" s="322"/>
      <c r="AT37" s="323"/>
      <c r="AU37" s="350"/>
      <c r="AV37" s="351"/>
      <c r="AW37" s="351"/>
      <c r="AX37" s="351"/>
      <c r="AY37" s="351"/>
      <c r="AZ37" s="351"/>
      <c r="BA37" s="351"/>
      <c r="BB37" s="351"/>
      <c r="BC37" s="351"/>
      <c r="BD37" s="351"/>
      <c r="BE37" s="351"/>
      <c r="BF37" s="351"/>
      <c r="BG37" s="351"/>
      <c r="BH37" s="351"/>
      <c r="BI37" s="352"/>
    </row>
    <row r="38" spans="1:61" s="1" customFormat="1" ht="15" customHeight="1" thickBot="1">
      <c r="A38" s="339">
        <f t="shared" si="0"/>
        <v>33</v>
      </c>
      <c r="B38" s="340"/>
      <c r="C38" s="343"/>
      <c r="D38" s="344"/>
      <c r="E38" s="344"/>
      <c r="F38" s="344"/>
      <c r="G38" s="344"/>
      <c r="H38" s="344"/>
      <c r="I38" s="344"/>
      <c r="J38" s="345"/>
      <c r="K38" s="353"/>
      <c r="L38" s="354"/>
      <c r="M38" s="354"/>
      <c r="N38" s="354"/>
      <c r="O38" s="354"/>
      <c r="P38" s="354"/>
      <c r="Q38" s="354"/>
      <c r="R38" s="354"/>
      <c r="S38" s="354"/>
      <c r="T38" s="354"/>
      <c r="U38" s="354"/>
      <c r="V38" s="354"/>
      <c r="W38" s="354"/>
      <c r="X38" s="354"/>
      <c r="Y38" s="354"/>
      <c r="Z38" s="354"/>
      <c r="AA38" s="354"/>
      <c r="AB38" s="355"/>
      <c r="AC38" s="353"/>
      <c r="AD38" s="354"/>
      <c r="AE38" s="354"/>
      <c r="AF38" s="354"/>
      <c r="AG38" s="354"/>
      <c r="AH38" s="354"/>
      <c r="AI38" s="354"/>
      <c r="AJ38" s="354"/>
      <c r="AK38" s="354"/>
      <c r="AL38" s="354"/>
      <c r="AM38" s="354"/>
      <c r="AN38" s="354"/>
      <c r="AO38" s="354"/>
      <c r="AP38" s="354"/>
      <c r="AQ38" s="354"/>
      <c r="AR38" s="355"/>
      <c r="AS38" s="356"/>
      <c r="AT38" s="357"/>
      <c r="AU38" s="353"/>
      <c r="AV38" s="354"/>
      <c r="AW38" s="354"/>
      <c r="AX38" s="354"/>
      <c r="AY38" s="354"/>
      <c r="AZ38" s="354"/>
      <c r="BA38" s="354"/>
      <c r="BB38" s="354"/>
      <c r="BC38" s="354"/>
      <c r="BD38" s="354"/>
      <c r="BE38" s="354"/>
      <c r="BF38" s="354"/>
      <c r="BG38" s="354"/>
      <c r="BH38" s="354"/>
      <c r="BI38" s="355"/>
    </row>
    <row r="39" spans="1:61" s="1" customFormat="1" ht="15" customHeight="1"/>
    <row r="40" spans="1:61" s="1" customFormat="1" ht="15" customHeight="1">
      <c r="A40" s="45"/>
      <c r="B40" s="45"/>
      <c r="C40" s="45"/>
      <c r="D40" s="45"/>
      <c r="E40" s="45"/>
      <c r="F40" s="45"/>
      <c r="G40" s="45"/>
      <c r="H40" s="45"/>
      <c r="I40" s="45"/>
      <c r="J40" s="45"/>
      <c r="K40" s="45"/>
      <c r="L40" s="45"/>
      <c r="M40" s="45"/>
      <c r="N40" s="45"/>
      <c r="O40" s="45"/>
      <c r="P40" s="45"/>
      <c r="Q40" s="45"/>
      <c r="R40" s="45"/>
      <c r="S40" s="45"/>
      <c r="T40" s="45"/>
      <c r="U40" s="45"/>
      <c r="V40" s="45"/>
      <c r="W40" s="45"/>
      <c r="X40" s="45"/>
      <c r="Y40" s="45"/>
      <c r="Z40" s="45"/>
      <c r="AA40" s="45"/>
      <c r="AB40" s="45"/>
      <c r="AC40" s="45"/>
      <c r="AD40" s="45"/>
      <c r="AE40" s="45"/>
      <c r="AF40" s="45"/>
      <c r="AG40" s="45"/>
      <c r="AH40" s="45"/>
      <c r="AI40" s="45"/>
      <c r="AJ40" s="45"/>
      <c r="AK40" s="45"/>
      <c r="AL40" s="45"/>
      <c r="AM40" s="45"/>
      <c r="AN40" s="45"/>
      <c r="AO40" s="45"/>
      <c r="AP40" s="45"/>
      <c r="AQ40" s="45"/>
      <c r="AR40" s="45"/>
      <c r="AS40" s="45"/>
      <c r="AT40" s="45"/>
      <c r="AU40" s="45"/>
      <c r="AV40" s="45"/>
      <c r="AW40" s="45"/>
      <c r="AX40" s="45"/>
      <c r="AY40" s="45"/>
      <c r="AZ40" s="45"/>
      <c r="BA40" s="45"/>
      <c r="BB40" s="45"/>
      <c r="BC40" s="45"/>
      <c r="BD40" s="45"/>
      <c r="BE40" s="45"/>
      <c r="BF40" s="45"/>
      <c r="BG40" s="45"/>
      <c r="BH40" s="45"/>
      <c r="BI40" s="45"/>
    </row>
    <row r="41" spans="1:61" s="1" customFormat="1" ht="15" customHeight="1">
      <c r="A41" s="45"/>
      <c r="B41" s="45"/>
      <c r="C41" s="45"/>
      <c r="D41" s="45"/>
      <c r="E41" s="45"/>
      <c r="F41" s="45"/>
      <c r="G41" s="45"/>
      <c r="H41" s="45"/>
      <c r="I41" s="45"/>
      <c r="J41" s="45"/>
      <c r="K41" s="45"/>
      <c r="L41" s="45"/>
      <c r="M41" s="45"/>
      <c r="N41" s="45"/>
      <c r="O41" s="45"/>
      <c r="P41" s="45"/>
      <c r="Q41" s="45"/>
      <c r="R41" s="45"/>
      <c r="S41" s="45"/>
      <c r="T41" s="45"/>
      <c r="U41" s="45"/>
      <c r="V41" s="45"/>
      <c r="W41" s="45"/>
      <c r="X41" s="45"/>
      <c r="Y41" s="45"/>
      <c r="Z41" s="45"/>
      <c r="AA41" s="45"/>
      <c r="AB41" s="45"/>
      <c r="AC41" s="45"/>
      <c r="AD41" s="45"/>
      <c r="AE41" s="45"/>
      <c r="AF41" s="45"/>
      <c r="AG41" s="45"/>
      <c r="AH41" s="45"/>
      <c r="AI41" s="45"/>
      <c r="AJ41" s="45"/>
      <c r="AK41" s="45"/>
      <c r="AL41" s="45"/>
      <c r="AM41" s="45"/>
      <c r="AN41" s="45"/>
      <c r="AO41" s="45"/>
      <c r="AP41" s="45"/>
      <c r="AQ41" s="45"/>
      <c r="AR41" s="45"/>
      <c r="AS41" s="45"/>
      <c r="AT41" s="45"/>
      <c r="AU41" s="45"/>
      <c r="AV41" s="45"/>
      <c r="AW41" s="45"/>
      <c r="AX41" s="45"/>
      <c r="AY41" s="45"/>
      <c r="AZ41" s="45"/>
      <c r="BA41" s="45"/>
      <c r="BB41" s="45"/>
      <c r="BC41" s="45"/>
      <c r="BD41" s="45"/>
      <c r="BE41" s="45"/>
      <c r="BF41" s="45"/>
      <c r="BG41" s="45"/>
      <c r="BH41" s="45"/>
      <c r="BI41" s="45"/>
    </row>
    <row r="42" spans="1:61" s="1" customFormat="1" ht="15" customHeight="1">
      <c r="A42" s="45"/>
      <c r="B42" s="45"/>
      <c r="C42" s="45"/>
      <c r="D42" s="45"/>
      <c r="E42" s="45"/>
      <c r="F42" s="45"/>
      <c r="G42" s="45"/>
      <c r="H42" s="45"/>
      <c r="I42" s="45"/>
      <c r="J42" s="45"/>
      <c r="K42" s="45"/>
      <c r="L42" s="45"/>
      <c r="M42" s="45"/>
      <c r="N42" s="45"/>
      <c r="O42" s="45"/>
      <c r="P42" s="45"/>
      <c r="Q42" s="45"/>
      <c r="R42" s="45"/>
      <c r="S42" s="45"/>
      <c r="T42" s="45"/>
      <c r="U42" s="45"/>
      <c r="V42" s="45"/>
      <c r="W42" s="45"/>
      <c r="X42" s="45"/>
      <c r="Y42" s="45"/>
      <c r="Z42" s="45"/>
      <c r="AA42" s="45"/>
      <c r="AB42" s="45"/>
      <c r="AC42" s="45"/>
      <c r="AD42" s="45"/>
      <c r="AE42" s="45"/>
      <c r="AF42" s="45"/>
      <c r="AG42" s="45"/>
      <c r="AH42" s="45"/>
      <c r="AI42" s="45"/>
      <c r="AJ42" s="45"/>
      <c r="AK42" s="45"/>
      <c r="AL42" s="45"/>
      <c r="AM42" s="45"/>
      <c r="AN42" s="45"/>
      <c r="AO42" s="45"/>
      <c r="AP42" s="45"/>
      <c r="AQ42" s="45"/>
      <c r="AR42" s="45"/>
      <c r="AS42" s="45"/>
      <c r="AT42" s="45"/>
      <c r="AU42" s="45"/>
      <c r="AV42" s="45"/>
      <c r="AW42" s="45"/>
      <c r="AX42" s="45"/>
      <c r="AY42" s="45"/>
      <c r="AZ42" s="45"/>
      <c r="BA42" s="45"/>
      <c r="BB42" s="45"/>
      <c r="BC42" s="45"/>
      <c r="BD42" s="45"/>
      <c r="BE42" s="45"/>
      <c r="BF42" s="45"/>
      <c r="BG42" s="45"/>
      <c r="BH42" s="45"/>
      <c r="BI42" s="45"/>
    </row>
    <row r="43" spans="1:61" s="1" customFormat="1" ht="15" customHeight="1">
      <c r="A43" s="45"/>
      <c r="B43" s="45"/>
      <c r="C43" s="45"/>
      <c r="D43" s="45"/>
      <c r="E43" s="45"/>
      <c r="F43" s="45"/>
      <c r="G43" s="45"/>
      <c r="H43" s="45"/>
      <c r="I43" s="45"/>
      <c r="J43" s="45"/>
      <c r="K43" s="45"/>
      <c r="L43" s="45"/>
      <c r="M43" s="45"/>
      <c r="N43" s="45"/>
      <c r="O43" s="45"/>
      <c r="P43" s="45"/>
      <c r="Q43" s="45"/>
      <c r="R43" s="45"/>
      <c r="S43" s="45"/>
      <c r="T43" s="45"/>
      <c r="U43" s="45"/>
      <c r="V43" s="45"/>
      <c r="W43" s="45"/>
      <c r="X43" s="45"/>
      <c r="Y43" s="45"/>
      <c r="Z43" s="45"/>
      <c r="AA43" s="45"/>
      <c r="AB43" s="45"/>
      <c r="AC43" s="45"/>
      <c r="AD43" s="45"/>
      <c r="AE43" s="45"/>
      <c r="AF43" s="45"/>
      <c r="AG43" s="45"/>
      <c r="AH43" s="45"/>
      <c r="AI43" s="45"/>
      <c r="AJ43" s="45"/>
      <c r="AK43" s="45"/>
      <c r="AL43" s="45"/>
      <c r="AM43" s="45"/>
      <c r="AN43" s="45"/>
      <c r="AO43" s="45"/>
      <c r="AP43" s="45"/>
      <c r="AQ43" s="45"/>
      <c r="AR43" s="45"/>
      <c r="AS43" s="45"/>
      <c r="AT43" s="45"/>
      <c r="AU43" s="45"/>
      <c r="AV43" s="45"/>
      <c r="AW43" s="45"/>
      <c r="AX43" s="45"/>
      <c r="AY43" s="45"/>
      <c r="AZ43" s="45"/>
      <c r="BA43" s="45"/>
      <c r="BB43" s="45"/>
      <c r="BC43" s="45"/>
      <c r="BD43" s="45"/>
      <c r="BE43" s="45"/>
      <c r="BF43" s="45"/>
      <c r="BG43" s="45"/>
      <c r="BH43" s="45"/>
      <c r="BI43" s="45"/>
    </row>
    <row r="44" spans="1:61" s="1" customFormat="1" ht="15" customHeight="1">
      <c r="A44" s="45"/>
      <c r="B44" s="45"/>
      <c r="C44" s="45"/>
      <c r="D44" s="45"/>
      <c r="E44" s="45"/>
      <c r="F44" s="45"/>
      <c r="G44" s="45"/>
      <c r="H44" s="45"/>
      <c r="I44" s="45"/>
      <c r="J44" s="45"/>
      <c r="K44" s="45"/>
      <c r="L44" s="45"/>
      <c r="M44" s="45"/>
      <c r="N44" s="45"/>
      <c r="O44" s="45"/>
      <c r="P44" s="45"/>
      <c r="Q44" s="45"/>
      <c r="R44" s="45"/>
      <c r="S44" s="45"/>
      <c r="T44" s="45"/>
      <c r="U44" s="45"/>
      <c r="V44" s="45"/>
      <c r="W44" s="45"/>
      <c r="X44" s="45"/>
      <c r="Y44" s="45"/>
      <c r="Z44" s="45"/>
      <c r="AA44" s="45"/>
      <c r="AB44" s="45"/>
      <c r="AC44" s="45"/>
      <c r="AD44" s="45"/>
      <c r="AE44" s="45"/>
      <c r="AF44" s="45"/>
      <c r="AG44" s="45"/>
      <c r="AH44" s="45"/>
      <c r="AI44" s="45"/>
      <c r="AJ44" s="45"/>
      <c r="AK44" s="45"/>
      <c r="AL44" s="45"/>
      <c r="AM44" s="45"/>
      <c r="AN44" s="45"/>
      <c r="AO44" s="45"/>
      <c r="AP44" s="45"/>
      <c r="AQ44" s="45"/>
      <c r="AR44" s="45"/>
      <c r="AS44" s="45"/>
      <c r="AT44" s="45"/>
      <c r="AU44" s="45"/>
      <c r="AV44" s="45"/>
      <c r="AW44" s="45"/>
      <c r="AX44" s="45"/>
      <c r="AY44" s="45"/>
      <c r="AZ44" s="45"/>
      <c r="BA44" s="45"/>
      <c r="BB44" s="45"/>
      <c r="BC44" s="45"/>
      <c r="BD44" s="45"/>
      <c r="BE44" s="45"/>
      <c r="BF44" s="45"/>
      <c r="BG44" s="45"/>
      <c r="BH44" s="45"/>
      <c r="BI44" s="45"/>
    </row>
    <row r="45" spans="1:61" s="1" customFormat="1" ht="15" customHeight="1">
      <c r="A45" s="45"/>
      <c r="B45" s="45"/>
      <c r="C45" s="45"/>
      <c r="D45" s="45"/>
      <c r="E45" s="45"/>
      <c r="F45" s="45"/>
      <c r="G45" s="45"/>
      <c r="H45" s="45"/>
      <c r="I45" s="45"/>
      <c r="J45" s="45"/>
      <c r="K45" s="45"/>
      <c r="L45" s="45"/>
      <c r="M45" s="45"/>
      <c r="N45" s="45"/>
      <c r="O45" s="45"/>
      <c r="P45" s="45"/>
      <c r="Q45" s="45"/>
      <c r="R45" s="45"/>
      <c r="S45" s="45"/>
      <c r="T45" s="45"/>
      <c r="U45" s="45"/>
      <c r="V45" s="45"/>
      <c r="W45" s="45"/>
      <c r="X45" s="45"/>
      <c r="Y45" s="45"/>
      <c r="Z45" s="45"/>
      <c r="AA45" s="45"/>
      <c r="AB45" s="45"/>
      <c r="AC45" s="45"/>
      <c r="AD45" s="45"/>
      <c r="AE45" s="45"/>
      <c r="AF45" s="45"/>
      <c r="AG45" s="45"/>
      <c r="AH45" s="45"/>
      <c r="AI45" s="45"/>
      <c r="AJ45" s="45"/>
      <c r="AK45" s="45"/>
      <c r="AL45" s="45"/>
      <c r="AM45" s="45"/>
      <c r="AN45" s="45"/>
      <c r="AO45" s="45"/>
      <c r="AP45" s="45"/>
      <c r="AQ45" s="45"/>
      <c r="AR45" s="45"/>
      <c r="AS45" s="45"/>
      <c r="AT45" s="45"/>
      <c r="AU45" s="45"/>
      <c r="AV45" s="45"/>
      <c r="AW45" s="45"/>
      <c r="AX45" s="45"/>
      <c r="AY45" s="45"/>
      <c r="AZ45" s="45"/>
      <c r="BA45" s="45"/>
      <c r="BB45" s="45"/>
      <c r="BC45" s="45"/>
      <c r="BD45" s="45"/>
      <c r="BE45" s="45"/>
      <c r="BF45" s="45"/>
      <c r="BG45" s="45"/>
      <c r="BH45" s="45"/>
      <c r="BI45" s="45"/>
    </row>
    <row r="46" spans="1:61" s="1" customFormat="1" ht="15" customHeight="1">
      <c r="A46" s="45"/>
      <c r="B46" s="45"/>
      <c r="C46" s="45"/>
      <c r="D46" s="45"/>
      <c r="E46" s="45"/>
      <c r="F46" s="45"/>
      <c r="G46" s="45"/>
      <c r="H46" s="45"/>
      <c r="I46" s="45"/>
      <c r="J46" s="45"/>
      <c r="K46" s="45"/>
      <c r="L46" s="45"/>
      <c r="M46" s="45"/>
      <c r="N46" s="45"/>
      <c r="O46" s="45"/>
      <c r="P46" s="45"/>
      <c r="Q46" s="45"/>
      <c r="R46" s="45"/>
      <c r="S46" s="45"/>
      <c r="T46" s="45"/>
      <c r="U46" s="45"/>
      <c r="V46" s="45"/>
      <c r="W46" s="45"/>
      <c r="X46" s="45"/>
      <c r="Y46" s="45"/>
      <c r="Z46" s="45"/>
      <c r="AA46" s="45"/>
      <c r="AB46" s="45"/>
      <c r="AC46" s="45"/>
      <c r="AD46" s="45"/>
      <c r="AE46" s="45"/>
      <c r="AF46" s="45"/>
      <c r="AG46" s="45"/>
      <c r="AH46" s="45"/>
      <c r="AI46" s="45"/>
      <c r="AJ46" s="45"/>
      <c r="AK46" s="45"/>
      <c r="AL46" s="45"/>
      <c r="AM46" s="45"/>
      <c r="AN46" s="45"/>
      <c r="AO46" s="45"/>
      <c r="AP46" s="45"/>
      <c r="AQ46" s="45"/>
      <c r="AR46" s="45"/>
      <c r="AS46" s="45"/>
      <c r="AT46" s="45"/>
      <c r="AU46" s="45"/>
      <c r="AV46" s="45"/>
      <c r="AW46" s="45"/>
      <c r="AX46" s="45"/>
      <c r="AY46" s="45"/>
      <c r="AZ46" s="45"/>
      <c r="BA46" s="45"/>
      <c r="BB46" s="45"/>
      <c r="BC46" s="45"/>
      <c r="BD46" s="45"/>
      <c r="BE46" s="45"/>
      <c r="BF46" s="45"/>
      <c r="BG46" s="45"/>
      <c r="BH46" s="45"/>
      <c r="BI46" s="45"/>
    </row>
    <row r="47" spans="1:61" s="1" customFormat="1" ht="15" customHeight="1">
      <c r="A47" s="45"/>
      <c r="B47" s="45"/>
      <c r="C47" s="45"/>
      <c r="D47" s="45"/>
      <c r="E47" s="45"/>
      <c r="F47" s="45"/>
      <c r="G47" s="45"/>
      <c r="H47" s="45"/>
      <c r="I47" s="45"/>
      <c r="J47" s="45"/>
      <c r="K47" s="45"/>
      <c r="L47" s="45"/>
      <c r="M47" s="45"/>
      <c r="N47" s="45"/>
      <c r="O47" s="45"/>
      <c r="P47" s="45"/>
      <c r="Q47" s="45"/>
      <c r="R47" s="45"/>
      <c r="S47" s="45"/>
      <c r="T47" s="45"/>
      <c r="U47" s="45"/>
      <c r="V47" s="45"/>
      <c r="W47" s="45"/>
      <c r="X47" s="45"/>
      <c r="Y47" s="45"/>
      <c r="Z47" s="45"/>
      <c r="AA47" s="45"/>
      <c r="AB47" s="45"/>
      <c r="AC47" s="45"/>
      <c r="AD47" s="45"/>
      <c r="AE47" s="45"/>
      <c r="AF47" s="45"/>
      <c r="AG47" s="45"/>
      <c r="AH47" s="45"/>
      <c r="AI47" s="45"/>
      <c r="AJ47" s="45"/>
      <c r="AK47" s="45"/>
      <c r="AL47" s="45"/>
      <c r="AM47" s="45"/>
      <c r="AN47" s="45"/>
      <c r="AO47" s="45"/>
      <c r="AP47" s="45"/>
      <c r="AQ47" s="45"/>
      <c r="AR47" s="45"/>
      <c r="AS47" s="45"/>
      <c r="AT47" s="45"/>
      <c r="AU47" s="45"/>
      <c r="AV47" s="45"/>
      <c r="AW47" s="45"/>
      <c r="AX47" s="45"/>
      <c r="AY47" s="45"/>
      <c r="AZ47" s="45"/>
      <c r="BA47" s="45"/>
      <c r="BB47" s="45"/>
      <c r="BC47" s="45"/>
      <c r="BD47" s="45"/>
      <c r="BE47" s="45"/>
      <c r="BF47" s="45"/>
      <c r="BG47" s="45"/>
      <c r="BH47" s="45"/>
      <c r="BI47" s="45"/>
    </row>
    <row r="48" spans="1:61" s="1" customFormat="1" ht="15" customHeight="1">
      <c r="A48" s="45"/>
      <c r="B48" s="45"/>
      <c r="C48" s="45"/>
      <c r="D48" s="45"/>
      <c r="E48" s="45"/>
      <c r="F48" s="45"/>
      <c r="G48" s="45"/>
      <c r="H48" s="45"/>
      <c r="I48" s="45"/>
      <c r="J48" s="45"/>
      <c r="K48" s="45"/>
      <c r="L48" s="45"/>
      <c r="M48" s="45"/>
      <c r="N48" s="45"/>
      <c r="O48" s="45"/>
      <c r="P48" s="45"/>
      <c r="Q48" s="45"/>
      <c r="R48" s="45"/>
      <c r="S48" s="45"/>
      <c r="T48" s="45"/>
      <c r="U48" s="45"/>
      <c r="V48" s="45"/>
      <c r="W48" s="45"/>
      <c r="X48" s="45"/>
      <c r="Y48" s="45"/>
      <c r="Z48" s="45"/>
      <c r="AA48" s="45"/>
      <c r="AB48" s="45"/>
      <c r="AC48" s="45"/>
      <c r="AD48" s="45"/>
      <c r="AE48" s="45"/>
      <c r="AF48" s="45"/>
      <c r="AG48" s="45"/>
      <c r="AH48" s="45"/>
      <c r="AI48" s="45"/>
      <c r="AJ48" s="45"/>
      <c r="AK48" s="45"/>
      <c r="AL48" s="45"/>
      <c r="AM48" s="45"/>
      <c r="AN48" s="45"/>
      <c r="AO48" s="45"/>
      <c r="AP48" s="45"/>
      <c r="AQ48" s="45"/>
      <c r="AR48" s="45"/>
      <c r="AS48" s="45"/>
      <c r="AT48" s="45"/>
      <c r="AU48" s="45"/>
      <c r="AV48" s="45"/>
      <c r="AW48" s="45"/>
      <c r="AX48" s="45"/>
      <c r="AY48" s="45"/>
      <c r="AZ48" s="45"/>
      <c r="BA48" s="45"/>
      <c r="BB48" s="45"/>
      <c r="BC48" s="45"/>
      <c r="BD48" s="45"/>
      <c r="BE48" s="45"/>
      <c r="BF48" s="45"/>
      <c r="BG48" s="45"/>
      <c r="BH48" s="45"/>
      <c r="BI48" s="45"/>
    </row>
  </sheetData>
  <mergeCells count="222">
    <mergeCell ref="K37:AB37"/>
    <mergeCell ref="AC37:AR37"/>
    <mergeCell ref="AU37:BI37"/>
    <mergeCell ref="K38:AB38"/>
    <mergeCell ref="AC38:AR38"/>
    <mergeCell ref="AU38:BI38"/>
    <mergeCell ref="K35:AB35"/>
    <mergeCell ref="AC35:AR35"/>
    <mergeCell ref="AU35:BI35"/>
    <mergeCell ref="K36:AB36"/>
    <mergeCell ref="AC36:AR36"/>
    <mergeCell ref="AU36:BI36"/>
    <mergeCell ref="AS38:AT38"/>
    <mergeCell ref="K33:AB33"/>
    <mergeCell ref="AC33:AR33"/>
    <mergeCell ref="AU33:BI33"/>
    <mergeCell ref="K34:AB34"/>
    <mergeCell ref="AC34:AR34"/>
    <mergeCell ref="AU34:BI34"/>
    <mergeCell ref="K31:AB31"/>
    <mergeCell ref="AC31:AR31"/>
    <mergeCell ref="AU31:BI31"/>
    <mergeCell ref="K32:AB32"/>
    <mergeCell ref="AC32:AR32"/>
    <mergeCell ref="AU32:BI32"/>
    <mergeCell ref="AS31:AT31"/>
    <mergeCell ref="AS32:AT32"/>
    <mergeCell ref="K29:AB29"/>
    <mergeCell ref="AC29:AR29"/>
    <mergeCell ref="AU29:BI29"/>
    <mergeCell ref="K30:AB30"/>
    <mergeCell ref="AC30:AR30"/>
    <mergeCell ref="AU30:BI30"/>
    <mergeCell ref="K27:AB27"/>
    <mergeCell ref="AC27:AR27"/>
    <mergeCell ref="AU27:BI27"/>
    <mergeCell ref="K28:AB28"/>
    <mergeCell ref="AC28:AR28"/>
    <mergeCell ref="AU28:BI28"/>
    <mergeCell ref="AS30:AT30"/>
    <mergeCell ref="AS27:AT27"/>
    <mergeCell ref="K25:AB25"/>
    <mergeCell ref="AC25:AR25"/>
    <mergeCell ref="AU25:BI25"/>
    <mergeCell ref="K26:AB26"/>
    <mergeCell ref="AC26:AR26"/>
    <mergeCell ref="AU26:BI26"/>
    <mergeCell ref="K23:AB23"/>
    <mergeCell ref="AC23:AR23"/>
    <mergeCell ref="AU23:BI23"/>
    <mergeCell ref="K24:AB24"/>
    <mergeCell ref="AC24:AR24"/>
    <mergeCell ref="AU24:BI24"/>
    <mergeCell ref="AS24:AT24"/>
    <mergeCell ref="AS25:AT25"/>
    <mergeCell ref="AS26:AT26"/>
    <mergeCell ref="K21:AB21"/>
    <mergeCell ref="AC21:AR21"/>
    <mergeCell ref="AU21:BI21"/>
    <mergeCell ref="K22:AB22"/>
    <mergeCell ref="AC22:AR22"/>
    <mergeCell ref="AU22:BI22"/>
    <mergeCell ref="K19:AB19"/>
    <mergeCell ref="AC19:AR19"/>
    <mergeCell ref="AU19:BI19"/>
    <mergeCell ref="K20:AB20"/>
    <mergeCell ref="AC20:AR20"/>
    <mergeCell ref="AU20:BI20"/>
    <mergeCell ref="K13:AB13"/>
    <mergeCell ref="AC13:AR13"/>
    <mergeCell ref="AU13:BI13"/>
    <mergeCell ref="K17:AB17"/>
    <mergeCell ref="AC17:AR17"/>
    <mergeCell ref="AU17:BI17"/>
    <mergeCell ref="K18:AB18"/>
    <mergeCell ref="AC18:AR18"/>
    <mergeCell ref="AU18:BI18"/>
    <mergeCell ref="K15:AB15"/>
    <mergeCell ref="AC15:AR15"/>
    <mergeCell ref="AU15:BI15"/>
    <mergeCell ref="K16:AB16"/>
    <mergeCell ref="AC16:AR16"/>
    <mergeCell ref="AU16:BI16"/>
    <mergeCell ref="C30:J30"/>
    <mergeCell ref="C31:J31"/>
    <mergeCell ref="C32:J32"/>
    <mergeCell ref="C12:J12"/>
    <mergeCell ref="C13:J13"/>
    <mergeCell ref="C14:J14"/>
    <mergeCell ref="C15:J15"/>
    <mergeCell ref="C16:J16"/>
    <mergeCell ref="C17:J17"/>
    <mergeCell ref="C18:J18"/>
    <mergeCell ref="C19:J19"/>
    <mergeCell ref="C20:J20"/>
    <mergeCell ref="C21:J21"/>
    <mergeCell ref="C22:J22"/>
    <mergeCell ref="C23:J23"/>
    <mergeCell ref="C24:J24"/>
    <mergeCell ref="AC6:AR6"/>
    <mergeCell ref="AU6:BI6"/>
    <mergeCell ref="K7:AB7"/>
    <mergeCell ref="AC7:AR7"/>
    <mergeCell ref="AU7:BI7"/>
    <mergeCell ref="AS23:AT23"/>
    <mergeCell ref="K10:AB10"/>
    <mergeCell ref="AC10:AR10"/>
    <mergeCell ref="AU10:BI10"/>
    <mergeCell ref="K11:AB11"/>
    <mergeCell ref="AC11:AR11"/>
    <mergeCell ref="AU11:BI11"/>
    <mergeCell ref="K8:AB8"/>
    <mergeCell ref="AC8:AR8"/>
    <mergeCell ref="AU8:BI8"/>
    <mergeCell ref="K9:AB9"/>
    <mergeCell ref="AC9:AR9"/>
    <mergeCell ref="AU9:BI9"/>
    <mergeCell ref="K14:AB14"/>
    <mergeCell ref="AC14:AR14"/>
    <mergeCell ref="AU14:BI14"/>
    <mergeCell ref="K12:AB12"/>
    <mergeCell ref="AC12:AR12"/>
    <mergeCell ref="AU12:BI12"/>
    <mergeCell ref="A31:B31"/>
    <mergeCell ref="A32:B32"/>
    <mergeCell ref="A33:B33"/>
    <mergeCell ref="A36:B36"/>
    <mergeCell ref="AS12:AT12"/>
    <mergeCell ref="AS13:AT13"/>
    <mergeCell ref="AS14:AT14"/>
    <mergeCell ref="AS15:AT15"/>
    <mergeCell ref="AS16:AT16"/>
    <mergeCell ref="AS17:AT17"/>
    <mergeCell ref="AS18:AT18"/>
    <mergeCell ref="AS19:AT19"/>
    <mergeCell ref="AS20:AT20"/>
    <mergeCell ref="AS21:AT21"/>
    <mergeCell ref="AS22:AT22"/>
    <mergeCell ref="A26:B26"/>
    <mergeCell ref="A27:B27"/>
    <mergeCell ref="A28:B28"/>
    <mergeCell ref="A29:B29"/>
    <mergeCell ref="A30:B30"/>
    <mergeCell ref="A21:B21"/>
    <mergeCell ref="A22:B22"/>
    <mergeCell ref="A23:B23"/>
    <mergeCell ref="C33:J33"/>
    <mergeCell ref="A25:B25"/>
    <mergeCell ref="A16:B16"/>
    <mergeCell ref="A17:B17"/>
    <mergeCell ref="A18:B18"/>
    <mergeCell ref="A19:B19"/>
    <mergeCell ref="A20:B20"/>
    <mergeCell ref="A12:B12"/>
    <mergeCell ref="A13:B13"/>
    <mergeCell ref="A14:B14"/>
    <mergeCell ref="A15:B15"/>
    <mergeCell ref="A4:H4"/>
    <mergeCell ref="A38:B38"/>
    <mergeCell ref="AS5:AT5"/>
    <mergeCell ref="AS6:AT6"/>
    <mergeCell ref="AS7:AT7"/>
    <mergeCell ref="AS8:AT8"/>
    <mergeCell ref="C37:J37"/>
    <mergeCell ref="C38:J38"/>
    <mergeCell ref="A5:B5"/>
    <mergeCell ref="A6:B6"/>
    <mergeCell ref="A7:B7"/>
    <mergeCell ref="A8:B8"/>
    <mergeCell ref="A9:B9"/>
    <mergeCell ref="A10:B10"/>
    <mergeCell ref="C7:J7"/>
    <mergeCell ref="A11:B11"/>
    <mergeCell ref="C8:J8"/>
    <mergeCell ref="C9:J9"/>
    <mergeCell ref="C10:J10"/>
    <mergeCell ref="C11:J11"/>
    <mergeCell ref="A34:B34"/>
    <mergeCell ref="A35:B35"/>
    <mergeCell ref="A37:B37"/>
    <mergeCell ref="A24:B24"/>
    <mergeCell ref="AU5:BI5"/>
    <mergeCell ref="AS9:AT9"/>
    <mergeCell ref="AS10:AT10"/>
    <mergeCell ref="AS11:AT11"/>
    <mergeCell ref="AS34:AT34"/>
    <mergeCell ref="AS35:AT35"/>
    <mergeCell ref="AS37:AT37"/>
    <mergeCell ref="C34:J34"/>
    <mergeCell ref="C35:J35"/>
    <mergeCell ref="C5:J5"/>
    <mergeCell ref="K5:AB5"/>
    <mergeCell ref="AC5:AR5"/>
    <mergeCell ref="C6:J6"/>
    <mergeCell ref="C36:J36"/>
    <mergeCell ref="C25:J25"/>
    <mergeCell ref="C26:J26"/>
    <mergeCell ref="C27:J27"/>
    <mergeCell ref="C28:J28"/>
    <mergeCell ref="C29:J29"/>
    <mergeCell ref="AS33:AT33"/>
    <mergeCell ref="AS36:AT36"/>
    <mergeCell ref="AS28:AT28"/>
    <mergeCell ref="AS29:AT29"/>
    <mergeCell ref="K6:AB6"/>
    <mergeCell ref="AT1:BA1"/>
    <mergeCell ref="BB1:BI1"/>
    <mergeCell ref="AT2:AU2"/>
    <mergeCell ref="AV2:BA2"/>
    <mergeCell ref="BB2:BI2"/>
    <mergeCell ref="AT3:AU3"/>
    <mergeCell ref="AV3:BA3"/>
    <mergeCell ref="BB3:BI3"/>
    <mergeCell ref="A1:E3"/>
    <mergeCell ref="F1:P1"/>
    <mergeCell ref="Q1:V1"/>
    <mergeCell ref="W1:AD1"/>
    <mergeCell ref="AE1:AS1"/>
    <mergeCell ref="F2:P3"/>
    <mergeCell ref="Q2:V3"/>
    <mergeCell ref="W2:AD3"/>
    <mergeCell ref="AE2:AS3"/>
  </mergeCells>
  <phoneticPr fontId="2"/>
  <dataValidations count="2">
    <dataValidation type="list" allowBlank="1" showInputMessage="1" showErrorMessage="1" sqref="C6:J38" xr:uid="{AF9A0E33-F197-4220-AEA2-36DFEC1C8293}">
      <formula1>テーブル種別</formula1>
    </dataValidation>
    <dataValidation type="list" allowBlank="1" showInputMessage="1" showErrorMessage="1" sqref="AS6:AT38" xr:uid="{F5C93658-8A23-4FAA-8DE6-CA2A7E0CAA6B}">
      <formula1>io</formula1>
    </dataValidation>
  </dataValidations>
  <printOptions horizontalCentered="1"/>
  <pageMargins left="0.23622047244094491" right="0.23622047244094491" top="0.74803149606299213" bottom="0.74803149606299213" header="0.31496062992125984" footer="0.31496062992125984"/>
  <pageSetup paperSize="9" scale="85"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43B976-2B89-4B7F-BD27-7C3E5AB4FCB4}">
  <dimension ref="A1:BJ94"/>
  <sheetViews>
    <sheetView showGridLines="0" zoomScale="70" zoomScaleNormal="70" workbookViewId="0">
      <pane ySplit="5" topLeftCell="A6" activePane="bottomLeft" state="frozen"/>
      <selection pane="bottomLeft" sqref="A1:E3"/>
    </sheetView>
  </sheetViews>
  <sheetFormatPr defaultColWidth="2.5" defaultRowHeight="15" customHeight="1"/>
  <cols>
    <col min="1" max="16384" width="2.5" style="45"/>
  </cols>
  <sheetData>
    <row r="1" spans="1:62" s="1" customFormat="1" ht="15" customHeight="1" thickBot="1">
      <c r="A1" s="294" t="s">
        <v>32</v>
      </c>
      <c r="B1" s="295"/>
      <c r="C1" s="295"/>
      <c r="D1" s="295"/>
      <c r="E1" s="296"/>
      <c r="F1" s="303" t="str">
        <f>変更履歴!F1</f>
        <v>システム名</v>
      </c>
      <c r="G1" s="304"/>
      <c r="H1" s="304"/>
      <c r="I1" s="304"/>
      <c r="J1" s="304"/>
      <c r="K1" s="304"/>
      <c r="L1" s="304"/>
      <c r="M1" s="304"/>
      <c r="N1" s="304"/>
      <c r="O1" s="304"/>
      <c r="P1" s="305"/>
      <c r="Q1" s="306" t="str">
        <f>変更履歴!Q1</f>
        <v>機能分類</v>
      </c>
      <c r="R1" s="307"/>
      <c r="S1" s="307"/>
      <c r="T1" s="307"/>
      <c r="U1" s="307"/>
      <c r="V1" s="308"/>
      <c r="W1" s="303" t="str">
        <f>変更履歴!W1</f>
        <v>機能ＩＤ</v>
      </c>
      <c r="X1" s="304"/>
      <c r="Y1" s="304"/>
      <c r="Z1" s="304"/>
      <c r="AA1" s="304"/>
      <c r="AB1" s="304"/>
      <c r="AC1" s="304"/>
      <c r="AD1" s="305"/>
      <c r="AE1" s="303" t="str">
        <f>変更履歴!AE1</f>
        <v>機能名称</v>
      </c>
      <c r="AF1" s="304"/>
      <c r="AG1" s="304"/>
      <c r="AH1" s="304"/>
      <c r="AI1" s="304"/>
      <c r="AJ1" s="304"/>
      <c r="AK1" s="304"/>
      <c r="AL1" s="304"/>
      <c r="AM1" s="304"/>
      <c r="AN1" s="304"/>
      <c r="AO1" s="304"/>
      <c r="AP1" s="304"/>
      <c r="AQ1" s="304"/>
      <c r="AR1" s="304"/>
      <c r="AS1" s="305"/>
      <c r="AT1" s="309" t="str">
        <f>変更履歴!AT1</f>
        <v>日付</v>
      </c>
      <c r="AU1" s="310"/>
      <c r="AV1" s="310"/>
      <c r="AW1" s="310"/>
      <c r="AX1" s="310"/>
      <c r="AY1" s="310"/>
      <c r="AZ1" s="310"/>
      <c r="BA1" s="311"/>
      <c r="BB1" s="266" t="str">
        <f>変更履歴!BB1</f>
        <v>更新者</v>
      </c>
      <c r="BC1" s="268"/>
      <c r="BD1" s="268"/>
      <c r="BE1" s="268"/>
      <c r="BF1" s="268"/>
      <c r="BG1" s="268"/>
      <c r="BH1" s="268"/>
      <c r="BI1" s="269"/>
    </row>
    <row r="2" spans="1:62" s="1" customFormat="1" ht="15" customHeight="1">
      <c r="A2" s="297"/>
      <c r="B2" s="298"/>
      <c r="C2" s="298"/>
      <c r="D2" s="298"/>
      <c r="E2" s="299"/>
      <c r="F2" s="270" t="str">
        <f>変更履歴!F2</f>
        <v>Dynamics365 for Finance and Operations</v>
      </c>
      <c r="G2" s="271"/>
      <c r="H2" s="271"/>
      <c r="I2" s="271"/>
      <c r="J2" s="271"/>
      <c r="K2" s="271"/>
      <c r="L2" s="271"/>
      <c r="M2" s="271"/>
      <c r="N2" s="271"/>
      <c r="O2" s="271"/>
      <c r="P2" s="272"/>
      <c r="Q2" s="270" t="str">
        <f>変更履歴!Q2</f>
        <v>システム共通</v>
      </c>
      <c r="R2" s="271"/>
      <c r="S2" s="271"/>
      <c r="T2" s="271"/>
      <c r="U2" s="271"/>
      <c r="V2" s="272"/>
      <c r="W2" s="276" t="str">
        <f>変更履歴!W2</f>
        <v>FO-088</v>
      </c>
      <c r="X2" s="277"/>
      <c r="Y2" s="277"/>
      <c r="Z2" s="277"/>
      <c r="AA2" s="277"/>
      <c r="AB2" s="277"/>
      <c r="AC2" s="277"/>
      <c r="AD2" s="278"/>
      <c r="AE2" s="270" t="str">
        <f>変更履歴!AE2</f>
        <v>AzureFiles連携共通インターフェース</v>
      </c>
      <c r="AF2" s="271"/>
      <c r="AG2" s="271"/>
      <c r="AH2" s="271"/>
      <c r="AI2" s="271"/>
      <c r="AJ2" s="271"/>
      <c r="AK2" s="271"/>
      <c r="AL2" s="271"/>
      <c r="AM2" s="271"/>
      <c r="AN2" s="271"/>
      <c r="AO2" s="271"/>
      <c r="AP2" s="271"/>
      <c r="AQ2" s="271"/>
      <c r="AR2" s="271"/>
      <c r="AS2" s="272"/>
      <c r="AT2" s="282" t="str">
        <f>変更履歴!AT2</f>
        <v>作成</v>
      </c>
      <c r="AU2" s="283"/>
      <c r="AV2" s="284">
        <f>変更履歴!AV2</f>
        <v>45453</v>
      </c>
      <c r="AW2" s="284"/>
      <c r="AX2" s="284"/>
      <c r="AY2" s="284"/>
      <c r="AZ2" s="284"/>
      <c r="BA2" s="285"/>
      <c r="BB2" s="286" t="str">
        <f>変更履歴!BB2</f>
        <v>JBS石岡</v>
      </c>
      <c r="BC2" s="288"/>
      <c r="BD2" s="288"/>
      <c r="BE2" s="288"/>
      <c r="BF2" s="288"/>
      <c r="BG2" s="288"/>
      <c r="BH2" s="288"/>
      <c r="BI2" s="289"/>
    </row>
    <row r="3" spans="1:62" s="1" customFormat="1" ht="15" customHeight="1" thickBot="1">
      <c r="A3" s="300"/>
      <c r="B3" s="301"/>
      <c r="C3" s="301"/>
      <c r="D3" s="301"/>
      <c r="E3" s="302"/>
      <c r="F3" s="273"/>
      <c r="G3" s="274"/>
      <c r="H3" s="274"/>
      <c r="I3" s="274"/>
      <c r="J3" s="274"/>
      <c r="K3" s="274"/>
      <c r="L3" s="274"/>
      <c r="M3" s="274"/>
      <c r="N3" s="274"/>
      <c r="O3" s="274"/>
      <c r="P3" s="275"/>
      <c r="Q3" s="273"/>
      <c r="R3" s="274"/>
      <c r="S3" s="274"/>
      <c r="T3" s="274"/>
      <c r="U3" s="274"/>
      <c r="V3" s="275"/>
      <c r="W3" s="279"/>
      <c r="X3" s="280"/>
      <c r="Y3" s="280"/>
      <c r="Z3" s="280"/>
      <c r="AA3" s="280"/>
      <c r="AB3" s="280"/>
      <c r="AC3" s="280"/>
      <c r="AD3" s="281"/>
      <c r="AE3" s="273"/>
      <c r="AF3" s="274"/>
      <c r="AG3" s="274"/>
      <c r="AH3" s="274"/>
      <c r="AI3" s="274"/>
      <c r="AJ3" s="274"/>
      <c r="AK3" s="274"/>
      <c r="AL3" s="274"/>
      <c r="AM3" s="274"/>
      <c r="AN3" s="274"/>
      <c r="AO3" s="274"/>
      <c r="AP3" s="274"/>
      <c r="AQ3" s="274"/>
      <c r="AR3" s="274"/>
      <c r="AS3" s="275"/>
      <c r="AT3" s="290" t="str">
        <f>変更履歴!AT3</f>
        <v>更新</v>
      </c>
      <c r="AU3" s="291"/>
      <c r="AV3" s="316">
        <f ca="1">変更履歴!AV3</f>
        <v>45726</v>
      </c>
      <c r="AW3" s="317"/>
      <c r="AX3" s="317"/>
      <c r="AY3" s="317"/>
      <c r="AZ3" s="317"/>
      <c r="BA3" s="318"/>
      <c r="BB3" s="313" t="str">
        <f ca="1">変更履歴!BB3</f>
        <v>JBS石岡</v>
      </c>
      <c r="BC3" s="314"/>
      <c r="BD3" s="314"/>
      <c r="BE3" s="314"/>
      <c r="BF3" s="314"/>
      <c r="BG3" s="314"/>
      <c r="BH3" s="314"/>
      <c r="BI3" s="315"/>
    </row>
    <row r="4" spans="1:62" s="1" customFormat="1" ht="15" customHeight="1" thickBot="1">
      <c r="A4" s="312"/>
      <c r="B4" s="312"/>
      <c r="C4" s="312"/>
      <c r="D4" s="312"/>
      <c r="E4" s="312"/>
      <c r="F4" s="312"/>
      <c r="G4" s="312"/>
      <c r="H4" s="312"/>
    </row>
    <row r="5" spans="1:62" s="94" customFormat="1" ht="15" customHeight="1" thickBot="1">
      <c r="A5" s="319" t="s">
        <v>71</v>
      </c>
      <c r="B5" s="320"/>
      <c r="C5" s="320"/>
      <c r="D5" s="320"/>
      <c r="E5" s="320"/>
      <c r="F5" s="320"/>
      <c r="G5" s="320"/>
      <c r="H5" s="320"/>
      <c r="I5" s="320"/>
      <c r="J5" s="320"/>
      <c r="K5" s="320"/>
      <c r="L5" s="320"/>
      <c r="M5" s="320"/>
      <c r="N5" s="330"/>
      <c r="O5" s="332" t="s">
        <v>72</v>
      </c>
      <c r="P5" s="320"/>
      <c r="Q5" s="320"/>
      <c r="R5" s="320"/>
      <c r="S5" s="320"/>
      <c r="T5" s="320"/>
      <c r="U5" s="320"/>
      <c r="V5" s="320"/>
      <c r="W5" s="320"/>
      <c r="X5" s="320"/>
      <c r="Y5" s="320"/>
      <c r="Z5" s="320"/>
      <c r="AA5" s="320"/>
      <c r="AB5" s="320"/>
      <c r="AC5" s="320"/>
      <c r="AD5" s="320"/>
      <c r="AE5" s="320"/>
      <c r="AF5" s="320"/>
      <c r="AG5" s="320"/>
      <c r="AH5" s="320"/>
      <c r="AI5" s="320"/>
      <c r="AJ5" s="320"/>
      <c r="AK5" s="320"/>
      <c r="AL5" s="320"/>
      <c r="AM5" s="330"/>
      <c r="AN5" s="332" t="s">
        <v>73</v>
      </c>
      <c r="AO5" s="320"/>
      <c r="AP5" s="320"/>
      <c r="AQ5" s="320"/>
      <c r="AR5" s="320"/>
      <c r="AS5" s="320"/>
      <c r="AT5" s="320"/>
      <c r="AU5" s="320"/>
      <c r="AV5" s="320"/>
      <c r="AW5" s="320"/>
      <c r="AX5" s="320"/>
      <c r="AY5" s="320"/>
      <c r="AZ5" s="320"/>
      <c r="BA5" s="332" t="s">
        <v>74</v>
      </c>
      <c r="BB5" s="320"/>
      <c r="BC5" s="320"/>
      <c r="BD5" s="320"/>
      <c r="BE5" s="320"/>
      <c r="BF5" s="320"/>
      <c r="BG5" s="320"/>
      <c r="BH5" s="320"/>
      <c r="BI5" s="321"/>
      <c r="BJ5" s="93"/>
    </row>
    <row r="6" spans="1:62" s="1" customFormat="1" ht="15" customHeight="1">
      <c r="A6" s="15"/>
      <c r="N6" s="6"/>
      <c r="O6" s="25"/>
      <c r="AM6" s="6"/>
      <c r="AN6" s="25"/>
      <c r="AY6" s="3"/>
      <c r="AZ6" s="143"/>
      <c r="BI6" s="26"/>
    </row>
    <row r="7" spans="1:62" s="1" customFormat="1" ht="15" customHeight="1">
      <c r="A7" s="15"/>
      <c r="N7" s="6"/>
      <c r="O7" s="25"/>
      <c r="AM7" s="6"/>
      <c r="AN7" s="25"/>
      <c r="AZ7" s="6"/>
      <c r="BI7" s="26"/>
    </row>
    <row r="8" spans="1:62" s="1" customFormat="1" ht="15" customHeight="1">
      <c r="A8" s="15"/>
      <c r="N8" s="6"/>
      <c r="O8" s="25"/>
      <c r="AM8" s="6"/>
      <c r="AN8" s="25"/>
      <c r="AZ8" s="6"/>
      <c r="BI8" s="26"/>
    </row>
    <row r="9" spans="1:62" s="1" customFormat="1" ht="15" customHeight="1">
      <c r="A9" s="15"/>
      <c r="N9" s="6"/>
      <c r="O9" s="25"/>
      <c r="AM9" s="6"/>
      <c r="AN9" s="25"/>
      <c r="AZ9" s="6"/>
      <c r="BI9" s="26"/>
    </row>
    <row r="10" spans="1:62" s="1" customFormat="1" ht="15" customHeight="1">
      <c r="A10" s="15"/>
      <c r="N10" s="6"/>
      <c r="O10" s="25"/>
      <c r="AM10" s="6"/>
      <c r="AN10" s="25"/>
      <c r="AZ10" s="6"/>
      <c r="BI10" s="26"/>
    </row>
    <row r="11" spans="1:62" s="1" customFormat="1" ht="15" customHeight="1">
      <c r="A11" s="15"/>
      <c r="N11" s="6"/>
      <c r="O11" s="25"/>
      <c r="AM11" s="6"/>
      <c r="AN11" s="25"/>
      <c r="AZ11" s="6"/>
      <c r="BI11" s="26"/>
    </row>
    <row r="12" spans="1:62" s="1" customFormat="1" ht="15" customHeight="1">
      <c r="A12" s="15"/>
      <c r="N12" s="6"/>
      <c r="O12" s="25"/>
      <c r="AM12" s="6"/>
      <c r="AN12" s="25"/>
      <c r="AZ12" s="6"/>
      <c r="BI12" s="26"/>
    </row>
    <row r="13" spans="1:62" s="1" customFormat="1" ht="15" customHeight="1">
      <c r="A13" s="15"/>
      <c r="N13" s="6"/>
      <c r="O13" s="25"/>
      <c r="AM13" s="6"/>
      <c r="AN13" s="25"/>
      <c r="AZ13" s="6"/>
      <c r="BI13" s="26"/>
    </row>
    <row r="14" spans="1:62" s="1" customFormat="1" ht="15" customHeight="1">
      <c r="A14" s="15"/>
      <c r="N14" s="6"/>
      <c r="O14" s="25"/>
      <c r="AM14" s="6"/>
      <c r="AN14" s="25"/>
      <c r="AZ14" s="6"/>
      <c r="BI14" s="26"/>
    </row>
    <row r="15" spans="1:62" s="1" customFormat="1" ht="15" customHeight="1">
      <c r="A15" s="15"/>
      <c r="N15" s="6"/>
      <c r="O15" s="25"/>
      <c r="AM15" s="6"/>
      <c r="AN15" s="25"/>
      <c r="AZ15" s="6"/>
      <c r="BI15" s="26"/>
    </row>
    <row r="16" spans="1:62" s="1" customFormat="1" ht="15" customHeight="1">
      <c r="A16" s="15"/>
      <c r="N16" s="6"/>
      <c r="O16" s="25"/>
      <c r="AM16" s="6"/>
      <c r="AN16" s="25"/>
      <c r="AZ16" s="6"/>
      <c r="BI16" s="26"/>
    </row>
    <row r="17" spans="1:61" s="1" customFormat="1" ht="15" customHeight="1">
      <c r="A17" s="15"/>
      <c r="N17" s="6"/>
      <c r="O17" s="25"/>
      <c r="AM17" s="6"/>
      <c r="AN17" s="25"/>
      <c r="AZ17" s="6"/>
      <c r="BI17" s="26"/>
    </row>
    <row r="18" spans="1:61" s="1" customFormat="1" ht="15" customHeight="1">
      <c r="A18" s="15"/>
      <c r="N18" s="6"/>
      <c r="O18" s="25"/>
      <c r="AM18" s="6"/>
      <c r="AN18" s="25"/>
      <c r="AZ18" s="6"/>
      <c r="BI18" s="26"/>
    </row>
    <row r="19" spans="1:61" s="1" customFormat="1" ht="15" customHeight="1">
      <c r="A19" s="15"/>
      <c r="N19" s="6"/>
      <c r="O19" s="25"/>
      <c r="AM19" s="6"/>
      <c r="AN19" s="25"/>
      <c r="AZ19" s="6"/>
      <c r="BI19" s="26"/>
    </row>
    <row r="20" spans="1:61" s="1" customFormat="1" ht="15" customHeight="1">
      <c r="A20" s="15"/>
      <c r="N20" s="6"/>
      <c r="O20" s="25"/>
      <c r="AM20" s="6"/>
      <c r="AN20" s="25"/>
      <c r="AZ20" s="6"/>
      <c r="BI20" s="26"/>
    </row>
    <row r="21" spans="1:61" s="1" customFormat="1" ht="15" customHeight="1">
      <c r="A21" s="15"/>
      <c r="N21" s="6"/>
      <c r="O21" s="25"/>
      <c r="AM21" s="6"/>
      <c r="AN21" s="25"/>
      <c r="AZ21" s="6"/>
      <c r="BI21" s="26"/>
    </row>
    <row r="22" spans="1:61" s="1" customFormat="1" ht="15" customHeight="1">
      <c r="A22" s="15"/>
      <c r="N22" s="6"/>
      <c r="O22" s="25"/>
      <c r="AM22" s="6"/>
      <c r="AN22" s="25"/>
      <c r="AZ22" s="6"/>
      <c r="BI22" s="26"/>
    </row>
    <row r="23" spans="1:61" s="1" customFormat="1" ht="15" customHeight="1">
      <c r="A23" s="15"/>
      <c r="N23" s="6"/>
      <c r="O23" s="25"/>
      <c r="AM23" s="6"/>
      <c r="AN23" s="25"/>
      <c r="AZ23" s="6"/>
      <c r="BI23" s="26"/>
    </row>
    <row r="24" spans="1:61" s="1" customFormat="1" ht="15" customHeight="1">
      <c r="A24" s="15"/>
      <c r="N24" s="6"/>
      <c r="O24" s="25"/>
      <c r="AM24" s="6"/>
      <c r="AN24" s="25"/>
      <c r="AZ24" s="6"/>
      <c r="BI24" s="26"/>
    </row>
    <row r="25" spans="1:61" s="1" customFormat="1" ht="15" customHeight="1">
      <c r="A25" s="15"/>
      <c r="N25" s="6"/>
      <c r="O25" s="25"/>
      <c r="AM25" s="6"/>
      <c r="AN25" s="25"/>
      <c r="AZ25" s="6"/>
      <c r="BI25" s="26"/>
    </row>
    <row r="26" spans="1:61" s="1" customFormat="1" ht="15" customHeight="1">
      <c r="A26" s="15"/>
      <c r="N26" s="6"/>
      <c r="O26" s="25"/>
      <c r="AM26" s="6"/>
      <c r="AN26" s="25"/>
      <c r="AZ26" s="6"/>
      <c r="BI26" s="26"/>
    </row>
    <row r="27" spans="1:61" s="1" customFormat="1" ht="15" customHeight="1">
      <c r="A27" s="15"/>
      <c r="N27" s="6"/>
      <c r="O27" s="25"/>
      <c r="AM27" s="6"/>
      <c r="AN27" s="25"/>
      <c r="AZ27" s="6"/>
      <c r="BI27" s="26"/>
    </row>
    <row r="28" spans="1:61" s="1" customFormat="1" ht="15" customHeight="1">
      <c r="A28" s="15"/>
      <c r="N28" s="6"/>
      <c r="O28" s="25"/>
      <c r="AM28" s="6"/>
      <c r="AN28" s="25"/>
      <c r="AZ28" s="6"/>
      <c r="BI28" s="26"/>
    </row>
    <row r="29" spans="1:61" s="1" customFormat="1" ht="15" customHeight="1">
      <c r="A29" s="15"/>
      <c r="N29" s="6"/>
      <c r="O29" s="25"/>
      <c r="AM29" s="6"/>
      <c r="AN29" s="25"/>
      <c r="AZ29" s="6"/>
      <c r="BI29" s="26"/>
    </row>
    <row r="30" spans="1:61" s="1" customFormat="1" ht="15" customHeight="1">
      <c r="A30" s="15"/>
      <c r="N30" s="6"/>
      <c r="O30" s="25"/>
      <c r="AM30" s="6"/>
      <c r="AN30" s="25"/>
      <c r="AZ30" s="6"/>
      <c r="BI30" s="26"/>
    </row>
    <row r="31" spans="1:61" s="1" customFormat="1" ht="15" customHeight="1">
      <c r="A31" s="15"/>
      <c r="N31" s="6"/>
      <c r="O31" s="25"/>
      <c r="AM31" s="6"/>
      <c r="AN31" s="25"/>
      <c r="AZ31" s="6"/>
      <c r="BI31" s="26"/>
    </row>
    <row r="32" spans="1:61" s="1" customFormat="1" ht="15" customHeight="1">
      <c r="A32" s="15"/>
      <c r="N32" s="6"/>
      <c r="O32" s="25"/>
      <c r="AM32" s="6"/>
      <c r="AN32" s="25"/>
      <c r="AZ32" s="6"/>
      <c r="BI32" s="26"/>
    </row>
    <row r="33" spans="1:61" s="1" customFormat="1" ht="15" customHeight="1">
      <c r="A33" s="15"/>
      <c r="N33" s="6"/>
      <c r="O33" s="25"/>
      <c r="AM33" s="6"/>
      <c r="AN33" s="25"/>
      <c r="AZ33" s="6"/>
      <c r="BI33" s="26"/>
    </row>
    <row r="34" spans="1:61" s="1" customFormat="1" ht="15" customHeight="1">
      <c r="A34" s="15"/>
      <c r="N34" s="6"/>
      <c r="O34" s="25"/>
      <c r="AM34" s="6"/>
      <c r="AN34" s="25"/>
      <c r="AZ34" s="6"/>
      <c r="BI34" s="26"/>
    </row>
    <row r="35" spans="1:61" s="1" customFormat="1" ht="15" customHeight="1">
      <c r="A35" s="15"/>
      <c r="N35" s="6"/>
      <c r="O35" s="25"/>
      <c r="AM35" s="6"/>
      <c r="AN35" s="25"/>
      <c r="AZ35" s="6"/>
      <c r="BI35" s="26"/>
    </row>
    <row r="36" spans="1:61" s="1" customFormat="1" ht="15" customHeight="1">
      <c r="A36" s="15"/>
      <c r="N36" s="6"/>
      <c r="O36" s="25"/>
      <c r="AM36" s="6"/>
      <c r="AN36" s="25"/>
      <c r="AZ36" s="6"/>
      <c r="BI36" s="26"/>
    </row>
    <row r="37" spans="1:61" s="1" customFormat="1" ht="15" customHeight="1">
      <c r="A37" s="15"/>
      <c r="N37" s="6"/>
      <c r="O37" s="25"/>
      <c r="AM37" s="6"/>
      <c r="AN37" s="25"/>
      <c r="AZ37" s="6"/>
      <c r="BI37" s="26"/>
    </row>
    <row r="38" spans="1:61" s="1" customFormat="1" ht="15" customHeight="1">
      <c r="A38" s="15"/>
      <c r="N38" s="6"/>
      <c r="O38" s="25"/>
      <c r="AM38" s="6"/>
      <c r="AN38" s="25"/>
      <c r="AZ38" s="6"/>
      <c r="BI38" s="26"/>
    </row>
    <row r="39" spans="1:61" s="1" customFormat="1" ht="15" customHeight="1">
      <c r="A39" s="15"/>
      <c r="N39" s="6"/>
      <c r="O39" s="25"/>
      <c r="AM39" s="6"/>
      <c r="AN39" s="25"/>
      <c r="AZ39" s="6"/>
      <c r="BI39" s="26"/>
    </row>
    <row r="40" spans="1:61" s="1" customFormat="1" ht="15" customHeight="1">
      <c r="A40" s="15"/>
      <c r="N40" s="6"/>
      <c r="O40" s="25"/>
      <c r="AM40" s="6"/>
      <c r="AN40" s="25"/>
      <c r="AZ40" s="6"/>
      <c r="BI40" s="26"/>
    </row>
    <row r="41" spans="1:61" s="1" customFormat="1" ht="15" customHeight="1">
      <c r="A41" s="15"/>
      <c r="N41" s="6"/>
      <c r="O41" s="25"/>
      <c r="AM41" s="6"/>
      <c r="AN41" s="25"/>
      <c r="AZ41" s="6"/>
      <c r="BI41" s="26"/>
    </row>
    <row r="42" spans="1:61" s="1" customFormat="1" ht="15" customHeight="1">
      <c r="A42" s="15"/>
      <c r="N42" s="6"/>
      <c r="O42" s="25"/>
      <c r="AM42" s="6"/>
      <c r="AN42" s="25"/>
      <c r="AZ42" s="6"/>
      <c r="BI42" s="26"/>
    </row>
    <row r="43" spans="1:61" s="1" customFormat="1" ht="15" customHeight="1">
      <c r="A43" s="15"/>
      <c r="N43" s="6"/>
      <c r="O43" s="25"/>
      <c r="AM43" s="6"/>
      <c r="AN43" s="25"/>
      <c r="AZ43" s="6"/>
      <c r="BI43" s="26"/>
    </row>
    <row r="44" spans="1:61" s="1" customFormat="1" ht="15" customHeight="1">
      <c r="A44" s="15"/>
      <c r="N44" s="6"/>
      <c r="O44" s="25"/>
      <c r="AM44" s="6"/>
      <c r="AN44" s="25"/>
      <c r="AZ44" s="6"/>
      <c r="BI44" s="26"/>
    </row>
    <row r="45" spans="1:61" s="1" customFormat="1" ht="15" customHeight="1">
      <c r="A45" s="15"/>
      <c r="N45" s="6"/>
      <c r="O45" s="25"/>
      <c r="AM45" s="6"/>
      <c r="AN45" s="25"/>
      <c r="AZ45" s="6"/>
      <c r="BI45" s="26"/>
    </row>
    <row r="46" spans="1:61" s="1" customFormat="1" ht="15" customHeight="1">
      <c r="A46" s="15"/>
      <c r="N46" s="6"/>
      <c r="O46" s="25"/>
      <c r="AM46" s="6"/>
      <c r="AN46" s="25"/>
      <c r="AZ46" s="6"/>
      <c r="BI46" s="26"/>
    </row>
    <row r="47" spans="1:61" s="1" customFormat="1" ht="15" customHeight="1">
      <c r="A47" s="15"/>
      <c r="N47" s="6"/>
      <c r="O47" s="25"/>
      <c r="AM47" s="6"/>
      <c r="AN47" s="25"/>
      <c r="AZ47" s="6"/>
      <c r="BI47" s="26"/>
    </row>
    <row r="48" spans="1:61" s="1" customFormat="1" ht="15" customHeight="1">
      <c r="A48" s="15"/>
      <c r="N48" s="6"/>
      <c r="O48" s="25"/>
      <c r="AM48" s="6"/>
      <c r="AN48" s="25"/>
      <c r="AZ48" s="6"/>
      <c r="BI48" s="26"/>
    </row>
    <row r="49" spans="1:61" s="1" customFormat="1" ht="15" customHeight="1">
      <c r="A49" s="15"/>
      <c r="N49" s="6"/>
      <c r="O49" s="25"/>
      <c r="AM49" s="6"/>
      <c r="AN49" s="25"/>
      <c r="AZ49" s="6"/>
      <c r="BI49" s="26"/>
    </row>
    <row r="50" spans="1:61" s="1" customFormat="1" ht="15" customHeight="1">
      <c r="A50" s="15"/>
      <c r="N50" s="6"/>
      <c r="O50" s="25"/>
      <c r="AM50" s="6"/>
      <c r="AN50" s="25"/>
      <c r="AZ50" s="6"/>
      <c r="BI50" s="26"/>
    </row>
    <row r="51" spans="1:61" s="1" customFormat="1" ht="15" customHeight="1">
      <c r="A51" s="15"/>
      <c r="N51" s="6"/>
      <c r="O51" s="25"/>
      <c r="AM51" s="6"/>
      <c r="AN51" s="25"/>
      <c r="AZ51" s="6"/>
      <c r="BI51" s="26"/>
    </row>
    <row r="52" spans="1:61" s="1" customFormat="1" ht="15" customHeight="1">
      <c r="A52" s="15"/>
      <c r="N52" s="6"/>
      <c r="O52" s="25"/>
      <c r="AM52" s="6"/>
      <c r="AN52" s="25"/>
      <c r="AZ52" s="6"/>
      <c r="BI52" s="26"/>
    </row>
    <row r="53" spans="1:61" s="1" customFormat="1" ht="15" customHeight="1">
      <c r="A53" s="15"/>
      <c r="N53" s="6"/>
      <c r="O53" s="25"/>
      <c r="AM53" s="6"/>
      <c r="AN53" s="25"/>
      <c r="AZ53" s="6"/>
      <c r="BI53" s="26"/>
    </row>
    <row r="54" spans="1:61" s="1" customFormat="1" ht="15" customHeight="1">
      <c r="A54" s="15"/>
      <c r="N54" s="6"/>
      <c r="O54" s="25"/>
      <c r="AM54" s="6"/>
      <c r="AN54" s="25"/>
      <c r="AZ54" s="6"/>
      <c r="BI54" s="26"/>
    </row>
    <row r="55" spans="1:61" s="1" customFormat="1" ht="15" customHeight="1">
      <c r="A55" s="15"/>
      <c r="N55" s="6"/>
      <c r="O55" s="25"/>
      <c r="AM55" s="6"/>
      <c r="AN55" s="25"/>
      <c r="AZ55" s="6"/>
      <c r="BI55" s="26"/>
    </row>
    <row r="56" spans="1:61" s="1" customFormat="1" ht="15" customHeight="1">
      <c r="A56" s="15"/>
      <c r="N56" s="6"/>
      <c r="O56" s="25"/>
      <c r="AM56" s="6"/>
      <c r="AN56" s="25"/>
      <c r="AZ56" s="6"/>
      <c r="BI56" s="26"/>
    </row>
    <row r="57" spans="1:61" s="1" customFormat="1" ht="15" customHeight="1">
      <c r="A57" s="15"/>
      <c r="N57" s="6"/>
      <c r="O57" s="25"/>
      <c r="AM57" s="6"/>
      <c r="AN57" s="25"/>
      <c r="AZ57" s="6"/>
      <c r="BI57" s="26"/>
    </row>
    <row r="58" spans="1:61" s="1" customFormat="1" ht="15" customHeight="1">
      <c r="A58" s="15"/>
      <c r="N58" s="6"/>
      <c r="O58" s="25"/>
      <c r="AM58" s="6"/>
      <c r="AN58" s="25"/>
      <c r="AZ58" s="6"/>
      <c r="BI58" s="26"/>
    </row>
    <row r="59" spans="1:61" s="1" customFormat="1" ht="15" customHeight="1">
      <c r="A59" s="15"/>
      <c r="N59" s="6"/>
      <c r="O59" s="25"/>
      <c r="AM59" s="6"/>
      <c r="AN59" s="25"/>
      <c r="AZ59" s="6"/>
      <c r="BI59" s="26"/>
    </row>
    <row r="60" spans="1:61" s="1" customFormat="1" ht="15" customHeight="1">
      <c r="A60" s="15"/>
      <c r="N60" s="6"/>
      <c r="O60" s="25"/>
      <c r="AM60" s="6"/>
      <c r="AN60" s="25"/>
      <c r="AZ60" s="6"/>
      <c r="BI60" s="26"/>
    </row>
    <row r="61" spans="1:61" s="1" customFormat="1" ht="15" customHeight="1">
      <c r="A61" s="15"/>
      <c r="N61" s="6"/>
      <c r="O61" s="25"/>
      <c r="AM61" s="6"/>
      <c r="AN61" s="25"/>
      <c r="AZ61" s="6"/>
      <c r="BI61" s="26"/>
    </row>
    <row r="62" spans="1:61" s="1" customFormat="1" ht="15" customHeight="1">
      <c r="A62" s="15"/>
      <c r="N62" s="6"/>
      <c r="O62" s="25"/>
      <c r="AM62" s="6"/>
      <c r="AN62" s="25"/>
      <c r="AZ62" s="6"/>
      <c r="BI62" s="26"/>
    </row>
    <row r="63" spans="1:61" s="1" customFormat="1" ht="15" customHeight="1">
      <c r="A63" s="15"/>
      <c r="N63" s="6"/>
      <c r="O63" s="25"/>
      <c r="AM63" s="6"/>
      <c r="AN63" s="25"/>
      <c r="AZ63" s="6"/>
      <c r="BI63" s="26"/>
    </row>
    <row r="64" spans="1:61" s="1" customFormat="1" ht="15" customHeight="1">
      <c r="A64" s="15"/>
      <c r="N64" s="6"/>
      <c r="O64" s="25"/>
      <c r="AM64" s="6"/>
      <c r="AN64" s="25"/>
      <c r="AZ64" s="6"/>
      <c r="BI64" s="26"/>
    </row>
    <row r="65" spans="1:61" s="1" customFormat="1" ht="15" customHeight="1">
      <c r="A65" s="15"/>
      <c r="N65" s="6"/>
      <c r="O65" s="25"/>
      <c r="AM65" s="6"/>
      <c r="AN65" s="25"/>
      <c r="AZ65" s="6"/>
      <c r="BI65" s="26"/>
    </row>
    <row r="66" spans="1:61" s="1" customFormat="1" ht="15" customHeight="1">
      <c r="A66" s="15"/>
      <c r="N66" s="6"/>
      <c r="O66" s="25"/>
      <c r="AM66" s="6"/>
      <c r="AN66" s="25"/>
      <c r="AZ66" s="6"/>
      <c r="BI66" s="26"/>
    </row>
    <row r="67" spans="1:61" s="1" customFormat="1" ht="15" customHeight="1">
      <c r="A67" s="15"/>
      <c r="N67" s="6"/>
      <c r="O67" s="25"/>
      <c r="AM67" s="6"/>
      <c r="AN67" s="25"/>
      <c r="AZ67" s="6"/>
      <c r="BI67" s="26"/>
    </row>
    <row r="68" spans="1:61" s="1" customFormat="1" ht="15" customHeight="1">
      <c r="A68" s="15"/>
      <c r="N68" s="6"/>
      <c r="O68" s="25"/>
      <c r="AM68" s="6"/>
      <c r="AN68" s="25"/>
      <c r="AZ68" s="6"/>
      <c r="BI68" s="26"/>
    </row>
    <row r="69" spans="1:61" s="1" customFormat="1" ht="15" customHeight="1">
      <c r="A69" s="15"/>
      <c r="N69" s="6"/>
      <c r="O69" s="25"/>
      <c r="AM69" s="6"/>
      <c r="AN69" s="25"/>
      <c r="AZ69" s="6"/>
      <c r="BI69" s="26"/>
    </row>
    <row r="70" spans="1:61" s="1" customFormat="1" ht="15" customHeight="1">
      <c r="A70" s="15"/>
      <c r="N70" s="6"/>
      <c r="O70" s="25"/>
      <c r="AM70" s="6"/>
      <c r="AN70" s="25"/>
      <c r="AZ70" s="6"/>
      <c r="BI70" s="26"/>
    </row>
    <row r="71" spans="1:61" s="1" customFormat="1" ht="15" customHeight="1">
      <c r="A71" s="15"/>
      <c r="N71" s="6"/>
      <c r="O71" s="25"/>
      <c r="AM71" s="6"/>
      <c r="AN71" s="25"/>
      <c r="AZ71" s="6"/>
      <c r="BI71" s="26"/>
    </row>
    <row r="72" spans="1:61" s="1" customFormat="1" ht="15" customHeight="1">
      <c r="A72" s="15"/>
      <c r="N72" s="6"/>
      <c r="O72" s="25"/>
      <c r="AM72" s="6"/>
      <c r="AN72" s="25"/>
      <c r="AZ72" s="6"/>
      <c r="BI72" s="26"/>
    </row>
    <row r="73" spans="1:61" s="1" customFormat="1" ht="15" customHeight="1">
      <c r="A73" s="15"/>
      <c r="N73" s="6"/>
      <c r="O73" s="25"/>
      <c r="AM73" s="6"/>
      <c r="AN73" s="25"/>
      <c r="AZ73" s="6"/>
      <c r="BI73" s="26"/>
    </row>
    <row r="74" spans="1:61" s="1" customFormat="1" ht="15" customHeight="1">
      <c r="A74" s="15"/>
      <c r="N74" s="6"/>
      <c r="O74" s="25"/>
      <c r="AM74" s="6"/>
      <c r="AN74" s="25"/>
      <c r="AZ74" s="6"/>
      <c r="BI74" s="26"/>
    </row>
    <row r="75" spans="1:61" s="1" customFormat="1" ht="15" customHeight="1">
      <c r="A75" s="15"/>
      <c r="N75" s="6"/>
      <c r="O75" s="25"/>
      <c r="AM75" s="6"/>
      <c r="AN75" s="25"/>
      <c r="AZ75" s="6"/>
      <c r="BI75" s="26"/>
    </row>
    <row r="76" spans="1:61" s="1" customFormat="1" ht="15" customHeight="1">
      <c r="A76" s="15"/>
      <c r="N76" s="6"/>
      <c r="O76" s="25"/>
      <c r="AM76" s="6"/>
      <c r="AN76" s="25"/>
      <c r="AZ76" s="6"/>
      <c r="BI76" s="26"/>
    </row>
    <row r="77" spans="1:61" s="1" customFormat="1" ht="15" customHeight="1">
      <c r="A77" s="15"/>
      <c r="N77" s="6"/>
      <c r="O77" s="25"/>
      <c r="AM77" s="6"/>
      <c r="AN77" s="25"/>
      <c r="AZ77" s="6"/>
      <c r="BI77" s="26"/>
    </row>
    <row r="78" spans="1:61" s="1" customFormat="1" ht="15" customHeight="1">
      <c r="A78" s="15"/>
      <c r="N78" s="6"/>
      <c r="O78" s="25"/>
      <c r="AM78" s="6"/>
      <c r="AN78" s="25"/>
      <c r="AZ78" s="6"/>
      <c r="BI78" s="26"/>
    </row>
    <row r="79" spans="1:61" s="1" customFormat="1" ht="15" customHeight="1">
      <c r="A79" s="15"/>
      <c r="N79" s="6"/>
      <c r="O79" s="25"/>
      <c r="AM79" s="6"/>
      <c r="AN79" s="25"/>
      <c r="AZ79" s="6"/>
      <c r="BI79" s="26"/>
    </row>
    <row r="80" spans="1:61" s="1" customFormat="1" ht="15" customHeight="1">
      <c r="A80" s="15"/>
      <c r="N80" s="6"/>
      <c r="O80" s="25"/>
      <c r="AM80" s="6"/>
      <c r="AN80" s="25"/>
      <c r="AZ80" s="6"/>
      <c r="BI80" s="26"/>
    </row>
    <row r="81" spans="1:61" s="1" customFormat="1" ht="15" customHeight="1">
      <c r="A81" s="15"/>
      <c r="N81" s="6"/>
      <c r="O81" s="25"/>
      <c r="AM81" s="6"/>
      <c r="AN81" s="25"/>
      <c r="AZ81" s="6"/>
      <c r="BI81" s="26"/>
    </row>
    <row r="82" spans="1:61" s="1" customFormat="1" ht="15" customHeight="1">
      <c r="A82" s="15"/>
      <c r="N82" s="6"/>
      <c r="O82" s="25"/>
      <c r="AM82" s="6"/>
      <c r="AN82" s="25"/>
      <c r="AZ82" s="6"/>
      <c r="BI82" s="26"/>
    </row>
    <row r="83" spans="1:61" s="1" customFormat="1" ht="15" customHeight="1">
      <c r="A83" s="15"/>
      <c r="N83" s="6"/>
      <c r="O83" s="25"/>
      <c r="AM83" s="6"/>
      <c r="AN83" s="25"/>
      <c r="AZ83" s="6"/>
      <c r="BI83" s="26"/>
    </row>
    <row r="84" spans="1:61" s="1" customFormat="1" ht="15" customHeight="1">
      <c r="A84" s="15"/>
      <c r="N84" s="6"/>
      <c r="O84" s="25"/>
      <c r="AM84" s="6"/>
      <c r="AN84" s="25"/>
      <c r="AZ84" s="6"/>
      <c r="BI84" s="26"/>
    </row>
    <row r="85" spans="1:61" s="1" customFormat="1" ht="15" customHeight="1">
      <c r="A85" s="15"/>
      <c r="N85" s="6"/>
      <c r="O85" s="25"/>
      <c r="AM85" s="6"/>
      <c r="AN85" s="25"/>
      <c r="AZ85" s="6"/>
      <c r="BI85" s="26"/>
    </row>
    <row r="86" spans="1:61" s="1" customFormat="1" ht="15" customHeight="1">
      <c r="A86" s="15"/>
      <c r="N86" s="6"/>
      <c r="O86" s="25"/>
      <c r="AM86" s="6"/>
      <c r="AN86" s="25"/>
      <c r="AZ86" s="6"/>
      <c r="BI86" s="26"/>
    </row>
    <row r="87" spans="1:61" s="1" customFormat="1" ht="15" customHeight="1">
      <c r="A87" s="15"/>
      <c r="N87" s="6"/>
      <c r="O87" s="25"/>
      <c r="AM87" s="6"/>
      <c r="AN87" s="25"/>
      <c r="AZ87" s="6"/>
      <c r="BI87" s="26"/>
    </row>
    <row r="88" spans="1:61" ht="15" customHeight="1" thickBot="1">
      <c r="A88" s="50"/>
      <c r="B88" s="51"/>
      <c r="C88" s="51"/>
      <c r="D88" s="51"/>
      <c r="E88" s="51"/>
      <c r="F88" s="51"/>
      <c r="G88" s="51"/>
      <c r="H88" s="51"/>
      <c r="I88" s="51"/>
      <c r="J88" s="51"/>
      <c r="K88" s="51"/>
      <c r="L88" s="51"/>
      <c r="M88" s="51"/>
      <c r="N88" s="52"/>
      <c r="O88" s="53"/>
      <c r="P88" s="51"/>
      <c r="Q88" s="51"/>
      <c r="R88" s="51"/>
      <c r="S88" s="51"/>
      <c r="T88" s="51"/>
      <c r="U88" s="51"/>
      <c r="V88" s="51"/>
      <c r="W88" s="51"/>
      <c r="X88" s="51"/>
      <c r="Y88" s="51"/>
      <c r="Z88" s="51"/>
      <c r="AA88" s="51"/>
      <c r="AB88" s="51"/>
      <c r="AC88" s="51"/>
      <c r="AD88" s="51"/>
      <c r="AE88" s="51"/>
      <c r="AF88" s="51"/>
      <c r="AG88" s="51"/>
      <c r="AH88" s="51"/>
      <c r="AI88" s="51"/>
      <c r="AJ88" s="51"/>
      <c r="AK88" s="51"/>
      <c r="AL88" s="51"/>
      <c r="AM88" s="52"/>
      <c r="AN88" s="53"/>
      <c r="AO88" s="51"/>
      <c r="AP88" s="51"/>
      <c r="AQ88" s="51"/>
      <c r="AR88" s="51"/>
      <c r="AS88" s="51"/>
      <c r="AT88" s="51"/>
      <c r="AU88" s="51"/>
      <c r="AV88" s="51"/>
      <c r="AW88" s="51"/>
      <c r="AX88" s="51"/>
      <c r="AY88" s="51"/>
      <c r="AZ88" s="52"/>
      <c r="BA88" s="51"/>
      <c r="BB88" s="51"/>
      <c r="BC88" s="51"/>
      <c r="BD88" s="51"/>
      <c r="BE88" s="51"/>
      <c r="BF88" s="51"/>
      <c r="BG88" s="51"/>
      <c r="BH88" s="51"/>
      <c r="BI88" s="54"/>
    </row>
    <row r="89" spans="1:61" s="1" customFormat="1" ht="15" customHeight="1" thickBot="1">
      <c r="A89" s="319" t="s">
        <v>75</v>
      </c>
      <c r="B89" s="320"/>
      <c r="C89" s="320"/>
      <c r="D89" s="320"/>
      <c r="E89" s="320"/>
      <c r="F89" s="320"/>
      <c r="G89" s="320"/>
      <c r="H89" s="320"/>
      <c r="I89" s="320"/>
      <c r="J89" s="320"/>
      <c r="K89" s="320"/>
      <c r="L89" s="320"/>
      <c r="M89" s="320"/>
      <c r="N89" s="320"/>
      <c r="O89" s="320"/>
      <c r="P89" s="320"/>
      <c r="Q89" s="320"/>
      <c r="R89" s="320"/>
      <c r="S89" s="320"/>
      <c r="T89" s="320"/>
      <c r="U89" s="320"/>
      <c r="V89" s="320"/>
      <c r="W89" s="320"/>
      <c r="X89" s="320"/>
      <c r="Y89" s="320"/>
      <c r="Z89" s="320"/>
      <c r="AA89" s="320"/>
      <c r="AB89" s="320"/>
      <c r="AC89" s="320"/>
      <c r="AD89" s="320"/>
      <c r="AE89" s="320"/>
      <c r="AF89" s="320"/>
      <c r="AG89" s="320"/>
      <c r="AH89" s="320"/>
      <c r="AI89" s="320"/>
      <c r="AJ89" s="320"/>
      <c r="AK89" s="320"/>
      <c r="AL89" s="320"/>
      <c r="AM89" s="320"/>
      <c r="AN89" s="320"/>
      <c r="AO89" s="320"/>
      <c r="AP89" s="320"/>
      <c r="AQ89" s="320"/>
      <c r="AR89" s="320"/>
      <c r="AS89" s="320"/>
      <c r="AT89" s="320"/>
      <c r="AU89" s="320"/>
      <c r="AV89" s="320"/>
      <c r="AW89" s="320"/>
      <c r="AX89" s="320"/>
      <c r="AY89" s="320"/>
      <c r="AZ89" s="320"/>
      <c r="BA89" s="320"/>
      <c r="BB89" s="320"/>
      <c r="BC89" s="320"/>
      <c r="BD89" s="320"/>
      <c r="BE89" s="320"/>
      <c r="BF89" s="320"/>
      <c r="BG89" s="320"/>
      <c r="BH89" s="320"/>
      <c r="BI89" s="321"/>
    </row>
    <row r="90" spans="1:61" s="1" customFormat="1" ht="15" customHeight="1">
      <c r="A90" s="341" t="s">
        <v>76</v>
      </c>
      <c r="B90" s="358"/>
      <c r="C90" s="358"/>
      <c r="D90" s="358"/>
      <c r="E90" s="358"/>
      <c r="F90" s="358"/>
      <c r="G90" s="358"/>
      <c r="H90" s="358"/>
      <c r="I90" s="358"/>
      <c r="J90" s="358"/>
      <c r="K90" s="358"/>
      <c r="L90" s="358"/>
      <c r="M90" s="358"/>
      <c r="N90" s="358"/>
      <c r="O90" s="358"/>
      <c r="P90" s="358"/>
      <c r="Q90" s="358"/>
      <c r="R90" s="358"/>
      <c r="S90" s="358"/>
      <c r="T90" s="358"/>
      <c r="U90" s="358"/>
      <c r="V90" s="358"/>
      <c r="W90" s="358"/>
      <c r="X90" s="358"/>
      <c r="Y90" s="358"/>
      <c r="Z90" s="358"/>
      <c r="AA90" s="358"/>
      <c r="AB90" s="358"/>
      <c r="AC90" s="358"/>
      <c r="AD90" s="358"/>
      <c r="AE90" s="358"/>
      <c r="AF90" s="358"/>
      <c r="AG90" s="358"/>
      <c r="AH90" s="358"/>
      <c r="AI90" s="358"/>
      <c r="AJ90" s="358"/>
      <c r="AK90" s="358"/>
      <c r="AL90" s="358"/>
      <c r="AM90" s="358"/>
      <c r="AN90" s="358"/>
      <c r="AO90" s="358"/>
      <c r="AP90" s="358"/>
      <c r="AQ90" s="358"/>
      <c r="AR90" s="358"/>
      <c r="AS90" s="358"/>
      <c r="AT90" s="358"/>
      <c r="AU90" s="358"/>
      <c r="AV90" s="358"/>
      <c r="AW90" s="358"/>
      <c r="AX90" s="358"/>
      <c r="AY90" s="358"/>
      <c r="AZ90" s="358"/>
      <c r="BA90" s="358"/>
      <c r="BB90" s="358"/>
      <c r="BC90" s="358"/>
      <c r="BD90" s="358"/>
      <c r="BE90" s="358"/>
      <c r="BF90" s="358"/>
      <c r="BG90" s="358"/>
      <c r="BH90" s="358"/>
      <c r="BI90" s="342"/>
    </row>
    <row r="91" spans="1:61" s="1" customFormat="1" ht="15" customHeight="1">
      <c r="A91" s="15"/>
      <c r="N91" s="55"/>
      <c r="AB91" s="55"/>
      <c r="AK91" s="55"/>
      <c r="AZ91" s="55"/>
      <c r="BI91" s="26"/>
    </row>
    <row r="92" spans="1:61" s="1" customFormat="1" ht="15" customHeight="1">
      <c r="A92" s="15"/>
      <c r="N92" s="6"/>
      <c r="AB92" s="6"/>
      <c r="AK92" s="6"/>
      <c r="AZ92" s="6"/>
      <c r="BI92" s="26"/>
    </row>
    <row r="93" spans="1:61" s="1" customFormat="1" ht="15" customHeight="1">
      <c r="A93" s="15"/>
      <c r="N93" s="6"/>
      <c r="AB93" s="6"/>
      <c r="AK93" s="6"/>
      <c r="AZ93" s="6"/>
      <c r="BI93" s="26"/>
    </row>
    <row r="94" spans="1:61" s="1" customFormat="1" ht="15" customHeight="1" thickBot="1">
      <c r="A94" s="19"/>
      <c r="B94" s="27"/>
      <c r="C94" s="27"/>
      <c r="D94" s="27"/>
      <c r="E94" s="27"/>
      <c r="F94" s="27"/>
      <c r="G94" s="27"/>
      <c r="H94" s="27"/>
      <c r="I94" s="27"/>
      <c r="J94" s="27"/>
      <c r="K94" s="27"/>
      <c r="L94" s="27"/>
      <c r="M94" s="27"/>
      <c r="N94" s="56"/>
      <c r="O94" s="27"/>
      <c r="P94" s="27"/>
      <c r="Q94" s="27"/>
      <c r="R94" s="27"/>
      <c r="S94" s="27"/>
      <c r="T94" s="27"/>
      <c r="U94" s="27"/>
      <c r="V94" s="27"/>
      <c r="W94" s="27"/>
      <c r="X94" s="27"/>
      <c r="Y94" s="27"/>
      <c r="Z94" s="27"/>
      <c r="AA94" s="27"/>
      <c r="AB94" s="56"/>
      <c r="AC94" s="27"/>
      <c r="AD94" s="27"/>
      <c r="AE94" s="27"/>
      <c r="AF94" s="27"/>
      <c r="AG94" s="27"/>
      <c r="AH94" s="27"/>
      <c r="AI94" s="27"/>
      <c r="AJ94" s="27"/>
      <c r="AK94" s="56"/>
      <c r="AL94" s="27" t="s">
        <v>77</v>
      </c>
      <c r="AM94" s="27"/>
      <c r="AN94" s="27"/>
      <c r="AO94" s="27"/>
      <c r="AP94" s="27"/>
      <c r="AQ94" s="27"/>
      <c r="AR94" s="27"/>
      <c r="AS94" s="27"/>
      <c r="AT94" s="27"/>
      <c r="AU94" s="27"/>
      <c r="AV94" s="27"/>
      <c r="AW94" s="27"/>
      <c r="AX94" s="27"/>
      <c r="AY94" s="27"/>
      <c r="AZ94" s="56"/>
      <c r="BA94" s="27"/>
      <c r="BB94" s="27"/>
      <c r="BC94" s="27"/>
      <c r="BD94" s="27"/>
      <c r="BE94" s="27"/>
      <c r="BF94" s="27"/>
      <c r="BG94" s="27"/>
      <c r="BH94" s="27"/>
      <c r="BI94" s="28"/>
    </row>
  </sheetData>
  <mergeCells count="24">
    <mergeCell ref="BB3:BI3"/>
    <mergeCell ref="AN5:AZ5"/>
    <mergeCell ref="BA5:BI5"/>
    <mergeCell ref="O5:AM5"/>
    <mergeCell ref="A4:H4"/>
    <mergeCell ref="AT3:AU3"/>
    <mergeCell ref="AV3:BA3"/>
    <mergeCell ref="A5:N5"/>
    <mergeCell ref="F1:P1"/>
    <mergeCell ref="Q1:V1"/>
    <mergeCell ref="W1:AD1"/>
    <mergeCell ref="A89:BI89"/>
    <mergeCell ref="A90:BI90"/>
    <mergeCell ref="A1:E3"/>
    <mergeCell ref="AE1:AS1"/>
    <mergeCell ref="AT1:BA1"/>
    <mergeCell ref="BB1:BI1"/>
    <mergeCell ref="F2:P3"/>
    <mergeCell ref="Q2:V3"/>
    <mergeCell ref="W2:AD3"/>
    <mergeCell ref="AE2:AS3"/>
    <mergeCell ref="AT2:AU2"/>
    <mergeCell ref="AV2:BA2"/>
    <mergeCell ref="BB2:BI2"/>
  </mergeCells>
  <phoneticPr fontId="2"/>
  <printOptions horizontalCentered="1"/>
  <pageMargins left="0.23622047244094491" right="0.23622047244094491" top="0.74803149606299213" bottom="0.74803149606299213" header="0.31496062992125984" footer="0.31496062992125984"/>
  <pageSetup paperSize="9" scale="85"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AA858B-683A-4DBF-A066-0AD8CA833074}">
  <dimension ref="A1:BI331"/>
  <sheetViews>
    <sheetView showGridLines="0" zoomScale="70" zoomScaleNormal="70" workbookViewId="0">
      <pane ySplit="5" topLeftCell="A6" activePane="bottomLeft" state="frozen"/>
      <selection pane="bottomLeft" sqref="A1:E3"/>
    </sheetView>
  </sheetViews>
  <sheetFormatPr defaultColWidth="2.5" defaultRowHeight="15" customHeight="1"/>
  <cols>
    <col min="1" max="37" width="2.5" style="1"/>
    <col min="38" max="42" width="2.5" style="5"/>
    <col min="43" max="16384" width="2.5" style="1"/>
  </cols>
  <sheetData>
    <row r="1" spans="1:61" ht="15" customHeight="1" thickBot="1">
      <c r="A1" s="294" t="s">
        <v>32</v>
      </c>
      <c r="B1" s="295"/>
      <c r="C1" s="295"/>
      <c r="D1" s="295"/>
      <c r="E1" s="296"/>
      <c r="F1" s="303" t="str">
        <f>変更履歴!F1</f>
        <v>システム名</v>
      </c>
      <c r="G1" s="304"/>
      <c r="H1" s="304"/>
      <c r="I1" s="304"/>
      <c r="J1" s="304"/>
      <c r="K1" s="304"/>
      <c r="L1" s="304"/>
      <c r="M1" s="304"/>
      <c r="N1" s="304"/>
      <c r="O1" s="304"/>
      <c r="P1" s="305"/>
      <c r="Q1" s="306" t="str">
        <f>変更履歴!Q1</f>
        <v>機能分類</v>
      </c>
      <c r="R1" s="307"/>
      <c r="S1" s="307"/>
      <c r="T1" s="307"/>
      <c r="U1" s="307"/>
      <c r="V1" s="308"/>
      <c r="W1" s="303" t="str">
        <f>変更履歴!W1</f>
        <v>機能ＩＤ</v>
      </c>
      <c r="X1" s="304"/>
      <c r="Y1" s="304"/>
      <c r="Z1" s="304"/>
      <c r="AA1" s="304"/>
      <c r="AB1" s="304"/>
      <c r="AC1" s="304"/>
      <c r="AD1" s="305"/>
      <c r="AE1" s="303" t="str">
        <f>変更履歴!AE1</f>
        <v>機能名称</v>
      </c>
      <c r="AF1" s="304"/>
      <c r="AG1" s="304"/>
      <c r="AH1" s="304"/>
      <c r="AI1" s="304"/>
      <c r="AJ1" s="304"/>
      <c r="AK1" s="304"/>
      <c r="AL1" s="304"/>
      <c r="AM1" s="304"/>
      <c r="AN1" s="304"/>
      <c r="AO1" s="304"/>
      <c r="AP1" s="304"/>
      <c r="AQ1" s="304"/>
      <c r="AR1" s="304"/>
      <c r="AS1" s="305"/>
      <c r="AT1" s="309" t="str">
        <f>変更履歴!AT1</f>
        <v>日付</v>
      </c>
      <c r="AU1" s="310"/>
      <c r="AV1" s="310"/>
      <c r="AW1" s="310"/>
      <c r="AX1" s="310"/>
      <c r="AY1" s="310"/>
      <c r="AZ1" s="310"/>
      <c r="BA1" s="311"/>
      <c r="BB1" s="266" t="str">
        <f>変更履歴!BB1</f>
        <v>更新者</v>
      </c>
      <c r="BC1" s="268"/>
      <c r="BD1" s="268"/>
      <c r="BE1" s="268"/>
      <c r="BF1" s="268"/>
      <c r="BG1" s="268"/>
      <c r="BH1" s="268"/>
      <c r="BI1" s="269"/>
    </row>
    <row r="2" spans="1:61" ht="15" customHeight="1">
      <c r="A2" s="297"/>
      <c r="B2" s="298"/>
      <c r="C2" s="298"/>
      <c r="D2" s="298"/>
      <c r="E2" s="299"/>
      <c r="F2" s="270" t="str">
        <f>変更履歴!F2</f>
        <v>Dynamics365 for Finance and Operations</v>
      </c>
      <c r="G2" s="271"/>
      <c r="H2" s="271"/>
      <c r="I2" s="271"/>
      <c r="J2" s="271"/>
      <c r="K2" s="271"/>
      <c r="L2" s="271"/>
      <c r="M2" s="271"/>
      <c r="N2" s="271"/>
      <c r="O2" s="271"/>
      <c r="P2" s="272"/>
      <c r="Q2" s="270" t="str">
        <f>変更履歴!Q2</f>
        <v>システム共通</v>
      </c>
      <c r="R2" s="271"/>
      <c r="S2" s="271"/>
      <c r="T2" s="271"/>
      <c r="U2" s="271"/>
      <c r="V2" s="272"/>
      <c r="W2" s="276" t="str">
        <f>変更履歴!W2</f>
        <v>FO-088</v>
      </c>
      <c r="X2" s="277"/>
      <c r="Y2" s="277"/>
      <c r="Z2" s="277"/>
      <c r="AA2" s="277"/>
      <c r="AB2" s="277"/>
      <c r="AC2" s="277"/>
      <c r="AD2" s="278"/>
      <c r="AE2" s="270" t="str">
        <f>変更履歴!AE2</f>
        <v>AzureFiles連携共通インターフェース</v>
      </c>
      <c r="AF2" s="271"/>
      <c r="AG2" s="271"/>
      <c r="AH2" s="271"/>
      <c r="AI2" s="271"/>
      <c r="AJ2" s="271"/>
      <c r="AK2" s="271"/>
      <c r="AL2" s="271"/>
      <c r="AM2" s="271"/>
      <c r="AN2" s="271"/>
      <c r="AO2" s="271"/>
      <c r="AP2" s="271"/>
      <c r="AQ2" s="271"/>
      <c r="AR2" s="271"/>
      <c r="AS2" s="272"/>
      <c r="AT2" s="282" t="str">
        <f>変更履歴!AT2</f>
        <v>作成</v>
      </c>
      <c r="AU2" s="283"/>
      <c r="AV2" s="284">
        <f>変更履歴!AV2</f>
        <v>45453</v>
      </c>
      <c r="AW2" s="284"/>
      <c r="AX2" s="284"/>
      <c r="AY2" s="284"/>
      <c r="AZ2" s="284"/>
      <c r="BA2" s="285"/>
      <c r="BB2" s="286" t="str">
        <f>変更履歴!BB2</f>
        <v>JBS石岡</v>
      </c>
      <c r="BC2" s="288"/>
      <c r="BD2" s="288"/>
      <c r="BE2" s="288"/>
      <c r="BF2" s="288"/>
      <c r="BG2" s="288"/>
      <c r="BH2" s="288"/>
      <c r="BI2" s="289"/>
    </row>
    <row r="3" spans="1:61" ht="15" customHeight="1" thickBot="1">
      <c r="A3" s="300"/>
      <c r="B3" s="301"/>
      <c r="C3" s="301"/>
      <c r="D3" s="301"/>
      <c r="E3" s="302"/>
      <c r="F3" s="273"/>
      <c r="G3" s="274"/>
      <c r="H3" s="274"/>
      <c r="I3" s="274"/>
      <c r="J3" s="274"/>
      <c r="K3" s="274"/>
      <c r="L3" s="274"/>
      <c r="M3" s="274"/>
      <c r="N3" s="274"/>
      <c r="O3" s="274"/>
      <c r="P3" s="275"/>
      <c r="Q3" s="273"/>
      <c r="R3" s="274"/>
      <c r="S3" s="274"/>
      <c r="T3" s="274"/>
      <c r="U3" s="274"/>
      <c r="V3" s="275"/>
      <c r="W3" s="279"/>
      <c r="X3" s="280"/>
      <c r="Y3" s="280"/>
      <c r="Z3" s="280"/>
      <c r="AA3" s="280"/>
      <c r="AB3" s="280"/>
      <c r="AC3" s="280"/>
      <c r="AD3" s="281"/>
      <c r="AE3" s="273"/>
      <c r="AF3" s="274"/>
      <c r="AG3" s="274"/>
      <c r="AH3" s="274"/>
      <c r="AI3" s="274"/>
      <c r="AJ3" s="274"/>
      <c r="AK3" s="274"/>
      <c r="AL3" s="274"/>
      <c r="AM3" s="274"/>
      <c r="AN3" s="274"/>
      <c r="AO3" s="274"/>
      <c r="AP3" s="274"/>
      <c r="AQ3" s="274"/>
      <c r="AR3" s="274"/>
      <c r="AS3" s="275"/>
      <c r="AT3" s="290" t="str">
        <f>変更履歴!AT3</f>
        <v>更新</v>
      </c>
      <c r="AU3" s="291"/>
      <c r="AV3" s="316">
        <f ca="1">変更履歴!AV3</f>
        <v>45726</v>
      </c>
      <c r="AW3" s="317"/>
      <c r="AX3" s="317"/>
      <c r="AY3" s="317"/>
      <c r="AZ3" s="317"/>
      <c r="BA3" s="318"/>
      <c r="BB3" s="313" t="str">
        <f ca="1">変更履歴!BB3</f>
        <v>JBS石岡</v>
      </c>
      <c r="BC3" s="314"/>
      <c r="BD3" s="314"/>
      <c r="BE3" s="314"/>
      <c r="BF3" s="314"/>
      <c r="BG3" s="314"/>
      <c r="BH3" s="314"/>
      <c r="BI3" s="315"/>
    </row>
    <row r="4" spans="1:61" ht="15" customHeight="1" thickBot="1">
      <c r="A4" s="312"/>
      <c r="B4" s="312"/>
      <c r="C4" s="312"/>
      <c r="D4" s="312"/>
      <c r="E4" s="312"/>
      <c r="F4" s="312"/>
      <c r="G4" s="312"/>
      <c r="H4" s="312"/>
      <c r="AL4" s="1"/>
      <c r="AM4" s="1"/>
      <c r="AN4" s="1"/>
      <c r="AO4" s="1"/>
      <c r="AP4" s="1"/>
    </row>
    <row r="5" spans="1:61" s="92" customFormat="1" ht="15" customHeight="1" thickBot="1">
      <c r="A5" s="381" t="s">
        <v>56</v>
      </c>
      <c r="B5" s="380"/>
      <c r="C5" s="377" t="s">
        <v>78</v>
      </c>
      <c r="D5" s="378"/>
      <c r="E5" s="378"/>
      <c r="F5" s="378"/>
      <c r="G5" s="378"/>
      <c r="H5" s="378"/>
      <c r="I5" s="377" t="s">
        <v>79</v>
      </c>
      <c r="J5" s="378"/>
      <c r="K5" s="378"/>
      <c r="L5" s="378"/>
      <c r="M5" s="378"/>
      <c r="N5" s="378"/>
      <c r="O5" s="378"/>
      <c r="P5" s="378"/>
      <c r="Q5" s="378"/>
      <c r="R5" s="378"/>
      <c r="S5" s="378"/>
      <c r="T5" s="378"/>
      <c r="U5" s="378"/>
      <c r="V5" s="378"/>
      <c r="W5" s="378"/>
      <c r="X5" s="378"/>
      <c r="Y5" s="378"/>
      <c r="Z5" s="378"/>
      <c r="AA5" s="378"/>
      <c r="AB5" s="378"/>
      <c r="AC5" s="378"/>
      <c r="AD5" s="378"/>
      <c r="AE5" s="378"/>
      <c r="AF5" s="378"/>
      <c r="AG5" s="378"/>
      <c r="AH5" s="378"/>
      <c r="AI5" s="378"/>
      <c r="AJ5" s="378"/>
      <c r="AK5" s="378"/>
      <c r="AL5" s="378"/>
      <c r="AM5" s="378"/>
      <c r="AN5" s="380"/>
      <c r="AO5" s="377" t="s">
        <v>57</v>
      </c>
      <c r="AP5" s="378"/>
      <c r="AQ5" s="380"/>
      <c r="AR5" s="377" t="s">
        <v>80</v>
      </c>
      <c r="AS5" s="378"/>
      <c r="AT5" s="378"/>
      <c r="AU5" s="378"/>
      <c r="AV5" s="378"/>
      <c r="AW5" s="378"/>
      <c r="AX5" s="378"/>
      <c r="AY5" s="378"/>
      <c r="AZ5" s="378"/>
      <c r="BA5" s="378"/>
      <c r="BB5" s="378"/>
      <c r="BC5" s="378"/>
      <c r="BD5" s="378"/>
      <c r="BE5" s="380"/>
      <c r="BF5" s="377" t="s">
        <v>81</v>
      </c>
      <c r="BG5" s="378"/>
      <c r="BH5" s="378"/>
      <c r="BI5" s="379"/>
    </row>
    <row r="6" spans="1:61" ht="15" customHeight="1">
      <c r="A6" s="57" t="s">
        <v>82</v>
      </c>
      <c r="B6" s="6"/>
      <c r="C6" s="25" t="s">
        <v>83</v>
      </c>
      <c r="I6" s="25"/>
      <c r="AL6" s="1"/>
      <c r="AM6" s="1"/>
      <c r="AN6" s="6"/>
      <c r="AO6" s="25"/>
      <c r="AP6" s="1"/>
      <c r="AQ6" s="6"/>
      <c r="BD6" s="155"/>
      <c r="BE6" s="156"/>
      <c r="BF6" s="5"/>
      <c r="BG6" s="5"/>
      <c r="BH6" s="5"/>
      <c r="BI6" s="58"/>
    </row>
    <row r="7" spans="1:61" ht="15" customHeight="1">
      <c r="A7" s="57"/>
      <c r="B7" s="6"/>
      <c r="C7" s="25"/>
      <c r="I7" s="25"/>
      <c r="J7" s="1" t="s">
        <v>470</v>
      </c>
      <c r="O7" s="1" t="s">
        <v>486</v>
      </c>
      <c r="AL7" s="1"/>
      <c r="AM7" s="1"/>
      <c r="AN7" s="6"/>
      <c r="AO7" s="25"/>
      <c r="AP7" s="1"/>
      <c r="AQ7" s="6"/>
      <c r="BD7" s="5"/>
      <c r="BE7" s="157"/>
      <c r="BF7" s="5"/>
      <c r="BG7" s="5"/>
      <c r="BH7" s="5"/>
      <c r="BI7" s="58"/>
    </row>
    <row r="8" spans="1:61" ht="15" customHeight="1">
      <c r="A8" s="57"/>
      <c r="B8" s="6"/>
      <c r="C8" s="25"/>
      <c r="I8" s="25"/>
      <c r="J8" s="1" t="s">
        <v>84</v>
      </c>
      <c r="O8" s="1" t="s">
        <v>85</v>
      </c>
      <c r="AL8" s="1"/>
      <c r="AM8" s="1"/>
      <c r="AN8" s="6"/>
      <c r="AO8" s="25"/>
      <c r="AP8" s="1"/>
      <c r="AQ8" s="6"/>
      <c r="BD8" s="5"/>
      <c r="BE8" s="157"/>
      <c r="BF8" s="5"/>
      <c r="BG8" s="5"/>
      <c r="BH8" s="5"/>
      <c r="BI8" s="58"/>
    </row>
    <row r="9" spans="1:61" ht="15" customHeight="1">
      <c r="A9" s="57"/>
      <c r="B9" s="6"/>
      <c r="C9" s="25"/>
      <c r="I9" s="25"/>
      <c r="J9" s="1" t="s">
        <v>86</v>
      </c>
      <c r="O9" s="1" t="s">
        <v>87</v>
      </c>
      <c r="AE9" s="1" t="s">
        <v>88</v>
      </c>
      <c r="AL9" s="1"/>
      <c r="AM9" s="1"/>
      <c r="AN9" s="6"/>
      <c r="AO9" s="25"/>
      <c r="AP9" s="1"/>
      <c r="AQ9" s="6"/>
      <c r="BD9" s="5"/>
      <c r="BE9" s="157"/>
      <c r="BF9" s="5"/>
      <c r="BG9" s="5"/>
      <c r="BH9" s="5"/>
      <c r="BI9" s="58"/>
    </row>
    <row r="10" spans="1:61" ht="15" customHeight="1">
      <c r="A10" s="57"/>
      <c r="B10" s="6"/>
      <c r="C10" s="25"/>
      <c r="I10" s="25"/>
      <c r="J10" s="1" t="s">
        <v>89</v>
      </c>
      <c r="O10" s="1" t="s">
        <v>90</v>
      </c>
      <c r="AE10" s="1" t="s">
        <v>88</v>
      </c>
      <c r="AL10" s="1"/>
      <c r="AM10" s="1"/>
      <c r="AN10" s="6"/>
      <c r="AO10" s="25"/>
      <c r="AP10" s="1"/>
      <c r="AQ10" s="6"/>
      <c r="BD10" s="5"/>
      <c r="BE10" s="157"/>
      <c r="BF10" s="5"/>
      <c r="BG10" s="5"/>
      <c r="BH10" s="5"/>
      <c r="BI10" s="58"/>
    </row>
    <row r="11" spans="1:61" ht="15" customHeight="1">
      <c r="A11" s="57"/>
      <c r="B11" s="6"/>
      <c r="C11" s="25"/>
      <c r="I11" s="25"/>
      <c r="J11" s="1" t="s">
        <v>91</v>
      </c>
      <c r="O11" s="1" t="s">
        <v>92</v>
      </c>
      <c r="AE11" s="1" t="s">
        <v>93</v>
      </c>
      <c r="AL11" s="1"/>
      <c r="AM11" s="1"/>
      <c r="AN11" s="6"/>
      <c r="AO11" s="25"/>
      <c r="AP11" s="1"/>
      <c r="AQ11" s="6"/>
      <c r="BD11" s="5"/>
      <c r="BE11" s="157"/>
      <c r="BF11" s="5"/>
      <c r="BG11" s="5"/>
      <c r="BH11" s="5"/>
      <c r="BI11" s="58"/>
    </row>
    <row r="12" spans="1:61" ht="15" customHeight="1">
      <c r="A12" s="57"/>
      <c r="B12" s="6"/>
      <c r="C12" s="25"/>
      <c r="I12" s="25"/>
      <c r="J12" s="1" t="s">
        <v>94</v>
      </c>
      <c r="O12" s="1" t="s">
        <v>95</v>
      </c>
      <c r="AE12" s="1" t="s">
        <v>96</v>
      </c>
      <c r="AL12" s="1"/>
      <c r="AM12" s="1"/>
      <c r="AN12" s="6"/>
      <c r="AO12" s="25"/>
      <c r="AP12" s="1"/>
      <c r="AQ12" s="6"/>
      <c r="BD12" s="5"/>
      <c r="BE12" s="157"/>
      <c r="BF12" s="5"/>
      <c r="BG12" s="5"/>
      <c r="BH12" s="5"/>
      <c r="BI12" s="58"/>
    </row>
    <row r="13" spans="1:61" ht="15" customHeight="1">
      <c r="A13" s="57"/>
      <c r="B13" s="6"/>
      <c r="C13" s="25"/>
      <c r="I13" s="25"/>
      <c r="J13" s="1" t="s">
        <v>97</v>
      </c>
      <c r="O13" s="1" t="s">
        <v>98</v>
      </c>
      <c r="AL13" s="1"/>
      <c r="AM13" s="1"/>
      <c r="AN13" s="6"/>
      <c r="AO13" s="25"/>
      <c r="AP13" s="1"/>
      <c r="AQ13" s="6"/>
      <c r="BD13" s="5"/>
      <c r="BE13" s="157"/>
      <c r="BF13" s="5"/>
      <c r="BG13" s="5"/>
      <c r="BH13" s="5"/>
      <c r="BI13" s="58"/>
    </row>
    <row r="14" spans="1:61" ht="15" customHeight="1">
      <c r="A14" s="57"/>
      <c r="B14" s="6"/>
      <c r="C14" s="25"/>
      <c r="I14" s="25"/>
      <c r="AL14" s="1"/>
      <c r="AM14" s="1"/>
      <c r="AN14" s="6"/>
      <c r="AO14" s="25"/>
      <c r="AP14" s="1"/>
      <c r="AQ14" s="6"/>
      <c r="BD14" s="5"/>
      <c r="BE14" s="157"/>
      <c r="BF14" s="5"/>
      <c r="BG14" s="5"/>
      <c r="BH14" s="5"/>
      <c r="BI14" s="58"/>
    </row>
    <row r="15" spans="1:61" ht="15" customHeight="1">
      <c r="A15" s="57"/>
      <c r="B15" s="6"/>
      <c r="C15" s="25"/>
      <c r="I15" s="25"/>
      <c r="AL15" s="1"/>
      <c r="AM15" s="1"/>
      <c r="AN15" s="6"/>
      <c r="AO15" s="25"/>
      <c r="AP15" s="1"/>
      <c r="AQ15" s="6"/>
      <c r="BD15" s="5"/>
      <c r="BE15" s="157"/>
      <c r="BF15" s="5"/>
      <c r="BG15" s="5"/>
      <c r="BH15" s="5"/>
      <c r="BI15" s="58"/>
    </row>
    <row r="16" spans="1:61" ht="15" customHeight="1">
      <c r="A16" s="57"/>
      <c r="B16" s="6"/>
      <c r="C16" s="25"/>
      <c r="I16" s="25"/>
      <c r="J16" s="1" t="s">
        <v>99</v>
      </c>
      <c r="L16" s="1" t="s">
        <v>100</v>
      </c>
      <c r="AL16" s="1"/>
      <c r="AM16" s="1"/>
      <c r="AN16" s="6"/>
      <c r="AO16" s="25"/>
      <c r="AP16" s="1"/>
      <c r="AQ16" s="6"/>
      <c r="BD16" s="5"/>
      <c r="BE16" s="157"/>
      <c r="BF16" s="5"/>
      <c r="BG16" s="5"/>
      <c r="BH16" s="5"/>
      <c r="BI16" s="58"/>
    </row>
    <row r="17" spans="1:61" ht="15" customHeight="1">
      <c r="A17" s="57"/>
      <c r="B17" s="6"/>
      <c r="C17" s="25"/>
      <c r="I17" s="25"/>
      <c r="AL17" s="1"/>
      <c r="AM17" s="1"/>
      <c r="AN17" s="6"/>
      <c r="AO17" s="25"/>
      <c r="AP17" s="1"/>
      <c r="AQ17" s="6"/>
      <c r="BD17" s="5"/>
      <c r="BE17" s="157"/>
      <c r="BF17" s="5"/>
      <c r="BG17" s="5"/>
      <c r="BH17" s="5"/>
      <c r="BI17" s="58"/>
    </row>
    <row r="18" spans="1:61" ht="15" customHeight="1">
      <c r="A18" s="57"/>
      <c r="B18" s="6"/>
      <c r="C18" s="25"/>
      <c r="I18" s="25"/>
      <c r="K18" s="1" t="s">
        <v>101</v>
      </c>
      <c r="AL18" s="1"/>
      <c r="AM18" s="1"/>
      <c r="AN18" s="6"/>
      <c r="AO18" s="25"/>
      <c r="AP18" s="1"/>
      <c r="AQ18" s="6"/>
      <c r="BD18" s="5"/>
      <c r="BE18" s="157"/>
      <c r="BF18" s="5"/>
      <c r="BG18" s="5"/>
      <c r="BH18" s="5"/>
      <c r="BI18" s="58"/>
    </row>
    <row r="19" spans="1:61" ht="15" customHeight="1">
      <c r="A19" s="57"/>
      <c r="B19" s="6"/>
      <c r="C19" s="25"/>
      <c r="I19" s="25"/>
      <c r="AL19" s="1"/>
      <c r="AM19" s="1"/>
      <c r="AN19" s="6"/>
      <c r="AO19" s="25"/>
      <c r="AP19" s="1"/>
      <c r="AQ19" s="6"/>
      <c r="BD19" s="5"/>
      <c r="BE19" s="157"/>
      <c r="BF19" s="5"/>
      <c r="BG19" s="5"/>
      <c r="BH19" s="5"/>
      <c r="BI19" s="58"/>
    </row>
    <row r="20" spans="1:61" ht="15" customHeight="1">
      <c r="A20" s="57"/>
      <c r="B20" s="6"/>
      <c r="C20" s="25"/>
      <c r="I20" s="25"/>
      <c r="L20" s="1" t="s">
        <v>102</v>
      </c>
      <c r="Q20" s="1" t="s">
        <v>103</v>
      </c>
      <c r="AL20" s="1"/>
      <c r="AM20" s="1"/>
      <c r="AN20" s="6"/>
      <c r="AO20" s="25"/>
      <c r="AP20" s="1"/>
      <c r="AQ20" s="6"/>
      <c r="BD20" s="5"/>
      <c r="BE20" s="157"/>
      <c r="BF20" s="5"/>
      <c r="BG20" s="5"/>
      <c r="BH20" s="5"/>
      <c r="BI20" s="58"/>
    </row>
    <row r="21" spans="1:61" ht="15" customHeight="1">
      <c r="A21" s="57"/>
      <c r="B21" s="6"/>
      <c r="C21" s="25"/>
      <c r="I21" s="25"/>
      <c r="Q21" s="1" t="s">
        <v>104</v>
      </c>
      <c r="AA21" s="1" t="s">
        <v>105</v>
      </c>
      <c r="AL21" s="1"/>
      <c r="AM21" s="1"/>
      <c r="AN21" s="6"/>
      <c r="AO21" s="25"/>
      <c r="AP21" s="1"/>
      <c r="AQ21" s="6"/>
      <c r="BD21" s="5"/>
      <c r="BE21" s="157"/>
      <c r="BF21" s="5"/>
      <c r="BG21" s="5"/>
      <c r="BH21" s="5"/>
      <c r="BI21" s="58"/>
    </row>
    <row r="22" spans="1:61" ht="15" customHeight="1">
      <c r="A22" s="57"/>
      <c r="B22" s="6"/>
      <c r="C22" s="25"/>
      <c r="I22" s="25"/>
      <c r="AL22" s="1"/>
      <c r="AM22" s="1"/>
      <c r="AN22" s="6"/>
      <c r="AO22" s="25"/>
      <c r="AP22" s="1"/>
      <c r="AQ22" s="6"/>
      <c r="BD22" s="5"/>
      <c r="BE22" s="157"/>
      <c r="BF22" s="5"/>
      <c r="BG22" s="5"/>
      <c r="BH22" s="5"/>
      <c r="BI22" s="58"/>
    </row>
    <row r="23" spans="1:61" ht="15" customHeight="1">
      <c r="A23" s="57"/>
      <c r="B23" s="6"/>
      <c r="C23" s="25"/>
      <c r="I23" s="25"/>
      <c r="L23" s="1" t="s">
        <v>106</v>
      </c>
      <c r="Q23" s="1" t="s">
        <v>107</v>
      </c>
      <c r="AL23" s="1"/>
      <c r="AM23" s="1"/>
      <c r="AN23" s="6"/>
      <c r="AO23" s="25"/>
      <c r="AP23" s="1"/>
      <c r="AQ23" s="6"/>
      <c r="BD23" s="5"/>
      <c r="BE23" s="157"/>
      <c r="BF23" s="5"/>
      <c r="BG23" s="5"/>
      <c r="BH23" s="5"/>
      <c r="BI23" s="58"/>
    </row>
    <row r="24" spans="1:61" ht="15" customHeight="1">
      <c r="A24" s="57"/>
      <c r="B24" s="6"/>
      <c r="C24" s="25"/>
      <c r="I24" s="25"/>
      <c r="Z24" s="1" t="s">
        <v>108</v>
      </c>
      <c r="AA24" s="1" t="s">
        <v>109</v>
      </c>
      <c r="AL24" s="1"/>
      <c r="AM24" s="1"/>
      <c r="AN24" s="6"/>
      <c r="AO24" s="25"/>
      <c r="AP24" s="1"/>
      <c r="AQ24" s="6"/>
      <c r="BD24" s="5"/>
      <c r="BE24" s="157"/>
      <c r="BF24" s="5"/>
      <c r="BG24" s="5"/>
      <c r="BH24" s="5"/>
      <c r="BI24" s="58"/>
    </row>
    <row r="25" spans="1:61" ht="15" customHeight="1">
      <c r="A25" s="57"/>
      <c r="B25" s="6"/>
      <c r="C25" s="25"/>
      <c r="I25" s="25"/>
      <c r="AL25" s="1"/>
      <c r="AM25" s="1"/>
      <c r="AN25" s="6"/>
      <c r="AO25" s="25"/>
      <c r="AP25" s="1"/>
      <c r="AQ25" s="6"/>
      <c r="BD25" s="5"/>
      <c r="BE25" s="157"/>
      <c r="BF25" s="5"/>
      <c r="BG25" s="5"/>
      <c r="BH25" s="5"/>
      <c r="BI25" s="58"/>
    </row>
    <row r="26" spans="1:61" ht="15" customHeight="1">
      <c r="A26" s="57"/>
      <c r="B26" s="6"/>
      <c r="C26" s="25"/>
      <c r="I26" s="25"/>
      <c r="L26" s="1" t="s">
        <v>110</v>
      </c>
      <c r="Q26" s="1" t="s">
        <v>111</v>
      </c>
      <c r="AD26" s="1" t="s">
        <v>112</v>
      </c>
      <c r="AF26" s="1" t="s">
        <v>113</v>
      </c>
      <c r="AM26" s="1"/>
      <c r="AN26" s="6"/>
      <c r="AO26" s="25"/>
      <c r="AP26" s="1"/>
      <c r="AQ26" s="6"/>
      <c r="BD26" s="5"/>
      <c r="BE26" s="157"/>
      <c r="BF26" s="5"/>
      <c r="BG26" s="5"/>
      <c r="BH26" s="5"/>
      <c r="BI26" s="58"/>
    </row>
    <row r="27" spans="1:61" ht="15" customHeight="1">
      <c r="A27" s="57"/>
      <c r="B27" s="6"/>
      <c r="C27" s="25"/>
      <c r="I27" s="25"/>
      <c r="Q27" s="1" t="s">
        <v>114</v>
      </c>
      <c r="AD27" s="1" t="s">
        <v>112</v>
      </c>
      <c r="AF27" s="1" t="s">
        <v>115</v>
      </c>
      <c r="AM27" s="1"/>
      <c r="AN27" s="6"/>
      <c r="AO27" s="25"/>
      <c r="AP27" s="1"/>
      <c r="AQ27" s="6"/>
      <c r="BD27" s="5"/>
      <c r="BE27" s="157"/>
      <c r="BF27" s="5"/>
      <c r="BG27" s="5"/>
      <c r="BH27" s="5"/>
      <c r="BI27" s="58"/>
    </row>
    <row r="28" spans="1:61" ht="15" customHeight="1">
      <c r="A28" s="57"/>
      <c r="B28" s="6"/>
      <c r="C28" s="25"/>
      <c r="I28" s="25"/>
      <c r="AM28" s="1"/>
      <c r="AN28" s="6"/>
      <c r="AO28" s="25"/>
      <c r="AP28" s="1"/>
      <c r="AQ28" s="6"/>
      <c r="BD28" s="5"/>
      <c r="BE28" s="157"/>
      <c r="BF28" s="5"/>
      <c r="BG28" s="5"/>
      <c r="BH28" s="5"/>
      <c r="BI28" s="58"/>
    </row>
    <row r="29" spans="1:61" ht="15" customHeight="1">
      <c r="A29" s="57"/>
      <c r="B29" s="6"/>
      <c r="C29" s="25"/>
      <c r="I29" s="25"/>
      <c r="AL29" s="1"/>
      <c r="AM29" s="1"/>
      <c r="AN29" s="6"/>
      <c r="AO29" s="25"/>
      <c r="AP29" s="1"/>
      <c r="AQ29" s="6"/>
      <c r="BD29" s="5"/>
      <c r="BE29" s="157"/>
      <c r="BF29" s="5"/>
      <c r="BG29" s="5"/>
      <c r="BH29" s="5"/>
      <c r="BI29" s="58"/>
    </row>
    <row r="30" spans="1:61" ht="15" customHeight="1">
      <c r="A30" s="57"/>
      <c r="B30" s="6"/>
      <c r="C30" s="25"/>
      <c r="I30" s="25"/>
      <c r="K30" s="1" t="s">
        <v>116</v>
      </c>
      <c r="AL30" s="1"/>
      <c r="AM30" s="1"/>
      <c r="AN30" s="6"/>
      <c r="AO30" s="141" t="s">
        <v>117</v>
      </c>
      <c r="AP30" s="39"/>
      <c r="AQ30" s="142"/>
      <c r="AR30" s="371" t="s">
        <v>118</v>
      </c>
      <c r="AS30" s="372"/>
      <c r="AT30" s="372"/>
      <c r="AU30" s="372"/>
      <c r="AV30" s="372"/>
      <c r="AW30" s="372"/>
      <c r="AX30" s="372"/>
      <c r="AY30" s="372"/>
      <c r="AZ30" s="372"/>
      <c r="BA30" s="372"/>
      <c r="BB30" s="372"/>
      <c r="BC30" s="372"/>
      <c r="BD30" s="372"/>
      <c r="BE30" s="373"/>
      <c r="BF30" s="153" t="s">
        <v>481</v>
      </c>
      <c r="BG30" s="153"/>
      <c r="BH30" s="153"/>
      <c r="BI30" s="154"/>
    </row>
    <row r="31" spans="1:61" ht="15" customHeight="1">
      <c r="A31" s="57"/>
      <c r="B31" s="6"/>
      <c r="C31" s="25"/>
      <c r="I31" s="25"/>
      <c r="AL31" s="1"/>
      <c r="AM31" s="1"/>
      <c r="AN31" s="6"/>
      <c r="AO31" s="25" t="s">
        <v>120</v>
      </c>
      <c r="AP31" s="1"/>
      <c r="AQ31" s="6"/>
      <c r="AR31" s="374"/>
      <c r="AS31" s="375"/>
      <c r="AT31" s="375"/>
      <c r="AU31" s="375"/>
      <c r="AV31" s="375"/>
      <c r="AW31" s="375"/>
      <c r="AX31" s="375"/>
      <c r="AY31" s="375"/>
      <c r="AZ31" s="375"/>
      <c r="BA31" s="375"/>
      <c r="BB31" s="375"/>
      <c r="BC31" s="375"/>
      <c r="BD31" s="375"/>
      <c r="BE31" s="376"/>
      <c r="BF31" s="5"/>
      <c r="BG31" s="5"/>
      <c r="BH31" s="5"/>
      <c r="BI31" s="58"/>
    </row>
    <row r="32" spans="1:61" ht="15" customHeight="1">
      <c r="A32" s="57"/>
      <c r="B32" s="6"/>
      <c r="C32" s="25"/>
      <c r="I32" s="25"/>
      <c r="AL32" s="1"/>
      <c r="AM32" s="1"/>
      <c r="AN32" s="6"/>
      <c r="AO32" s="25"/>
      <c r="AP32" s="1"/>
      <c r="AQ32" s="6"/>
      <c r="BD32" s="5"/>
      <c r="BE32" s="157"/>
      <c r="BF32" s="5"/>
      <c r="BG32" s="5"/>
      <c r="BH32" s="5"/>
      <c r="BI32" s="58"/>
    </row>
    <row r="33" spans="1:61" ht="15" customHeight="1">
      <c r="A33" s="57"/>
      <c r="B33" s="6"/>
      <c r="C33" s="25"/>
      <c r="I33" s="25"/>
      <c r="AL33" s="1"/>
      <c r="AM33" s="1"/>
      <c r="AN33" s="6"/>
      <c r="AO33" s="25"/>
      <c r="AP33" s="1"/>
      <c r="AQ33" s="6"/>
      <c r="AR33" s="1" t="s">
        <v>121</v>
      </c>
      <c r="BD33" s="5"/>
      <c r="BE33" s="157"/>
      <c r="BF33" s="5" t="s">
        <v>122</v>
      </c>
      <c r="BG33" s="5"/>
      <c r="BH33" s="5"/>
      <c r="BI33" s="58"/>
    </row>
    <row r="34" spans="1:61" ht="15" customHeight="1">
      <c r="A34" s="57"/>
      <c r="B34" s="6"/>
      <c r="C34" s="25"/>
      <c r="I34" s="25"/>
      <c r="AL34" s="1"/>
      <c r="AM34" s="1"/>
      <c r="AN34" s="6"/>
      <c r="AO34" s="25"/>
      <c r="AP34" s="1"/>
      <c r="AQ34" s="6"/>
      <c r="AR34" s="1" t="s">
        <v>123</v>
      </c>
      <c r="BD34" s="5"/>
      <c r="BE34" s="157"/>
      <c r="BF34" s="5" t="s">
        <v>124</v>
      </c>
      <c r="BG34" s="5"/>
      <c r="BH34" s="5"/>
      <c r="BI34" s="58"/>
    </row>
    <row r="35" spans="1:61" ht="15" customHeight="1">
      <c r="A35" s="57"/>
      <c r="B35" s="6"/>
      <c r="C35" s="25"/>
      <c r="I35" s="25"/>
      <c r="AL35" s="1"/>
      <c r="AM35" s="1"/>
      <c r="AN35" s="6"/>
      <c r="AO35" s="25"/>
      <c r="AP35" s="1"/>
      <c r="AQ35" s="6"/>
      <c r="AR35" s="1" t="s">
        <v>125</v>
      </c>
      <c r="BD35" s="5"/>
      <c r="BE35" s="157"/>
      <c r="BF35" s="5" t="s">
        <v>126</v>
      </c>
      <c r="BG35" s="5"/>
      <c r="BH35" s="5"/>
      <c r="BI35" s="58"/>
    </row>
    <row r="36" spans="1:61" ht="15" customHeight="1">
      <c r="A36" s="57"/>
      <c r="B36" s="6"/>
      <c r="C36" s="25"/>
      <c r="I36" s="25"/>
      <c r="AL36" s="1"/>
      <c r="AM36" s="1"/>
      <c r="AN36" s="6"/>
      <c r="AO36" s="59"/>
      <c r="AP36" s="18"/>
      <c r="AQ36" s="60"/>
      <c r="AR36" s="18" t="s">
        <v>127</v>
      </c>
      <c r="AS36" s="18"/>
      <c r="AT36" s="18"/>
      <c r="AU36" s="18"/>
      <c r="AV36" s="18"/>
      <c r="AW36" s="18"/>
      <c r="AX36" s="18"/>
      <c r="AY36" s="18"/>
      <c r="AZ36" s="18"/>
      <c r="BA36" s="18"/>
      <c r="BB36" s="18"/>
      <c r="BC36" s="18"/>
      <c r="BD36" s="61"/>
      <c r="BE36" s="158"/>
      <c r="BF36" s="61"/>
      <c r="BG36" s="61"/>
      <c r="BH36" s="61"/>
      <c r="BI36" s="62"/>
    </row>
    <row r="37" spans="1:61" ht="15" customHeight="1">
      <c r="A37" s="57"/>
      <c r="B37" s="6"/>
      <c r="C37" s="25"/>
      <c r="I37" s="25"/>
      <c r="AL37" s="1"/>
      <c r="AM37" s="1"/>
      <c r="AN37" s="6"/>
      <c r="AO37" s="25"/>
      <c r="AP37" s="1"/>
      <c r="AQ37" s="6"/>
      <c r="BD37" s="5"/>
      <c r="BE37" s="157"/>
      <c r="BF37" s="5"/>
      <c r="BG37" s="5"/>
      <c r="BH37" s="5"/>
      <c r="BI37" s="58"/>
    </row>
    <row r="38" spans="1:61" ht="15" customHeight="1">
      <c r="A38" s="57"/>
      <c r="B38" s="6"/>
      <c r="C38" s="25"/>
      <c r="I38" s="25"/>
      <c r="AL38" s="1"/>
      <c r="AM38" s="1"/>
      <c r="AN38" s="6"/>
      <c r="AO38" s="25"/>
      <c r="AP38" s="1"/>
      <c r="AQ38" s="6"/>
      <c r="BD38" s="5"/>
      <c r="BE38" s="157"/>
      <c r="BF38" s="5"/>
      <c r="BG38" s="5"/>
      <c r="BH38" s="5"/>
      <c r="BI38" s="58"/>
    </row>
    <row r="39" spans="1:61" ht="15" customHeight="1">
      <c r="A39" s="57"/>
      <c r="B39" s="6"/>
      <c r="C39" s="25"/>
      <c r="I39" s="25"/>
      <c r="J39" s="1" t="s">
        <v>128</v>
      </c>
      <c r="L39" s="1" t="s">
        <v>129</v>
      </c>
      <c r="AL39" s="1"/>
      <c r="AM39" s="1"/>
      <c r="AN39" s="6"/>
      <c r="AO39" s="25"/>
      <c r="AP39" s="1"/>
      <c r="AQ39" s="6"/>
      <c r="BD39" s="5"/>
      <c r="BE39" s="157"/>
      <c r="BF39" s="5"/>
      <c r="BG39" s="5"/>
      <c r="BH39" s="5"/>
      <c r="BI39" s="58"/>
    </row>
    <row r="40" spans="1:61" ht="15" customHeight="1">
      <c r="A40" s="57"/>
      <c r="B40" s="6"/>
      <c r="C40" s="25"/>
      <c r="I40" s="25"/>
      <c r="AL40" s="1"/>
      <c r="AM40" s="1"/>
      <c r="AN40" s="6"/>
      <c r="AO40" s="25"/>
      <c r="AP40" s="1"/>
      <c r="AQ40" s="6"/>
      <c r="BD40" s="5"/>
      <c r="BE40" s="157"/>
      <c r="BF40" s="5"/>
      <c r="BG40" s="5"/>
      <c r="BH40" s="5"/>
      <c r="BI40" s="58"/>
    </row>
    <row r="41" spans="1:61" ht="15" customHeight="1">
      <c r="A41" s="57"/>
      <c r="B41" s="6"/>
      <c r="C41" s="25"/>
      <c r="I41" s="25"/>
      <c r="K41" s="1" t="s">
        <v>130</v>
      </c>
      <c r="AL41" s="1"/>
      <c r="AM41" s="1"/>
      <c r="AN41" s="6"/>
      <c r="AO41" s="25"/>
      <c r="AP41" s="1"/>
      <c r="AQ41" s="6"/>
      <c r="BD41" s="5"/>
      <c r="BE41" s="157"/>
      <c r="BF41" s="5"/>
      <c r="BG41" s="5"/>
      <c r="BH41" s="5"/>
      <c r="BI41" s="58"/>
    </row>
    <row r="42" spans="1:61" ht="15" customHeight="1">
      <c r="A42" s="57"/>
      <c r="B42" s="6"/>
      <c r="C42" s="25"/>
      <c r="I42" s="25"/>
      <c r="AL42" s="1"/>
      <c r="AM42" s="1"/>
      <c r="AN42" s="6"/>
      <c r="AO42" s="25"/>
      <c r="AP42" s="1"/>
      <c r="AQ42" s="6"/>
      <c r="BD42" s="5"/>
      <c r="BE42" s="157"/>
      <c r="BF42" s="5"/>
      <c r="BG42" s="5"/>
      <c r="BH42" s="5"/>
      <c r="BI42" s="58"/>
    </row>
    <row r="43" spans="1:61" ht="15" customHeight="1">
      <c r="A43" s="57"/>
      <c r="B43" s="6"/>
      <c r="C43" s="25"/>
      <c r="I43" s="25"/>
      <c r="K43" s="1" t="s">
        <v>131</v>
      </c>
      <c r="AL43" s="1"/>
      <c r="AM43" s="1"/>
      <c r="AN43" s="6"/>
      <c r="AO43" s="25"/>
      <c r="AP43" s="1"/>
      <c r="AQ43" s="6"/>
      <c r="BD43" s="5"/>
      <c r="BE43" s="157"/>
      <c r="BF43" s="5"/>
      <c r="BG43" s="5"/>
      <c r="BH43" s="5"/>
      <c r="BI43" s="58"/>
    </row>
    <row r="44" spans="1:61" ht="15" customHeight="1">
      <c r="A44" s="57"/>
      <c r="B44" s="6"/>
      <c r="C44" s="25"/>
      <c r="I44" s="25"/>
      <c r="K44" s="1" t="s">
        <v>132</v>
      </c>
      <c r="AL44" s="1"/>
      <c r="AM44" s="1"/>
      <c r="AN44" s="6"/>
      <c r="AO44" s="25"/>
      <c r="AP44" s="1"/>
      <c r="AQ44" s="6"/>
      <c r="BD44" s="5"/>
      <c r="BE44" s="157"/>
      <c r="BF44" s="5"/>
      <c r="BG44" s="5"/>
      <c r="BH44" s="5"/>
      <c r="BI44" s="58"/>
    </row>
    <row r="45" spans="1:61" ht="15" customHeight="1">
      <c r="A45" s="57"/>
      <c r="B45" s="6"/>
      <c r="C45" s="25"/>
      <c r="I45" s="25"/>
      <c r="AL45" s="1"/>
      <c r="AM45" s="1"/>
      <c r="AN45" s="6"/>
      <c r="AO45" s="25"/>
      <c r="AP45" s="1"/>
      <c r="AQ45" s="6"/>
      <c r="BD45" s="5"/>
      <c r="BE45" s="157"/>
      <c r="BF45" s="5"/>
      <c r="BG45" s="5"/>
      <c r="BH45" s="5"/>
      <c r="BI45" s="58"/>
    </row>
    <row r="46" spans="1:61" ht="15" customHeight="1">
      <c r="A46" s="57"/>
      <c r="B46" s="6"/>
      <c r="C46" s="25"/>
      <c r="I46" s="25"/>
      <c r="M46" s="1" t="s">
        <v>133</v>
      </c>
      <c r="Q46" s="1" t="s">
        <v>134</v>
      </c>
      <c r="AL46" s="1"/>
      <c r="AM46" s="1"/>
      <c r="AN46" s="6"/>
      <c r="AO46" s="25"/>
      <c r="AP46" s="1"/>
      <c r="AQ46" s="6"/>
      <c r="BD46" s="5"/>
      <c r="BE46" s="157"/>
      <c r="BF46" s="5"/>
      <c r="BG46" s="5"/>
      <c r="BH46" s="5"/>
      <c r="BI46" s="58"/>
    </row>
    <row r="47" spans="1:61" ht="15" customHeight="1">
      <c r="A47" s="57"/>
      <c r="B47" s="6"/>
      <c r="C47" s="25"/>
      <c r="I47" s="25"/>
      <c r="M47" s="1" t="s">
        <v>135</v>
      </c>
      <c r="Q47" s="1" t="s">
        <v>136</v>
      </c>
      <c r="AL47" s="1"/>
      <c r="AM47" s="1"/>
      <c r="AN47" s="6"/>
      <c r="AO47" s="25"/>
      <c r="AP47" s="1"/>
      <c r="AQ47" s="6"/>
      <c r="BD47" s="5"/>
      <c r="BE47" s="157"/>
      <c r="BF47" s="5"/>
      <c r="BG47" s="5"/>
      <c r="BH47" s="5"/>
      <c r="BI47" s="58"/>
    </row>
    <row r="48" spans="1:61" ht="15" customHeight="1">
      <c r="A48" s="57"/>
      <c r="B48" s="6"/>
      <c r="C48" s="25"/>
      <c r="I48" s="25"/>
      <c r="M48" s="1" t="s">
        <v>137</v>
      </c>
      <c r="Q48" s="1" t="s">
        <v>138</v>
      </c>
      <c r="AL48" s="1"/>
      <c r="AM48" s="1"/>
      <c r="AN48" s="6"/>
      <c r="AO48" s="25"/>
      <c r="AP48" s="1"/>
      <c r="AQ48" s="6"/>
      <c r="BD48" s="5"/>
      <c r="BE48" s="157"/>
      <c r="BF48" s="5"/>
      <c r="BG48" s="5"/>
      <c r="BH48" s="5"/>
      <c r="BI48" s="58"/>
    </row>
    <row r="49" spans="1:61" ht="15" customHeight="1">
      <c r="A49" s="57"/>
      <c r="B49" s="6"/>
      <c r="C49" s="25"/>
      <c r="I49" s="25"/>
      <c r="AL49" s="1"/>
      <c r="AM49" s="1"/>
      <c r="AN49" s="6"/>
      <c r="AO49" s="25"/>
      <c r="AP49" s="1"/>
      <c r="AQ49" s="6"/>
      <c r="BD49" s="5"/>
      <c r="BE49" s="157"/>
      <c r="BF49" s="5"/>
      <c r="BG49" s="5"/>
      <c r="BH49" s="5"/>
      <c r="BI49" s="58"/>
    </row>
    <row r="50" spans="1:61" ht="15" customHeight="1">
      <c r="A50" s="57"/>
      <c r="B50" s="6"/>
      <c r="C50" s="25"/>
      <c r="I50" s="25"/>
      <c r="K50" s="1" t="s">
        <v>139</v>
      </c>
      <c r="AL50" s="1"/>
      <c r="AM50" s="1"/>
      <c r="AN50" s="6"/>
      <c r="AO50" s="141" t="s">
        <v>117</v>
      </c>
      <c r="AP50" s="39"/>
      <c r="AQ50" s="142"/>
      <c r="AR50" s="371" t="s">
        <v>140</v>
      </c>
      <c r="AS50" s="372"/>
      <c r="AT50" s="372"/>
      <c r="AU50" s="372"/>
      <c r="AV50" s="372"/>
      <c r="AW50" s="372"/>
      <c r="AX50" s="372"/>
      <c r="AY50" s="372"/>
      <c r="AZ50" s="372"/>
      <c r="BA50" s="372"/>
      <c r="BB50" s="372"/>
      <c r="BC50" s="372"/>
      <c r="BD50" s="372"/>
      <c r="BE50" s="373"/>
      <c r="BF50" s="153" t="s">
        <v>141</v>
      </c>
      <c r="BG50" s="153"/>
      <c r="BH50" s="153"/>
      <c r="BI50" s="154"/>
    </row>
    <row r="51" spans="1:61" ht="15" customHeight="1">
      <c r="A51" s="57"/>
      <c r="B51" s="6"/>
      <c r="C51" s="25"/>
      <c r="I51" s="25"/>
      <c r="AL51" s="1"/>
      <c r="AM51" s="1"/>
      <c r="AN51" s="6"/>
      <c r="AO51" s="25" t="s">
        <v>120</v>
      </c>
      <c r="AP51" s="1"/>
      <c r="AQ51" s="6"/>
      <c r="AR51" s="374"/>
      <c r="AS51" s="375"/>
      <c r="AT51" s="375"/>
      <c r="AU51" s="375"/>
      <c r="AV51" s="375"/>
      <c r="AW51" s="375"/>
      <c r="AX51" s="375"/>
      <c r="AY51" s="375"/>
      <c r="AZ51" s="375"/>
      <c r="BA51" s="375"/>
      <c r="BB51" s="375"/>
      <c r="BC51" s="375"/>
      <c r="BD51" s="375"/>
      <c r="BE51" s="376"/>
      <c r="BF51" s="5"/>
      <c r="BG51" s="5"/>
      <c r="BH51" s="5"/>
      <c r="BI51" s="58"/>
    </row>
    <row r="52" spans="1:61" ht="15" customHeight="1">
      <c r="A52" s="57"/>
      <c r="B52" s="6"/>
      <c r="C52" s="25"/>
      <c r="I52" s="25"/>
      <c r="AL52" s="1"/>
      <c r="AM52" s="1"/>
      <c r="AN52" s="6"/>
      <c r="AO52" s="25"/>
      <c r="AP52" s="1"/>
      <c r="AQ52" s="6"/>
      <c r="BD52" s="5"/>
      <c r="BE52" s="157"/>
      <c r="BF52" s="5"/>
      <c r="BG52" s="5"/>
      <c r="BH52" s="5"/>
      <c r="BI52" s="58"/>
    </row>
    <row r="53" spans="1:61" ht="15" customHeight="1">
      <c r="A53" s="57"/>
      <c r="B53" s="6"/>
      <c r="C53" s="25"/>
      <c r="I53" s="25"/>
      <c r="AL53" s="1"/>
      <c r="AM53" s="1"/>
      <c r="AN53" s="6"/>
      <c r="AO53" s="25"/>
      <c r="AP53" s="1"/>
      <c r="AQ53" s="6"/>
      <c r="AR53" s="1" t="s">
        <v>142</v>
      </c>
      <c r="BD53" s="5"/>
      <c r="BE53" s="157"/>
      <c r="BF53" s="5" t="s">
        <v>143</v>
      </c>
      <c r="BG53" s="5"/>
      <c r="BH53" s="5"/>
      <c r="BI53" s="58"/>
    </row>
    <row r="54" spans="1:61" ht="15" customHeight="1">
      <c r="A54" s="57"/>
      <c r="B54" s="6"/>
      <c r="C54" s="25"/>
      <c r="I54" s="25"/>
      <c r="AL54" s="1"/>
      <c r="AM54" s="1"/>
      <c r="AN54" s="6"/>
      <c r="AO54" s="25"/>
      <c r="AP54" s="1"/>
      <c r="AQ54" s="6"/>
      <c r="AR54" s="1" t="s">
        <v>144</v>
      </c>
      <c r="BD54" s="5"/>
      <c r="BE54" s="157"/>
      <c r="BF54" s="5" t="s">
        <v>145</v>
      </c>
      <c r="BG54" s="5"/>
      <c r="BH54" s="5"/>
      <c r="BI54" s="58"/>
    </row>
    <row r="55" spans="1:61" ht="15" customHeight="1">
      <c r="A55" s="57"/>
      <c r="B55" s="6"/>
      <c r="C55" s="25"/>
      <c r="I55" s="25"/>
      <c r="AL55" s="1"/>
      <c r="AM55" s="1"/>
      <c r="AN55" s="6"/>
      <c r="AO55" s="59"/>
      <c r="AP55" s="18"/>
      <c r="AQ55" s="60"/>
      <c r="AR55" s="18" t="s">
        <v>146</v>
      </c>
      <c r="AS55" s="18"/>
      <c r="AT55" s="18"/>
      <c r="AU55" s="18"/>
      <c r="AV55" s="18"/>
      <c r="AW55" s="18"/>
      <c r="AX55" s="18"/>
      <c r="AY55" s="18"/>
      <c r="AZ55" s="18"/>
      <c r="BA55" s="18"/>
      <c r="BB55" s="18"/>
      <c r="BC55" s="18"/>
      <c r="BD55" s="61"/>
      <c r="BE55" s="158"/>
      <c r="BF55" s="61"/>
      <c r="BG55" s="61"/>
      <c r="BH55" s="61"/>
      <c r="BI55" s="62"/>
    </row>
    <row r="56" spans="1:61" ht="15" customHeight="1">
      <c r="A56" s="57"/>
      <c r="B56" s="6"/>
      <c r="C56" s="25"/>
      <c r="I56" s="25"/>
      <c r="AL56" s="1"/>
      <c r="AM56" s="1"/>
      <c r="AN56" s="6"/>
      <c r="AO56" s="25"/>
      <c r="AP56" s="1"/>
      <c r="AQ56" s="6"/>
      <c r="BD56" s="5"/>
      <c r="BE56" s="157"/>
      <c r="BF56" s="5"/>
      <c r="BG56" s="5"/>
      <c r="BH56" s="5"/>
      <c r="BI56" s="58"/>
    </row>
    <row r="57" spans="1:61" ht="15" customHeight="1">
      <c r="A57" s="57"/>
      <c r="B57" s="6"/>
      <c r="C57" s="25"/>
      <c r="I57" s="25"/>
      <c r="AL57" s="1"/>
      <c r="AM57" s="1"/>
      <c r="AN57" s="6"/>
      <c r="AO57" s="25"/>
      <c r="AP57" s="1"/>
      <c r="AQ57" s="6"/>
      <c r="BD57" s="5"/>
      <c r="BE57" s="157"/>
      <c r="BF57" s="5"/>
      <c r="BG57" s="5"/>
      <c r="BH57" s="5"/>
      <c r="BI57" s="58"/>
    </row>
    <row r="58" spans="1:61" ht="15" customHeight="1">
      <c r="A58" s="57"/>
      <c r="B58" s="6"/>
      <c r="C58" s="25"/>
      <c r="I58" s="25"/>
      <c r="J58" s="1" t="s">
        <v>147</v>
      </c>
      <c r="L58" s="1" t="s">
        <v>148</v>
      </c>
      <c r="AL58" s="1"/>
      <c r="AM58" s="1"/>
      <c r="AN58" s="6"/>
      <c r="AO58" s="25"/>
      <c r="AP58" s="1"/>
      <c r="AQ58" s="6"/>
      <c r="BD58" s="5"/>
      <c r="BE58" s="157"/>
      <c r="BF58" s="5"/>
      <c r="BG58" s="5"/>
      <c r="BH58" s="5"/>
      <c r="BI58" s="58"/>
    </row>
    <row r="59" spans="1:61" ht="15" customHeight="1">
      <c r="A59" s="57"/>
      <c r="B59" s="6"/>
      <c r="C59" s="25"/>
      <c r="I59" s="25"/>
      <c r="AL59" s="1"/>
      <c r="AM59" s="1"/>
      <c r="AN59" s="6"/>
      <c r="AO59" s="25"/>
      <c r="AP59" s="1"/>
      <c r="AQ59" s="6"/>
      <c r="BD59" s="5"/>
      <c r="BE59" s="157"/>
      <c r="BF59" s="5"/>
      <c r="BG59" s="5"/>
      <c r="BH59" s="5"/>
      <c r="BI59" s="58"/>
    </row>
    <row r="60" spans="1:61" ht="15" customHeight="1">
      <c r="A60" s="57"/>
      <c r="B60" s="6"/>
      <c r="C60" s="25"/>
      <c r="I60" s="25"/>
      <c r="K60" s="1" t="s">
        <v>149</v>
      </c>
      <c r="AL60" s="1"/>
      <c r="AM60" s="1"/>
      <c r="AN60" s="6"/>
      <c r="AO60" s="25"/>
      <c r="AP60" s="1"/>
      <c r="AQ60" s="6"/>
      <c r="BD60" s="5"/>
      <c r="BE60" s="157"/>
      <c r="BF60" s="5"/>
      <c r="BG60" s="5"/>
      <c r="BH60" s="5"/>
      <c r="BI60" s="58"/>
    </row>
    <row r="61" spans="1:61" ht="15" customHeight="1">
      <c r="A61" s="57"/>
      <c r="B61" s="6"/>
      <c r="C61" s="25"/>
      <c r="I61" s="25"/>
      <c r="K61" s="1" t="s">
        <v>150</v>
      </c>
      <c r="AL61" s="1"/>
      <c r="AM61" s="1"/>
      <c r="AN61" s="6"/>
      <c r="AO61" s="25"/>
      <c r="AP61" s="1"/>
      <c r="AQ61" s="6"/>
      <c r="BD61" s="5"/>
      <c r="BE61" s="157"/>
      <c r="BF61" s="5"/>
      <c r="BG61" s="5"/>
      <c r="BH61" s="5"/>
      <c r="BI61" s="58"/>
    </row>
    <row r="62" spans="1:61" ht="15" customHeight="1">
      <c r="A62" s="57"/>
      <c r="B62" s="6"/>
      <c r="C62" s="25"/>
      <c r="I62" s="25"/>
      <c r="AL62" s="1"/>
      <c r="AM62" s="1"/>
      <c r="AN62" s="6"/>
      <c r="AO62" s="25"/>
      <c r="AP62" s="1"/>
      <c r="AQ62" s="6"/>
      <c r="BD62" s="5"/>
      <c r="BE62" s="157"/>
      <c r="BF62" s="5"/>
      <c r="BG62" s="5"/>
      <c r="BH62" s="5"/>
      <c r="BI62" s="58"/>
    </row>
    <row r="63" spans="1:61" ht="15" customHeight="1">
      <c r="A63" s="57"/>
      <c r="B63" s="6"/>
      <c r="C63" s="25"/>
      <c r="I63" s="25"/>
      <c r="L63" s="1" t="s">
        <v>151</v>
      </c>
      <c r="AL63" s="1"/>
      <c r="AM63" s="1"/>
      <c r="AN63" s="6"/>
      <c r="AO63" s="25"/>
      <c r="AP63" s="1"/>
      <c r="AQ63" s="6"/>
      <c r="BD63" s="5"/>
      <c r="BE63" s="157"/>
      <c r="BF63" s="5"/>
      <c r="BG63" s="5"/>
      <c r="BH63" s="5"/>
      <c r="BI63" s="58"/>
    </row>
    <row r="64" spans="1:61" ht="15" customHeight="1">
      <c r="A64" s="57"/>
      <c r="B64" s="6"/>
      <c r="C64" s="25"/>
      <c r="I64" s="25"/>
      <c r="M64" s="1" t="s">
        <v>152</v>
      </c>
      <c r="AL64" s="1"/>
      <c r="AM64" s="1"/>
      <c r="AN64" s="6"/>
      <c r="AO64" s="141" t="s">
        <v>117</v>
      </c>
      <c r="AP64" s="39"/>
      <c r="AQ64" s="142"/>
      <c r="AR64" s="160" t="s">
        <v>153</v>
      </c>
      <c r="AS64" s="151"/>
      <c r="AT64" s="151"/>
      <c r="AU64" s="151"/>
      <c r="AV64" s="151"/>
      <c r="AW64" s="151"/>
      <c r="AX64" s="151"/>
      <c r="AY64" s="151"/>
      <c r="AZ64" s="151"/>
      <c r="BA64" s="151"/>
      <c r="BB64" s="151"/>
      <c r="BC64" s="151"/>
      <c r="BD64" s="151"/>
      <c r="BE64" s="152"/>
      <c r="BF64" s="153" t="s">
        <v>154</v>
      </c>
      <c r="BG64" s="153"/>
      <c r="BH64" s="153"/>
      <c r="BI64" s="154"/>
    </row>
    <row r="65" spans="1:61" ht="15" customHeight="1">
      <c r="A65" s="57"/>
      <c r="B65" s="6"/>
      <c r="C65" s="25"/>
      <c r="I65" s="25"/>
      <c r="AL65" s="1"/>
      <c r="AM65" s="1"/>
      <c r="AN65" s="6"/>
      <c r="AO65" s="25" t="s">
        <v>120</v>
      </c>
      <c r="AP65" s="1"/>
      <c r="AQ65" s="6"/>
      <c r="AR65" s="149"/>
      <c r="AS65" s="63"/>
      <c r="AT65" s="63"/>
      <c r="AU65" s="63"/>
      <c r="AV65" s="63"/>
      <c r="AW65" s="63"/>
      <c r="AX65" s="63"/>
      <c r="AY65" s="63"/>
      <c r="AZ65" s="63"/>
      <c r="BA65" s="63"/>
      <c r="BB65" s="63"/>
      <c r="BC65" s="63"/>
      <c r="BD65" s="63"/>
      <c r="BE65" s="150"/>
      <c r="BF65" s="5"/>
      <c r="BG65" s="5"/>
      <c r="BH65" s="5"/>
      <c r="BI65" s="58"/>
    </row>
    <row r="66" spans="1:61" ht="15" customHeight="1">
      <c r="A66" s="57"/>
      <c r="B66" s="6"/>
      <c r="C66" s="25"/>
      <c r="I66" s="25"/>
      <c r="AL66" s="1"/>
      <c r="AM66" s="1"/>
      <c r="AN66" s="6"/>
      <c r="AO66" s="59"/>
      <c r="AP66" s="18"/>
      <c r="AQ66" s="60"/>
      <c r="AR66" s="18" t="s">
        <v>155</v>
      </c>
      <c r="AS66" s="18"/>
      <c r="AT66" s="18"/>
      <c r="AU66" s="18"/>
      <c r="AV66" s="18"/>
      <c r="AW66" s="18"/>
      <c r="AX66" s="18"/>
      <c r="AY66" s="18"/>
      <c r="AZ66" s="18"/>
      <c r="BA66" s="18"/>
      <c r="BB66" s="18"/>
      <c r="BC66" s="18"/>
      <c r="BD66" s="61"/>
      <c r="BE66" s="158"/>
      <c r="BF66" s="61"/>
      <c r="BG66" s="61"/>
      <c r="BH66" s="61"/>
      <c r="BI66" s="62"/>
    </row>
    <row r="67" spans="1:61" ht="15" customHeight="1">
      <c r="A67" s="57"/>
      <c r="B67" s="6"/>
      <c r="C67" s="25"/>
      <c r="I67" s="25"/>
      <c r="AL67" s="1"/>
      <c r="AM67" s="1"/>
      <c r="AN67" s="6"/>
      <c r="AO67" s="25"/>
      <c r="AP67" s="1"/>
      <c r="AQ67" s="6"/>
      <c r="BD67" s="5"/>
      <c r="BE67" s="157"/>
      <c r="BF67" s="5"/>
      <c r="BG67" s="5"/>
      <c r="BH67" s="5"/>
      <c r="BI67" s="58"/>
    </row>
    <row r="68" spans="1:61" ht="15" customHeight="1">
      <c r="A68" s="57"/>
      <c r="B68" s="6"/>
      <c r="C68" s="25"/>
      <c r="I68" s="25"/>
      <c r="L68" s="1" t="s">
        <v>156</v>
      </c>
      <c r="AL68" s="1"/>
      <c r="AM68" s="1"/>
      <c r="AN68" s="6"/>
      <c r="AO68" s="25"/>
      <c r="AP68" s="1"/>
      <c r="AQ68" s="6"/>
      <c r="BD68" s="5"/>
      <c r="BE68" s="157"/>
      <c r="BF68" s="5"/>
      <c r="BG68" s="5"/>
      <c r="BH68" s="5"/>
      <c r="BI68" s="58"/>
    </row>
    <row r="69" spans="1:61" ht="15" customHeight="1">
      <c r="A69" s="57"/>
      <c r="B69" s="6"/>
      <c r="C69" s="25"/>
      <c r="I69" s="25"/>
      <c r="M69" s="1" t="s">
        <v>157</v>
      </c>
      <c r="AL69" s="1"/>
      <c r="AM69" s="1"/>
      <c r="AN69" s="6"/>
      <c r="AO69" s="141" t="s">
        <v>117</v>
      </c>
      <c r="AP69" s="39"/>
      <c r="AQ69" s="142"/>
      <c r="AR69" s="160" t="s">
        <v>153</v>
      </c>
      <c r="AS69" s="151"/>
      <c r="AT69" s="151"/>
      <c r="AU69" s="151"/>
      <c r="AV69" s="151"/>
      <c r="AW69" s="151"/>
      <c r="AX69" s="151"/>
      <c r="AY69" s="151"/>
      <c r="AZ69" s="151"/>
      <c r="BA69" s="151"/>
      <c r="BB69" s="151"/>
      <c r="BC69" s="151"/>
      <c r="BD69" s="151"/>
      <c r="BE69" s="152"/>
      <c r="BF69" s="153" t="s">
        <v>154</v>
      </c>
      <c r="BG69" s="153"/>
      <c r="BH69" s="153"/>
      <c r="BI69" s="154"/>
    </row>
    <row r="70" spans="1:61" ht="15" customHeight="1">
      <c r="A70" s="57"/>
      <c r="B70" s="6"/>
      <c r="C70" s="25"/>
      <c r="I70" s="25"/>
      <c r="AL70" s="1"/>
      <c r="AM70" s="1"/>
      <c r="AN70" s="6"/>
      <c r="AO70" s="25" t="s">
        <v>120</v>
      </c>
      <c r="AP70" s="1"/>
      <c r="AQ70" s="6"/>
      <c r="AR70" s="149"/>
      <c r="AS70" s="63"/>
      <c r="AT70" s="63"/>
      <c r="AU70" s="63"/>
      <c r="AV70" s="63"/>
      <c r="AW70" s="63"/>
      <c r="AX70" s="63"/>
      <c r="AY70" s="63"/>
      <c r="AZ70" s="63"/>
      <c r="BA70" s="63"/>
      <c r="BB70" s="63"/>
      <c r="BC70" s="63"/>
      <c r="BD70" s="63"/>
      <c r="BE70" s="150"/>
      <c r="BF70" s="5"/>
      <c r="BG70" s="5"/>
      <c r="BH70" s="5"/>
      <c r="BI70" s="58"/>
    </row>
    <row r="71" spans="1:61" ht="15" customHeight="1">
      <c r="A71" s="57"/>
      <c r="B71" s="6"/>
      <c r="C71" s="25"/>
      <c r="I71" s="25"/>
      <c r="AL71" s="1"/>
      <c r="AM71" s="1"/>
      <c r="AN71" s="6"/>
      <c r="AO71" s="59"/>
      <c r="AP71" s="18"/>
      <c r="AQ71" s="60"/>
      <c r="AR71" s="18" t="s">
        <v>158</v>
      </c>
      <c r="AS71" s="18"/>
      <c r="AT71" s="18"/>
      <c r="AU71" s="18"/>
      <c r="AV71" s="18"/>
      <c r="AW71" s="18"/>
      <c r="AX71" s="18"/>
      <c r="AY71" s="18"/>
      <c r="AZ71" s="18"/>
      <c r="BA71" s="18"/>
      <c r="BB71" s="18"/>
      <c r="BC71" s="18"/>
      <c r="BD71" s="61"/>
      <c r="BE71" s="158"/>
      <c r="BF71" s="61"/>
      <c r="BG71" s="61"/>
      <c r="BH71" s="61"/>
      <c r="BI71" s="62"/>
    </row>
    <row r="72" spans="1:61" ht="15" customHeight="1">
      <c r="A72" s="57"/>
      <c r="B72" s="6"/>
      <c r="C72" s="25"/>
      <c r="I72" s="25"/>
      <c r="AL72" s="1"/>
      <c r="AM72" s="1"/>
      <c r="AN72" s="6"/>
      <c r="AO72" s="25"/>
      <c r="AP72" s="1"/>
      <c r="AQ72" s="6"/>
      <c r="BD72" s="5"/>
      <c r="BE72" s="157"/>
      <c r="BF72" s="5"/>
      <c r="BG72" s="5"/>
      <c r="BH72" s="5"/>
      <c r="BI72" s="58"/>
    </row>
    <row r="73" spans="1:61" ht="15" customHeight="1">
      <c r="A73" s="57"/>
      <c r="B73" s="6"/>
      <c r="C73" s="25"/>
      <c r="I73" s="25"/>
      <c r="AL73" s="1"/>
      <c r="AM73" s="1"/>
      <c r="AN73" s="6"/>
      <c r="AO73" s="25"/>
      <c r="AP73" s="1"/>
      <c r="AQ73" s="6"/>
      <c r="BD73" s="5"/>
      <c r="BE73" s="157"/>
      <c r="BF73" s="5"/>
      <c r="BG73" s="5"/>
      <c r="BH73" s="5"/>
      <c r="BI73" s="58"/>
    </row>
    <row r="74" spans="1:61" ht="15" customHeight="1">
      <c r="A74" s="57"/>
      <c r="B74" s="6"/>
      <c r="C74" s="25"/>
      <c r="I74" s="25"/>
      <c r="J74" s="1" t="s">
        <v>159</v>
      </c>
      <c r="L74" s="1" t="s">
        <v>160</v>
      </c>
      <c r="AL74" s="1"/>
      <c r="AM74" s="1"/>
      <c r="AN74" s="6"/>
      <c r="AO74" s="25"/>
      <c r="AP74" s="1"/>
      <c r="AQ74" s="6"/>
      <c r="BD74" s="5"/>
      <c r="BE74" s="157"/>
      <c r="BF74" s="5"/>
      <c r="BG74" s="5"/>
      <c r="BH74" s="5"/>
      <c r="BI74" s="58"/>
    </row>
    <row r="75" spans="1:61" ht="15" customHeight="1">
      <c r="A75" s="57"/>
      <c r="B75" s="6"/>
      <c r="C75" s="25"/>
      <c r="I75" s="25"/>
      <c r="AL75" s="1"/>
      <c r="AM75" s="1"/>
      <c r="AN75" s="6"/>
      <c r="AO75" s="25"/>
      <c r="AP75" s="1"/>
      <c r="AQ75" s="6"/>
      <c r="BD75" s="5"/>
      <c r="BE75" s="157"/>
      <c r="BF75" s="5"/>
      <c r="BG75" s="5"/>
      <c r="BH75" s="5"/>
      <c r="BI75" s="58"/>
    </row>
    <row r="76" spans="1:61" ht="15" customHeight="1">
      <c r="A76" s="57"/>
      <c r="B76" s="6"/>
      <c r="C76" s="25"/>
      <c r="I76" s="25"/>
      <c r="K76" s="1" t="s">
        <v>161</v>
      </c>
      <c r="AL76" s="1"/>
      <c r="AM76" s="1"/>
      <c r="AN76" s="6"/>
      <c r="AO76" s="25"/>
      <c r="AP76" s="1"/>
      <c r="AQ76" s="6"/>
      <c r="BD76" s="5"/>
      <c r="BE76" s="157"/>
      <c r="BF76" s="5"/>
      <c r="BG76" s="5"/>
      <c r="BH76" s="5"/>
      <c r="BI76" s="58"/>
    </row>
    <row r="77" spans="1:61" ht="15" customHeight="1">
      <c r="A77" s="57"/>
      <c r="B77" s="6"/>
      <c r="C77" s="25"/>
      <c r="I77" s="25"/>
      <c r="K77" s="1" t="s">
        <v>162</v>
      </c>
      <c r="AL77" s="1"/>
      <c r="AM77" s="1"/>
      <c r="AN77" s="6"/>
      <c r="AO77" s="25"/>
      <c r="AP77" s="1"/>
      <c r="AQ77" s="6"/>
      <c r="BD77" s="5"/>
      <c r="BE77" s="157"/>
      <c r="BF77" s="5"/>
      <c r="BG77" s="5"/>
      <c r="BH77" s="5"/>
      <c r="BI77" s="58"/>
    </row>
    <row r="78" spans="1:61" ht="15" customHeight="1">
      <c r="A78" s="57"/>
      <c r="B78" s="6"/>
      <c r="C78" s="25"/>
      <c r="I78" s="25"/>
      <c r="AL78" s="1"/>
      <c r="AM78" s="1"/>
      <c r="AN78" s="6"/>
      <c r="AO78" s="25"/>
      <c r="AP78" s="1"/>
      <c r="AQ78" s="6"/>
      <c r="BD78" s="5"/>
      <c r="BE78" s="157"/>
      <c r="BF78" s="5"/>
      <c r="BG78" s="5"/>
      <c r="BH78" s="5"/>
      <c r="BI78" s="58"/>
    </row>
    <row r="79" spans="1:61" ht="15" customHeight="1">
      <c r="A79" s="57"/>
      <c r="B79" s="6"/>
      <c r="C79" s="25"/>
      <c r="I79" s="25"/>
      <c r="L79" s="1" t="s">
        <v>163</v>
      </c>
      <c r="AL79" s="1"/>
      <c r="AM79" s="1"/>
      <c r="AN79" s="6"/>
      <c r="AO79" s="25"/>
      <c r="AP79" s="1"/>
      <c r="AQ79" s="6"/>
      <c r="BD79" s="5"/>
      <c r="BE79" s="157"/>
      <c r="BF79" s="5"/>
      <c r="BG79" s="5"/>
      <c r="BH79" s="5"/>
      <c r="BI79" s="58"/>
    </row>
    <row r="80" spans="1:61" ht="15" customHeight="1">
      <c r="A80" s="57"/>
      <c r="B80" s="6"/>
      <c r="C80" s="25"/>
      <c r="I80" s="25"/>
      <c r="M80" s="1" t="s">
        <v>164</v>
      </c>
      <c r="AL80" s="1"/>
      <c r="AM80" s="1"/>
      <c r="AN80" s="6"/>
      <c r="AO80" s="25"/>
      <c r="AP80" s="1"/>
      <c r="AQ80" s="6"/>
      <c r="BD80" s="5"/>
      <c r="BE80" s="157"/>
      <c r="BF80" s="5"/>
      <c r="BG80" s="5"/>
      <c r="BH80" s="5"/>
      <c r="BI80" s="58"/>
    </row>
    <row r="81" spans="1:61" ht="15" customHeight="1">
      <c r="A81" s="57"/>
      <c r="B81" s="6"/>
      <c r="C81" s="25"/>
      <c r="I81" s="25"/>
      <c r="AL81" s="1"/>
      <c r="AM81" s="1"/>
      <c r="AN81" s="6"/>
      <c r="AO81" s="25"/>
      <c r="AP81" s="1"/>
      <c r="AQ81" s="6"/>
      <c r="BD81" s="5"/>
      <c r="BE81" s="157"/>
      <c r="BF81" s="5"/>
      <c r="BG81" s="5"/>
      <c r="BH81" s="5"/>
      <c r="BI81" s="58"/>
    </row>
    <row r="82" spans="1:61" ht="15" customHeight="1">
      <c r="A82" s="57"/>
      <c r="B82" s="6"/>
      <c r="C82" s="25"/>
      <c r="I82" s="25"/>
      <c r="L82" s="1" t="s">
        <v>165</v>
      </c>
      <c r="Q82" s="181" t="s">
        <v>503</v>
      </c>
      <c r="W82" s="181"/>
      <c r="AL82" s="1"/>
      <c r="AM82" s="1"/>
      <c r="AN82" s="6"/>
      <c r="AO82" s="25"/>
      <c r="AP82" s="1"/>
      <c r="AQ82" s="6"/>
      <c r="BD82" s="5"/>
      <c r="BE82" s="157"/>
      <c r="BF82" s="5"/>
      <c r="BG82" s="5"/>
      <c r="BH82" s="5"/>
      <c r="BI82" s="58"/>
    </row>
    <row r="83" spans="1:61" ht="15" customHeight="1">
      <c r="A83" s="57"/>
      <c r="B83" s="6"/>
      <c r="C83" s="25"/>
      <c r="I83" s="25"/>
      <c r="M83" s="1" t="s">
        <v>166</v>
      </c>
      <c r="AL83" s="1"/>
      <c r="AM83" s="1"/>
      <c r="AN83" s="6"/>
      <c r="AO83" s="25"/>
      <c r="AP83" s="1"/>
      <c r="AQ83" s="6"/>
      <c r="BD83" s="5"/>
      <c r="BE83" s="157"/>
      <c r="BF83" s="5"/>
      <c r="BG83" s="5"/>
      <c r="BH83" s="5"/>
      <c r="BI83" s="58"/>
    </row>
    <row r="84" spans="1:61" ht="15" customHeight="1">
      <c r="A84" s="57"/>
      <c r="B84" s="6"/>
      <c r="C84" s="25"/>
      <c r="I84" s="25"/>
      <c r="N84" s="1" t="s">
        <v>167</v>
      </c>
      <c r="O84" s="1" t="s">
        <v>488</v>
      </c>
      <c r="AL84" s="1"/>
      <c r="AM84" s="1"/>
      <c r="AN84" s="6"/>
      <c r="AO84" s="25"/>
      <c r="AP84" s="1"/>
      <c r="AQ84" s="6"/>
      <c r="BD84" s="5"/>
      <c r="BE84" s="157"/>
      <c r="BF84" s="5"/>
      <c r="BG84" s="5"/>
      <c r="BH84" s="5"/>
      <c r="BI84" s="58"/>
    </row>
    <row r="85" spans="1:61" ht="15" customHeight="1">
      <c r="A85" s="57"/>
      <c r="B85" s="6"/>
      <c r="C85" s="25"/>
      <c r="I85" s="25"/>
      <c r="AL85" s="1"/>
      <c r="AM85" s="1"/>
      <c r="AN85" s="6"/>
      <c r="AO85" s="25"/>
      <c r="AP85" s="1"/>
      <c r="AQ85" s="6"/>
      <c r="BD85" s="5"/>
      <c r="BE85" s="157"/>
      <c r="BF85" s="5"/>
      <c r="BG85" s="5"/>
      <c r="BH85" s="5"/>
      <c r="BI85" s="58"/>
    </row>
    <row r="86" spans="1:61" ht="15" customHeight="1">
      <c r="A86" s="57"/>
      <c r="B86" s="6"/>
      <c r="C86" s="25"/>
      <c r="I86" s="25"/>
      <c r="M86" s="1" t="s">
        <v>168</v>
      </c>
      <c r="AL86" s="1"/>
      <c r="AM86" s="1"/>
      <c r="AN86" s="6"/>
      <c r="AO86" s="25"/>
      <c r="AP86" s="1"/>
      <c r="AQ86" s="6"/>
      <c r="BD86" s="5"/>
      <c r="BE86" s="157"/>
      <c r="BF86" s="5"/>
      <c r="BG86" s="5"/>
      <c r="BH86" s="5"/>
      <c r="BI86" s="58"/>
    </row>
    <row r="87" spans="1:61" ht="15" customHeight="1">
      <c r="A87" s="57"/>
      <c r="B87" s="6"/>
      <c r="C87" s="25"/>
      <c r="I87" s="25"/>
      <c r="N87" s="1" t="s">
        <v>167</v>
      </c>
      <c r="O87" s="1" t="s">
        <v>489</v>
      </c>
      <c r="AL87" s="1"/>
      <c r="AM87" s="1"/>
      <c r="AN87" s="6"/>
      <c r="AO87" s="25"/>
      <c r="AP87" s="1"/>
      <c r="AQ87" s="6"/>
      <c r="BD87" s="5"/>
      <c r="BE87" s="157"/>
      <c r="BF87" s="5"/>
      <c r="BG87" s="5"/>
      <c r="BH87" s="5"/>
      <c r="BI87" s="58"/>
    </row>
    <row r="88" spans="1:61" ht="15" customHeight="1">
      <c r="A88" s="57"/>
      <c r="B88" s="6"/>
      <c r="C88" s="25"/>
      <c r="I88" s="25"/>
      <c r="AL88" s="1"/>
      <c r="AM88" s="1"/>
      <c r="AN88" s="6"/>
      <c r="AO88" s="25"/>
      <c r="AP88" s="1"/>
      <c r="AQ88" s="6"/>
      <c r="BD88" s="5"/>
      <c r="BE88" s="157"/>
      <c r="BF88" s="5"/>
      <c r="BG88" s="5"/>
      <c r="BH88" s="5"/>
      <c r="BI88" s="58"/>
    </row>
    <row r="89" spans="1:61" ht="15" customHeight="1">
      <c r="A89" s="57"/>
      <c r="B89" s="6"/>
      <c r="C89" s="25"/>
      <c r="I89" s="25"/>
      <c r="L89" s="1" t="s">
        <v>169</v>
      </c>
      <c r="AL89" s="1"/>
      <c r="AM89" s="1"/>
      <c r="AN89" s="6"/>
      <c r="AO89" s="25"/>
      <c r="AP89" s="1"/>
      <c r="AQ89" s="6"/>
      <c r="BD89" s="5"/>
      <c r="BE89" s="157"/>
      <c r="BF89" s="5"/>
      <c r="BG89" s="5"/>
      <c r="BH89" s="5"/>
      <c r="BI89" s="58"/>
    </row>
    <row r="90" spans="1:61" ht="15" customHeight="1">
      <c r="A90" s="57"/>
      <c r="B90" s="6"/>
      <c r="C90" s="25"/>
      <c r="I90" s="25"/>
      <c r="M90" s="161" t="s">
        <v>170</v>
      </c>
      <c r="N90" s="162"/>
      <c r="O90" s="162"/>
      <c r="P90" s="162"/>
      <c r="Q90" s="162"/>
      <c r="R90" s="162"/>
      <c r="S90" s="162"/>
      <c r="T90" s="162"/>
      <c r="U90" s="163"/>
      <c r="V90" s="164" t="s">
        <v>171</v>
      </c>
      <c r="W90" s="165"/>
      <c r="X90" s="165"/>
      <c r="Y90" s="165"/>
      <c r="Z90" s="166"/>
      <c r="AA90" s="167" t="s">
        <v>172</v>
      </c>
      <c r="AB90" s="167"/>
      <c r="AC90" s="167"/>
      <c r="AD90" s="167"/>
      <c r="AE90" s="167"/>
      <c r="AF90" s="168"/>
      <c r="AL90" s="1"/>
      <c r="AM90" s="1"/>
      <c r="AN90" s="6"/>
      <c r="AO90" s="25"/>
      <c r="AP90" s="1"/>
      <c r="AQ90" s="6"/>
      <c r="BD90" s="5"/>
      <c r="BE90" s="157"/>
      <c r="BF90" s="5"/>
      <c r="BG90" s="5"/>
      <c r="BH90" s="5"/>
      <c r="BI90" s="58"/>
    </row>
    <row r="91" spans="1:61" ht="15" customHeight="1">
      <c r="A91" s="57"/>
      <c r="B91" s="6"/>
      <c r="C91" s="25"/>
      <c r="I91" s="25"/>
      <c r="M91" s="25" t="s">
        <v>173</v>
      </c>
      <c r="V91" s="141" t="s">
        <v>174</v>
      </c>
      <c r="W91" s="39"/>
      <c r="X91" s="39"/>
      <c r="Y91" s="39"/>
      <c r="Z91" s="142"/>
      <c r="AA91" s="39" t="s">
        <v>175</v>
      </c>
      <c r="AB91" s="39"/>
      <c r="AC91" s="39"/>
      <c r="AD91" s="39"/>
      <c r="AE91" s="39"/>
      <c r="AF91" s="142"/>
      <c r="AL91" s="1"/>
      <c r="AM91" s="1"/>
      <c r="AN91" s="6"/>
      <c r="AO91" s="25"/>
      <c r="AP91" s="1"/>
      <c r="AQ91" s="6"/>
      <c r="BD91" s="5"/>
      <c r="BE91" s="157"/>
      <c r="BF91" s="5"/>
      <c r="BG91" s="5"/>
      <c r="BH91" s="5"/>
      <c r="BI91" s="58"/>
    </row>
    <row r="92" spans="1:61" ht="15" customHeight="1">
      <c r="A92" s="57"/>
      <c r="B92" s="6"/>
      <c r="C92" s="25"/>
      <c r="I92" s="25"/>
      <c r="M92" s="59"/>
      <c r="N92" s="18"/>
      <c r="O92" s="18"/>
      <c r="P92" s="18"/>
      <c r="Q92" s="18"/>
      <c r="R92" s="18"/>
      <c r="S92" s="18"/>
      <c r="T92" s="18"/>
      <c r="U92" s="18"/>
      <c r="V92" s="59" t="s">
        <v>176</v>
      </c>
      <c r="W92" s="18"/>
      <c r="X92" s="18"/>
      <c r="Y92" s="18"/>
      <c r="Z92" s="60"/>
      <c r="AA92" s="18" t="s">
        <v>177</v>
      </c>
      <c r="AB92" s="18"/>
      <c r="AC92" s="18"/>
      <c r="AD92" s="18"/>
      <c r="AE92" s="18"/>
      <c r="AF92" s="60"/>
      <c r="AL92" s="1"/>
      <c r="AM92" s="1"/>
      <c r="AN92" s="6"/>
      <c r="AO92" s="25"/>
      <c r="AP92" s="1"/>
      <c r="AQ92" s="6"/>
      <c r="BD92" s="5"/>
      <c r="BE92" s="157"/>
      <c r="BF92" s="5"/>
      <c r="BG92" s="5"/>
      <c r="BH92" s="5"/>
      <c r="BI92" s="58"/>
    </row>
    <row r="93" spans="1:61" ht="15" customHeight="1">
      <c r="A93" s="57"/>
      <c r="B93" s="6"/>
      <c r="C93" s="25"/>
      <c r="I93" s="25"/>
      <c r="AL93" s="1"/>
      <c r="AM93" s="1"/>
      <c r="AN93" s="6"/>
      <c r="AO93" s="25"/>
      <c r="AP93" s="1"/>
      <c r="AQ93" s="6"/>
      <c r="BD93" s="5"/>
      <c r="BE93" s="157"/>
      <c r="BF93" s="5"/>
      <c r="BG93" s="5"/>
      <c r="BH93" s="5"/>
      <c r="BI93" s="58"/>
    </row>
    <row r="94" spans="1:61" ht="15" customHeight="1">
      <c r="A94" s="57"/>
      <c r="B94" s="6"/>
      <c r="C94" s="25"/>
      <c r="I94" s="25"/>
      <c r="K94" s="1" t="s">
        <v>178</v>
      </c>
      <c r="AL94" s="1"/>
      <c r="AM94" s="1"/>
      <c r="AN94" s="6"/>
      <c r="AO94" s="141" t="s">
        <v>117</v>
      </c>
      <c r="AP94" s="39"/>
      <c r="AQ94" s="142"/>
      <c r="AR94" s="365" t="s">
        <v>179</v>
      </c>
      <c r="AS94" s="366"/>
      <c r="AT94" s="366"/>
      <c r="AU94" s="366"/>
      <c r="AV94" s="366"/>
      <c r="AW94" s="366"/>
      <c r="AX94" s="366"/>
      <c r="AY94" s="366"/>
      <c r="AZ94" s="366"/>
      <c r="BA94" s="366"/>
      <c r="BB94" s="366"/>
      <c r="BC94" s="366"/>
      <c r="BD94" s="366"/>
      <c r="BE94" s="367"/>
      <c r="BF94" s="153" t="s">
        <v>180</v>
      </c>
      <c r="BG94" s="153"/>
      <c r="BH94" s="153"/>
      <c r="BI94" s="154"/>
    </row>
    <row r="95" spans="1:61" ht="15" customHeight="1">
      <c r="A95" s="57"/>
      <c r="B95" s="6"/>
      <c r="C95" s="25"/>
      <c r="I95" s="25"/>
      <c r="AL95" s="1"/>
      <c r="AM95" s="1"/>
      <c r="AN95" s="6"/>
      <c r="AO95" s="25" t="s">
        <v>120</v>
      </c>
      <c r="AP95" s="1"/>
      <c r="AQ95" s="6"/>
      <c r="AR95" s="368"/>
      <c r="AS95" s="369"/>
      <c r="AT95" s="369"/>
      <c r="AU95" s="369"/>
      <c r="AV95" s="369"/>
      <c r="AW95" s="369"/>
      <c r="AX95" s="369"/>
      <c r="AY95" s="369"/>
      <c r="AZ95" s="369"/>
      <c r="BA95" s="369"/>
      <c r="BB95" s="369"/>
      <c r="BC95" s="369"/>
      <c r="BD95" s="369"/>
      <c r="BE95" s="370"/>
      <c r="BF95" s="5"/>
      <c r="BG95" s="5"/>
      <c r="BH95" s="5"/>
      <c r="BI95" s="58"/>
    </row>
    <row r="96" spans="1:61" ht="15" customHeight="1">
      <c r="A96" s="57"/>
      <c r="B96" s="6"/>
      <c r="C96" s="25"/>
      <c r="I96" s="25"/>
      <c r="AL96" s="1"/>
      <c r="AM96" s="1"/>
      <c r="AN96" s="6"/>
      <c r="AO96" s="59"/>
      <c r="AP96" s="18"/>
      <c r="AQ96" s="60"/>
      <c r="AR96" s="18" t="s">
        <v>181</v>
      </c>
      <c r="AS96" s="18"/>
      <c r="AT96" s="18"/>
      <c r="AU96" s="18"/>
      <c r="AV96" s="18"/>
      <c r="AW96" s="18"/>
      <c r="AX96" s="18"/>
      <c r="AY96" s="18"/>
      <c r="AZ96" s="18"/>
      <c r="BA96" s="18"/>
      <c r="BB96" s="18"/>
      <c r="BC96" s="18"/>
      <c r="BD96" s="61"/>
      <c r="BE96" s="158"/>
      <c r="BF96" s="61"/>
      <c r="BG96" s="61"/>
      <c r="BH96" s="61"/>
      <c r="BI96" s="62"/>
    </row>
    <row r="97" spans="1:61" ht="15" customHeight="1">
      <c r="A97" s="57"/>
      <c r="B97" s="6"/>
      <c r="C97" s="25"/>
      <c r="I97" s="25"/>
      <c r="AL97" s="1"/>
      <c r="AM97" s="1"/>
      <c r="AN97" s="6"/>
      <c r="AO97" s="25"/>
      <c r="AP97" s="1"/>
      <c r="AQ97" s="6"/>
      <c r="BD97" s="5"/>
      <c r="BE97" s="157"/>
      <c r="BF97" s="5"/>
      <c r="BG97" s="5"/>
      <c r="BH97" s="5"/>
      <c r="BI97" s="58"/>
    </row>
    <row r="98" spans="1:61" ht="15" customHeight="1">
      <c r="A98" s="57"/>
      <c r="B98" s="6"/>
      <c r="C98" s="25"/>
      <c r="I98" s="25"/>
      <c r="AL98" s="1"/>
      <c r="AM98" s="1"/>
      <c r="AN98" s="6"/>
      <c r="AO98" s="25"/>
      <c r="AP98" s="1"/>
      <c r="AQ98" s="6"/>
      <c r="BD98" s="5"/>
      <c r="BE98" s="157"/>
      <c r="BF98" s="5"/>
      <c r="BG98" s="5"/>
      <c r="BH98" s="5"/>
      <c r="BI98" s="58"/>
    </row>
    <row r="99" spans="1:61" ht="15" customHeight="1">
      <c r="A99" s="57"/>
      <c r="B99" s="6"/>
      <c r="C99" s="25"/>
      <c r="I99" s="25"/>
      <c r="J99" s="1" t="s">
        <v>182</v>
      </c>
      <c r="L99" s="1" t="s">
        <v>183</v>
      </c>
      <c r="AL99" s="1"/>
      <c r="AM99" s="1"/>
      <c r="AN99" s="6"/>
      <c r="AO99" s="25"/>
      <c r="AP99" s="1"/>
      <c r="AQ99" s="6"/>
      <c r="BD99" s="5"/>
      <c r="BE99" s="157"/>
      <c r="BF99" s="5"/>
      <c r="BG99" s="5"/>
      <c r="BH99" s="5"/>
      <c r="BI99" s="58"/>
    </row>
    <row r="100" spans="1:61" ht="15" customHeight="1">
      <c r="A100" s="57"/>
      <c r="B100" s="6"/>
      <c r="C100" s="25"/>
      <c r="I100" s="25"/>
      <c r="AL100" s="1"/>
      <c r="AM100" s="1"/>
      <c r="AN100" s="6"/>
      <c r="AO100" s="25"/>
      <c r="AP100" s="1"/>
      <c r="AQ100" s="6"/>
      <c r="BD100" s="5"/>
      <c r="BE100" s="157"/>
      <c r="BF100" s="5"/>
      <c r="BG100" s="5"/>
      <c r="BH100" s="5"/>
      <c r="BI100" s="58"/>
    </row>
    <row r="101" spans="1:61" ht="15" customHeight="1">
      <c r="A101" s="57"/>
      <c r="B101" s="6"/>
      <c r="C101" s="25"/>
      <c r="I101" s="25"/>
      <c r="K101" s="1" t="s">
        <v>184</v>
      </c>
      <c r="N101" s="1" t="s">
        <v>183</v>
      </c>
      <c r="AL101" s="1"/>
      <c r="AM101" s="1"/>
      <c r="AN101" s="6"/>
      <c r="AO101" s="25"/>
      <c r="AP101" s="1"/>
      <c r="AQ101" s="6"/>
      <c r="BD101" s="5"/>
      <c r="BE101" s="157"/>
      <c r="BF101" s="5"/>
      <c r="BG101" s="5"/>
      <c r="BH101" s="5"/>
      <c r="BI101" s="58"/>
    </row>
    <row r="102" spans="1:61" ht="15" customHeight="1">
      <c r="A102" s="57"/>
      <c r="B102" s="6"/>
      <c r="C102" s="25"/>
      <c r="I102" s="25"/>
      <c r="AL102" s="1"/>
      <c r="AM102" s="1"/>
      <c r="AN102" s="6"/>
      <c r="AO102" s="25"/>
      <c r="AP102" s="1"/>
      <c r="AQ102" s="6"/>
      <c r="BD102" s="5"/>
      <c r="BE102" s="157"/>
      <c r="BF102" s="5"/>
      <c r="BG102" s="5"/>
      <c r="BH102" s="5"/>
      <c r="BI102" s="58"/>
    </row>
    <row r="103" spans="1:61" ht="15" customHeight="1">
      <c r="A103" s="57"/>
      <c r="B103" s="6"/>
      <c r="C103" s="25"/>
      <c r="I103" s="25"/>
      <c r="L103" s="1" t="s">
        <v>185</v>
      </c>
      <c r="AL103" s="1"/>
      <c r="AM103" s="1"/>
      <c r="AN103" s="6"/>
      <c r="AO103" s="25"/>
      <c r="AP103" s="1"/>
      <c r="AQ103" s="6"/>
      <c r="BD103" s="5"/>
      <c r="BE103" s="157"/>
      <c r="BF103" s="5"/>
      <c r="BG103" s="5"/>
      <c r="BH103" s="5"/>
      <c r="BI103" s="58"/>
    </row>
    <row r="104" spans="1:61" ht="15" customHeight="1">
      <c r="A104" s="57"/>
      <c r="B104" s="6"/>
      <c r="C104" s="25"/>
      <c r="I104" s="25"/>
      <c r="AL104" s="1"/>
      <c r="AM104" s="1"/>
      <c r="AN104" s="6"/>
      <c r="AO104" s="25"/>
      <c r="AP104" s="1"/>
      <c r="AQ104" s="6"/>
      <c r="BD104" s="5"/>
      <c r="BE104" s="157"/>
      <c r="BF104" s="5"/>
      <c r="BG104" s="5"/>
      <c r="BH104" s="5"/>
      <c r="BI104" s="58"/>
    </row>
    <row r="105" spans="1:61" ht="15" customHeight="1">
      <c r="A105" s="57"/>
      <c r="B105" s="6"/>
      <c r="C105" s="25"/>
      <c r="I105" s="25"/>
      <c r="M105" s="1" t="s">
        <v>186</v>
      </c>
      <c r="AL105" s="1"/>
      <c r="AM105" s="1"/>
      <c r="AN105" s="6"/>
      <c r="AO105" s="25"/>
      <c r="AP105" s="1"/>
      <c r="AQ105" s="6"/>
      <c r="BD105" s="5"/>
      <c r="BE105" s="157"/>
      <c r="BF105" s="5"/>
      <c r="BG105" s="5"/>
      <c r="BH105" s="5"/>
      <c r="BI105" s="58"/>
    </row>
    <row r="106" spans="1:61" ht="15" customHeight="1">
      <c r="A106" s="57"/>
      <c r="B106" s="6"/>
      <c r="C106" s="25"/>
      <c r="I106" s="25"/>
      <c r="N106" s="1" t="s">
        <v>187</v>
      </c>
      <c r="AL106" s="1"/>
      <c r="AM106" s="1"/>
      <c r="AN106" s="6"/>
      <c r="AO106" s="25"/>
      <c r="AP106" s="1"/>
      <c r="AQ106" s="6"/>
      <c r="BD106" s="5"/>
      <c r="BE106" s="157"/>
      <c r="BF106" s="5"/>
      <c r="BG106" s="5"/>
      <c r="BH106" s="5"/>
      <c r="BI106" s="58"/>
    </row>
    <row r="107" spans="1:61" ht="15" customHeight="1">
      <c r="A107" s="57"/>
      <c r="B107" s="6"/>
      <c r="C107" s="25"/>
      <c r="I107" s="25"/>
      <c r="AL107" s="1"/>
      <c r="AM107" s="1"/>
      <c r="AN107" s="6"/>
      <c r="AO107" s="25"/>
      <c r="AP107" s="1"/>
      <c r="AQ107" s="6"/>
      <c r="BD107" s="5"/>
      <c r="BE107" s="157"/>
      <c r="BF107" s="5"/>
      <c r="BG107" s="5"/>
      <c r="BH107" s="5"/>
      <c r="BI107" s="58"/>
    </row>
    <row r="108" spans="1:61" ht="15" customHeight="1">
      <c r="A108" s="57"/>
      <c r="B108" s="6"/>
      <c r="C108" s="25"/>
      <c r="I108" s="25"/>
      <c r="M108" s="1" t="s">
        <v>188</v>
      </c>
      <c r="AL108" s="1"/>
      <c r="AM108" s="1"/>
      <c r="AN108" s="6"/>
      <c r="AO108" s="25"/>
      <c r="AP108" s="1"/>
      <c r="AQ108" s="6"/>
      <c r="BD108" s="5"/>
      <c r="BE108" s="157"/>
      <c r="BF108" s="5"/>
      <c r="BG108" s="5"/>
      <c r="BH108" s="5"/>
      <c r="BI108" s="58"/>
    </row>
    <row r="109" spans="1:61" ht="15" customHeight="1">
      <c r="A109" s="57"/>
      <c r="B109" s="6"/>
      <c r="C109" s="25"/>
      <c r="I109" s="25"/>
      <c r="N109" s="1" t="s">
        <v>189</v>
      </c>
      <c r="AL109" s="1"/>
      <c r="AM109" s="1"/>
      <c r="AN109" s="6"/>
      <c r="AO109" s="25"/>
      <c r="AP109" s="1"/>
      <c r="AQ109" s="6"/>
      <c r="BD109" s="5"/>
      <c r="BE109" s="157"/>
      <c r="BF109" s="5"/>
      <c r="BG109" s="5"/>
      <c r="BH109" s="5"/>
      <c r="BI109" s="58"/>
    </row>
    <row r="110" spans="1:61" ht="15" customHeight="1">
      <c r="A110" s="57"/>
      <c r="B110" s="6"/>
      <c r="C110" s="25"/>
      <c r="I110" s="25"/>
      <c r="O110" s="1" t="s">
        <v>190</v>
      </c>
      <c r="T110" s="1" t="s">
        <v>191</v>
      </c>
      <c r="U110" s="1" t="s">
        <v>192</v>
      </c>
      <c r="AL110" s="1"/>
      <c r="AM110" s="1"/>
      <c r="AN110" s="6"/>
      <c r="AO110" s="25"/>
      <c r="AP110" s="1"/>
      <c r="AQ110" s="6"/>
      <c r="BD110" s="5"/>
      <c r="BE110" s="157"/>
      <c r="BF110" s="5"/>
      <c r="BG110" s="5"/>
      <c r="BH110" s="5"/>
      <c r="BI110" s="58"/>
    </row>
    <row r="111" spans="1:61" ht="15" customHeight="1">
      <c r="A111" s="57"/>
      <c r="B111" s="6"/>
      <c r="C111" s="25"/>
      <c r="I111" s="25"/>
      <c r="U111" s="1" t="s">
        <v>193</v>
      </c>
      <c r="AL111" s="1"/>
      <c r="AM111" s="1"/>
      <c r="AN111" s="6"/>
      <c r="AO111" s="25"/>
      <c r="AP111" s="1"/>
      <c r="AQ111" s="6"/>
      <c r="BD111" s="5"/>
      <c r="BE111" s="157"/>
      <c r="BF111" s="5"/>
      <c r="BG111" s="5"/>
      <c r="BH111" s="5"/>
      <c r="BI111" s="58"/>
    </row>
    <row r="112" spans="1:61" ht="15" customHeight="1">
      <c r="A112" s="57"/>
      <c r="B112" s="6"/>
      <c r="C112" s="25"/>
      <c r="I112" s="25"/>
      <c r="T112" s="1" t="s">
        <v>194</v>
      </c>
      <c r="AL112" s="1"/>
      <c r="AM112" s="1"/>
      <c r="AN112" s="6"/>
      <c r="AO112" s="25"/>
      <c r="AP112" s="1"/>
      <c r="AQ112" s="6"/>
      <c r="BD112" s="5"/>
      <c r="BE112" s="157"/>
      <c r="BF112" s="5"/>
      <c r="BG112" s="5"/>
      <c r="BH112" s="5"/>
      <c r="BI112" s="58"/>
    </row>
    <row r="113" spans="1:61" ht="15" customHeight="1">
      <c r="A113" s="57"/>
      <c r="B113" s="6"/>
      <c r="C113" s="25"/>
      <c r="I113" s="25"/>
      <c r="AL113" s="1"/>
      <c r="AM113" s="1"/>
      <c r="AN113" s="6"/>
      <c r="AO113" s="25"/>
      <c r="AP113" s="1"/>
      <c r="AQ113" s="6"/>
      <c r="BD113" s="5"/>
      <c r="BE113" s="157"/>
      <c r="BF113" s="5"/>
      <c r="BG113" s="5"/>
      <c r="BH113" s="5"/>
      <c r="BI113" s="58"/>
    </row>
    <row r="114" spans="1:61" ht="15" customHeight="1">
      <c r="A114" s="57"/>
      <c r="B114" s="6"/>
      <c r="C114" s="25"/>
      <c r="I114" s="25"/>
      <c r="O114" s="1" t="s">
        <v>499</v>
      </c>
      <c r="AL114" s="1"/>
      <c r="AM114" s="1"/>
      <c r="AN114" s="6"/>
      <c r="AO114" s="25"/>
      <c r="AP114" s="1"/>
      <c r="AQ114" s="6"/>
      <c r="BD114" s="5"/>
      <c r="BE114" s="157"/>
      <c r="BF114" s="5"/>
      <c r="BG114" s="5"/>
      <c r="BH114" s="5"/>
      <c r="BI114" s="58"/>
    </row>
    <row r="115" spans="1:61" ht="15" customHeight="1">
      <c r="A115" s="57"/>
      <c r="B115" s="6"/>
      <c r="C115" s="25"/>
      <c r="I115" s="25"/>
      <c r="O115" s="1" t="s">
        <v>498</v>
      </c>
      <c r="AL115" s="1"/>
      <c r="AM115" s="1"/>
      <c r="AN115" s="6"/>
      <c r="AO115" s="25"/>
      <c r="AP115" s="1"/>
      <c r="AQ115" s="6"/>
      <c r="BD115" s="5"/>
      <c r="BE115" s="157"/>
      <c r="BF115" s="5"/>
      <c r="BG115" s="5"/>
      <c r="BH115" s="5"/>
      <c r="BI115" s="58"/>
    </row>
    <row r="116" spans="1:61" ht="15" customHeight="1">
      <c r="A116" s="57"/>
      <c r="B116" s="6"/>
      <c r="C116" s="25"/>
      <c r="I116" s="25"/>
      <c r="O116" s="181" t="s">
        <v>500</v>
      </c>
      <c r="AL116" s="1"/>
      <c r="AM116" s="1"/>
      <c r="AN116" s="6"/>
      <c r="AO116" s="25"/>
      <c r="AP116" s="1"/>
      <c r="AQ116" s="6"/>
      <c r="BD116" s="5"/>
      <c r="BE116" s="157"/>
      <c r="BF116" s="5"/>
      <c r="BG116" s="5"/>
      <c r="BH116" s="5"/>
      <c r="BI116" s="58"/>
    </row>
    <row r="117" spans="1:61" ht="15" customHeight="1">
      <c r="A117" s="57"/>
      <c r="B117" s="6"/>
      <c r="C117" s="25"/>
      <c r="I117" s="25"/>
      <c r="AL117" s="1"/>
      <c r="AM117" s="1"/>
      <c r="AN117" s="6"/>
      <c r="AO117" s="25"/>
      <c r="AP117" s="1"/>
      <c r="AQ117" s="6"/>
      <c r="BD117" s="5"/>
      <c r="BE117" s="157"/>
      <c r="BF117" s="5"/>
      <c r="BG117" s="5"/>
      <c r="BH117" s="5"/>
      <c r="BI117" s="58"/>
    </row>
    <row r="118" spans="1:61" ht="15" customHeight="1">
      <c r="A118" s="57"/>
      <c r="B118" s="6"/>
      <c r="C118" s="25"/>
      <c r="I118" s="25"/>
      <c r="L118" s="1" t="s">
        <v>195</v>
      </c>
      <c r="AL118" s="1"/>
      <c r="AM118" s="1"/>
      <c r="AN118" s="6"/>
      <c r="AO118" s="25"/>
      <c r="AP118" s="1"/>
      <c r="AQ118" s="6"/>
      <c r="BD118" s="5"/>
      <c r="BE118" s="157"/>
      <c r="BF118" s="5"/>
      <c r="BG118" s="5"/>
      <c r="BH118" s="5"/>
      <c r="BI118" s="58"/>
    </row>
    <row r="119" spans="1:61" ht="15" customHeight="1">
      <c r="A119" s="57"/>
      <c r="B119" s="6"/>
      <c r="C119" s="25"/>
      <c r="I119" s="25"/>
      <c r="L119" s="1" t="s">
        <v>196</v>
      </c>
      <c r="AL119" s="1"/>
      <c r="AM119" s="1"/>
      <c r="AN119" s="6"/>
      <c r="AO119" s="25"/>
      <c r="AP119" s="1"/>
      <c r="AQ119" s="6"/>
      <c r="BD119" s="5"/>
      <c r="BE119" s="157"/>
      <c r="BF119" s="5"/>
      <c r="BG119" s="5"/>
      <c r="BH119" s="5"/>
      <c r="BI119" s="58"/>
    </row>
    <row r="120" spans="1:61" ht="15" customHeight="1">
      <c r="A120" s="57"/>
      <c r="B120" s="6"/>
      <c r="C120" s="25"/>
      <c r="I120" s="25"/>
      <c r="AL120" s="1"/>
      <c r="AM120" s="1"/>
      <c r="AN120" s="6"/>
      <c r="AO120" s="25"/>
      <c r="AP120" s="1"/>
      <c r="AQ120" s="6"/>
      <c r="BD120" s="5"/>
      <c r="BE120" s="157"/>
      <c r="BF120" s="5"/>
      <c r="BG120" s="5"/>
      <c r="BH120" s="5"/>
      <c r="BI120" s="58"/>
    </row>
    <row r="121" spans="1:61" ht="15" customHeight="1">
      <c r="A121" s="57"/>
      <c r="B121" s="6"/>
      <c r="C121" s="25"/>
      <c r="I121" s="25"/>
      <c r="M121" s="1" t="s">
        <v>163</v>
      </c>
      <c r="AL121" s="1"/>
      <c r="AM121" s="1"/>
      <c r="AN121" s="6"/>
      <c r="AO121" s="25"/>
      <c r="AP121" s="1"/>
      <c r="AQ121" s="6"/>
      <c r="BD121" s="5"/>
      <c r="BE121" s="157"/>
      <c r="BF121" s="5"/>
      <c r="BG121" s="5"/>
      <c r="BH121" s="5"/>
      <c r="BI121" s="58"/>
    </row>
    <row r="122" spans="1:61" ht="15" customHeight="1">
      <c r="A122" s="57"/>
      <c r="B122" s="6"/>
      <c r="C122" s="25"/>
      <c r="I122" s="25"/>
      <c r="N122" s="1" t="s">
        <v>157</v>
      </c>
      <c r="AL122" s="1"/>
      <c r="AM122" s="1"/>
      <c r="AN122" s="6"/>
      <c r="AO122" s="25"/>
      <c r="AP122" s="1"/>
      <c r="AQ122" s="6"/>
      <c r="BD122" s="5"/>
      <c r="BE122" s="157"/>
      <c r="BF122" s="5"/>
      <c r="BG122" s="5"/>
      <c r="BH122" s="5"/>
      <c r="BI122" s="58"/>
    </row>
    <row r="123" spans="1:61" ht="15" customHeight="1">
      <c r="A123" s="57"/>
      <c r="B123" s="6"/>
      <c r="C123" s="25"/>
      <c r="I123" s="25"/>
      <c r="AL123" s="1"/>
      <c r="AM123" s="1"/>
      <c r="AN123" s="6"/>
      <c r="AO123" s="25"/>
      <c r="AP123" s="1"/>
      <c r="AQ123" s="6"/>
      <c r="BD123" s="5"/>
      <c r="BE123" s="157"/>
      <c r="BF123" s="5"/>
      <c r="BG123" s="5"/>
      <c r="BH123" s="5"/>
      <c r="BI123" s="58"/>
    </row>
    <row r="124" spans="1:61" ht="15" customHeight="1">
      <c r="A124" s="57"/>
      <c r="B124" s="6"/>
      <c r="C124" s="25"/>
      <c r="I124" s="25"/>
      <c r="M124" s="1" t="s">
        <v>197</v>
      </c>
      <c r="AL124" s="1"/>
      <c r="AM124" s="1"/>
      <c r="AN124" s="6"/>
      <c r="AO124" s="25"/>
      <c r="AP124" s="1"/>
      <c r="AQ124" s="6"/>
      <c r="BD124" s="5"/>
      <c r="BE124" s="157"/>
      <c r="BF124" s="5"/>
      <c r="BG124" s="5"/>
      <c r="BH124" s="5"/>
      <c r="BI124" s="58"/>
    </row>
    <row r="125" spans="1:61" ht="15" customHeight="1">
      <c r="A125" s="57"/>
      <c r="B125" s="6"/>
      <c r="C125" s="25"/>
      <c r="I125" s="25"/>
      <c r="N125" s="1" t="s">
        <v>166</v>
      </c>
      <c r="AL125" s="1"/>
      <c r="AM125" s="1"/>
      <c r="AN125" s="6"/>
      <c r="AO125" s="25"/>
      <c r="AP125" s="1"/>
      <c r="AQ125" s="6"/>
      <c r="BD125" s="5"/>
      <c r="BE125" s="157"/>
      <c r="BF125" s="5"/>
      <c r="BG125" s="5"/>
      <c r="BH125" s="5"/>
      <c r="BI125" s="58"/>
    </row>
    <row r="126" spans="1:61" ht="15" customHeight="1">
      <c r="A126" s="57"/>
      <c r="B126" s="6"/>
      <c r="C126" s="25"/>
      <c r="I126" s="25"/>
      <c r="O126" s="1" t="s">
        <v>167</v>
      </c>
      <c r="P126" s="1" t="s">
        <v>487</v>
      </c>
      <c r="AL126" s="1"/>
      <c r="AM126" s="1"/>
      <c r="AN126" s="6"/>
      <c r="AO126" s="25"/>
      <c r="AP126" s="1"/>
      <c r="AQ126" s="6"/>
      <c r="BD126" s="5"/>
      <c r="BE126" s="157"/>
      <c r="BF126" s="5"/>
      <c r="BG126" s="5"/>
      <c r="BH126" s="5"/>
      <c r="BI126" s="58"/>
    </row>
    <row r="127" spans="1:61" ht="15" customHeight="1">
      <c r="A127" s="57"/>
      <c r="B127" s="6"/>
      <c r="C127" s="25"/>
      <c r="I127" s="25"/>
      <c r="AL127" s="1"/>
      <c r="AM127" s="1"/>
      <c r="AN127" s="6"/>
      <c r="AO127" s="25"/>
      <c r="AP127" s="1"/>
      <c r="AQ127" s="6"/>
      <c r="AR127" s="63"/>
      <c r="AS127" s="63"/>
      <c r="AT127" s="63"/>
      <c r="AU127" s="63"/>
      <c r="AV127" s="63"/>
      <c r="AW127" s="63"/>
      <c r="AX127" s="63"/>
      <c r="AY127" s="63"/>
      <c r="AZ127" s="63"/>
      <c r="BA127" s="63"/>
      <c r="BB127" s="63"/>
      <c r="BC127" s="63"/>
      <c r="BD127" s="5"/>
      <c r="BE127" s="157"/>
      <c r="BF127" s="5"/>
      <c r="BG127" s="5"/>
      <c r="BH127" s="5"/>
      <c r="BI127" s="58"/>
    </row>
    <row r="128" spans="1:61" ht="15" customHeight="1">
      <c r="A128" s="57"/>
      <c r="B128" s="6"/>
      <c r="C128" s="25"/>
      <c r="I128" s="25"/>
      <c r="N128" s="1" t="s">
        <v>168</v>
      </c>
      <c r="AL128" s="1"/>
      <c r="AM128" s="1"/>
      <c r="AN128" s="6"/>
      <c r="AO128" s="25"/>
      <c r="AP128" s="1"/>
      <c r="AQ128" s="6"/>
      <c r="BD128" s="5"/>
      <c r="BE128" s="157"/>
      <c r="BF128" s="5"/>
      <c r="BG128" s="5"/>
      <c r="BH128" s="5"/>
      <c r="BI128" s="58"/>
    </row>
    <row r="129" spans="1:61" ht="15" customHeight="1">
      <c r="A129" s="57"/>
      <c r="B129" s="6"/>
      <c r="C129" s="25"/>
      <c r="I129" s="25"/>
      <c r="O129" s="1" t="s">
        <v>167</v>
      </c>
      <c r="P129" s="1" t="s">
        <v>198</v>
      </c>
      <c r="AL129" s="1"/>
      <c r="AM129" s="1"/>
      <c r="AN129" s="6"/>
      <c r="AO129" s="25"/>
      <c r="AP129" s="1"/>
      <c r="AQ129" s="6"/>
      <c r="BD129" s="5"/>
      <c r="BE129" s="157"/>
      <c r="BF129" s="5"/>
      <c r="BG129" s="5"/>
      <c r="BH129" s="5"/>
      <c r="BI129" s="58"/>
    </row>
    <row r="130" spans="1:61" ht="15" customHeight="1">
      <c r="A130" s="57"/>
      <c r="B130" s="6"/>
      <c r="C130" s="25"/>
      <c r="I130" s="25"/>
      <c r="AL130" s="1"/>
      <c r="AM130" s="1"/>
      <c r="AN130" s="6"/>
      <c r="AO130" s="25"/>
      <c r="AP130" s="1"/>
      <c r="AQ130" s="6"/>
      <c r="BD130" s="5"/>
      <c r="BE130" s="157"/>
      <c r="BF130" s="5"/>
      <c r="BG130" s="5"/>
      <c r="BH130" s="5"/>
      <c r="BI130" s="58"/>
    </row>
    <row r="131" spans="1:61" ht="15" customHeight="1">
      <c r="A131" s="57"/>
      <c r="B131" s="6"/>
      <c r="C131" s="25"/>
      <c r="I131" s="25"/>
      <c r="AL131" s="1"/>
      <c r="AM131" s="1"/>
      <c r="AN131" s="6"/>
      <c r="AO131" s="25"/>
      <c r="AP131" s="1"/>
      <c r="AQ131" s="6"/>
      <c r="BD131" s="5"/>
      <c r="BE131" s="157"/>
      <c r="BF131" s="5"/>
      <c r="BG131" s="5"/>
      <c r="BH131" s="5"/>
      <c r="BI131" s="58"/>
    </row>
    <row r="132" spans="1:61" ht="15" customHeight="1">
      <c r="A132" s="57"/>
      <c r="B132" s="6"/>
      <c r="C132" s="25"/>
      <c r="I132" s="25"/>
      <c r="K132" s="1" t="s">
        <v>199</v>
      </c>
      <c r="N132" s="1" t="s">
        <v>200</v>
      </c>
      <c r="AL132" s="1"/>
      <c r="AM132" s="1"/>
      <c r="AN132" s="6"/>
      <c r="AO132" s="25"/>
      <c r="AP132" s="1"/>
      <c r="AQ132" s="6"/>
      <c r="BD132" s="5"/>
      <c r="BE132" s="157"/>
      <c r="BF132" s="5"/>
      <c r="BG132" s="5"/>
      <c r="BH132" s="5"/>
      <c r="BI132" s="58"/>
    </row>
    <row r="133" spans="1:61" ht="15" customHeight="1">
      <c r="A133" s="57"/>
      <c r="B133" s="6"/>
      <c r="C133" s="25"/>
      <c r="I133" s="25"/>
      <c r="AL133" s="1"/>
      <c r="AM133" s="1"/>
      <c r="AN133" s="6"/>
      <c r="AO133" s="25"/>
      <c r="AP133" s="1"/>
      <c r="AQ133" s="6"/>
      <c r="BD133" s="5"/>
      <c r="BE133" s="157"/>
      <c r="BF133" s="5"/>
      <c r="BG133" s="5"/>
      <c r="BH133" s="5"/>
      <c r="BI133" s="58"/>
    </row>
    <row r="134" spans="1:61" ht="15" customHeight="1">
      <c r="A134" s="57"/>
      <c r="B134" s="6"/>
      <c r="C134" s="25"/>
      <c r="I134" s="25"/>
      <c r="L134" s="1" t="s">
        <v>201</v>
      </c>
      <c r="AL134" s="1"/>
      <c r="AM134" s="1"/>
      <c r="AN134" s="6"/>
      <c r="AO134" s="25"/>
      <c r="AP134" s="1"/>
      <c r="AQ134" s="6"/>
      <c r="BD134" s="5"/>
      <c r="BE134" s="157"/>
      <c r="BF134" s="5"/>
      <c r="BG134" s="5"/>
      <c r="BH134" s="5"/>
      <c r="BI134" s="58"/>
    </row>
    <row r="135" spans="1:61" ht="15" customHeight="1">
      <c r="A135" s="57"/>
      <c r="B135" s="6"/>
      <c r="C135" s="25"/>
      <c r="I135" s="25"/>
      <c r="AL135" s="1"/>
      <c r="AM135" s="1"/>
      <c r="AN135" s="6"/>
      <c r="AO135" s="25"/>
      <c r="AP135" s="1"/>
      <c r="AQ135" s="6"/>
      <c r="BD135" s="5"/>
      <c r="BE135" s="157"/>
      <c r="BF135" s="5"/>
      <c r="BG135" s="5"/>
      <c r="BH135" s="5"/>
      <c r="BI135" s="58"/>
    </row>
    <row r="136" spans="1:61" ht="15" customHeight="1">
      <c r="A136" s="57"/>
      <c r="B136" s="6"/>
      <c r="C136" s="25"/>
      <c r="I136" s="25"/>
      <c r="M136" s="1" t="s">
        <v>202</v>
      </c>
      <c r="AL136" s="1"/>
      <c r="AM136" s="1"/>
      <c r="AN136" s="6"/>
      <c r="AO136" s="25"/>
      <c r="AP136" s="1"/>
      <c r="AQ136" s="6"/>
      <c r="BD136" s="5"/>
      <c r="BE136" s="157"/>
      <c r="BF136" s="5"/>
      <c r="BG136" s="5"/>
      <c r="BH136" s="5"/>
      <c r="BI136" s="58"/>
    </row>
    <row r="137" spans="1:61" ht="15" customHeight="1">
      <c r="A137" s="57"/>
      <c r="B137" s="6"/>
      <c r="C137" s="25"/>
      <c r="I137" s="25"/>
      <c r="N137" s="1" t="s">
        <v>157</v>
      </c>
      <c r="AL137" s="1"/>
      <c r="AM137" s="1"/>
      <c r="AN137" s="6"/>
      <c r="AO137" s="25"/>
      <c r="AP137" s="1"/>
      <c r="AQ137" s="6"/>
      <c r="BD137" s="5"/>
      <c r="BE137" s="157"/>
      <c r="BF137" s="5"/>
      <c r="BG137" s="5"/>
      <c r="BH137" s="5"/>
      <c r="BI137" s="58"/>
    </row>
    <row r="138" spans="1:61" ht="15" customHeight="1">
      <c r="A138" s="57"/>
      <c r="B138" s="6"/>
      <c r="C138" s="25"/>
      <c r="I138" s="25"/>
      <c r="M138" s="1" t="s">
        <v>203</v>
      </c>
      <c r="AL138" s="1"/>
      <c r="AM138" s="1"/>
      <c r="AN138" s="6"/>
      <c r="AO138" s="25"/>
      <c r="AP138" s="1"/>
      <c r="AQ138" s="6"/>
      <c r="BD138" s="5"/>
      <c r="BE138" s="157"/>
      <c r="BF138" s="5"/>
      <c r="BG138" s="5"/>
      <c r="BH138" s="5"/>
      <c r="BI138" s="58"/>
    </row>
    <row r="139" spans="1:61" ht="15" customHeight="1">
      <c r="A139" s="57"/>
      <c r="B139" s="6"/>
      <c r="C139" s="25"/>
      <c r="I139" s="25"/>
      <c r="N139" s="1" t="s">
        <v>204</v>
      </c>
      <c r="AL139" s="1"/>
      <c r="AM139" s="1"/>
      <c r="AN139" s="6"/>
      <c r="AO139" s="25"/>
      <c r="AP139" s="1"/>
      <c r="AQ139" s="6"/>
      <c r="BD139" s="5"/>
      <c r="BE139" s="157"/>
      <c r="BF139" s="5"/>
      <c r="BG139" s="5"/>
      <c r="BH139" s="5"/>
      <c r="BI139" s="58"/>
    </row>
    <row r="140" spans="1:61" ht="15" customHeight="1">
      <c r="A140" s="57"/>
      <c r="B140" s="6"/>
      <c r="C140" s="25"/>
      <c r="I140" s="25"/>
      <c r="AL140" s="1"/>
      <c r="AM140" s="1"/>
      <c r="AN140" s="6"/>
      <c r="AO140" s="25"/>
      <c r="AP140" s="1"/>
      <c r="AQ140" s="6"/>
      <c r="BD140" s="5"/>
      <c r="BE140" s="157"/>
      <c r="BF140" s="5"/>
      <c r="BG140" s="5"/>
      <c r="BH140" s="5"/>
      <c r="BI140" s="58"/>
    </row>
    <row r="141" spans="1:61" ht="15" customHeight="1">
      <c r="A141" s="57"/>
      <c r="B141" s="6"/>
      <c r="C141" s="25"/>
      <c r="I141" s="25"/>
      <c r="AL141" s="1"/>
      <c r="AM141" s="1"/>
      <c r="AN141" s="6"/>
      <c r="AO141" s="25"/>
      <c r="AP141" s="1"/>
      <c r="AQ141" s="6"/>
      <c r="BD141" s="5"/>
      <c r="BE141" s="157"/>
      <c r="BF141" s="5"/>
      <c r="BG141" s="5"/>
      <c r="BH141" s="5"/>
      <c r="BI141" s="58"/>
    </row>
    <row r="142" spans="1:61" ht="15" customHeight="1">
      <c r="A142" s="57"/>
      <c r="B142" s="6"/>
      <c r="C142" s="25"/>
      <c r="I142" s="25"/>
      <c r="J142" s="1" t="s">
        <v>205</v>
      </c>
      <c r="L142" s="1" t="s">
        <v>206</v>
      </c>
      <c r="AL142" s="1"/>
      <c r="AM142" s="1"/>
      <c r="AN142" s="6"/>
      <c r="AO142" s="25"/>
      <c r="AP142" s="1"/>
      <c r="AQ142" s="6"/>
      <c r="BD142" s="5"/>
      <c r="BE142" s="157"/>
      <c r="BF142" s="5"/>
      <c r="BG142" s="5"/>
      <c r="BH142" s="5"/>
      <c r="BI142" s="58"/>
    </row>
    <row r="143" spans="1:61" ht="15" customHeight="1">
      <c r="A143" s="57"/>
      <c r="B143" s="6"/>
      <c r="C143" s="25"/>
      <c r="I143" s="25"/>
      <c r="AL143" s="1"/>
      <c r="AM143" s="1"/>
      <c r="AN143" s="6"/>
      <c r="AO143" s="25"/>
      <c r="AP143" s="1"/>
      <c r="AQ143" s="6"/>
      <c r="BD143" s="5"/>
      <c r="BE143" s="157"/>
      <c r="BF143" s="5"/>
      <c r="BG143" s="5"/>
      <c r="BH143" s="5"/>
      <c r="BI143" s="58"/>
    </row>
    <row r="144" spans="1:61" ht="15" customHeight="1">
      <c r="A144" s="57"/>
      <c r="B144" s="6"/>
      <c r="C144" s="25"/>
      <c r="I144" s="25"/>
      <c r="K144" s="1" t="s">
        <v>207</v>
      </c>
      <c r="AL144" s="1"/>
      <c r="AM144" s="1"/>
      <c r="AN144" s="6"/>
      <c r="AO144" s="25"/>
      <c r="AP144" s="1"/>
      <c r="AQ144" s="6"/>
      <c r="BD144" s="5"/>
      <c r="BE144" s="157"/>
      <c r="BF144" s="5"/>
      <c r="BG144" s="5"/>
      <c r="BH144" s="5"/>
      <c r="BI144" s="58"/>
    </row>
    <row r="145" spans="1:61" ht="15" customHeight="1">
      <c r="A145" s="57"/>
      <c r="B145" s="6"/>
      <c r="C145" s="25"/>
      <c r="I145" s="25"/>
      <c r="K145" s="1" t="s">
        <v>208</v>
      </c>
      <c r="AL145" s="1"/>
      <c r="AM145" s="1"/>
      <c r="AN145" s="6"/>
      <c r="AO145" s="25"/>
      <c r="AP145" s="1"/>
      <c r="AQ145" s="6"/>
      <c r="BD145" s="5"/>
      <c r="BE145" s="157"/>
      <c r="BF145" s="5"/>
      <c r="BG145" s="5"/>
      <c r="BH145" s="5"/>
      <c r="BI145" s="58"/>
    </row>
    <row r="146" spans="1:61" ht="15" customHeight="1">
      <c r="A146" s="57"/>
      <c r="B146" s="6"/>
      <c r="C146" s="25"/>
      <c r="I146" s="25"/>
      <c r="AL146" s="1"/>
      <c r="AM146" s="1"/>
      <c r="AN146" s="6"/>
      <c r="AO146" s="25"/>
      <c r="AP146" s="1"/>
      <c r="AQ146" s="6"/>
      <c r="BD146" s="5"/>
      <c r="BE146" s="157"/>
      <c r="BF146" s="5"/>
      <c r="BG146" s="5"/>
      <c r="BH146" s="5"/>
      <c r="BI146" s="58"/>
    </row>
    <row r="147" spans="1:61" ht="15" customHeight="1">
      <c r="A147" s="17"/>
      <c r="B147" s="60"/>
      <c r="C147" s="59"/>
      <c r="D147" s="18"/>
      <c r="E147" s="18"/>
      <c r="F147" s="18"/>
      <c r="G147" s="18"/>
      <c r="H147" s="18"/>
      <c r="I147" s="59"/>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c r="AK147" s="18"/>
      <c r="AL147" s="18"/>
      <c r="AM147" s="18"/>
      <c r="AN147" s="60"/>
      <c r="AO147" s="59"/>
      <c r="AP147" s="18"/>
      <c r="AQ147" s="60"/>
      <c r="AR147" s="18"/>
      <c r="AS147" s="18"/>
      <c r="AT147" s="18"/>
      <c r="AU147" s="18"/>
      <c r="AV147" s="18"/>
      <c r="AW147" s="18"/>
      <c r="AX147" s="18"/>
      <c r="AY147" s="18"/>
      <c r="AZ147" s="18"/>
      <c r="BA147" s="18"/>
      <c r="BB147" s="18"/>
      <c r="BC147" s="18"/>
      <c r="BD147" s="61"/>
      <c r="BE147" s="158"/>
      <c r="BF147" s="61"/>
      <c r="BG147" s="61"/>
      <c r="BH147" s="61"/>
      <c r="BI147" s="62"/>
    </row>
    <row r="148" spans="1:61" ht="15" customHeight="1">
      <c r="A148" s="57" t="s">
        <v>40</v>
      </c>
      <c r="B148" s="6"/>
      <c r="C148" s="25" t="s">
        <v>209</v>
      </c>
      <c r="I148" s="25"/>
      <c r="AL148" s="1"/>
      <c r="AM148" s="1"/>
      <c r="AN148" s="6"/>
      <c r="AO148" s="25"/>
      <c r="AP148" s="1"/>
      <c r="AQ148" s="6"/>
      <c r="BD148" s="5"/>
      <c r="BE148" s="157"/>
      <c r="BF148" s="5"/>
      <c r="BG148" s="5"/>
      <c r="BH148" s="5"/>
      <c r="BI148" s="58"/>
    </row>
    <row r="149" spans="1:61" ht="15" customHeight="1">
      <c r="A149" s="57"/>
      <c r="B149" s="6"/>
      <c r="C149" s="25"/>
      <c r="I149" s="25"/>
      <c r="J149" s="1" t="s">
        <v>470</v>
      </c>
      <c r="O149" s="1" t="s">
        <v>486</v>
      </c>
      <c r="AL149" s="1"/>
      <c r="AM149" s="1"/>
      <c r="AN149" s="6"/>
      <c r="AO149" s="25"/>
      <c r="AP149" s="1"/>
      <c r="AQ149" s="6"/>
      <c r="BD149" s="5"/>
      <c r="BE149" s="157"/>
      <c r="BF149" s="5"/>
      <c r="BG149" s="5"/>
      <c r="BH149" s="5"/>
      <c r="BI149" s="58"/>
    </row>
    <row r="150" spans="1:61" ht="15" customHeight="1">
      <c r="A150" s="57"/>
      <c r="B150" s="6"/>
      <c r="C150" s="25"/>
      <c r="I150" s="25"/>
      <c r="J150" s="1" t="s">
        <v>84</v>
      </c>
      <c r="O150" s="1" t="s">
        <v>210</v>
      </c>
      <c r="AL150" s="1"/>
      <c r="AM150" s="1"/>
      <c r="AN150" s="6"/>
      <c r="AO150" s="25"/>
      <c r="AP150" s="1"/>
      <c r="AQ150" s="6"/>
      <c r="BD150" s="5"/>
      <c r="BE150" s="157"/>
      <c r="BF150" s="5"/>
      <c r="BG150" s="5"/>
      <c r="BH150" s="5"/>
      <c r="BI150" s="58"/>
    </row>
    <row r="151" spans="1:61" ht="15" customHeight="1">
      <c r="A151" s="57"/>
      <c r="B151" s="6"/>
      <c r="C151" s="25"/>
      <c r="I151" s="25"/>
      <c r="J151" s="1" t="s">
        <v>86</v>
      </c>
      <c r="O151" s="1" t="s">
        <v>469</v>
      </c>
      <c r="AE151" s="1" t="s">
        <v>211</v>
      </c>
      <c r="AL151" s="1"/>
      <c r="AM151" s="1"/>
      <c r="AN151" s="6"/>
      <c r="AO151" s="25"/>
      <c r="AP151" s="1"/>
      <c r="AQ151" s="6"/>
      <c r="BD151" s="5"/>
      <c r="BE151" s="157"/>
      <c r="BF151" s="5"/>
      <c r="BG151" s="5"/>
      <c r="BH151" s="5"/>
      <c r="BI151" s="58"/>
    </row>
    <row r="152" spans="1:61" ht="15" customHeight="1">
      <c r="A152" s="57"/>
      <c r="B152" s="6"/>
      <c r="C152" s="25"/>
      <c r="I152" s="25"/>
      <c r="J152" s="1" t="s">
        <v>89</v>
      </c>
      <c r="O152" s="1" t="s">
        <v>212</v>
      </c>
      <c r="AE152" s="1" t="s">
        <v>96</v>
      </c>
      <c r="AL152" s="1"/>
      <c r="AM152" s="1"/>
      <c r="AN152" s="6"/>
      <c r="AO152" s="25"/>
      <c r="AP152" s="1"/>
      <c r="AQ152" s="6"/>
      <c r="BD152" s="5"/>
      <c r="BE152" s="157"/>
      <c r="BF152" s="5"/>
      <c r="BG152" s="5"/>
      <c r="BH152" s="5"/>
      <c r="BI152" s="58"/>
    </row>
    <row r="153" spans="1:61" ht="15" customHeight="1">
      <c r="A153" s="57"/>
      <c r="B153" s="6"/>
      <c r="C153" s="25"/>
      <c r="I153" s="25"/>
      <c r="J153" s="1" t="s">
        <v>213</v>
      </c>
      <c r="O153" s="1" t="s">
        <v>214</v>
      </c>
      <c r="AL153" s="1"/>
      <c r="AM153" s="1"/>
      <c r="AN153" s="6"/>
      <c r="AO153" s="25"/>
      <c r="AP153" s="1"/>
      <c r="AQ153" s="6"/>
      <c r="BD153" s="5"/>
      <c r="BE153" s="157"/>
      <c r="BF153" s="5"/>
      <c r="BG153" s="5"/>
      <c r="BH153" s="5"/>
      <c r="BI153" s="58"/>
    </row>
    <row r="154" spans="1:61" ht="15" customHeight="1">
      <c r="A154" s="57"/>
      <c r="B154" s="6"/>
      <c r="C154" s="25"/>
      <c r="I154" s="25"/>
      <c r="J154" s="1" t="s">
        <v>215</v>
      </c>
      <c r="O154" s="1" t="s">
        <v>216</v>
      </c>
      <c r="AL154" s="1"/>
      <c r="AM154" s="1"/>
      <c r="AN154" s="6"/>
      <c r="AO154" s="25"/>
      <c r="AP154" s="1"/>
      <c r="AQ154" s="6"/>
      <c r="BD154" s="5"/>
      <c r="BE154" s="157"/>
      <c r="BF154" s="5"/>
      <c r="BG154" s="5"/>
      <c r="BH154" s="5"/>
      <c r="BI154" s="58"/>
    </row>
    <row r="155" spans="1:61" ht="15" customHeight="1">
      <c r="A155" s="57"/>
      <c r="B155" s="6"/>
      <c r="C155" s="25"/>
      <c r="I155" s="25"/>
      <c r="AL155" s="1"/>
      <c r="AM155" s="1"/>
      <c r="AN155" s="6"/>
      <c r="AO155" s="25"/>
      <c r="AP155" s="1"/>
      <c r="AQ155" s="6"/>
      <c r="BD155" s="5"/>
      <c r="BE155" s="157"/>
      <c r="BF155" s="5"/>
      <c r="BG155" s="5"/>
      <c r="BH155" s="5"/>
      <c r="BI155" s="58"/>
    </row>
    <row r="156" spans="1:61" ht="15" customHeight="1">
      <c r="A156" s="57"/>
      <c r="B156" s="6"/>
      <c r="C156" s="25"/>
      <c r="I156" s="25"/>
      <c r="AL156" s="1"/>
      <c r="AM156" s="1"/>
      <c r="AN156" s="6"/>
      <c r="AO156" s="25"/>
      <c r="AP156" s="1"/>
      <c r="AQ156" s="6"/>
      <c r="BD156" s="5"/>
      <c r="BE156" s="157"/>
      <c r="BF156" s="5"/>
      <c r="BG156" s="5"/>
      <c r="BH156" s="5"/>
      <c r="BI156" s="58"/>
    </row>
    <row r="157" spans="1:61" ht="15" customHeight="1">
      <c r="A157" s="57"/>
      <c r="B157" s="6"/>
      <c r="C157" s="25"/>
      <c r="I157" s="25"/>
      <c r="J157" s="1" t="s">
        <v>217</v>
      </c>
      <c r="L157" s="1" t="s">
        <v>100</v>
      </c>
      <c r="AL157" s="1"/>
      <c r="AM157" s="1"/>
      <c r="AN157" s="6"/>
      <c r="AO157" s="25"/>
      <c r="AP157" s="1"/>
      <c r="AQ157" s="6"/>
      <c r="BD157" s="5"/>
      <c r="BE157" s="157"/>
      <c r="BF157" s="5"/>
      <c r="BG157" s="5"/>
      <c r="BH157" s="5"/>
      <c r="BI157" s="58"/>
    </row>
    <row r="158" spans="1:61" ht="15" customHeight="1">
      <c r="A158" s="57"/>
      <c r="B158" s="6"/>
      <c r="C158" s="25"/>
      <c r="I158" s="25"/>
      <c r="AL158" s="1"/>
      <c r="AM158" s="1"/>
      <c r="AN158" s="6"/>
      <c r="AO158" s="25"/>
      <c r="AP158" s="1"/>
      <c r="AQ158" s="6"/>
      <c r="BD158" s="5"/>
      <c r="BE158" s="157"/>
      <c r="BF158" s="5"/>
      <c r="BG158" s="5"/>
      <c r="BH158" s="5"/>
      <c r="BI158" s="58"/>
    </row>
    <row r="159" spans="1:61" ht="15" customHeight="1">
      <c r="A159" s="57"/>
      <c r="B159" s="6"/>
      <c r="C159" s="25"/>
      <c r="I159" s="25"/>
      <c r="K159" s="1" t="s">
        <v>101</v>
      </c>
      <c r="AL159" s="1"/>
      <c r="AM159" s="1"/>
      <c r="AN159" s="6"/>
      <c r="AO159" s="25"/>
      <c r="AP159" s="1"/>
      <c r="AQ159" s="6"/>
      <c r="BD159" s="5"/>
      <c r="BE159" s="157"/>
      <c r="BF159" s="5"/>
      <c r="BG159" s="5"/>
      <c r="BH159" s="5"/>
      <c r="BI159" s="58"/>
    </row>
    <row r="160" spans="1:61" ht="15" customHeight="1">
      <c r="A160" s="57"/>
      <c r="B160" s="6"/>
      <c r="C160" s="25"/>
      <c r="I160" s="25"/>
      <c r="AL160" s="1"/>
      <c r="AM160" s="1"/>
      <c r="AN160" s="6"/>
      <c r="AO160" s="25"/>
      <c r="AP160" s="1"/>
      <c r="AQ160" s="6"/>
      <c r="BD160" s="5"/>
      <c r="BE160" s="157"/>
      <c r="BF160" s="5"/>
      <c r="BG160" s="5"/>
      <c r="BH160" s="5"/>
      <c r="BI160" s="58"/>
    </row>
    <row r="161" spans="1:61" ht="15" customHeight="1">
      <c r="A161" s="57"/>
      <c r="B161" s="6"/>
      <c r="C161" s="25"/>
      <c r="I161" s="25"/>
      <c r="L161" s="1" t="s">
        <v>102</v>
      </c>
      <c r="Q161" s="1" t="s">
        <v>218</v>
      </c>
      <c r="AL161" s="1"/>
      <c r="AM161" s="1"/>
      <c r="AN161" s="6"/>
      <c r="AO161" s="25"/>
      <c r="AP161" s="1"/>
      <c r="AQ161" s="6"/>
      <c r="BD161" s="5"/>
      <c r="BE161" s="157"/>
      <c r="BF161" s="5"/>
      <c r="BG161" s="5"/>
      <c r="BH161" s="5"/>
      <c r="BI161" s="58"/>
    </row>
    <row r="162" spans="1:61" ht="15" customHeight="1">
      <c r="A162" s="57"/>
      <c r="B162" s="6"/>
      <c r="C162" s="25"/>
      <c r="I162" s="25"/>
      <c r="Q162" s="1" t="s">
        <v>104</v>
      </c>
      <c r="AA162" s="1" t="s">
        <v>105</v>
      </c>
      <c r="AL162" s="1"/>
      <c r="AM162" s="1"/>
      <c r="AN162" s="6"/>
      <c r="AO162" s="25"/>
      <c r="AP162" s="1"/>
      <c r="AQ162" s="6"/>
      <c r="BD162" s="5"/>
      <c r="BE162" s="157"/>
      <c r="BF162" s="5"/>
      <c r="BG162" s="5"/>
      <c r="BH162" s="5"/>
      <c r="BI162" s="58"/>
    </row>
    <row r="163" spans="1:61" ht="15" customHeight="1">
      <c r="A163" s="57"/>
      <c r="B163" s="6"/>
      <c r="C163" s="25"/>
      <c r="I163" s="25"/>
      <c r="AL163" s="1"/>
      <c r="AM163" s="1"/>
      <c r="AN163" s="6"/>
      <c r="AO163" s="25"/>
      <c r="AP163" s="1"/>
      <c r="AQ163" s="6"/>
      <c r="BD163" s="5"/>
      <c r="BE163" s="157"/>
      <c r="BF163" s="5"/>
      <c r="BG163" s="5"/>
      <c r="BH163" s="5"/>
      <c r="BI163" s="58"/>
    </row>
    <row r="164" spans="1:61" ht="15" customHeight="1">
      <c r="A164" s="57"/>
      <c r="B164" s="6"/>
      <c r="C164" s="25"/>
      <c r="I164" s="25"/>
      <c r="L164" s="1" t="s">
        <v>106</v>
      </c>
      <c r="Q164" s="1" t="s">
        <v>219</v>
      </c>
      <c r="AL164" s="1"/>
      <c r="AM164" s="1"/>
      <c r="AN164" s="6"/>
      <c r="AO164" s="25"/>
      <c r="AP164" s="1"/>
      <c r="AQ164" s="6"/>
      <c r="BD164" s="5"/>
      <c r="BE164" s="157"/>
      <c r="BF164" s="5"/>
      <c r="BG164" s="5"/>
      <c r="BH164" s="5"/>
      <c r="BI164" s="58"/>
    </row>
    <row r="165" spans="1:61" ht="15" customHeight="1">
      <c r="A165" s="57"/>
      <c r="B165" s="6"/>
      <c r="C165" s="25"/>
      <c r="I165" s="25"/>
      <c r="Z165" s="1" t="s">
        <v>108</v>
      </c>
      <c r="AA165" s="1" t="s">
        <v>109</v>
      </c>
      <c r="AL165" s="1"/>
      <c r="AM165" s="1"/>
      <c r="AN165" s="6"/>
      <c r="AO165" s="25"/>
      <c r="AP165" s="1"/>
      <c r="AQ165" s="6"/>
      <c r="BD165" s="5"/>
      <c r="BE165" s="157"/>
      <c r="BF165" s="5"/>
      <c r="BG165" s="5"/>
      <c r="BH165" s="5"/>
      <c r="BI165" s="58"/>
    </row>
    <row r="166" spans="1:61" ht="15" customHeight="1">
      <c r="A166" s="57"/>
      <c r="B166" s="6"/>
      <c r="C166" s="25"/>
      <c r="I166" s="25"/>
      <c r="AL166" s="1"/>
      <c r="AM166" s="1"/>
      <c r="AN166" s="6"/>
      <c r="AO166" s="25"/>
      <c r="AP166" s="1"/>
      <c r="AQ166" s="6"/>
      <c r="BD166" s="5"/>
      <c r="BE166" s="157"/>
      <c r="BF166" s="5"/>
      <c r="BG166" s="5"/>
      <c r="BH166" s="5"/>
      <c r="BI166" s="58"/>
    </row>
    <row r="167" spans="1:61" ht="15" customHeight="1">
      <c r="A167" s="57"/>
      <c r="B167" s="6"/>
      <c r="C167" s="25"/>
      <c r="I167" s="25"/>
      <c r="L167" s="1" t="s">
        <v>110</v>
      </c>
      <c r="Q167" s="1" t="s">
        <v>220</v>
      </c>
      <c r="AD167" s="1" t="s">
        <v>112</v>
      </c>
      <c r="AF167" s="1" t="s">
        <v>221</v>
      </c>
      <c r="AM167" s="1"/>
      <c r="AN167" s="6"/>
      <c r="AO167" s="25"/>
      <c r="AP167" s="1"/>
      <c r="AQ167" s="6"/>
      <c r="BD167" s="5"/>
      <c r="BE167" s="157"/>
      <c r="BF167" s="5"/>
      <c r="BG167" s="5"/>
      <c r="BH167" s="5"/>
      <c r="BI167" s="58"/>
    </row>
    <row r="168" spans="1:61" ht="15" customHeight="1">
      <c r="A168" s="57"/>
      <c r="B168" s="6"/>
      <c r="C168" s="25"/>
      <c r="I168" s="25"/>
      <c r="Q168" s="1" t="s">
        <v>222</v>
      </c>
      <c r="AD168" s="1" t="s">
        <v>112</v>
      </c>
      <c r="AF168" s="1" t="s">
        <v>115</v>
      </c>
      <c r="AM168" s="1"/>
      <c r="AN168" s="6"/>
      <c r="AO168" s="25"/>
      <c r="AP168" s="1"/>
      <c r="AQ168" s="6"/>
      <c r="BD168" s="5"/>
      <c r="BE168" s="157"/>
      <c r="BF168" s="5"/>
      <c r="BG168" s="5"/>
      <c r="BH168" s="5"/>
      <c r="BI168" s="58"/>
    </row>
    <row r="169" spans="1:61" ht="15" customHeight="1">
      <c r="A169" s="57"/>
      <c r="B169" s="6"/>
      <c r="C169" s="25"/>
      <c r="I169" s="25"/>
      <c r="AM169" s="1"/>
      <c r="AN169" s="6"/>
      <c r="AO169" s="25"/>
      <c r="AP169" s="1"/>
      <c r="AQ169" s="6"/>
      <c r="BD169" s="5"/>
      <c r="BE169" s="157"/>
      <c r="BF169" s="5"/>
      <c r="BG169" s="5"/>
      <c r="BH169" s="5"/>
      <c r="BI169" s="58"/>
    </row>
    <row r="170" spans="1:61" ht="15" customHeight="1">
      <c r="A170" s="57"/>
      <c r="B170" s="6"/>
      <c r="C170" s="25"/>
      <c r="I170" s="25"/>
      <c r="AL170" s="1"/>
      <c r="AM170" s="1"/>
      <c r="AN170" s="6"/>
      <c r="AO170" s="25"/>
      <c r="AP170" s="1"/>
      <c r="AQ170" s="6"/>
      <c r="BD170" s="5"/>
      <c r="BE170" s="157"/>
      <c r="BF170" s="5"/>
      <c r="BG170" s="5"/>
      <c r="BH170" s="5"/>
      <c r="BI170" s="58"/>
    </row>
    <row r="171" spans="1:61" ht="15" customHeight="1">
      <c r="A171" s="57"/>
      <c r="B171" s="6"/>
      <c r="C171" s="25"/>
      <c r="I171" s="25"/>
      <c r="K171" s="1" t="s">
        <v>116</v>
      </c>
      <c r="AL171" s="1"/>
      <c r="AM171" s="1"/>
      <c r="AN171" s="6"/>
      <c r="AO171" s="141" t="s">
        <v>117</v>
      </c>
      <c r="AP171" s="39"/>
      <c r="AQ171" s="142"/>
      <c r="AR171" s="371" t="s">
        <v>223</v>
      </c>
      <c r="AS171" s="372"/>
      <c r="AT171" s="372"/>
      <c r="AU171" s="372"/>
      <c r="AV171" s="372"/>
      <c r="AW171" s="372"/>
      <c r="AX171" s="372"/>
      <c r="AY171" s="372"/>
      <c r="AZ171" s="372"/>
      <c r="BA171" s="372"/>
      <c r="BB171" s="372"/>
      <c r="BC171" s="372"/>
      <c r="BD171" s="372"/>
      <c r="BE171" s="373"/>
      <c r="BF171" s="153" t="s">
        <v>119</v>
      </c>
      <c r="BG171" s="153"/>
      <c r="BH171" s="153"/>
      <c r="BI171" s="154"/>
    </row>
    <row r="172" spans="1:61" ht="15" customHeight="1">
      <c r="A172" s="57"/>
      <c r="B172" s="6"/>
      <c r="C172" s="25"/>
      <c r="I172" s="25"/>
      <c r="AL172" s="1"/>
      <c r="AM172" s="1"/>
      <c r="AN172" s="6"/>
      <c r="AO172" s="25" t="s">
        <v>120</v>
      </c>
      <c r="AP172" s="1"/>
      <c r="AQ172" s="6"/>
      <c r="AR172" s="374"/>
      <c r="AS172" s="375"/>
      <c r="AT172" s="375"/>
      <c r="AU172" s="375"/>
      <c r="AV172" s="375"/>
      <c r="AW172" s="375"/>
      <c r="AX172" s="375"/>
      <c r="AY172" s="375"/>
      <c r="AZ172" s="375"/>
      <c r="BA172" s="375"/>
      <c r="BB172" s="375"/>
      <c r="BC172" s="375"/>
      <c r="BD172" s="375"/>
      <c r="BE172" s="376"/>
      <c r="BF172" s="5"/>
      <c r="BG172" s="5"/>
      <c r="BH172" s="5"/>
      <c r="BI172" s="58"/>
    </row>
    <row r="173" spans="1:61" ht="15" customHeight="1">
      <c r="A173" s="57"/>
      <c r="B173" s="6"/>
      <c r="C173" s="25"/>
      <c r="I173" s="25"/>
      <c r="AL173" s="1"/>
      <c r="AM173" s="1"/>
      <c r="AN173" s="6"/>
      <c r="AO173" s="25"/>
      <c r="AP173" s="1"/>
      <c r="AQ173" s="6"/>
      <c r="BD173" s="5"/>
      <c r="BE173" s="157"/>
      <c r="BF173" s="5"/>
      <c r="BG173" s="5"/>
      <c r="BH173" s="5"/>
      <c r="BI173" s="58"/>
    </row>
    <row r="174" spans="1:61" ht="15" customHeight="1">
      <c r="A174" s="57"/>
      <c r="B174" s="6"/>
      <c r="C174" s="25"/>
      <c r="I174" s="25"/>
      <c r="AL174" s="1"/>
      <c r="AM174" s="1"/>
      <c r="AN174" s="6"/>
      <c r="AO174" s="25"/>
      <c r="AP174" s="1"/>
      <c r="AQ174" s="6"/>
      <c r="AR174" s="1" t="s">
        <v>224</v>
      </c>
      <c r="BD174" s="5"/>
      <c r="BE174" s="157"/>
      <c r="BF174" s="5" t="s">
        <v>225</v>
      </c>
      <c r="BG174" s="5"/>
      <c r="BH174" s="5"/>
      <c r="BI174" s="58"/>
    </row>
    <row r="175" spans="1:61" ht="15" customHeight="1">
      <c r="A175" s="57"/>
      <c r="B175" s="6"/>
      <c r="C175" s="25"/>
      <c r="I175" s="25"/>
      <c r="AL175" s="1"/>
      <c r="AM175" s="1"/>
      <c r="AN175" s="6"/>
      <c r="AO175" s="25"/>
      <c r="AP175" s="1"/>
      <c r="AQ175" s="6"/>
      <c r="AR175" s="1" t="s">
        <v>226</v>
      </c>
      <c r="BD175" s="5"/>
      <c r="BE175" s="157"/>
      <c r="BF175" s="5" t="s">
        <v>227</v>
      </c>
      <c r="BG175" s="5"/>
      <c r="BH175" s="5"/>
      <c r="BI175" s="58"/>
    </row>
    <row r="176" spans="1:61" ht="15" customHeight="1">
      <c r="A176" s="57"/>
      <c r="B176" s="6"/>
      <c r="C176" s="25"/>
      <c r="I176" s="25"/>
      <c r="AL176" s="1"/>
      <c r="AM176" s="1"/>
      <c r="AN176" s="6"/>
      <c r="AO176" s="25"/>
      <c r="AP176" s="1"/>
      <c r="AQ176" s="6"/>
      <c r="AR176" s="1" t="s">
        <v>228</v>
      </c>
      <c r="BD176" s="5"/>
      <c r="BE176" s="157"/>
      <c r="BF176" s="5" t="s">
        <v>229</v>
      </c>
      <c r="BG176" s="5"/>
      <c r="BH176" s="5"/>
      <c r="BI176" s="58"/>
    </row>
    <row r="177" spans="1:61" ht="15" customHeight="1">
      <c r="A177" s="57"/>
      <c r="B177" s="6"/>
      <c r="C177" s="25"/>
      <c r="I177" s="25"/>
      <c r="AL177" s="1"/>
      <c r="AM177" s="1"/>
      <c r="AN177" s="6"/>
      <c r="AO177" s="59"/>
      <c r="AP177" s="18"/>
      <c r="AQ177" s="60"/>
      <c r="AR177" s="18" t="s">
        <v>230</v>
      </c>
      <c r="AS177" s="18"/>
      <c r="AT177" s="18"/>
      <c r="AU177" s="18"/>
      <c r="AV177" s="18"/>
      <c r="AW177" s="18"/>
      <c r="AX177" s="18"/>
      <c r="AY177" s="18"/>
      <c r="AZ177" s="18"/>
      <c r="BA177" s="18"/>
      <c r="BB177" s="18"/>
      <c r="BC177" s="18"/>
      <c r="BD177" s="61"/>
      <c r="BE177" s="158"/>
      <c r="BF177" s="61"/>
      <c r="BG177" s="61"/>
      <c r="BH177" s="61"/>
      <c r="BI177" s="62"/>
    </row>
    <row r="178" spans="1:61" ht="15" customHeight="1">
      <c r="A178" s="57"/>
      <c r="B178" s="6"/>
      <c r="C178" s="25"/>
      <c r="I178" s="25"/>
      <c r="AL178" s="1"/>
      <c r="AM178" s="1"/>
      <c r="AN178" s="6"/>
      <c r="AO178" s="25"/>
      <c r="AP178" s="1"/>
      <c r="AQ178" s="6"/>
      <c r="BD178" s="5"/>
      <c r="BE178" s="157"/>
      <c r="BF178" s="5"/>
      <c r="BG178" s="5"/>
      <c r="BH178" s="5"/>
      <c r="BI178" s="58"/>
    </row>
    <row r="179" spans="1:61" ht="15" customHeight="1">
      <c r="A179" s="57"/>
      <c r="B179" s="6"/>
      <c r="C179" s="25"/>
      <c r="I179" s="25"/>
      <c r="AL179" s="1"/>
      <c r="AM179" s="1"/>
      <c r="AN179" s="6"/>
      <c r="AO179" s="25"/>
      <c r="AP179" s="1"/>
      <c r="AQ179" s="6"/>
      <c r="BD179" s="5"/>
      <c r="BE179" s="157"/>
      <c r="BF179" s="5"/>
      <c r="BG179" s="5"/>
      <c r="BH179" s="5"/>
      <c r="BI179" s="58"/>
    </row>
    <row r="180" spans="1:61" ht="15" customHeight="1">
      <c r="A180" s="57"/>
      <c r="B180" s="6"/>
      <c r="C180" s="25"/>
      <c r="I180" s="25"/>
      <c r="J180" s="1" t="s">
        <v>231</v>
      </c>
      <c r="L180" s="1" t="s">
        <v>129</v>
      </c>
      <c r="AL180" s="1"/>
      <c r="AM180" s="1"/>
      <c r="AN180" s="6"/>
      <c r="AO180" s="25"/>
      <c r="AP180" s="1"/>
      <c r="AQ180" s="6"/>
      <c r="BD180" s="5"/>
      <c r="BE180" s="157"/>
      <c r="BF180" s="5"/>
      <c r="BG180" s="5"/>
      <c r="BH180" s="5"/>
      <c r="BI180" s="58"/>
    </row>
    <row r="181" spans="1:61" ht="15" customHeight="1">
      <c r="A181" s="57"/>
      <c r="B181" s="6"/>
      <c r="C181" s="25"/>
      <c r="I181" s="25"/>
      <c r="AL181" s="1"/>
      <c r="AM181" s="1"/>
      <c r="AN181" s="6"/>
      <c r="AO181" s="25"/>
      <c r="AP181" s="1"/>
      <c r="AQ181" s="6"/>
      <c r="BD181" s="5"/>
      <c r="BE181" s="157"/>
      <c r="BF181" s="5"/>
      <c r="BG181" s="5"/>
      <c r="BH181" s="5"/>
      <c r="BI181" s="58"/>
    </row>
    <row r="182" spans="1:61" ht="15" customHeight="1">
      <c r="A182" s="57"/>
      <c r="B182" s="6"/>
      <c r="C182" s="25"/>
      <c r="I182" s="25"/>
      <c r="K182" s="1" t="s">
        <v>232</v>
      </c>
      <c r="AL182" s="1"/>
      <c r="AM182" s="1"/>
      <c r="AN182" s="6"/>
      <c r="AO182" s="25"/>
      <c r="AP182" s="1"/>
      <c r="AQ182" s="6"/>
      <c r="BD182" s="5"/>
      <c r="BE182" s="157"/>
      <c r="BF182" s="5"/>
      <c r="BG182" s="5"/>
      <c r="BH182" s="5"/>
      <c r="BI182" s="58"/>
    </row>
    <row r="183" spans="1:61" ht="15" customHeight="1">
      <c r="A183" s="57"/>
      <c r="B183" s="6"/>
      <c r="C183" s="25"/>
      <c r="I183" s="25"/>
      <c r="AL183" s="1"/>
      <c r="AM183" s="1"/>
      <c r="AN183" s="6"/>
      <c r="AO183" s="25"/>
      <c r="AP183" s="1"/>
      <c r="AQ183" s="6"/>
      <c r="BD183" s="5"/>
      <c r="BE183" s="157"/>
      <c r="BF183" s="5"/>
      <c r="BG183" s="5"/>
      <c r="BH183" s="5"/>
      <c r="BI183" s="58"/>
    </row>
    <row r="184" spans="1:61" ht="15" customHeight="1">
      <c r="A184" s="57"/>
      <c r="B184" s="6"/>
      <c r="C184" s="25"/>
      <c r="I184" s="25"/>
      <c r="AL184" s="1"/>
      <c r="AM184" s="1"/>
      <c r="AN184" s="6"/>
      <c r="AO184" s="25"/>
      <c r="AP184" s="1"/>
      <c r="AQ184" s="6"/>
      <c r="BD184" s="5"/>
      <c r="BE184" s="157"/>
      <c r="BF184" s="5"/>
      <c r="BG184" s="5"/>
      <c r="BH184" s="5"/>
      <c r="BI184" s="58"/>
    </row>
    <row r="185" spans="1:61" ht="15" customHeight="1">
      <c r="A185" s="57"/>
      <c r="B185" s="6"/>
      <c r="C185" s="25"/>
      <c r="I185" s="25"/>
      <c r="J185" s="1" t="s">
        <v>233</v>
      </c>
      <c r="L185" s="1" t="s">
        <v>148</v>
      </c>
      <c r="AL185" s="1"/>
      <c r="AM185" s="1"/>
      <c r="AN185" s="6"/>
      <c r="AO185" s="25"/>
      <c r="AP185" s="1"/>
      <c r="AQ185" s="6"/>
      <c r="BD185" s="5"/>
      <c r="BE185" s="157"/>
      <c r="BF185" s="5"/>
      <c r="BG185" s="5"/>
      <c r="BH185" s="5"/>
      <c r="BI185" s="58"/>
    </row>
    <row r="186" spans="1:61" ht="15" customHeight="1">
      <c r="A186" s="57"/>
      <c r="B186" s="6"/>
      <c r="C186" s="25"/>
      <c r="I186" s="25"/>
      <c r="AL186" s="1"/>
      <c r="AM186" s="1"/>
      <c r="AN186" s="6"/>
      <c r="AO186" s="25"/>
      <c r="AP186" s="1"/>
      <c r="AQ186" s="6"/>
      <c r="BD186" s="5"/>
      <c r="BE186" s="157"/>
      <c r="BF186" s="5"/>
      <c r="BG186" s="5"/>
      <c r="BH186" s="5"/>
      <c r="BI186" s="58"/>
    </row>
    <row r="187" spans="1:61" ht="15" customHeight="1">
      <c r="A187" s="57"/>
      <c r="B187" s="6"/>
      <c r="C187" s="25"/>
      <c r="I187" s="25"/>
      <c r="K187" s="1" t="s">
        <v>149</v>
      </c>
      <c r="AL187" s="1"/>
      <c r="AM187" s="1"/>
      <c r="AN187" s="6"/>
      <c r="AO187" s="25"/>
      <c r="AP187" s="1"/>
      <c r="AQ187" s="6"/>
      <c r="BD187" s="5"/>
      <c r="BE187" s="157"/>
      <c r="BF187" s="5"/>
      <c r="BG187" s="5"/>
      <c r="BH187" s="5"/>
      <c r="BI187" s="58"/>
    </row>
    <row r="188" spans="1:61" ht="15" customHeight="1">
      <c r="A188" s="57"/>
      <c r="B188" s="6"/>
      <c r="C188" s="25"/>
      <c r="I188" s="25"/>
      <c r="K188" s="1" t="s">
        <v>150</v>
      </c>
      <c r="AL188" s="1"/>
      <c r="AM188" s="1"/>
      <c r="AN188" s="6"/>
      <c r="AO188" s="25"/>
      <c r="AP188" s="1"/>
      <c r="AQ188" s="6"/>
      <c r="BD188" s="5"/>
      <c r="BE188" s="157"/>
      <c r="BF188" s="5"/>
      <c r="BG188" s="5"/>
      <c r="BH188" s="5"/>
      <c r="BI188" s="58"/>
    </row>
    <row r="189" spans="1:61" ht="15" customHeight="1">
      <c r="A189" s="57"/>
      <c r="B189" s="6"/>
      <c r="C189" s="25"/>
      <c r="I189" s="25"/>
      <c r="AL189" s="1"/>
      <c r="AM189" s="1"/>
      <c r="AN189" s="6"/>
      <c r="AO189" s="25"/>
      <c r="AP189" s="1"/>
      <c r="AQ189" s="6"/>
      <c r="BD189" s="5"/>
      <c r="BE189" s="157"/>
      <c r="BF189" s="5"/>
      <c r="BG189" s="5"/>
      <c r="BH189" s="5"/>
      <c r="BI189" s="58"/>
    </row>
    <row r="190" spans="1:61" ht="15" customHeight="1">
      <c r="A190" s="57"/>
      <c r="B190" s="6"/>
      <c r="C190" s="25"/>
      <c r="I190" s="25"/>
      <c r="L190" s="1" t="s">
        <v>234</v>
      </c>
      <c r="AL190" s="1"/>
      <c r="AM190" s="1"/>
      <c r="AN190" s="6"/>
      <c r="AO190" s="25"/>
      <c r="AP190" s="1"/>
      <c r="AQ190" s="6"/>
      <c r="BD190" s="5"/>
      <c r="BE190" s="157"/>
      <c r="BF190" s="5"/>
      <c r="BG190" s="5"/>
      <c r="BH190" s="5"/>
      <c r="BI190" s="58"/>
    </row>
    <row r="191" spans="1:61" ht="15" customHeight="1">
      <c r="A191" s="57"/>
      <c r="B191" s="6"/>
      <c r="C191" s="25"/>
      <c r="I191" s="25"/>
      <c r="M191" s="1" t="s">
        <v>235</v>
      </c>
      <c r="AL191" s="1"/>
      <c r="AM191" s="1"/>
      <c r="AN191" s="6"/>
      <c r="AO191" s="141" t="s">
        <v>117</v>
      </c>
      <c r="AP191" s="39"/>
      <c r="AQ191" s="142"/>
      <c r="AR191" s="160" t="s">
        <v>153</v>
      </c>
      <c r="AS191" s="151"/>
      <c r="AT191" s="151"/>
      <c r="AU191" s="151"/>
      <c r="AV191" s="151"/>
      <c r="AW191" s="151"/>
      <c r="AX191" s="151"/>
      <c r="AY191" s="151"/>
      <c r="AZ191" s="151"/>
      <c r="BA191" s="151"/>
      <c r="BB191" s="151"/>
      <c r="BC191" s="151"/>
      <c r="BD191" s="151"/>
      <c r="BE191" s="152"/>
      <c r="BF191" s="153" t="s">
        <v>482</v>
      </c>
      <c r="BG191" s="153"/>
      <c r="BH191" s="153"/>
      <c r="BI191" s="154"/>
    </row>
    <row r="192" spans="1:61" ht="15" customHeight="1">
      <c r="A192" s="57"/>
      <c r="B192" s="6"/>
      <c r="C192" s="25"/>
      <c r="I192" s="25"/>
      <c r="AL192" s="1"/>
      <c r="AM192" s="1"/>
      <c r="AN192" s="6"/>
      <c r="AO192" s="25" t="s">
        <v>120</v>
      </c>
      <c r="AP192" s="1"/>
      <c r="AQ192" s="6"/>
      <c r="AR192" s="149"/>
      <c r="AS192" s="63"/>
      <c r="AT192" s="63"/>
      <c r="AU192" s="63"/>
      <c r="AV192" s="63"/>
      <c r="AW192" s="63"/>
      <c r="AX192" s="63"/>
      <c r="AY192" s="63"/>
      <c r="AZ192" s="63"/>
      <c r="BA192" s="63"/>
      <c r="BB192" s="63"/>
      <c r="BC192" s="63"/>
      <c r="BD192" s="63"/>
      <c r="BE192" s="150"/>
      <c r="BF192" s="5"/>
      <c r="BG192" s="5"/>
      <c r="BH192" s="5"/>
      <c r="BI192" s="58"/>
    </row>
    <row r="193" spans="1:61" ht="15" customHeight="1">
      <c r="A193" s="57"/>
      <c r="B193" s="6"/>
      <c r="C193" s="25"/>
      <c r="I193" s="25"/>
      <c r="AL193" s="1"/>
      <c r="AM193" s="1"/>
      <c r="AN193" s="6"/>
      <c r="AO193" s="59"/>
      <c r="AP193" s="18"/>
      <c r="AQ193" s="60"/>
      <c r="AR193" s="18" t="s">
        <v>236</v>
      </c>
      <c r="AS193" s="18"/>
      <c r="AT193" s="18"/>
      <c r="AU193" s="18"/>
      <c r="AV193" s="18"/>
      <c r="AW193" s="18"/>
      <c r="AX193" s="18"/>
      <c r="AY193" s="18"/>
      <c r="AZ193" s="18"/>
      <c r="BA193" s="18"/>
      <c r="BB193" s="18"/>
      <c r="BC193" s="18"/>
      <c r="BD193" s="61"/>
      <c r="BE193" s="158"/>
      <c r="BF193" s="61"/>
      <c r="BG193" s="61"/>
      <c r="BH193" s="61"/>
      <c r="BI193" s="62"/>
    </row>
    <row r="194" spans="1:61" ht="15" customHeight="1">
      <c r="A194" s="57"/>
      <c r="B194" s="6"/>
      <c r="C194" s="25"/>
      <c r="I194" s="25"/>
      <c r="AL194" s="1"/>
      <c r="AM194" s="1"/>
      <c r="AN194" s="6"/>
      <c r="AO194" s="25"/>
      <c r="AP194" s="1"/>
      <c r="AQ194" s="6"/>
      <c r="BD194" s="5"/>
      <c r="BE194" s="157"/>
      <c r="BF194" s="5"/>
      <c r="BG194" s="5"/>
      <c r="BH194" s="5"/>
      <c r="BI194" s="58"/>
    </row>
    <row r="195" spans="1:61" ht="15" customHeight="1">
      <c r="A195" s="57"/>
      <c r="B195" s="6"/>
      <c r="C195" s="25"/>
      <c r="I195" s="25"/>
      <c r="L195" s="1" t="s">
        <v>237</v>
      </c>
      <c r="AL195" s="1"/>
      <c r="AM195" s="1"/>
      <c r="AN195" s="6"/>
      <c r="AO195" s="25"/>
      <c r="AP195" s="1"/>
      <c r="AQ195" s="6"/>
      <c r="BD195" s="5"/>
      <c r="BE195" s="157"/>
      <c r="BF195" s="5"/>
      <c r="BG195" s="5"/>
      <c r="BH195" s="5"/>
      <c r="BI195" s="58"/>
    </row>
    <row r="196" spans="1:61" ht="15" customHeight="1">
      <c r="A196" s="57"/>
      <c r="B196" s="6"/>
      <c r="C196" s="25"/>
      <c r="I196" s="25"/>
      <c r="M196" s="1" t="s">
        <v>157</v>
      </c>
      <c r="AL196" s="1"/>
      <c r="AM196" s="1"/>
      <c r="AN196" s="6"/>
      <c r="AO196" s="141" t="s">
        <v>117</v>
      </c>
      <c r="AP196" s="39"/>
      <c r="AQ196" s="142"/>
      <c r="AR196" s="160" t="s">
        <v>153</v>
      </c>
      <c r="AS196" s="151"/>
      <c r="AT196" s="151"/>
      <c r="AU196" s="151"/>
      <c r="AV196" s="151"/>
      <c r="AW196" s="151"/>
      <c r="AX196" s="151"/>
      <c r="AY196" s="151"/>
      <c r="AZ196" s="151"/>
      <c r="BA196" s="151"/>
      <c r="BB196" s="151"/>
      <c r="BC196" s="151"/>
      <c r="BD196" s="151"/>
      <c r="BE196" s="152"/>
      <c r="BF196" s="153" t="s">
        <v>154</v>
      </c>
      <c r="BG196" s="153"/>
      <c r="BH196" s="153"/>
      <c r="BI196" s="154"/>
    </row>
    <row r="197" spans="1:61" ht="15" customHeight="1">
      <c r="A197" s="57"/>
      <c r="B197" s="6"/>
      <c r="C197" s="25"/>
      <c r="I197" s="25"/>
      <c r="AL197" s="1"/>
      <c r="AM197" s="1"/>
      <c r="AN197" s="6"/>
      <c r="AO197" s="25" t="s">
        <v>120</v>
      </c>
      <c r="AP197" s="1"/>
      <c r="AQ197" s="6"/>
      <c r="AR197" s="149"/>
      <c r="AS197" s="63"/>
      <c r="AT197" s="63"/>
      <c r="AU197" s="63"/>
      <c r="AV197" s="63"/>
      <c r="AW197" s="63"/>
      <c r="AX197" s="63"/>
      <c r="AY197" s="63"/>
      <c r="AZ197" s="63"/>
      <c r="BA197" s="63"/>
      <c r="BB197" s="63"/>
      <c r="BC197" s="63"/>
      <c r="BD197" s="63"/>
      <c r="BE197" s="150"/>
      <c r="BF197" s="5"/>
      <c r="BG197" s="5"/>
      <c r="BH197" s="5"/>
      <c r="BI197" s="58"/>
    </row>
    <row r="198" spans="1:61" ht="15" customHeight="1">
      <c r="A198" s="57"/>
      <c r="B198" s="6"/>
      <c r="C198" s="25"/>
      <c r="I198" s="25"/>
      <c r="AL198" s="1"/>
      <c r="AM198" s="1"/>
      <c r="AN198" s="6"/>
      <c r="AO198" s="59"/>
      <c r="AP198" s="18"/>
      <c r="AQ198" s="60"/>
      <c r="AR198" s="18" t="s">
        <v>238</v>
      </c>
      <c r="AS198" s="18"/>
      <c r="AT198" s="18"/>
      <c r="AU198" s="18"/>
      <c r="AV198" s="18"/>
      <c r="AW198" s="18"/>
      <c r="AX198" s="18"/>
      <c r="AY198" s="18"/>
      <c r="AZ198" s="18"/>
      <c r="BA198" s="18"/>
      <c r="BB198" s="18"/>
      <c r="BC198" s="18"/>
      <c r="BD198" s="61"/>
      <c r="BE198" s="158"/>
      <c r="BF198" s="61"/>
      <c r="BG198" s="61"/>
      <c r="BH198" s="61"/>
      <c r="BI198" s="62"/>
    </row>
    <row r="199" spans="1:61" ht="15" customHeight="1">
      <c r="A199" s="57"/>
      <c r="B199" s="6"/>
      <c r="C199" s="25"/>
      <c r="I199" s="25"/>
      <c r="AL199" s="1"/>
      <c r="AM199" s="1"/>
      <c r="AN199" s="6"/>
      <c r="AO199" s="25"/>
      <c r="AP199" s="1"/>
      <c r="AQ199" s="6"/>
      <c r="BD199" s="5"/>
      <c r="BE199" s="157"/>
      <c r="BF199" s="5"/>
      <c r="BG199" s="5"/>
      <c r="BH199" s="5"/>
      <c r="BI199" s="58"/>
    </row>
    <row r="200" spans="1:61" ht="15" customHeight="1">
      <c r="A200" s="57"/>
      <c r="B200" s="6"/>
      <c r="C200" s="25"/>
      <c r="I200" s="25"/>
      <c r="L200" s="1" t="s">
        <v>239</v>
      </c>
      <c r="AL200" s="1"/>
      <c r="AM200" s="1"/>
      <c r="AN200" s="6"/>
      <c r="AO200" s="25"/>
      <c r="AP200" s="1"/>
      <c r="AQ200" s="6"/>
      <c r="BD200" s="5"/>
      <c r="BE200" s="157"/>
      <c r="BF200" s="5"/>
      <c r="BG200" s="5"/>
      <c r="BH200" s="5"/>
      <c r="BI200" s="58"/>
    </row>
    <row r="201" spans="1:61" ht="15" customHeight="1">
      <c r="A201" s="57"/>
      <c r="B201" s="6"/>
      <c r="C201" s="25"/>
      <c r="I201" s="25"/>
      <c r="M201" s="1" t="s">
        <v>240</v>
      </c>
      <c r="AL201" s="1"/>
      <c r="AM201" s="1"/>
      <c r="AN201" s="6"/>
      <c r="AO201" s="141" t="s">
        <v>117</v>
      </c>
      <c r="AP201" s="39"/>
      <c r="AQ201" s="142"/>
      <c r="AR201" s="160" t="s">
        <v>153</v>
      </c>
      <c r="AS201" s="151"/>
      <c r="AT201" s="151"/>
      <c r="AU201" s="151"/>
      <c r="AV201" s="151"/>
      <c r="AW201" s="151"/>
      <c r="AX201" s="151"/>
      <c r="AY201" s="151"/>
      <c r="AZ201" s="151"/>
      <c r="BA201" s="151"/>
      <c r="BB201" s="151"/>
      <c r="BC201" s="151"/>
      <c r="BD201" s="151"/>
      <c r="BE201" s="152"/>
      <c r="BF201" s="153" t="s">
        <v>154</v>
      </c>
      <c r="BG201" s="153"/>
      <c r="BH201" s="153"/>
      <c r="BI201" s="154"/>
    </row>
    <row r="202" spans="1:61" ht="15" customHeight="1">
      <c r="A202" s="57"/>
      <c r="B202" s="6"/>
      <c r="C202" s="25"/>
      <c r="I202" s="25"/>
      <c r="AL202" s="1"/>
      <c r="AM202" s="1"/>
      <c r="AN202" s="6"/>
      <c r="AO202" s="25" t="s">
        <v>120</v>
      </c>
      <c r="AP202" s="1"/>
      <c r="AQ202" s="6"/>
      <c r="AR202" s="149"/>
      <c r="AS202" s="63"/>
      <c r="AT202" s="63"/>
      <c r="AU202" s="63"/>
      <c r="AV202" s="63"/>
      <c r="AW202" s="63"/>
      <c r="AX202" s="63"/>
      <c r="AY202" s="63"/>
      <c r="AZ202" s="63"/>
      <c r="BA202" s="63"/>
      <c r="BB202" s="63"/>
      <c r="BC202" s="63"/>
      <c r="BD202" s="63"/>
      <c r="BE202" s="150"/>
      <c r="BF202" s="5"/>
      <c r="BG202" s="5"/>
      <c r="BH202" s="5"/>
      <c r="BI202" s="58"/>
    </row>
    <row r="203" spans="1:61" ht="15" customHeight="1">
      <c r="A203" s="57"/>
      <c r="B203" s="6"/>
      <c r="C203" s="25"/>
      <c r="I203" s="25"/>
      <c r="AL203" s="1"/>
      <c r="AM203" s="1"/>
      <c r="AN203" s="6"/>
      <c r="AO203" s="59"/>
      <c r="AP203" s="18"/>
      <c r="AQ203" s="60"/>
      <c r="AR203" s="18" t="s">
        <v>241</v>
      </c>
      <c r="AS203" s="18"/>
      <c r="AT203" s="18"/>
      <c r="AU203" s="18"/>
      <c r="AV203" s="18"/>
      <c r="AW203" s="18"/>
      <c r="AX203" s="18"/>
      <c r="AY203" s="18"/>
      <c r="AZ203" s="18"/>
      <c r="BA203" s="18"/>
      <c r="BB203" s="18"/>
      <c r="BC203" s="18"/>
      <c r="BD203" s="61"/>
      <c r="BE203" s="158"/>
      <c r="BF203" s="61"/>
      <c r="BG203" s="61"/>
      <c r="BH203" s="61"/>
      <c r="BI203" s="62"/>
    </row>
    <row r="204" spans="1:61" ht="15" customHeight="1">
      <c r="A204" s="57"/>
      <c r="B204" s="6"/>
      <c r="C204" s="25"/>
      <c r="I204" s="25"/>
      <c r="AL204" s="1"/>
      <c r="AM204" s="1"/>
      <c r="AN204" s="6"/>
      <c r="AO204" s="25"/>
      <c r="AP204" s="1"/>
      <c r="AQ204" s="6"/>
      <c r="BD204" s="5"/>
      <c r="BE204" s="157"/>
      <c r="BF204" s="5"/>
      <c r="BG204" s="5"/>
      <c r="BH204" s="5"/>
      <c r="BI204" s="58"/>
    </row>
    <row r="205" spans="1:61" ht="15" customHeight="1">
      <c r="A205" s="57"/>
      <c r="B205" s="6"/>
      <c r="C205" s="25"/>
      <c r="I205" s="25"/>
      <c r="L205" s="1" t="s">
        <v>242</v>
      </c>
      <c r="AL205" s="1"/>
      <c r="AM205" s="1"/>
      <c r="AN205" s="6"/>
      <c r="AO205" s="25"/>
      <c r="AP205" s="1"/>
      <c r="AQ205" s="6"/>
      <c r="BD205" s="5"/>
      <c r="BE205" s="157"/>
      <c r="BF205" s="5"/>
      <c r="BG205" s="5"/>
      <c r="BH205" s="5"/>
      <c r="BI205" s="58"/>
    </row>
    <row r="206" spans="1:61" ht="15" customHeight="1">
      <c r="A206" s="57"/>
      <c r="B206" s="6"/>
      <c r="C206" s="25"/>
      <c r="I206" s="25"/>
      <c r="M206" s="1" t="s">
        <v>243</v>
      </c>
      <c r="AL206" s="1"/>
      <c r="AM206" s="1"/>
      <c r="AN206" s="6"/>
      <c r="AO206" s="141" t="s">
        <v>117</v>
      </c>
      <c r="AP206" s="39"/>
      <c r="AQ206" s="142"/>
      <c r="AR206" s="160" t="s">
        <v>153</v>
      </c>
      <c r="AS206" s="151"/>
      <c r="AT206" s="151"/>
      <c r="AU206" s="151"/>
      <c r="AV206" s="151"/>
      <c r="AW206" s="151"/>
      <c r="AX206" s="151"/>
      <c r="AY206" s="151"/>
      <c r="AZ206" s="151"/>
      <c r="BA206" s="151"/>
      <c r="BB206" s="151"/>
      <c r="BC206" s="151"/>
      <c r="BD206" s="151"/>
      <c r="BE206" s="152"/>
      <c r="BF206" s="153" t="s">
        <v>154</v>
      </c>
      <c r="BG206" s="153"/>
      <c r="BH206" s="153"/>
      <c r="BI206" s="154"/>
    </row>
    <row r="207" spans="1:61" ht="15" customHeight="1">
      <c r="A207" s="57"/>
      <c r="B207" s="6"/>
      <c r="C207" s="25"/>
      <c r="I207" s="25"/>
      <c r="AL207" s="1"/>
      <c r="AM207" s="1"/>
      <c r="AN207" s="6"/>
      <c r="AO207" s="25" t="s">
        <v>120</v>
      </c>
      <c r="AP207" s="1"/>
      <c r="AQ207" s="6"/>
      <c r="AR207" s="149"/>
      <c r="AS207" s="63"/>
      <c r="AT207" s="63"/>
      <c r="AU207" s="63"/>
      <c r="AV207" s="63"/>
      <c r="AW207" s="63"/>
      <c r="AX207" s="63"/>
      <c r="AY207" s="63"/>
      <c r="AZ207" s="63"/>
      <c r="BA207" s="63"/>
      <c r="BB207" s="63"/>
      <c r="BC207" s="63"/>
      <c r="BD207" s="63"/>
      <c r="BE207" s="150"/>
      <c r="BF207" s="5"/>
      <c r="BG207" s="5"/>
      <c r="BH207" s="5"/>
      <c r="BI207" s="58"/>
    </row>
    <row r="208" spans="1:61" ht="15" customHeight="1">
      <c r="A208" s="57"/>
      <c r="B208" s="6"/>
      <c r="C208" s="25"/>
      <c r="I208" s="25"/>
      <c r="AL208" s="1"/>
      <c r="AM208" s="1"/>
      <c r="AN208" s="6"/>
      <c r="AO208" s="59"/>
      <c r="AP208" s="18"/>
      <c r="AQ208" s="60"/>
      <c r="AR208" s="18" t="s">
        <v>244</v>
      </c>
      <c r="AS208" s="18"/>
      <c r="AT208" s="18"/>
      <c r="AU208" s="18"/>
      <c r="AV208" s="18"/>
      <c r="AW208" s="18"/>
      <c r="AX208" s="18"/>
      <c r="AY208" s="18"/>
      <c r="AZ208" s="18"/>
      <c r="BA208" s="18"/>
      <c r="BB208" s="18"/>
      <c r="BC208" s="18"/>
      <c r="BD208" s="61"/>
      <c r="BE208" s="158"/>
      <c r="BF208" s="61"/>
      <c r="BG208" s="61"/>
      <c r="BH208" s="61"/>
      <c r="BI208" s="62"/>
    </row>
    <row r="209" spans="1:61" ht="15" customHeight="1">
      <c r="A209" s="57"/>
      <c r="B209" s="6"/>
      <c r="C209" s="25"/>
      <c r="I209" s="25"/>
      <c r="AL209" s="1"/>
      <c r="AM209" s="1"/>
      <c r="AN209" s="6"/>
      <c r="AO209" s="25"/>
      <c r="AP209" s="1"/>
      <c r="AQ209" s="6"/>
      <c r="BD209" s="5"/>
      <c r="BE209" s="157"/>
      <c r="BF209" s="5"/>
      <c r="BG209" s="5"/>
      <c r="BH209" s="5"/>
      <c r="BI209" s="58"/>
    </row>
    <row r="210" spans="1:61" ht="15" customHeight="1">
      <c r="A210" s="57"/>
      <c r="B210" s="6"/>
      <c r="C210" s="25"/>
      <c r="I210" s="25"/>
      <c r="AL210" s="1"/>
      <c r="AM210" s="1"/>
      <c r="AN210" s="6"/>
      <c r="AO210" s="25"/>
      <c r="AP210" s="1"/>
      <c r="AQ210" s="6"/>
      <c r="BD210" s="5"/>
      <c r="BE210" s="157"/>
      <c r="BF210" s="5"/>
      <c r="BG210" s="5"/>
      <c r="BH210" s="5"/>
      <c r="BI210" s="58"/>
    </row>
    <row r="211" spans="1:61" ht="15" customHeight="1">
      <c r="A211" s="57"/>
      <c r="B211" s="6"/>
      <c r="C211" s="25"/>
      <c r="I211" s="25"/>
      <c r="J211" s="1" t="s">
        <v>245</v>
      </c>
      <c r="L211" s="1" t="s">
        <v>160</v>
      </c>
      <c r="AL211" s="1"/>
      <c r="AM211" s="1"/>
      <c r="AN211" s="6"/>
      <c r="AO211" s="25"/>
      <c r="AP211" s="1"/>
      <c r="AQ211" s="6"/>
      <c r="BD211" s="5"/>
      <c r="BE211" s="157"/>
      <c r="BF211" s="5"/>
      <c r="BG211" s="5"/>
      <c r="BH211" s="5"/>
      <c r="BI211" s="58"/>
    </row>
    <row r="212" spans="1:61" ht="15" customHeight="1">
      <c r="A212" s="57"/>
      <c r="B212" s="6"/>
      <c r="C212" s="25"/>
      <c r="I212" s="25"/>
      <c r="AL212" s="1"/>
      <c r="AM212" s="1"/>
      <c r="AN212" s="6"/>
      <c r="AO212" s="25"/>
      <c r="AP212" s="1"/>
      <c r="AQ212" s="6"/>
      <c r="BD212" s="5"/>
      <c r="BE212" s="157"/>
      <c r="BF212" s="5"/>
      <c r="BG212" s="5"/>
      <c r="BH212" s="5"/>
      <c r="BI212" s="58"/>
    </row>
    <row r="213" spans="1:61" ht="15" customHeight="1">
      <c r="A213" s="57"/>
      <c r="B213" s="6"/>
      <c r="C213" s="25"/>
      <c r="I213" s="25"/>
      <c r="K213" s="1" t="s">
        <v>246</v>
      </c>
      <c r="AL213" s="1"/>
      <c r="AM213" s="1"/>
      <c r="AN213" s="6"/>
      <c r="AO213" s="25"/>
      <c r="AP213" s="1"/>
      <c r="AQ213" s="6"/>
      <c r="BD213" s="5"/>
      <c r="BE213" s="157"/>
      <c r="BF213" s="5"/>
      <c r="BG213" s="5"/>
      <c r="BH213" s="5"/>
      <c r="BI213" s="58"/>
    </row>
    <row r="214" spans="1:61" ht="15" customHeight="1">
      <c r="A214" s="57"/>
      <c r="B214" s="6"/>
      <c r="C214" s="25"/>
      <c r="I214" s="25"/>
      <c r="AL214" s="1"/>
      <c r="AM214" s="1"/>
      <c r="AN214" s="6"/>
      <c r="AO214" s="25"/>
      <c r="AP214" s="1"/>
      <c r="AQ214" s="6"/>
      <c r="BD214" s="5"/>
      <c r="BE214" s="157"/>
      <c r="BF214" s="5"/>
      <c r="BG214" s="5"/>
      <c r="BH214" s="5"/>
      <c r="BI214" s="58"/>
    </row>
    <row r="215" spans="1:61" ht="15" customHeight="1">
      <c r="A215" s="57"/>
      <c r="B215" s="6"/>
      <c r="C215" s="25"/>
      <c r="I215" s="25"/>
      <c r="L215" s="1" t="s">
        <v>163</v>
      </c>
      <c r="AL215" s="1"/>
      <c r="AM215" s="1"/>
      <c r="AN215" s="6"/>
      <c r="AO215" s="25"/>
      <c r="AP215" s="1"/>
      <c r="AQ215" s="6"/>
      <c r="BD215" s="5"/>
      <c r="BE215" s="157"/>
      <c r="BF215" s="5"/>
      <c r="BG215" s="5"/>
      <c r="BH215" s="5"/>
      <c r="BI215" s="58"/>
    </row>
    <row r="216" spans="1:61" ht="15" customHeight="1">
      <c r="A216" s="57"/>
      <c r="B216" s="6"/>
      <c r="C216" s="25"/>
      <c r="I216" s="25"/>
      <c r="M216" s="1" t="s">
        <v>247</v>
      </c>
      <c r="AL216" s="1"/>
      <c r="AM216" s="1"/>
      <c r="AN216" s="6"/>
      <c r="AO216" s="25"/>
      <c r="AP216" s="1"/>
      <c r="AQ216" s="6"/>
      <c r="BD216" s="5"/>
      <c r="BE216" s="157"/>
      <c r="BF216" s="5"/>
      <c r="BG216" s="5"/>
      <c r="BH216" s="5"/>
      <c r="BI216" s="58"/>
    </row>
    <row r="217" spans="1:61" ht="15" customHeight="1">
      <c r="A217" s="57"/>
      <c r="B217" s="6"/>
      <c r="C217" s="25"/>
      <c r="I217" s="25"/>
      <c r="AL217" s="1"/>
      <c r="AM217" s="1"/>
      <c r="AN217" s="6"/>
      <c r="AO217" s="25"/>
      <c r="AP217" s="1"/>
      <c r="AQ217" s="6"/>
      <c r="BD217" s="5"/>
      <c r="BE217" s="157"/>
      <c r="BF217" s="5"/>
      <c r="BG217" s="5"/>
      <c r="BH217" s="5"/>
      <c r="BI217" s="58"/>
    </row>
    <row r="218" spans="1:61" ht="15" customHeight="1">
      <c r="A218" s="57"/>
      <c r="B218" s="6"/>
      <c r="C218" s="25"/>
      <c r="I218" s="25"/>
      <c r="L218" s="1" t="s">
        <v>165</v>
      </c>
      <c r="Q218" s="181" t="s">
        <v>501</v>
      </c>
      <c r="W218" s="181" t="s">
        <v>502</v>
      </c>
      <c r="AL218" s="1"/>
      <c r="AM218" s="1"/>
      <c r="AN218" s="6"/>
      <c r="AO218" s="25"/>
      <c r="AP218" s="1"/>
      <c r="AQ218" s="6"/>
      <c r="BD218" s="5"/>
      <c r="BE218" s="157"/>
      <c r="BF218" s="5"/>
      <c r="BG218" s="5"/>
      <c r="BH218" s="5"/>
      <c r="BI218" s="58"/>
    </row>
    <row r="219" spans="1:61" ht="15" customHeight="1">
      <c r="A219" s="57"/>
      <c r="B219" s="6"/>
      <c r="C219" s="25"/>
      <c r="I219" s="25"/>
      <c r="M219" s="1" t="s">
        <v>490</v>
      </c>
      <c r="AL219" s="1"/>
      <c r="AM219" s="1"/>
      <c r="AN219" s="6"/>
      <c r="AO219" s="25"/>
      <c r="AP219" s="1"/>
      <c r="AQ219" s="6"/>
      <c r="BD219" s="5"/>
      <c r="BE219" s="157"/>
      <c r="BF219" s="5"/>
      <c r="BG219" s="5"/>
      <c r="BH219" s="5"/>
      <c r="BI219" s="58"/>
    </row>
    <row r="220" spans="1:61" ht="15" customHeight="1">
      <c r="A220" s="57"/>
      <c r="B220" s="6"/>
      <c r="C220" s="25"/>
      <c r="I220" s="25"/>
      <c r="AL220" s="1"/>
      <c r="AM220" s="1"/>
      <c r="AN220" s="6"/>
      <c r="AO220" s="25"/>
      <c r="AP220" s="1"/>
      <c r="AQ220" s="6"/>
      <c r="BD220" s="5"/>
      <c r="BE220" s="157"/>
      <c r="BF220" s="5"/>
      <c r="BG220" s="5"/>
      <c r="BH220" s="5"/>
      <c r="BI220" s="58"/>
    </row>
    <row r="221" spans="1:61" ht="15" customHeight="1">
      <c r="A221" s="57"/>
      <c r="B221" s="6"/>
      <c r="C221" s="25"/>
      <c r="I221" s="25"/>
      <c r="L221" s="1" t="s">
        <v>169</v>
      </c>
      <c r="AL221" s="1"/>
      <c r="AM221" s="1"/>
      <c r="AN221" s="6"/>
      <c r="AO221" s="25"/>
      <c r="AP221" s="1"/>
      <c r="AQ221" s="6"/>
      <c r="BD221" s="5"/>
      <c r="BE221" s="157"/>
      <c r="BF221" s="5"/>
      <c r="BG221" s="5"/>
      <c r="BH221" s="5"/>
      <c r="BI221" s="58"/>
    </row>
    <row r="222" spans="1:61" ht="15" customHeight="1">
      <c r="A222" s="57"/>
      <c r="B222" s="6"/>
      <c r="C222" s="25"/>
      <c r="I222" s="25"/>
      <c r="M222" s="161" t="s">
        <v>492</v>
      </c>
      <c r="N222" s="162"/>
      <c r="O222" s="162"/>
      <c r="P222" s="162"/>
      <c r="Q222" s="162"/>
      <c r="R222" s="162"/>
      <c r="S222" s="162"/>
      <c r="T222" s="162"/>
      <c r="U222" s="163"/>
      <c r="V222" s="164" t="s">
        <v>171</v>
      </c>
      <c r="W222" s="165"/>
      <c r="X222" s="165"/>
      <c r="Y222" s="165"/>
      <c r="Z222" s="166"/>
      <c r="AA222" s="167" t="s">
        <v>172</v>
      </c>
      <c r="AB222" s="167"/>
      <c r="AC222" s="167"/>
      <c r="AD222" s="167"/>
      <c r="AE222" s="167"/>
      <c r="AF222" s="168"/>
      <c r="AL222" s="1"/>
      <c r="AM222" s="1"/>
      <c r="AN222" s="6"/>
      <c r="AO222" s="25"/>
      <c r="AP222" s="1"/>
      <c r="AQ222" s="6"/>
      <c r="BD222" s="5"/>
      <c r="BE222" s="157"/>
      <c r="BF222" s="5"/>
      <c r="BG222" s="5"/>
      <c r="BH222" s="5"/>
      <c r="BI222" s="58"/>
    </row>
    <row r="223" spans="1:61" ht="15" customHeight="1">
      <c r="A223" s="57"/>
      <c r="B223" s="6"/>
      <c r="C223" s="25"/>
      <c r="I223" s="25"/>
      <c r="M223" s="25" t="s">
        <v>248</v>
      </c>
      <c r="V223" s="141" t="s">
        <v>174</v>
      </c>
      <c r="W223" s="39"/>
      <c r="X223" s="39"/>
      <c r="Y223" s="39"/>
      <c r="Z223" s="142"/>
      <c r="AA223" s="39" t="s">
        <v>249</v>
      </c>
      <c r="AB223" s="39"/>
      <c r="AC223" s="39"/>
      <c r="AD223" s="39"/>
      <c r="AE223" s="39"/>
      <c r="AF223" s="142"/>
      <c r="AL223" s="1"/>
      <c r="AM223" s="1"/>
      <c r="AN223" s="6"/>
      <c r="AO223" s="25"/>
      <c r="AP223" s="1"/>
      <c r="AQ223" s="6"/>
      <c r="BD223" s="5"/>
      <c r="BE223" s="157"/>
      <c r="BF223" s="5"/>
      <c r="BG223" s="5"/>
      <c r="BH223" s="5"/>
      <c r="BI223" s="58"/>
    </row>
    <row r="224" spans="1:61" ht="15" customHeight="1">
      <c r="A224" s="57"/>
      <c r="B224" s="6"/>
      <c r="C224" s="25"/>
      <c r="I224" s="25"/>
      <c r="M224" s="59"/>
      <c r="N224" s="18"/>
      <c r="O224" s="18"/>
      <c r="P224" s="18"/>
      <c r="Q224" s="18"/>
      <c r="R224" s="18"/>
      <c r="S224" s="18"/>
      <c r="T224" s="18"/>
      <c r="U224" s="18"/>
      <c r="V224" s="59" t="s">
        <v>176</v>
      </c>
      <c r="W224" s="18"/>
      <c r="X224" s="18"/>
      <c r="Y224" s="18"/>
      <c r="Z224" s="60"/>
      <c r="AA224" s="18" t="s">
        <v>175</v>
      </c>
      <c r="AB224" s="18"/>
      <c r="AC224" s="18"/>
      <c r="AD224" s="18"/>
      <c r="AE224" s="18"/>
      <c r="AF224" s="60"/>
      <c r="AL224" s="1"/>
      <c r="AM224" s="1"/>
      <c r="AN224" s="6"/>
      <c r="AO224" s="25"/>
      <c r="AP224" s="1"/>
      <c r="AQ224" s="6"/>
      <c r="BD224" s="5"/>
      <c r="BE224" s="157"/>
      <c r="BF224" s="5"/>
      <c r="BG224" s="5"/>
      <c r="BH224" s="5"/>
      <c r="BI224" s="58"/>
    </row>
    <row r="225" spans="1:61" ht="15" customHeight="1">
      <c r="A225" s="57"/>
      <c r="B225" s="6"/>
      <c r="C225" s="25"/>
      <c r="I225" s="25"/>
      <c r="M225" s="25" t="s">
        <v>250</v>
      </c>
      <c r="V225" s="141" t="s">
        <v>174</v>
      </c>
      <c r="W225" s="39"/>
      <c r="X225" s="39"/>
      <c r="Y225" s="39"/>
      <c r="Z225" s="142"/>
      <c r="AA225" s="39" t="s">
        <v>177</v>
      </c>
      <c r="AB225" s="39"/>
      <c r="AC225" s="39"/>
      <c r="AD225" s="39"/>
      <c r="AE225" s="39"/>
      <c r="AF225" s="142"/>
      <c r="AL225" s="1"/>
      <c r="AM225" s="1"/>
      <c r="AN225" s="6"/>
      <c r="AO225" s="25"/>
      <c r="AP225" s="1"/>
      <c r="AQ225" s="6"/>
      <c r="BD225" s="5"/>
      <c r="BE225" s="157"/>
      <c r="BF225" s="5"/>
      <c r="BG225" s="5"/>
      <c r="BH225" s="5"/>
      <c r="BI225" s="58"/>
    </row>
    <row r="226" spans="1:61" ht="15" customHeight="1">
      <c r="A226" s="57"/>
      <c r="B226" s="6"/>
      <c r="C226" s="25"/>
      <c r="I226" s="25"/>
      <c r="M226" s="59"/>
      <c r="N226" s="18"/>
      <c r="O226" s="18"/>
      <c r="P226" s="18"/>
      <c r="Q226" s="18"/>
      <c r="R226" s="18"/>
      <c r="S226" s="18"/>
      <c r="T226" s="18"/>
      <c r="U226" s="18"/>
      <c r="V226" s="59" t="s">
        <v>176</v>
      </c>
      <c r="W226" s="18"/>
      <c r="X226" s="18"/>
      <c r="Y226" s="18"/>
      <c r="Z226" s="60"/>
      <c r="AA226" s="18" t="s">
        <v>175</v>
      </c>
      <c r="AB226" s="18"/>
      <c r="AC226" s="18"/>
      <c r="AD226" s="18"/>
      <c r="AE226" s="18"/>
      <c r="AF226" s="60"/>
      <c r="AL226" s="1"/>
      <c r="AM226" s="1"/>
      <c r="AN226" s="6"/>
      <c r="AO226" s="25"/>
      <c r="AP226" s="1"/>
      <c r="AQ226" s="6"/>
      <c r="BD226" s="5"/>
      <c r="BE226" s="157"/>
      <c r="BF226" s="5"/>
      <c r="BG226" s="5"/>
      <c r="BH226" s="5"/>
      <c r="BI226" s="58"/>
    </row>
    <row r="227" spans="1:61" ht="15" customHeight="1">
      <c r="A227" s="57"/>
      <c r="B227" s="6"/>
      <c r="C227" s="25"/>
      <c r="I227" s="25"/>
      <c r="AL227" s="1"/>
      <c r="AM227" s="1"/>
      <c r="AN227" s="6"/>
      <c r="AO227" s="25"/>
      <c r="AP227" s="1"/>
      <c r="AQ227" s="6"/>
      <c r="BD227" s="5"/>
      <c r="BE227" s="157"/>
      <c r="BF227" s="5"/>
      <c r="BG227" s="5"/>
      <c r="BH227" s="5"/>
      <c r="BI227" s="58"/>
    </row>
    <row r="228" spans="1:61" ht="15" customHeight="1">
      <c r="A228" s="57"/>
      <c r="B228" s="6"/>
      <c r="C228" s="25"/>
      <c r="I228" s="25"/>
      <c r="K228" s="1" t="s">
        <v>251</v>
      </c>
      <c r="AL228" s="1"/>
      <c r="AM228" s="1"/>
      <c r="AN228" s="6"/>
      <c r="AO228" s="25"/>
      <c r="AP228" s="1"/>
      <c r="AQ228" s="6"/>
      <c r="BD228" s="5"/>
      <c r="BE228" s="157"/>
      <c r="BF228" s="5"/>
      <c r="BG228" s="5"/>
      <c r="BH228" s="5"/>
      <c r="BI228" s="58"/>
    </row>
    <row r="229" spans="1:61" ht="15" customHeight="1">
      <c r="A229" s="57"/>
      <c r="B229" s="6"/>
      <c r="C229" s="25"/>
      <c r="I229" s="25"/>
      <c r="AL229" s="1"/>
      <c r="AM229" s="1"/>
      <c r="AN229" s="6"/>
      <c r="AO229" s="25"/>
      <c r="AP229" s="1"/>
      <c r="AQ229" s="6"/>
      <c r="BD229" s="5"/>
      <c r="BE229" s="157"/>
      <c r="BF229" s="5"/>
      <c r="BG229" s="5"/>
      <c r="BH229" s="5"/>
      <c r="BI229" s="58"/>
    </row>
    <row r="230" spans="1:61" ht="15" customHeight="1">
      <c r="A230" s="57"/>
      <c r="B230" s="6"/>
      <c r="C230" s="25"/>
      <c r="I230" s="25"/>
      <c r="K230" s="1" t="s">
        <v>252</v>
      </c>
      <c r="AL230" s="1"/>
      <c r="AM230" s="1"/>
      <c r="AN230" s="6"/>
      <c r="AO230" s="141" t="s">
        <v>117</v>
      </c>
      <c r="AP230" s="39"/>
      <c r="AQ230" s="142"/>
      <c r="AR230" s="169" t="s">
        <v>253</v>
      </c>
      <c r="AS230" s="170"/>
      <c r="AT230" s="170"/>
      <c r="AU230" s="170"/>
      <c r="AV230" s="170"/>
      <c r="AW230" s="170"/>
      <c r="AX230" s="170"/>
      <c r="AY230" s="170"/>
      <c r="AZ230" s="170"/>
      <c r="BA230" s="170"/>
      <c r="BB230" s="170"/>
      <c r="BC230" s="170"/>
      <c r="BD230" s="170"/>
      <c r="BE230" s="171"/>
      <c r="BF230" s="153" t="s">
        <v>254</v>
      </c>
      <c r="BG230" s="153"/>
      <c r="BH230" s="153"/>
      <c r="BI230" s="154"/>
    </row>
    <row r="231" spans="1:61" ht="15" customHeight="1">
      <c r="A231" s="57"/>
      <c r="B231" s="6"/>
      <c r="C231" s="25"/>
      <c r="I231" s="25"/>
      <c r="AL231" s="1"/>
      <c r="AM231" s="1"/>
      <c r="AN231" s="6"/>
      <c r="AO231" s="25" t="s">
        <v>120</v>
      </c>
      <c r="AP231" s="1"/>
      <c r="AQ231" s="6"/>
      <c r="AR231" s="172"/>
      <c r="AS231" s="173"/>
      <c r="AT231" s="173"/>
      <c r="AU231" s="173"/>
      <c r="AV231" s="173"/>
      <c r="AW231" s="173"/>
      <c r="AX231" s="173"/>
      <c r="AY231" s="173"/>
      <c r="AZ231" s="173"/>
      <c r="BA231" s="173"/>
      <c r="BB231" s="173"/>
      <c r="BC231" s="173"/>
      <c r="BD231" s="173"/>
      <c r="BE231" s="174"/>
      <c r="BF231" s="5"/>
      <c r="BG231" s="5"/>
      <c r="BH231" s="5"/>
      <c r="BI231" s="58"/>
    </row>
    <row r="232" spans="1:61" ht="15" customHeight="1">
      <c r="A232" s="57"/>
      <c r="B232" s="6"/>
      <c r="C232" s="25"/>
      <c r="I232" s="25"/>
      <c r="AL232" s="1"/>
      <c r="AM232" s="1"/>
      <c r="AN232" s="6"/>
      <c r="AO232" s="59"/>
      <c r="AP232" s="18"/>
      <c r="AQ232" s="60"/>
      <c r="AR232" s="18" t="s">
        <v>255</v>
      </c>
      <c r="AS232" s="18"/>
      <c r="AT232" s="18"/>
      <c r="AU232" s="18"/>
      <c r="AV232" s="18"/>
      <c r="AW232" s="18"/>
      <c r="AX232" s="18"/>
      <c r="AY232" s="18"/>
      <c r="AZ232" s="18"/>
      <c r="BA232" s="18"/>
      <c r="BB232" s="18"/>
      <c r="BC232" s="18"/>
      <c r="BD232" s="61"/>
      <c r="BE232" s="158"/>
      <c r="BF232" s="61"/>
      <c r="BG232" s="61"/>
      <c r="BH232" s="61"/>
      <c r="BI232" s="62"/>
    </row>
    <row r="233" spans="1:61" ht="15" customHeight="1">
      <c r="A233" s="57"/>
      <c r="B233" s="6"/>
      <c r="C233" s="25"/>
      <c r="I233" s="25"/>
      <c r="AL233" s="1"/>
      <c r="AM233" s="1"/>
      <c r="AN233" s="6"/>
      <c r="AO233" s="25"/>
      <c r="AP233" s="1"/>
      <c r="AQ233" s="6"/>
      <c r="BD233" s="5"/>
      <c r="BE233" s="157"/>
      <c r="BF233" s="5"/>
      <c r="BG233" s="5"/>
      <c r="BH233" s="5"/>
      <c r="BI233" s="58"/>
    </row>
    <row r="234" spans="1:61" ht="15" customHeight="1">
      <c r="A234" s="57"/>
      <c r="B234" s="6"/>
      <c r="C234" s="25"/>
      <c r="I234" s="25"/>
      <c r="J234" s="1" t="s">
        <v>256</v>
      </c>
      <c r="L234" s="1" t="s">
        <v>257</v>
      </c>
      <c r="AL234" s="1"/>
      <c r="AM234" s="1"/>
      <c r="AN234" s="6"/>
      <c r="AO234" s="25"/>
      <c r="AP234" s="1"/>
      <c r="AQ234" s="6"/>
      <c r="BD234" s="5"/>
      <c r="BE234" s="157"/>
      <c r="BF234" s="5"/>
      <c r="BG234" s="5"/>
      <c r="BH234" s="5"/>
      <c r="BI234" s="58"/>
    </row>
    <row r="235" spans="1:61" ht="15" customHeight="1">
      <c r="A235" s="57"/>
      <c r="B235" s="6"/>
      <c r="C235" s="25"/>
      <c r="I235" s="25"/>
      <c r="AL235" s="1"/>
      <c r="AM235" s="1"/>
      <c r="AN235" s="6"/>
      <c r="AO235" s="25"/>
      <c r="AP235" s="1"/>
      <c r="AQ235" s="6"/>
      <c r="BD235" s="5"/>
      <c r="BE235" s="157"/>
      <c r="BF235" s="5"/>
      <c r="BG235" s="5"/>
      <c r="BH235" s="5"/>
      <c r="BI235" s="58"/>
    </row>
    <row r="236" spans="1:61" ht="15" customHeight="1">
      <c r="A236" s="57"/>
      <c r="B236" s="6"/>
      <c r="C236" s="25"/>
      <c r="I236" s="25"/>
      <c r="K236" s="1" t="s">
        <v>258</v>
      </c>
      <c r="AL236" s="1"/>
      <c r="AM236" s="1"/>
      <c r="AN236" s="6"/>
      <c r="AO236" s="25"/>
      <c r="AP236" s="1"/>
      <c r="AQ236" s="6"/>
      <c r="BD236" s="5"/>
      <c r="BE236" s="157"/>
      <c r="BF236" s="5"/>
      <c r="BG236" s="5"/>
      <c r="BH236" s="5"/>
      <c r="BI236" s="58"/>
    </row>
    <row r="237" spans="1:61" ht="15" customHeight="1">
      <c r="A237" s="57"/>
      <c r="B237" s="6"/>
      <c r="C237" s="25"/>
      <c r="I237" s="25"/>
      <c r="AL237" s="1"/>
      <c r="AM237" s="1"/>
      <c r="AN237" s="6"/>
      <c r="AO237" s="25"/>
      <c r="AP237" s="1"/>
      <c r="AQ237" s="6"/>
      <c r="BD237" s="5"/>
      <c r="BE237" s="157"/>
      <c r="BF237" s="5"/>
      <c r="BG237" s="5"/>
      <c r="BH237" s="5"/>
      <c r="BI237" s="58"/>
    </row>
    <row r="238" spans="1:61" ht="15" customHeight="1">
      <c r="A238" s="57"/>
      <c r="B238" s="6"/>
      <c r="C238" s="25"/>
      <c r="I238" s="25"/>
      <c r="K238" s="175" t="s">
        <v>259</v>
      </c>
      <c r="L238" s="175"/>
      <c r="M238" s="175"/>
      <c r="N238" s="175"/>
      <c r="O238" s="175"/>
      <c r="P238" s="175"/>
      <c r="Q238" s="175"/>
      <c r="R238" s="175"/>
      <c r="S238" s="175"/>
      <c r="T238" s="175"/>
      <c r="U238" s="175"/>
      <c r="V238" s="175"/>
      <c r="W238" s="175"/>
      <c r="X238" s="175"/>
      <c r="Y238" s="175"/>
      <c r="Z238" s="175"/>
      <c r="AA238" s="175"/>
      <c r="AB238" s="175"/>
      <c r="AC238" s="175"/>
      <c r="AD238" s="175"/>
      <c r="AE238" s="175"/>
      <c r="AF238" s="175"/>
      <c r="AG238" s="175"/>
      <c r="AH238" s="175"/>
      <c r="AI238" s="175"/>
      <c r="AJ238" s="175"/>
      <c r="AK238" s="175"/>
      <c r="AL238" s="175"/>
      <c r="AM238" s="175"/>
      <c r="AN238" s="176"/>
      <c r="AO238" s="25"/>
      <c r="AP238" s="1"/>
      <c r="AQ238" s="6"/>
      <c r="BD238" s="5"/>
      <c r="BE238" s="157"/>
      <c r="BF238" s="5"/>
      <c r="BG238" s="5"/>
      <c r="BH238" s="5"/>
      <c r="BI238" s="58"/>
    </row>
    <row r="239" spans="1:61" ht="15" customHeight="1">
      <c r="A239" s="57"/>
      <c r="B239" s="6"/>
      <c r="C239" s="25"/>
      <c r="I239" s="25"/>
      <c r="K239" s="1" t="s">
        <v>260</v>
      </c>
      <c r="AL239" s="1"/>
      <c r="AM239" s="1"/>
      <c r="AN239" s="6"/>
      <c r="AO239" s="25"/>
      <c r="AP239" s="1"/>
      <c r="AQ239" s="6"/>
      <c r="BD239" s="5"/>
      <c r="BE239" s="157"/>
      <c r="BF239" s="5"/>
      <c r="BG239" s="5"/>
      <c r="BH239" s="5"/>
      <c r="BI239" s="58"/>
    </row>
    <row r="240" spans="1:61" ht="15" customHeight="1">
      <c r="A240" s="57"/>
      <c r="B240" s="6"/>
      <c r="C240" s="25"/>
      <c r="I240" s="25"/>
      <c r="K240" s="1" t="s">
        <v>260</v>
      </c>
      <c r="L240" s="1" t="s">
        <v>261</v>
      </c>
      <c r="O240" s="1" t="s">
        <v>262</v>
      </c>
      <c r="AL240" s="1"/>
      <c r="AM240" s="1"/>
      <c r="AN240" s="6"/>
      <c r="AO240" s="25"/>
      <c r="AP240" s="1"/>
      <c r="AQ240" s="6"/>
      <c r="BD240" s="5"/>
      <c r="BE240" s="157"/>
      <c r="BF240" s="5"/>
      <c r="BG240" s="5"/>
      <c r="BH240" s="5"/>
      <c r="BI240" s="58"/>
    </row>
    <row r="241" spans="1:61" ht="15" customHeight="1">
      <c r="A241" s="57"/>
      <c r="B241" s="6"/>
      <c r="C241" s="25"/>
      <c r="I241" s="25"/>
      <c r="K241" s="1" t="s">
        <v>260</v>
      </c>
      <c r="AL241" s="1"/>
      <c r="AM241" s="1"/>
      <c r="AN241" s="6"/>
      <c r="AO241" s="25"/>
      <c r="AP241" s="1"/>
      <c r="AQ241" s="6"/>
      <c r="BD241" s="5"/>
      <c r="BE241" s="157"/>
      <c r="BF241" s="5"/>
      <c r="BG241" s="5"/>
      <c r="BH241" s="5"/>
      <c r="BI241" s="58"/>
    </row>
    <row r="242" spans="1:61" ht="15" customHeight="1">
      <c r="A242" s="57"/>
      <c r="B242" s="6"/>
      <c r="C242" s="25"/>
      <c r="I242" s="25"/>
      <c r="K242" s="1" t="s">
        <v>260</v>
      </c>
      <c r="M242" s="1" t="s">
        <v>263</v>
      </c>
      <c r="AL242" s="1"/>
      <c r="AM242" s="1"/>
      <c r="AN242" s="6"/>
      <c r="AO242" s="25"/>
      <c r="AP242" s="1"/>
      <c r="AQ242" s="6"/>
      <c r="BD242" s="5"/>
      <c r="BE242" s="157"/>
      <c r="BF242" s="5"/>
      <c r="BG242" s="5"/>
      <c r="BH242" s="5"/>
      <c r="BI242" s="58"/>
    </row>
    <row r="243" spans="1:61" ht="15" customHeight="1">
      <c r="A243" s="57"/>
      <c r="B243" s="6"/>
      <c r="C243" s="25"/>
      <c r="I243" s="25"/>
      <c r="K243" s="1" t="s">
        <v>260</v>
      </c>
      <c r="AL243" s="1"/>
      <c r="AM243" s="1"/>
      <c r="AN243" s="6"/>
      <c r="AO243" s="25"/>
      <c r="AP243" s="1"/>
      <c r="AQ243" s="6"/>
      <c r="BD243" s="5"/>
      <c r="BE243" s="157"/>
      <c r="BF243" s="5"/>
      <c r="BG243" s="5"/>
      <c r="BH243" s="5"/>
      <c r="BI243" s="58"/>
    </row>
    <row r="244" spans="1:61" ht="15" customHeight="1">
      <c r="A244" s="57"/>
      <c r="B244" s="6"/>
      <c r="C244" s="25"/>
      <c r="I244" s="25"/>
      <c r="K244" s="1" t="s">
        <v>260</v>
      </c>
      <c r="N244" s="1" t="s">
        <v>202</v>
      </c>
      <c r="AL244" s="1"/>
      <c r="AM244" s="1"/>
      <c r="AN244" s="6"/>
      <c r="AO244" s="25"/>
      <c r="AP244" s="1"/>
      <c r="AQ244" s="6"/>
      <c r="BD244" s="5"/>
      <c r="BE244" s="157"/>
      <c r="BF244" s="5"/>
      <c r="BG244" s="5"/>
      <c r="BH244" s="5"/>
      <c r="BI244" s="58"/>
    </row>
    <row r="245" spans="1:61" ht="15" customHeight="1">
      <c r="A245" s="57"/>
      <c r="B245" s="6"/>
      <c r="C245" s="25"/>
      <c r="I245" s="25"/>
      <c r="K245" s="1" t="s">
        <v>260</v>
      </c>
      <c r="O245" s="1" t="s">
        <v>264</v>
      </c>
      <c r="AL245" s="1"/>
      <c r="AM245" s="1"/>
      <c r="AN245" s="6"/>
      <c r="AO245" s="25"/>
      <c r="AP245" s="1"/>
      <c r="AQ245" s="6"/>
      <c r="BD245" s="5"/>
      <c r="BE245" s="157"/>
      <c r="BF245" s="5"/>
      <c r="BG245" s="5"/>
      <c r="BH245" s="5"/>
      <c r="BI245" s="58"/>
    </row>
    <row r="246" spans="1:61" ht="15" customHeight="1">
      <c r="A246" s="57"/>
      <c r="B246" s="6"/>
      <c r="C246" s="25"/>
      <c r="I246" s="25"/>
      <c r="K246" s="1" t="s">
        <v>260</v>
      </c>
      <c r="W246" s="179" t="s">
        <v>265</v>
      </c>
      <c r="AL246" s="1"/>
      <c r="AM246" s="1"/>
      <c r="AN246" s="6"/>
      <c r="AO246" s="25"/>
      <c r="AP246" s="1"/>
      <c r="AQ246" s="6"/>
      <c r="BD246" s="5"/>
      <c r="BE246" s="157"/>
      <c r="BF246" s="5"/>
      <c r="BG246" s="5"/>
      <c r="BH246" s="5"/>
      <c r="BI246" s="58"/>
    </row>
    <row r="247" spans="1:61" ht="15" customHeight="1">
      <c r="A247" s="57"/>
      <c r="B247" s="6"/>
      <c r="C247" s="25"/>
      <c r="I247" s="25"/>
      <c r="K247" s="1" t="s">
        <v>260</v>
      </c>
      <c r="N247" s="1" t="s">
        <v>203</v>
      </c>
      <c r="AL247" s="1"/>
      <c r="AM247" s="1"/>
      <c r="AN247" s="6"/>
      <c r="AO247" s="25"/>
      <c r="AP247" s="1"/>
      <c r="AQ247" s="6"/>
      <c r="BD247" s="5"/>
      <c r="BE247" s="157"/>
      <c r="BF247" s="5"/>
      <c r="BG247" s="5"/>
      <c r="BH247" s="5"/>
      <c r="BI247" s="58"/>
    </row>
    <row r="248" spans="1:61" ht="15" customHeight="1">
      <c r="A248" s="57"/>
      <c r="B248" s="6"/>
      <c r="C248" s="25"/>
      <c r="I248" s="25"/>
      <c r="K248" s="1" t="s">
        <v>260</v>
      </c>
      <c r="O248" s="1" t="s">
        <v>264</v>
      </c>
      <c r="AL248" s="1"/>
      <c r="AM248" s="1"/>
      <c r="AN248" s="6"/>
      <c r="AO248" s="25"/>
      <c r="AP248" s="1"/>
      <c r="AQ248" s="6"/>
      <c r="BD248" s="5"/>
      <c r="BE248" s="157"/>
      <c r="BF248" s="5"/>
      <c r="BG248" s="5"/>
      <c r="BH248" s="5"/>
      <c r="BI248" s="58"/>
    </row>
    <row r="249" spans="1:61" ht="15" customHeight="1">
      <c r="A249" s="57"/>
      <c r="B249" s="6"/>
      <c r="C249" s="25"/>
      <c r="I249" s="25"/>
      <c r="K249" s="1" t="s">
        <v>260</v>
      </c>
      <c r="W249" s="179" t="s">
        <v>266</v>
      </c>
      <c r="X249" s="94"/>
      <c r="Y249" s="94"/>
      <c r="Z249" s="94"/>
      <c r="AL249" s="1"/>
      <c r="AM249" s="1"/>
      <c r="AN249" s="6"/>
      <c r="AO249" s="25"/>
      <c r="AP249" s="1"/>
      <c r="AQ249" s="6"/>
      <c r="BD249" s="5"/>
      <c r="BE249" s="157"/>
      <c r="BF249" s="5"/>
      <c r="BG249" s="5"/>
      <c r="BH249" s="5"/>
      <c r="BI249" s="58"/>
    </row>
    <row r="250" spans="1:61" ht="15" customHeight="1">
      <c r="A250" s="57"/>
      <c r="B250" s="6"/>
      <c r="C250" s="25"/>
      <c r="I250" s="25"/>
      <c r="K250" s="1" t="s">
        <v>260</v>
      </c>
      <c r="W250" s="179" t="s">
        <v>267</v>
      </c>
      <c r="Y250" s="94"/>
      <c r="Z250" s="94"/>
      <c r="AL250" s="1"/>
      <c r="AM250" s="1"/>
      <c r="AN250" s="6"/>
      <c r="AO250" s="25"/>
      <c r="AP250" s="1"/>
      <c r="AQ250" s="6"/>
      <c r="BD250" s="5"/>
      <c r="BE250" s="157"/>
      <c r="BF250" s="5"/>
      <c r="BG250" s="5"/>
      <c r="BH250" s="5"/>
      <c r="BI250" s="58"/>
    </row>
    <row r="251" spans="1:61" ht="15" customHeight="1">
      <c r="A251" s="57"/>
      <c r="B251" s="6"/>
      <c r="C251" s="25"/>
      <c r="I251" s="25"/>
      <c r="K251" s="1" t="s">
        <v>260</v>
      </c>
      <c r="W251" s="179" t="s">
        <v>491</v>
      </c>
      <c r="X251" s="94"/>
      <c r="Y251" s="179"/>
      <c r="Z251" s="94"/>
      <c r="AL251" s="1"/>
      <c r="AM251" s="1"/>
      <c r="AN251" s="6"/>
      <c r="AO251" s="25"/>
      <c r="AP251" s="1"/>
      <c r="AQ251" s="6"/>
      <c r="BD251" s="5"/>
      <c r="BE251" s="157"/>
      <c r="BF251" s="5"/>
      <c r="BG251" s="5"/>
      <c r="BH251" s="5"/>
      <c r="BI251" s="58"/>
    </row>
    <row r="252" spans="1:61" ht="15" customHeight="1">
      <c r="A252" s="57"/>
      <c r="B252" s="6"/>
      <c r="C252" s="25"/>
      <c r="I252" s="25"/>
      <c r="K252" s="1" t="s">
        <v>260</v>
      </c>
      <c r="W252" s="179" t="s">
        <v>268</v>
      </c>
      <c r="X252" s="94"/>
      <c r="Y252" s="94"/>
      <c r="AL252" s="1"/>
      <c r="AM252" s="1"/>
      <c r="AN252" s="6"/>
      <c r="AO252" s="25"/>
      <c r="AP252" s="1"/>
      <c r="AQ252" s="6"/>
      <c r="BD252" s="5"/>
      <c r="BE252" s="157"/>
      <c r="BF252" s="5"/>
      <c r="BG252" s="5"/>
      <c r="BH252" s="5"/>
      <c r="BI252" s="58"/>
    </row>
    <row r="253" spans="1:61" ht="15" customHeight="1">
      <c r="A253" s="57"/>
      <c r="B253" s="6"/>
      <c r="C253" s="25"/>
      <c r="I253" s="25"/>
      <c r="K253" s="1" t="s">
        <v>260</v>
      </c>
      <c r="AL253" s="1"/>
      <c r="AM253" s="1"/>
      <c r="AN253" s="6"/>
      <c r="AO253" s="25"/>
      <c r="AP253" s="1"/>
      <c r="AQ253" s="6"/>
      <c r="BD253" s="5"/>
      <c r="BE253" s="157"/>
      <c r="BF253" s="5"/>
      <c r="BG253" s="5"/>
      <c r="BH253" s="5"/>
      <c r="BI253" s="58"/>
    </row>
    <row r="254" spans="1:61" ht="15" customHeight="1">
      <c r="A254" s="57"/>
      <c r="B254" s="6"/>
      <c r="C254" s="25"/>
      <c r="I254" s="25"/>
      <c r="K254" s="1" t="s">
        <v>260</v>
      </c>
      <c r="N254" s="1" t="s">
        <v>269</v>
      </c>
      <c r="AL254" s="1"/>
      <c r="AM254" s="1"/>
      <c r="AN254" s="6"/>
      <c r="AO254" s="141" t="s">
        <v>117</v>
      </c>
      <c r="AP254" s="39"/>
      <c r="AQ254" s="142"/>
      <c r="AR254" s="359" t="s">
        <v>483</v>
      </c>
      <c r="AS254" s="360"/>
      <c r="AT254" s="360"/>
      <c r="AU254" s="360"/>
      <c r="AV254" s="360"/>
      <c r="AW254" s="360"/>
      <c r="AX254" s="360"/>
      <c r="AY254" s="360"/>
      <c r="AZ254" s="360"/>
      <c r="BA254" s="360"/>
      <c r="BB254" s="360"/>
      <c r="BC254" s="360"/>
      <c r="BD254" s="360"/>
      <c r="BE254" s="361"/>
      <c r="BF254" s="180" t="s">
        <v>485</v>
      </c>
      <c r="BG254" s="153"/>
      <c r="BH254" s="153"/>
      <c r="BI254" s="154"/>
    </row>
    <row r="255" spans="1:61" ht="15" customHeight="1">
      <c r="A255" s="57"/>
      <c r="B255" s="6"/>
      <c r="C255" s="25"/>
      <c r="I255" s="25"/>
      <c r="K255" s="1" t="s">
        <v>260</v>
      </c>
      <c r="N255" s="1" t="s">
        <v>270</v>
      </c>
      <c r="AL255" s="1"/>
      <c r="AM255" s="1"/>
      <c r="AN255" s="6"/>
      <c r="AO255" s="25" t="s">
        <v>120</v>
      </c>
      <c r="AP255" s="1"/>
      <c r="AQ255" s="6"/>
      <c r="AR255" s="362"/>
      <c r="AS255" s="363"/>
      <c r="AT255" s="363"/>
      <c r="AU255" s="363"/>
      <c r="AV255" s="363"/>
      <c r="AW255" s="363"/>
      <c r="AX255" s="363"/>
      <c r="AY255" s="363"/>
      <c r="AZ255" s="363"/>
      <c r="BA255" s="363"/>
      <c r="BB255" s="363"/>
      <c r="BC255" s="363"/>
      <c r="BD255" s="363"/>
      <c r="BE255" s="364"/>
      <c r="BF255" s="5"/>
      <c r="BG255" s="5"/>
      <c r="BH255" s="5"/>
      <c r="BI255" s="58"/>
    </row>
    <row r="256" spans="1:61" ht="15" customHeight="1">
      <c r="A256" s="57"/>
      <c r="B256" s="6"/>
      <c r="C256" s="25"/>
      <c r="I256" s="25"/>
      <c r="K256" s="1" t="s">
        <v>260</v>
      </c>
      <c r="AL256" s="1"/>
      <c r="AM256" s="1"/>
      <c r="AN256" s="6"/>
      <c r="AO256" s="59"/>
      <c r="AP256" s="18"/>
      <c r="AQ256" s="60"/>
      <c r="AR256" s="18" t="s">
        <v>484</v>
      </c>
      <c r="AS256" s="18"/>
      <c r="AT256" s="18"/>
      <c r="AU256" s="18"/>
      <c r="AV256" s="18"/>
      <c r="AW256" s="18"/>
      <c r="AX256" s="18"/>
      <c r="AY256" s="18"/>
      <c r="AZ256" s="18"/>
      <c r="BA256" s="18"/>
      <c r="BB256" s="18"/>
      <c r="BC256" s="18"/>
      <c r="BD256" s="61"/>
      <c r="BE256" s="158"/>
      <c r="BF256" s="61"/>
      <c r="BG256" s="61"/>
      <c r="BH256" s="61"/>
      <c r="BI256" s="62"/>
    </row>
    <row r="257" spans="1:61" ht="15" customHeight="1">
      <c r="A257" s="57"/>
      <c r="B257" s="6"/>
      <c r="C257" s="25"/>
      <c r="I257" s="25"/>
      <c r="K257" s="1" t="s">
        <v>260</v>
      </c>
      <c r="O257" s="1" t="s">
        <v>271</v>
      </c>
      <c r="S257" s="1" t="s">
        <v>272</v>
      </c>
      <c r="AL257" s="1"/>
      <c r="AM257" s="1"/>
      <c r="AN257" s="6"/>
      <c r="AO257" s="25"/>
      <c r="AP257" s="1"/>
      <c r="AQ257" s="6"/>
      <c r="BD257" s="5"/>
      <c r="BE257" s="157"/>
      <c r="BF257" s="5"/>
      <c r="BG257" s="5"/>
      <c r="BH257" s="5"/>
      <c r="BI257" s="58"/>
    </row>
    <row r="258" spans="1:61" ht="15" customHeight="1">
      <c r="A258" s="57"/>
      <c r="B258" s="6"/>
      <c r="C258" s="25"/>
      <c r="I258" s="25"/>
      <c r="K258" s="1" t="s">
        <v>260</v>
      </c>
      <c r="O258" s="1" t="s">
        <v>273</v>
      </c>
      <c r="S258" s="1" t="s">
        <v>274</v>
      </c>
      <c r="AL258" s="1"/>
      <c r="AM258" s="1"/>
      <c r="AN258" s="6"/>
      <c r="AO258" s="25"/>
      <c r="AP258" s="1"/>
      <c r="AQ258" s="6"/>
      <c r="BD258" s="5"/>
      <c r="BE258" s="157"/>
      <c r="BF258" s="5"/>
      <c r="BG258" s="5"/>
      <c r="BH258" s="5"/>
      <c r="BI258" s="58"/>
    </row>
    <row r="259" spans="1:61" ht="15" customHeight="1">
      <c r="A259" s="57"/>
      <c r="B259" s="6"/>
      <c r="C259" s="25"/>
      <c r="I259" s="25"/>
      <c r="K259" s="1" t="s">
        <v>260</v>
      </c>
      <c r="AL259" s="1"/>
      <c r="AM259" s="1"/>
      <c r="AN259" s="6"/>
      <c r="AO259" s="25"/>
      <c r="AP259" s="1"/>
      <c r="AQ259" s="6"/>
      <c r="BD259" s="5"/>
      <c r="BE259" s="157"/>
      <c r="BF259" s="5"/>
      <c r="BG259" s="5"/>
      <c r="BH259" s="5"/>
      <c r="BI259" s="58"/>
    </row>
    <row r="260" spans="1:61" ht="15" customHeight="1">
      <c r="A260" s="57"/>
      <c r="B260" s="6"/>
      <c r="C260" s="25"/>
      <c r="I260" s="25"/>
      <c r="K260" s="1" t="s">
        <v>260</v>
      </c>
      <c r="AL260" s="1"/>
      <c r="AM260" s="1"/>
      <c r="AN260" s="6"/>
      <c r="AO260" s="25"/>
      <c r="AP260" s="1"/>
      <c r="AQ260" s="6"/>
      <c r="BD260" s="5"/>
      <c r="BE260" s="157"/>
      <c r="BF260" s="5"/>
      <c r="BG260" s="5"/>
      <c r="BH260" s="5"/>
      <c r="BI260" s="58"/>
    </row>
    <row r="261" spans="1:61" ht="15" customHeight="1">
      <c r="A261" s="57"/>
      <c r="B261" s="6"/>
      <c r="C261" s="25"/>
      <c r="I261" s="25"/>
      <c r="K261" s="1" t="s">
        <v>260</v>
      </c>
      <c r="L261" s="1" t="s">
        <v>275</v>
      </c>
      <c r="O261" s="1" t="s">
        <v>276</v>
      </c>
      <c r="AL261" s="1"/>
      <c r="AM261" s="1"/>
      <c r="AN261" s="6"/>
      <c r="AO261" s="25"/>
      <c r="AP261" s="1"/>
      <c r="AQ261" s="6"/>
      <c r="BD261" s="5"/>
      <c r="BE261" s="157"/>
      <c r="BF261" s="5"/>
      <c r="BG261" s="5"/>
      <c r="BH261" s="5"/>
      <c r="BI261" s="58"/>
    </row>
    <row r="262" spans="1:61" ht="15" customHeight="1">
      <c r="A262" s="57"/>
      <c r="B262" s="6"/>
      <c r="C262" s="25"/>
      <c r="I262" s="25"/>
      <c r="K262" s="1" t="s">
        <v>260</v>
      </c>
      <c r="AL262" s="1"/>
      <c r="AM262" s="1"/>
      <c r="AN262" s="6"/>
      <c r="AO262" s="25"/>
      <c r="AP262" s="1"/>
      <c r="AQ262" s="6"/>
      <c r="BD262" s="5"/>
      <c r="BE262" s="157"/>
      <c r="BF262" s="5"/>
      <c r="BG262" s="5"/>
      <c r="BH262" s="5"/>
      <c r="BI262" s="58"/>
    </row>
    <row r="263" spans="1:61" ht="15" customHeight="1">
      <c r="A263" s="57"/>
      <c r="B263" s="6"/>
      <c r="C263" s="25"/>
      <c r="I263" s="25"/>
      <c r="K263" s="1" t="s">
        <v>260</v>
      </c>
      <c r="M263" s="1" t="s">
        <v>277</v>
      </c>
      <c r="AL263" s="1"/>
      <c r="AM263" s="1"/>
      <c r="AN263" s="6"/>
      <c r="AO263" s="25"/>
      <c r="AP263" s="1"/>
      <c r="AQ263" s="6"/>
      <c r="BD263" s="5"/>
      <c r="BE263" s="157"/>
      <c r="BF263" s="5"/>
      <c r="BG263" s="5"/>
      <c r="BH263" s="5"/>
      <c r="BI263" s="58"/>
    </row>
    <row r="264" spans="1:61" ht="15" customHeight="1">
      <c r="A264" s="57"/>
      <c r="B264" s="6"/>
      <c r="C264" s="25"/>
      <c r="I264" s="25"/>
      <c r="K264" s="1" t="s">
        <v>260</v>
      </c>
      <c r="AL264" s="1"/>
      <c r="AM264" s="1"/>
      <c r="AN264" s="6"/>
      <c r="AO264" s="25"/>
      <c r="AP264" s="1"/>
      <c r="AQ264" s="6"/>
      <c r="BD264" s="5"/>
      <c r="BE264" s="157"/>
      <c r="BF264" s="5"/>
      <c r="BG264" s="5"/>
      <c r="BH264" s="5"/>
      <c r="BI264" s="58"/>
    </row>
    <row r="265" spans="1:61" ht="15" customHeight="1">
      <c r="A265" s="57"/>
      <c r="B265" s="6"/>
      <c r="C265" s="25"/>
      <c r="I265" s="25"/>
      <c r="K265" s="1" t="s">
        <v>260</v>
      </c>
      <c r="M265" s="1" t="s">
        <v>278</v>
      </c>
      <c r="AL265" s="1"/>
      <c r="AM265" s="1"/>
      <c r="AN265" s="6"/>
      <c r="AO265" s="25"/>
      <c r="AP265" s="1"/>
      <c r="AQ265" s="6"/>
      <c r="BD265" s="5"/>
      <c r="BE265" s="157"/>
      <c r="BF265" s="5"/>
      <c r="BG265" s="5"/>
      <c r="BH265" s="5"/>
      <c r="BI265" s="58"/>
    </row>
    <row r="266" spans="1:61" ht="15" customHeight="1">
      <c r="A266" s="57"/>
      <c r="B266" s="6"/>
      <c r="C266" s="25"/>
      <c r="I266" s="25"/>
      <c r="K266" s="1" t="s">
        <v>260</v>
      </c>
      <c r="M266" s="1" t="s">
        <v>279</v>
      </c>
      <c r="AL266" s="1"/>
      <c r="AM266" s="1"/>
      <c r="AN266" s="6"/>
      <c r="AO266" s="25"/>
      <c r="AP266" s="1"/>
      <c r="AQ266" s="6"/>
      <c r="BD266" s="5"/>
      <c r="BE266" s="157"/>
      <c r="BF266" s="5"/>
      <c r="BG266" s="5"/>
      <c r="BH266" s="5"/>
      <c r="BI266" s="58"/>
    </row>
    <row r="267" spans="1:61" ht="15" customHeight="1">
      <c r="A267" s="57"/>
      <c r="B267" s="6"/>
      <c r="C267" s="25"/>
      <c r="I267" s="25"/>
      <c r="K267" s="1" t="s">
        <v>260</v>
      </c>
      <c r="AL267" s="1"/>
      <c r="AM267" s="1"/>
      <c r="AN267" s="6"/>
      <c r="AO267" s="25"/>
      <c r="AP267" s="1"/>
      <c r="AQ267" s="6"/>
      <c r="BD267" s="5"/>
      <c r="BE267" s="157"/>
      <c r="BF267" s="5"/>
      <c r="BG267" s="5"/>
      <c r="BH267" s="5"/>
      <c r="BI267" s="58"/>
    </row>
    <row r="268" spans="1:61" ht="15" customHeight="1">
      <c r="A268" s="57"/>
      <c r="B268" s="6"/>
      <c r="C268" s="25"/>
      <c r="I268" s="25"/>
      <c r="K268" s="1" t="s">
        <v>260</v>
      </c>
      <c r="N268" s="1" t="s">
        <v>186</v>
      </c>
      <c r="AL268" s="1"/>
      <c r="AM268" s="1"/>
      <c r="AN268" s="6"/>
      <c r="AO268" s="25"/>
      <c r="AP268" s="1"/>
      <c r="AQ268" s="6"/>
      <c r="BD268" s="5"/>
      <c r="BE268" s="157"/>
      <c r="BF268" s="5"/>
      <c r="BG268" s="5"/>
      <c r="BH268" s="5"/>
      <c r="BI268" s="58"/>
    </row>
    <row r="269" spans="1:61" ht="15" customHeight="1">
      <c r="A269" s="57"/>
      <c r="B269" s="6"/>
      <c r="C269" s="25"/>
      <c r="I269" s="25"/>
      <c r="K269" s="1" t="s">
        <v>260</v>
      </c>
      <c r="O269" s="1" t="s">
        <v>280</v>
      </c>
      <c r="AL269" s="1"/>
      <c r="AM269" s="1"/>
      <c r="AN269" s="6"/>
      <c r="AO269" s="25"/>
      <c r="AP269" s="1"/>
      <c r="AQ269" s="6"/>
      <c r="BD269" s="5"/>
      <c r="BE269" s="157"/>
      <c r="BF269" s="5"/>
      <c r="BG269" s="5"/>
      <c r="BH269" s="5"/>
      <c r="BI269" s="58"/>
    </row>
    <row r="270" spans="1:61" ht="15" customHeight="1">
      <c r="A270" s="57"/>
      <c r="B270" s="6"/>
      <c r="C270" s="25"/>
      <c r="I270" s="25"/>
      <c r="K270" s="1" t="s">
        <v>260</v>
      </c>
      <c r="AL270" s="1"/>
      <c r="AM270" s="1"/>
      <c r="AN270" s="6"/>
      <c r="AO270" s="25"/>
      <c r="AP270" s="1"/>
      <c r="AQ270" s="6"/>
      <c r="BD270" s="5"/>
      <c r="BE270" s="157"/>
      <c r="BF270" s="5"/>
      <c r="BG270" s="5"/>
      <c r="BH270" s="5"/>
      <c r="BI270" s="58"/>
    </row>
    <row r="271" spans="1:61" ht="15" customHeight="1">
      <c r="A271" s="57"/>
      <c r="B271" s="6"/>
      <c r="C271" s="25"/>
      <c r="I271" s="25"/>
      <c r="K271" s="1" t="s">
        <v>260</v>
      </c>
      <c r="N271" s="1" t="s">
        <v>281</v>
      </c>
      <c r="AL271" s="1"/>
      <c r="AM271" s="1"/>
      <c r="AN271" s="6"/>
      <c r="AO271" s="25"/>
      <c r="AP271" s="1"/>
      <c r="AQ271" s="6"/>
      <c r="BD271" s="5"/>
      <c r="BE271" s="157"/>
      <c r="BF271" s="5"/>
      <c r="BG271" s="5"/>
      <c r="BH271" s="5"/>
      <c r="BI271" s="58"/>
    </row>
    <row r="272" spans="1:61" ht="15" customHeight="1">
      <c r="A272" s="57"/>
      <c r="B272" s="6"/>
      <c r="C272" s="25"/>
      <c r="I272" s="25"/>
      <c r="K272" s="1" t="s">
        <v>260</v>
      </c>
      <c r="O272" s="1" t="s">
        <v>282</v>
      </c>
      <c r="AL272" s="1"/>
      <c r="AM272" s="1"/>
      <c r="AN272" s="6"/>
      <c r="AO272" s="25"/>
      <c r="AP272" s="1"/>
      <c r="AQ272" s="6"/>
      <c r="BD272" s="5"/>
      <c r="BE272" s="157"/>
      <c r="BF272" s="5"/>
      <c r="BG272" s="5"/>
      <c r="BH272" s="5"/>
      <c r="BI272" s="58"/>
    </row>
    <row r="273" spans="1:61" ht="15" customHeight="1">
      <c r="A273" s="57"/>
      <c r="B273" s="6"/>
      <c r="C273" s="25"/>
      <c r="I273" s="25"/>
      <c r="K273" s="1" t="s">
        <v>260</v>
      </c>
      <c r="O273" s="1" t="s">
        <v>283</v>
      </c>
      <c r="AL273" s="1"/>
      <c r="AM273" s="1"/>
      <c r="AN273" s="6"/>
      <c r="AO273" s="25"/>
      <c r="AP273" s="1"/>
      <c r="AQ273" s="6"/>
      <c r="BD273" s="5"/>
      <c r="BE273" s="157"/>
      <c r="BF273" s="5"/>
      <c r="BG273" s="5"/>
      <c r="BH273" s="5"/>
      <c r="BI273" s="58"/>
    </row>
    <row r="274" spans="1:61" ht="15" customHeight="1">
      <c r="A274" s="57"/>
      <c r="B274" s="6"/>
      <c r="C274" s="25"/>
      <c r="I274" s="25"/>
      <c r="K274" s="1" t="s">
        <v>260</v>
      </c>
      <c r="AL274" s="1"/>
      <c r="AM274" s="1"/>
      <c r="AN274" s="6"/>
      <c r="AO274" s="25"/>
      <c r="AP274" s="1"/>
      <c r="AQ274" s="6"/>
      <c r="BD274" s="5"/>
      <c r="BE274" s="157"/>
      <c r="BF274" s="5"/>
      <c r="BG274" s="5"/>
      <c r="BH274" s="5"/>
      <c r="BI274" s="58"/>
    </row>
    <row r="275" spans="1:61" ht="15" customHeight="1">
      <c r="A275" s="57"/>
      <c r="B275" s="6"/>
      <c r="C275" s="25"/>
      <c r="I275" s="25"/>
      <c r="K275" s="1" t="s">
        <v>260</v>
      </c>
      <c r="N275" s="1" t="s">
        <v>284</v>
      </c>
      <c r="AL275" s="1"/>
      <c r="AM275" s="1"/>
      <c r="AN275" s="6"/>
      <c r="AO275" s="25"/>
      <c r="AP275" s="1"/>
      <c r="AQ275" s="6"/>
      <c r="BD275" s="5"/>
      <c r="BE275" s="157"/>
      <c r="BF275" s="5"/>
      <c r="BG275" s="5"/>
      <c r="BH275" s="5"/>
      <c r="BI275" s="58"/>
    </row>
    <row r="276" spans="1:61" ht="15" customHeight="1">
      <c r="A276" s="57"/>
      <c r="B276" s="6"/>
      <c r="C276" s="25"/>
      <c r="I276" s="25"/>
      <c r="K276" s="1" t="s">
        <v>260</v>
      </c>
      <c r="O276" s="1" t="s">
        <v>285</v>
      </c>
      <c r="AL276" s="1"/>
      <c r="AM276" s="1"/>
      <c r="AN276" s="6"/>
      <c r="AO276" s="25"/>
      <c r="AP276" s="1"/>
      <c r="AQ276" s="6"/>
      <c r="BD276" s="5"/>
      <c r="BE276" s="157"/>
      <c r="BF276" s="5"/>
      <c r="BG276" s="5"/>
      <c r="BH276" s="5"/>
      <c r="BI276" s="58"/>
    </row>
    <row r="277" spans="1:61" ht="15" customHeight="1">
      <c r="A277" s="57"/>
      <c r="B277" s="6"/>
      <c r="C277" s="25"/>
      <c r="I277" s="25"/>
      <c r="K277" s="1" t="s">
        <v>260</v>
      </c>
      <c r="AL277" s="1"/>
      <c r="AM277" s="1"/>
      <c r="AN277" s="6"/>
      <c r="AO277" s="25"/>
      <c r="AP277" s="1"/>
      <c r="AQ277" s="6"/>
      <c r="BD277" s="5"/>
      <c r="BE277" s="157"/>
      <c r="BF277" s="5"/>
      <c r="BG277" s="5"/>
      <c r="BH277" s="5"/>
      <c r="BI277" s="58"/>
    </row>
    <row r="278" spans="1:61" ht="15" customHeight="1">
      <c r="A278" s="57"/>
      <c r="B278" s="6"/>
      <c r="C278" s="25"/>
      <c r="I278" s="25"/>
      <c r="K278" s="1" t="s">
        <v>260</v>
      </c>
      <c r="O278" s="1" t="s">
        <v>286</v>
      </c>
      <c r="T278" s="1" t="s">
        <v>191</v>
      </c>
      <c r="U278" s="1" t="s">
        <v>287</v>
      </c>
      <c r="AC278" s="1" t="s">
        <v>288</v>
      </c>
      <c r="AD278" s="1" t="s">
        <v>507</v>
      </c>
      <c r="AL278" s="1"/>
      <c r="AM278" s="1"/>
      <c r="AN278" s="6"/>
      <c r="AO278" s="25"/>
      <c r="AP278" s="1"/>
      <c r="AQ278" s="6"/>
      <c r="BD278" s="5"/>
      <c r="BE278" s="157"/>
      <c r="BF278" s="5"/>
      <c r="BG278" s="5"/>
      <c r="BH278" s="5"/>
      <c r="BI278" s="58"/>
    </row>
    <row r="279" spans="1:61" ht="15" customHeight="1">
      <c r="A279" s="57"/>
      <c r="B279" s="6"/>
      <c r="C279" s="25"/>
      <c r="I279" s="25"/>
      <c r="K279" s="1" t="s">
        <v>260</v>
      </c>
      <c r="AD279" s="1" t="s">
        <v>506</v>
      </c>
      <c r="AL279" s="1"/>
      <c r="AM279" s="1"/>
      <c r="AN279" s="6"/>
      <c r="AO279" s="25"/>
      <c r="AP279" s="1"/>
      <c r="AQ279" s="6"/>
      <c r="BD279" s="5"/>
      <c r="BE279" s="157"/>
      <c r="BF279" s="5"/>
      <c r="BG279" s="5"/>
      <c r="BH279" s="5"/>
      <c r="BI279" s="58"/>
    </row>
    <row r="280" spans="1:61" ht="15" customHeight="1">
      <c r="A280" s="57"/>
      <c r="B280" s="6"/>
      <c r="C280" s="25"/>
      <c r="I280" s="25"/>
      <c r="K280" s="1" t="s">
        <v>260</v>
      </c>
      <c r="AC280" s="1" t="s">
        <v>194</v>
      </c>
      <c r="AL280" s="1"/>
      <c r="AM280" s="1"/>
      <c r="AN280" s="6"/>
      <c r="AO280" s="25"/>
      <c r="AP280" s="1"/>
      <c r="AQ280" s="6"/>
      <c r="BD280" s="5"/>
      <c r="BE280" s="157"/>
      <c r="BF280" s="5"/>
      <c r="BG280" s="5"/>
      <c r="BH280" s="5"/>
      <c r="BI280" s="58"/>
    </row>
    <row r="281" spans="1:61" ht="15" customHeight="1">
      <c r="A281" s="57"/>
      <c r="B281" s="6"/>
      <c r="C281" s="25"/>
      <c r="I281" s="25"/>
      <c r="K281" s="1" t="s">
        <v>260</v>
      </c>
      <c r="U281" s="1" t="s">
        <v>289</v>
      </c>
      <c r="AL281" s="1"/>
      <c r="AM281" s="1"/>
      <c r="AN281" s="6"/>
      <c r="AO281" s="25"/>
      <c r="AP281" s="1"/>
      <c r="AQ281" s="6"/>
      <c r="BD281" s="5"/>
      <c r="BE281" s="157"/>
      <c r="BF281" s="5"/>
      <c r="BG281" s="5"/>
      <c r="BH281" s="5"/>
      <c r="BI281" s="58"/>
    </row>
    <row r="282" spans="1:61" ht="15" customHeight="1">
      <c r="A282" s="57"/>
      <c r="B282" s="6"/>
      <c r="C282" s="25"/>
      <c r="I282" s="25"/>
      <c r="K282" s="1" t="s">
        <v>260</v>
      </c>
      <c r="U282" s="1" t="s">
        <v>290</v>
      </c>
      <c r="AC282" s="1" t="s">
        <v>191</v>
      </c>
      <c r="AD282" s="1" t="s">
        <v>504</v>
      </c>
      <c r="AL282" s="1"/>
      <c r="AM282" s="1"/>
      <c r="AN282" s="6"/>
      <c r="AO282" s="25"/>
      <c r="AP282" s="1"/>
      <c r="AQ282" s="6"/>
      <c r="BD282" s="5"/>
      <c r="BE282" s="157"/>
      <c r="BF282" s="5"/>
      <c r="BG282" s="5"/>
      <c r="BH282" s="5"/>
      <c r="BI282" s="58"/>
    </row>
    <row r="283" spans="1:61" ht="15" customHeight="1">
      <c r="A283" s="57"/>
      <c r="B283" s="6"/>
      <c r="C283" s="25"/>
      <c r="I283" s="25"/>
      <c r="K283" s="1" t="s">
        <v>260</v>
      </c>
      <c r="AD283" s="1" t="s">
        <v>505</v>
      </c>
      <c r="AL283" s="1"/>
      <c r="AM283" s="1"/>
      <c r="AN283" s="6"/>
      <c r="AO283" s="25"/>
      <c r="AP283" s="1"/>
      <c r="AQ283" s="6"/>
      <c r="BD283" s="5"/>
      <c r="BE283" s="157"/>
      <c r="BF283" s="5"/>
      <c r="BG283" s="5"/>
      <c r="BH283" s="5"/>
      <c r="BI283" s="58"/>
    </row>
    <row r="284" spans="1:61" ht="15" customHeight="1">
      <c r="A284" s="57"/>
      <c r="B284" s="6"/>
      <c r="C284" s="25"/>
      <c r="I284" s="25"/>
      <c r="K284" s="1" t="s">
        <v>260</v>
      </c>
      <c r="AC284" s="1" t="s">
        <v>291</v>
      </c>
      <c r="AL284" s="1"/>
      <c r="AM284" s="1"/>
      <c r="AN284" s="6"/>
      <c r="AO284" s="25"/>
      <c r="AP284" s="1"/>
      <c r="AQ284" s="6"/>
      <c r="BD284" s="5"/>
      <c r="BE284" s="157"/>
      <c r="BF284" s="5"/>
      <c r="BG284" s="5"/>
      <c r="BH284" s="5"/>
      <c r="BI284" s="58"/>
    </row>
    <row r="285" spans="1:61" ht="15" customHeight="1">
      <c r="A285" s="57"/>
      <c r="B285" s="6"/>
      <c r="C285" s="25"/>
      <c r="I285" s="25"/>
      <c r="K285" s="1" t="s">
        <v>260</v>
      </c>
      <c r="U285" s="1" t="s">
        <v>291</v>
      </c>
      <c r="AL285" s="1"/>
      <c r="AM285" s="1"/>
      <c r="AN285" s="6"/>
      <c r="AO285" s="25"/>
      <c r="AP285" s="1"/>
      <c r="AQ285" s="6"/>
      <c r="BD285" s="5"/>
      <c r="BE285" s="157"/>
      <c r="BF285" s="5"/>
      <c r="BG285" s="5"/>
      <c r="BH285" s="5"/>
      <c r="BI285" s="58"/>
    </row>
    <row r="286" spans="1:61" ht="15" customHeight="1">
      <c r="A286" s="57"/>
      <c r="B286" s="6"/>
      <c r="C286" s="25"/>
      <c r="I286" s="25"/>
      <c r="K286" s="1" t="s">
        <v>260</v>
      </c>
      <c r="T286" s="1" t="s">
        <v>291</v>
      </c>
      <c r="AL286" s="1"/>
      <c r="AM286" s="1"/>
      <c r="AN286" s="6"/>
      <c r="AO286" s="25"/>
      <c r="AP286" s="1"/>
      <c r="AQ286" s="6"/>
      <c r="BD286" s="5"/>
      <c r="BE286" s="157"/>
      <c r="BF286" s="5"/>
      <c r="BG286" s="5"/>
      <c r="BH286" s="5"/>
      <c r="BI286" s="58"/>
    </row>
    <row r="287" spans="1:61" ht="15" customHeight="1">
      <c r="A287" s="57"/>
      <c r="B287" s="6"/>
      <c r="C287" s="25"/>
      <c r="I287" s="25"/>
      <c r="K287" s="1" t="s">
        <v>260</v>
      </c>
      <c r="AL287" s="1"/>
      <c r="AM287" s="1"/>
      <c r="AN287" s="6"/>
      <c r="AO287" s="25"/>
      <c r="AP287" s="1"/>
      <c r="AQ287" s="6"/>
      <c r="BD287" s="5"/>
      <c r="BE287" s="157"/>
      <c r="BF287" s="5"/>
      <c r="BG287" s="5"/>
      <c r="BH287" s="5"/>
      <c r="BI287" s="58"/>
    </row>
    <row r="288" spans="1:61" ht="15" customHeight="1">
      <c r="A288" s="57"/>
      <c r="B288" s="6"/>
      <c r="C288" s="25"/>
      <c r="I288" s="25"/>
      <c r="K288" s="1" t="s">
        <v>260</v>
      </c>
      <c r="AL288" s="1"/>
      <c r="AM288" s="1"/>
      <c r="AN288" s="6"/>
      <c r="AO288" s="25"/>
      <c r="AP288" s="1"/>
      <c r="AQ288" s="6"/>
      <c r="BD288" s="5"/>
      <c r="BE288" s="157"/>
      <c r="BF288" s="5"/>
      <c r="BG288" s="5"/>
      <c r="BH288" s="5"/>
      <c r="BI288" s="58"/>
    </row>
    <row r="289" spans="1:61" ht="15" customHeight="1">
      <c r="A289" s="57"/>
      <c r="B289" s="6"/>
      <c r="C289" s="25"/>
      <c r="I289" s="25"/>
      <c r="K289" s="1" t="s">
        <v>260</v>
      </c>
      <c r="L289" s="1" t="s">
        <v>292</v>
      </c>
      <c r="O289" s="1" t="s">
        <v>293</v>
      </c>
      <c r="AL289" s="1"/>
      <c r="AM289" s="1"/>
      <c r="AN289" s="6"/>
      <c r="AO289" s="25"/>
      <c r="AP289" s="1"/>
      <c r="AQ289" s="6"/>
      <c r="BD289" s="5"/>
      <c r="BE289" s="157"/>
      <c r="BF289" s="5"/>
      <c r="BG289" s="5"/>
      <c r="BH289" s="5"/>
      <c r="BI289" s="58"/>
    </row>
    <row r="290" spans="1:61" ht="15" customHeight="1">
      <c r="A290" s="57"/>
      <c r="B290" s="6"/>
      <c r="C290" s="25"/>
      <c r="I290" s="25"/>
      <c r="K290" s="1" t="s">
        <v>260</v>
      </c>
      <c r="AL290" s="1"/>
      <c r="AM290" s="1"/>
      <c r="AN290" s="6"/>
      <c r="AO290" s="25"/>
      <c r="AP290" s="1"/>
      <c r="AQ290" s="6"/>
      <c r="BD290" s="5"/>
      <c r="BE290" s="157"/>
      <c r="BF290" s="5"/>
      <c r="BG290" s="5"/>
      <c r="BH290" s="5"/>
      <c r="BI290" s="58"/>
    </row>
    <row r="291" spans="1:61" ht="15" customHeight="1">
      <c r="A291" s="57"/>
      <c r="B291" s="6"/>
      <c r="C291" s="25"/>
      <c r="I291" s="25"/>
      <c r="K291" s="1" t="s">
        <v>260</v>
      </c>
      <c r="M291" s="1" t="s">
        <v>294</v>
      </c>
      <c r="AL291" s="1"/>
      <c r="AM291" s="1"/>
      <c r="AN291" s="6"/>
      <c r="AO291" s="25"/>
      <c r="AP291" s="1"/>
      <c r="AQ291" s="6"/>
      <c r="BD291" s="5"/>
      <c r="BE291" s="157"/>
      <c r="BF291" s="5"/>
      <c r="BG291" s="5"/>
      <c r="BH291" s="5"/>
      <c r="BI291" s="58"/>
    </row>
    <row r="292" spans="1:61" ht="15" customHeight="1">
      <c r="A292" s="57"/>
      <c r="B292" s="6"/>
      <c r="C292" s="25"/>
      <c r="I292" s="25"/>
      <c r="K292" s="1" t="s">
        <v>260</v>
      </c>
      <c r="AL292" s="1"/>
      <c r="AM292" s="1"/>
      <c r="AN292" s="6"/>
      <c r="AO292" s="25"/>
      <c r="AP292" s="1"/>
      <c r="AQ292" s="6"/>
      <c r="BD292" s="5"/>
      <c r="BE292" s="157"/>
      <c r="BF292" s="5"/>
      <c r="BG292" s="5"/>
      <c r="BH292" s="5"/>
      <c r="BI292" s="58"/>
    </row>
    <row r="293" spans="1:61" ht="15" customHeight="1">
      <c r="A293" s="57"/>
      <c r="B293" s="6"/>
      <c r="C293" s="25"/>
      <c r="I293" s="25"/>
      <c r="K293" s="1" t="s">
        <v>260</v>
      </c>
      <c r="N293" s="1" t="s">
        <v>202</v>
      </c>
      <c r="Q293" s="1" t="s">
        <v>295</v>
      </c>
      <c r="AL293" s="1"/>
      <c r="AM293" s="1"/>
      <c r="AN293" s="6"/>
      <c r="AO293" s="25"/>
      <c r="AP293" s="1"/>
      <c r="AQ293" s="6"/>
      <c r="BD293" s="5"/>
      <c r="BE293" s="157"/>
      <c r="BF293" s="5"/>
      <c r="BG293" s="5"/>
      <c r="BH293" s="5"/>
      <c r="BI293" s="58"/>
    </row>
    <row r="294" spans="1:61" ht="15" customHeight="1">
      <c r="A294" s="57"/>
      <c r="B294" s="6"/>
      <c r="C294" s="25"/>
      <c r="I294" s="25"/>
      <c r="K294" s="1" t="s">
        <v>260</v>
      </c>
      <c r="N294" s="1" t="s">
        <v>203</v>
      </c>
      <c r="Q294" s="1" t="s">
        <v>296</v>
      </c>
      <c r="AL294" s="1"/>
      <c r="AM294" s="1"/>
      <c r="AN294" s="6"/>
      <c r="AO294" s="25"/>
      <c r="AP294" s="1"/>
      <c r="AQ294" s="6"/>
      <c r="BD294" s="5"/>
      <c r="BE294" s="157"/>
      <c r="BF294" s="5"/>
      <c r="BG294" s="5"/>
      <c r="BH294" s="5"/>
      <c r="BI294" s="58"/>
    </row>
    <row r="295" spans="1:61" ht="15" customHeight="1">
      <c r="A295" s="57"/>
      <c r="B295" s="6"/>
      <c r="C295" s="25"/>
      <c r="I295" s="25"/>
      <c r="K295" s="1" t="s">
        <v>260</v>
      </c>
      <c r="AL295" s="1"/>
      <c r="AM295" s="1"/>
      <c r="AN295" s="6"/>
      <c r="AO295" s="25"/>
      <c r="AP295" s="1"/>
      <c r="AQ295" s="6"/>
      <c r="BD295" s="5"/>
      <c r="BE295" s="157"/>
      <c r="BF295" s="5"/>
      <c r="BG295" s="5"/>
      <c r="BH295" s="5"/>
      <c r="BI295" s="58"/>
    </row>
    <row r="296" spans="1:61" ht="15" customHeight="1">
      <c r="A296" s="57"/>
      <c r="B296" s="6"/>
      <c r="C296" s="25"/>
      <c r="I296" s="25"/>
      <c r="K296" s="1" t="s">
        <v>260</v>
      </c>
      <c r="M296" s="1" t="s">
        <v>297</v>
      </c>
      <c r="AL296" s="1"/>
      <c r="AM296" s="1"/>
      <c r="AN296" s="6"/>
      <c r="AO296" s="25"/>
      <c r="AP296" s="1"/>
      <c r="AQ296" s="6"/>
      <c r="BD296" s="5"/>
      <c r="BE296" s="157"/>
      <c r="BF296" s="5"/>
      <c r="BG296" s="5"/>
      <c r="BH296" s="5"/>
      <c r="BI296" s="58"/>
    </row>
    <row r="297" spans="1:61" ht="15" customHeight="1">
      <c r="A297" s="57"/>
      <c r="B297" s="6"/>
      <c r="C297" s="25"/>
      <c r="I297" s="25"/>
      <c r="K297" s="1" t="s">
        <v>260</v>
      </c>
      <c r="AL297" s="1"/>
      <c r="AM297" s="1"/>
      <c r="AN297" s="6"/>
      <c r="AO297" s="25"/>
      <c r="AP297" s="1"/>
      <c r="AQ297" s="6"/>
      <c r="BD297" s="5"/>
      <c r="BE297" s="157"/>
      <c r="BF297" s="5"/>
      <c r="BG297" s="5"/>
      <c r="BH297" s="5"/>
      <c r="BI297" s="58"/>
    </row>
    <row r="298" spans="1:61" ht="15" customHeight="1">
      <c r="A298" s="57"/>
      <c r="B298" s="6"/>
      <c r="C298" s="25"/>
      <c r="I298" s="25"/>
      <c r="K298" s="1" t="s">
        <v>260</v>
      </c>
      <c r="AL298" s="1"/>
      <c r="AM298" s="1"/>
      <c r="AN298" s="6"/>
      <c r="AO298" s="25"/>
      <c r="AP298" s="1"/>
      <c r="AQ298" s="6"/>
      <c r="BD298" s="5"/>
      <c r="BE298" s="157"/>
      <c r="BF298" s="5"/>
      <c r="BG298" s="5"/>
      <c r="BH298" s="5"/>
      <c r="BI298" s="58"/>
    </row>
    <row r="299" spans="1:61" ht="15" customHeight="1">
      <c r="A299" s="57"/>
      <c r="B299" s="6"/>
      <c r="C299" s="25"/>
      <c r="I299" s="25"/>
      <c r="K299" s="1" t="s">
        <v>260</v>
      </c>
      <c r="L299" s="1" t="s">
        <v>298</v>
      </c>
      <c r="O299" s="1" t="s">
        <v>299</v>
      </c>
      <c r="AL299" s="1"/>
      <c r="AM299" s="1"/>
      <c r="AN299" s="6"/>
      <c r="AO299" s="25"/>
      <c r="AP299" s="1"/>
      <c r="AQ299" s="6"/>
      <c r="BD299" s="5"/>
      <c r="BE299" s="157"/>
      <c r="BF299" s="5"/>
      <c r="BG299" s="5"/>
      <c r="BH299" s="5"/>
      <c r="BI299" s="58"/>
    </row>
    <row r="300" spans="1:61" ht="15" customHeight="1">
      <c r="A300" s="57"/>
      <c r="B300" s="6"/>
      <c r="C300" s="25"/>
      <c r="I300" s="25"/>
      <c r="K300" s="1" t="s">
        <v>260</v>
      </c>
      <c r="AL300" s="1"/>
      <c r="AM300" s="1"/>
      <c r="AN300" s="6"/>
      <c r="AO300" s="25"/>
      <c r="AP300" s="1"/>
      <c r="AQ300" s="6"/>
      <c r="BD300" s="5"/>
      <c r="BE300" s="157"/>
      <c r="BF300" s="5"/>
      <c r="BG300" s="5"/>
      <c r="BH300" s="5"/>
      <c r="BI300" s="58"/>
    </row>
    <row r="301" spans="1:61" ht="15" customHeight="1">
      <c r="A301" s="57"/>
      <c r="B301" s="6"/>
      <c r="C301" s="25"/>
      <c r="I301" s="25"/>
      <c r="K301" s="1" t="s">
        <v>260</v>
      </c>
      <c r="M301" s="1" t="s">
        <v>300</v>
      </c>
      <c r="AL301" s="1"/>
      <c r="AM301" s="1"/>
      <c r="AN301" s="6"/>
      <c r="AO301" s="25"/>
      <c r="AP301" s="1"/>
      <c r="AQ301" s="6"/>
      <c r="BD301" s="5"/>
      <c r="BE301" s="157"/>
      <c r="BF301" s="5"/>
      <c r="BG301" s="5"/>
      <c r="BH301" s="5"/>
      <c r="BI301" s="58"/>
    </row>
    <row r="302" spans="1:61" ht="15" customHeight="1">
      <c r="A302" s="57"/>
      <c r="B302" s="6"/>
      <c r="C302" s="25"/>
      <c r="I302" s="25"/>
      <c r="K302" s="1" t="s">
        <v>260</v>
      </c>
      <c r="AL302" s="1"/>
      <c r="AM302" s="1"/>
      <c r="AN302" s="6"/>
      <c r="AO302" s="25"/>
      <c r="AP302" s="1"/>
      <c r="AQ302" s="6"/>
      <c r="BD302" s="5"/>
      <c r="BE302" s="157"/>
      <c r="BF302" s="5"/>
      <c r="BG302" s="5"/>
      <c r="BH302" s="5"/>
      <c r="BI302" s="58"/>
    </row>
    <row r="303" spans="1:61" ht="15" customHeight="1">
      <c r="A303" s="57"/>
      <c r="B303" s="6"/>
      <c r="C303" s="25"/>
      <c r="I303" s="25"/>
      <c r="K303" s="1" t="s">
        <v>260</v>
      </c>
      <c r="N303" s="1" t="s">
        <v>202</v>
      </c>
      <c r="AL303" s="1"/>
      <c r="AM303" s="1"/>
      <c r="AN303" s="6"/>
      <c r="AO303" s="25"/>
      <c r="AP303" s="1"/>
      <c r="AQ303" s="6"/>
      <c r="BD303" s="5"/>
      <c r="BE303" s="157"/>
      <c r="BF303" s="5"/>
      <c r="BG303" s="5"/>
      <c r="BH303" s="5"/>
      <c r="BI303" s="58"/>
    </row>
    <row r="304" spans="1:61" ht="15" customHeight="1">
      <c r="A304" s="57"/>
      <c r="B304" s="6"/>
      <c r="C304" s="25"/>
      <c r="I304" s="25"/>
      <c r="K304" s="1" t="s">
        <v>260</v>
      </c>
      <c r="O304" s="1" t="s">
        <v>301</v>
      </c>
      <c r="AL304" s="1"/>
      <c r="AM304" s="1"/>
      <c r="AN304" s="6"/>
      <c r="AO304" s="25"/>
      <c r="AP304" s="1"/>
      <c r="AQ304" s="6"/>
      <c r="BD304" s="5"/>
      <c r="BE304" s="157"/>
      <c r="BF304" s="5"/>
      <c r="BG304" s="5"/>
      <c r="BH304" s="5"/>
      <c r="BI304" s="58"/>
    </row>
    <row r="305" spans="1:61" ht="15" customHeight="1">
      <c r="A305" s="57"/>
      <c r="B305" s="6"/>
      <c r="C305" s="25"/>
      <c r="I305" s="25"/>
      <c r="K305" s="1" t="s">
        <v>260</v>
      </c>
      <c r="N305" s="1" t="s">
        <v>203</v>
      </c>
      <c r="AL305" s="1"/>
      <c r="AM305" s="1"/>
      <c r="AN305" s="6"/>
      <c r="AO305" s="25"/>
      <c r="AP305" s="1"/>
      <c r="AQ305" s="6"/>
      <c r="BD305" s="5"/>
      <c r="BE305" s="157"/>
      <c r="BF305" s="5"/>
      <c r="BG305" s="5"/>
      <c r="BH305" s="5"/>
      <c r="BI305" s="58"/>
    </row>
    <row r="306" spans="1:61" ht="15" customHeight="1">
      <c r="A306" s="57"/>
      <c r="B306" s="6"/>
      <c r="C306" s="25"/>
      <c r="I306" s="25"/>
      <c r="K306" s="1" t="s">
        <v>260</v>
      </c>
      <c r="O306" s="1" t="s">
        <v>302</v>
      </c>
      <c r="AL306" s="1"/>
      <c r="AM306" s="1"/>
      <c r="AN306" s="6"/>
      <c r="AO306" s="25"/>
      <c r="AP306" s="1"/>
      <c r="AQ306" s="6"/>
      <c r="BD306" s="5"/>
      <c r="BE306" s="157"/>
      <c r="BF306" s="5"/>
      <c r="BG306" s="5"/>
      <c r="BH306" s="5"/>
      <c r="BI306" s="58"/>
    </row>
    <row r="307" spans="1:61" ht="15" customHeight="1">
      <c r="A307" s="57"/>
      <c r="B307" s="6"/>
      <c r="C307" s="25"/>
      <c r="I307" s="25"/>
      <c r="K307" s="1" t="s">
        <v>260</v>
      </c>
      <c r="AL307" s="1"/>
      <c r="AM307" s="1"/>
      <c r="AN307" s="6"/>
      <c r="AO307" s="25"/>
      <c r="AP307" s="1"/>
      <c r="AQ307" s="6"/>
      <c r="BD307" s="5"/>
      <c r="BE307" s="157"/>
      <c r="BF307" s="5"/>
      <c r="BG307" s="5"/>
      <c r="BH307" s="5"/>
      <c r="BI307" s="58"/>
    </row>
    <row r="308" spans="1:61" ht="15" customHeight="1">
      <c r="A308" s="57"/>
      <c r="B308" s="6"/>
      <c r="C308" s="25"/>
      <c r="I308" s="25"/>
      <c r="K308" s="1" t="s">
        <v>260</v>
      </c>
      <c r="M308" s="1" t="s">
        <v>303</v>
      </c>
      <c r="AL308" s="1"/>
      <c r="AM308" s="1"/>
      <c r="AN308" s="6"/>
      <c r="AO308" s="25"/>
      <c r="AP308" s="1"/>
      <c r="AQ308" s="6"/>
      <c r="BD308" s="5"/>
      <c r="BE308" s="157"/>
      <c r="BF308" s="5"/>
      <c r="BG308" s="5"/>
      <c r="BH308" s="5"/>
      <c r="BI308" s="58"/>
    </row>
    <row r="309" spans="1:61" ht="15" customHeight="1">
      <c r="A309" s="57"/>
      <c r="B309" s="6"/>
      <c r="C309" s="25"/>
      <c r="I309" s="25"/>
      <c r="K309" s="1" t="s">
        <v>260</v>
      </c>
      <c r="AL309" s="1"/>
      <c r="AM309" s="1"/>
      <c r="AN309" s="6"/>
      <c r="AO309" s="25"/>
      <c r="AP309" s="1"/>
      <c r="AQ309" s="6"/>
      <c r="BD309" s="5"/>
      <c r="BE309" s="157"/>
      <c r="BF309" s="5"/>
      <c r="BG309" s="5"/>
      <c r="BH309" s="5"/>
      <c r="BI309" s="58"/>
    </row>
    <row r="310" spans="1:61" ht="15" customHeight="1">
      <c r="A310" s="57"/>
      <c r="B310" s="6"/>
      <c r="C310" s="25"/>
      <c r="I310" s="25"/>
      <c r="K310" s="175" t="s">
        <v>304</v>
      </c>
      <c r="L310" s="175"/>
      <c r="M310" s="175"/>
      <c r="N310" s="175"/>
      <c r="O310" s="175"/>
      <c r="P310" s="175"/>
      <c r="Q310" s="175"/>
      <c r="R310" s="175"/>
      <c r="S310" s="175"/>
      <c r="T310" s="175"/>
      <c r="U310" s="175"/>
      <c r="V310" s="175"/>
      <c r="W310" s="175"/>
      <c r="X310" s="175"/>
      <c r="Y310" s="175"/>
      <c r="Z310" s="175"/>
      <c r="AA310" s="175"/>
      <c r="AB310" s="175"/>
      <c r="AC310" s="175"/>
      <c r="AD310" s="175"/>
      <c r="AE310" s="175"/>
      <c r="AF310" s="175"/>
      <c r="AG310" s="175"/>
      <c r="AH310" s="175"/>
      <c r="AI310" s="175"/>
      <c r="AJ310" s="175"/>
      <c r="AK310" s="175"/>
      <c r="AL310" s="175"/>
      <c r="AM310" s="175"/>
      <c r="AN310" s="176"/>
      <c r="AO310" s="25"/>
      <c r="AP310" s="1"/>
      <c r="AQ310" s="6"/>
      <c r="BD310" s="5"/>
      <c r="BE310" s="157"/>
      <c r="BF310" s="5"/>
      <c r="BG310" s="5"/>
      <c r="BH310" s="5"/>
      <c r="BI310" s="58"/>
    </row>
    <row r="311" spans="1:61" ht="15" customHeight="1">
      <c r="A311" s="57"/>
      <c r="B311" s="6"/>
      <c r="C311" s="25"/>
      <c r="I311" s="25"/>
      <c r="AL311" s="1"/>
      <c r="AM311" s="1"/>
      <c r="AN311" s="6"/>
      <c r="AO311" s="25"/>
      <c r="AP311" s="1"/>
      <c r="AQ311" s="6"/>
      <c r="BD311" s="5"/>
      <c r="BE311" s="157"/>
      <c r="BF311" s="5"/>
      <c r="BG311" s="5"/>
      <c r="BH311" s="5"/>
      <c r="BI311" s="58"/>
    </row>
    <row r="312" spans="1:61" ht="15" customHeight="1">
      <c r="A312" s="57"/>
      <c r="B312" s="6"/>
      <c r="C312" s="25"/>
      <c r="I312" s="25"/>
      <c r="AL312" s="1"/>
      <c r="AM312" s="1"/>
      <c r="AN312" s="6"/>
      <c r="AO312" s="25"/>
      <c r="AP312" s="1"/>
      <c r="AQ312" s="6"/>
      <c r="BD312" s="5"/>
      <c r="BE312" s="157"/>
      <c r="BF312" s="5"/>
      <c r="BG312" s="5"/>
      <c r="BH312" s="5"/>
      <c r="BI312" s="58"/>
    </row>
    <row r="313" spans="1:61" ht="15" customHeight="1">
      <c r="A313" s="57"/>
      <c r="B313" s="6"/>
      <c r="C313" s="25"/>
      <c r="I313" s="25"/>
      <c r="J313" s="1" t="s">
        <v>305</v>
      </c>
      <c r="L313" s="1" t="s">
        <v>206</v>
      </c>
      <c r="AL313" s="1"/>
      <c r="AM313" s="1"/>
      <c r="AN313" s="6"/>
      <c r="AO313" s="25"/>
      <c r="AP313" s="1"/>
      <c r="AQ313" s="6"/>
      <c r="BD313" s="5"/>
      <c r="BE313" s="157"/>
      <c r="BF313" s="5"/>
      <c r="BG313" s="5"/>
      <c r="BH313" s="5"/>
      <c r="BI313" s="58"/>
    </row>
    <row r="314" spans="1:61" ht="15" customHeight="1">
      <c r="A314" s="57"/>
      <c r="B314" s="6"/>
      <c r="C314" s="25"/>
      <c r="I314" s="25"/>
      <c r="AL314" s="1"/>
      <c r="AM314" s="1"/>
      <c r="AN314" s="6"/>
      <c r="AO314" s="25"/>
      <c r="AP314" s="1"/>
      <c r="AQ314" s="6"/>
      <c r="BD314" s="5"/>
      <c r="BE314" s="157"/>
      <c r="BF314" s="5"/>
      <c r="BG314" s="5"/>
      <c r="BH314" s="5"/>
      <c r="BI314" s="58"/>
    </row>
    <row r="315" spans="1:61" ht="15" customHeight="1">
      <c r="A315" s="57"/>
      <c r="B315" s="6"/>
      <c r="C315" s="25"/>
      <c r="I315" s="25"/>
      <c r="K315" s="1" t="s">
        <v>306</v>
      </c>
      <c r="AL315" s="1"/>
      <c r="AM315" s="1"/>
      <c r="AN315" s="6"/>
      <c r="AO315" s="25"/>
      <c r="AP315" s="1"/>
      <c r="AQ315" s="6"/>
      <c r="BD315" s="5"/>
      <c r="BE315" s="157"/>
      <c r="BF315" s="5"/>
      <c r="BG315" s="5"/>
      <c r="BH315" s="5"/>
      <c r="BI315" s="58"/>
    </row>
    <row r="316" spans="1:61" ht="15" customHeight="1">
      <c r="A316" s="57"/>
      <c r="B316" s="6"/>
      <c r="C316" s="25"/>
      <c r="I316" s="25"/>
      <c r="AL316" s="1"/>
      <c r="AM316" s="1"/>
      <c r="AN316" s="6"/>
      <c r="AO316" s="25"/>
      <c r="AP316" s="1"/>
      <c r="AQ316" s="6"/>
      <c r="BD316" s="5"/>
      <c r="BE316" s="157"/>
      <c r="BF316" s="5"/>
      <c r="BG316" s="5"/>
      <c r="BH316" s="5"/>
      <c r="BI316" s="58"/>
    </row>
    <row r="317" spans="1:61" ht="15" customHeight="1">
      <c r="A317" s="57"/>
      <c r="B317" s="6"/>
      <c r="C317" s="25"/>
      <c r="I317" s="25"/>
      <c r="L317" s="1" t="s">
        <v>169</v>
      </c>
      <c r="AL317" s="1"/>
      <c r="AM317" s="1"/>
      <c r="AN317" s="6"/>
      <c r="AO317" s="25"/>
      <c r="AP317" s="1"/>
      <c r="AQ317" s="6"/>
      <c r="BD317" s="5"/>
      <c r="BE317" s="157"/>
      <c r="BF317" s="5"/>
      <c r="BG317" s="5"/>
      <c r="BH317" s="5"/>
      <c r="BI317" s="58"/>
    </row>
    <row r="318" spans="1:61" ht="15" customHeight="1">
      <c r="A318" s="57"/>
      <c r="B318" s="6"/>
      <c r="C318" s="25"/>
      <c r="I318" s="25"/>
      <c r="M318" s="161" t="s">
        <v>170</v>
      </c>
      <c r="N318" s="162"/>
      <c r="O318" s="162"/>
      <c r="P318" s="162"/>
      <c r="Q318" s="162"/>
      <c r="R318" s="162"/>
      <c r="S318" s="162"/>
      <c r="T318" s="162"/>
      <c r="U318" s="162"/>
      <c r="V318" s="163"/>
      <c r="W318" s="164" t="s">
        <v>307</v>
      </c>
      <c r="X318" s="165"/>
      <c r="Y318" s="165"/>
      <c r="Z318" s="166"/>
      <c r="AA318" s="177" t="s">
        <v>172</v>
      </c>
      <c r="AB318" s="167"/>
      <c r="AC318" s="167"/>
      <c r="AD318" s="167"/>
      <c r="AE318" s="168"/>
      <c r="AL318" s="1"/>
      <c r="AM318" s="1"/>
      <c r="AN318" s="6"/>
      <c r="AO318" s="25"/>
      <c r="AP318" s="1"/>
      <c r="AQ318" s="6"/>
      <c r="BD318" s="5"/>
      <c r="BE318" s="157"/>
      <c r="BF318" s="5"/>
      <c r="BG318" s="5"/>
      <c r="BH318" s="5"/>
      <c r="BI318" s="58"/>
    </row>
    <row r="319" spans="1:61" ht="15" customHeight="1">
      <c r="A319" s="57"/>
      <c r="B319" s="6"/>
      <c r="C319" s="25"/>
      <c r="I319" s="25"/>
      <c r="M319" s="145" t="s">
        <v>308</v>
      </c>
      <c r="N319" s="23"/>
      <c r="O319" s="23"/>
      <c r="P319" s="23"/>
      <c r="Q319" s="23"/>
      <c r="R319" s="23"/>
      <c r="S319" s="23"/>
      <c r="T319" s="23"/>
      <c r="U319" s="23"/>
      <c r="V319" s="55"/>
      <c r="W319" s="141" t="s">
        <v>309</v>
      </c>
      <c r="X319" s="39"/>
      <c r="Y319" s="39"/>
      <c r="Z319" s="142"/>
      <c r="AA319" s="141" t="s">
        <v>310</v>
      </c>
      <c r="AB319" s="39"/>
      <c r="AC319" s="39"/>
      <c r="AD319" s="39"/>
      <c r="AE319" s="142"/>
      <c r="AL319" s="1"/>
      <c r="AM319" s="1"/>
      <c r="AN319" s="6"/>
      <c r="AO319" s="25"/>
      <c r="AP319" s="1"/>
      <c r="AQ319" s="6"/>
      <c r="BD319" s="5"/>
      <c r="BE319" s="157"/>
      <c r="BF319" s="5"/>
      <c r="BG319" s="5"/>
      <c r="BH319" s="5"/>
      <c r="BI319" s="58"/>
    </row>
    <row r="320" spans="1:61" ht="15" customHeight="1">
      <c r="A320" s="57"/>
      <c r="B320" s="6"/>
      <c r="C320" s="25"/>
      <c r="I320" s="25"/>
      <c r="M320" s="59"/>
      <c r="N320" s="18"/>
      <c r="O320" s="18"/>
      <c r="P320" s="18"/>
      <c r="Q320" s="18"/>
      <c r="R320" s="18"/>
      <c r="S320" s="18"/>
      <c r="T320" s="18"/>
      <c r="U320" s="18"/>
      <c r="V320" s="60"/>
      <c r="W320" s="25" t="s">
        <v>311</v>
      </c>
      <c r="Z320" s="6"/>
      <c r="AA320" s="25" t="s">
        <v>310</v>
      </c>
      <c r="AE320" s="6"/>
      <c r="AL320" s="1"/>
      <c r="AM320" s="1"/>
      <c r="AN320" s="6"/>
      <c r="AO320" s="25"/>
      <c r="AP320" s="1"/>
      <c r="AQ320" s="6"/>
      <c r="BD320" s="5"/>
      <c r="BE320" s="157"/>
      <c r="BF320" s="5"/>
      <c r="BG320" s="5"/>
      <c r="BH320" s="5"/>
      <c r="BI320" s="58"/>
    </row>
    <row r="321" spans="1:61" ht="15" customHeight="1">
      <c r="A321" s="57"/>
      <c r="B321" s="6"/>
      <c r="C321" s="25"/>
      <c r="I321" s="25"/>
      <c r="M321" s="145" t="s">
        <v>250</v>
      </c>
      <c r="N321" s="23"/>
      <c r="O321" s="23"/>
      <c r="P321" s="23"/>
      <c r="Q321" s="23"/>
      <c r="R321" s="23"/>
      <c r="S321" s="23"/>
      <c r="T321" s="23"/>
      <c r="U321" s="23"/>
      <c r="V321" s="55"/>
      <c r="W321" s="141" t="s">
        <v>309</v>
      </c>
      <c r="X321" s="39"/>
      <c r="Y321" s="39"/>
      <c r="Z321" s="142"/>
      <c r="AA321" s="141" t="s">
        <v>177</v>
      </c>
      <c r="AB321" s="39"/>
      <c r="AC321" s="39"/>
      <c r="AD321" s="39"/>
      <c r="AE321" s="142"/>
      <c r="AL321" s="1"/>
      <c r="AM321" s="1"/>
      <c r="AN321" s="6"/>
      <c r="AO321" s="25"/>
      <c r="AP321" s="1"/>
      <c r="AQ321" s="6"/>
      <c r="BD321" s="5"/>
      <c r="BE321" s="157"/>
      <c r="BF321" s="5"/>
      <c r="BG321" s="5"/>
      <c r="BH321" s="5"/>
      <c r="BI321" s="58"/>
    </row>
    <row r="322" spans="1:61" ht="15" customHeight="1">
      <c r="A322" s="57"/>
      <c r="B322" s="6"/>
      <c r="C322" s="25"/>
      <c r="I322" s="25"/>
      <c r="M322" s="59"/>
      <c r="N322" s="18"/>
      <c r="O322" s="18"/>
      <c r="P322" s="18"/>
      <c r="Q322" s="18"/>
      <c r="R322" s="18"/>
      <c r="S322" s="18"/>
      <c r="T322" s="18"/>
      <c r="U322" s="18"/>
      <c r="V322" s="60"/>
      <c r="W322" s="59" t="s">
        <v>311</v>
      </c>
      <c r="X322" s="18"/>
      <c r="Y322" s="18"/>
      <c r="Z322" s="60"/>
      <c r="AA322" s="59" t="s">
        <v>310</v>
      </c>
      <c r="AB322" s="18"/>
      <c r="AC322" s="18"/>
      <c r="AD322" s="18"/>
      <c r="AE322" s="60"/>
      <c r="AL322" s="1"/>
      <c r="AM322" s="1"/>
      <c r="AN322" s="6"/>
      <c r="AO322" s="25"/>
      <c r="AP322" s="1"/>
      <c r="AQ322" s="6"/>
      <c r="BD322" s="5"/>
      <c r="BE322" s="157"/>
      <c r="BF322" s="5"/>
      <c r="BG322" s="5"/>
      <c r="BH322" s="5"/>
      <c r="BI322" s="58"/>
    </row>
    <row r="323" spans="1:61" ht="15" customHeight="1">
      <c r="A323" s="57"/>
      <c r="B323" s="6"/>
      <c r="C323" s="25"/>
      <c r="I323" s="25"/>
      <c r="AL323" s="1"/>
      <c r="AM323" s="1"/>
      <c r="AN323" s="6"/>
      <c r="AO323" s="25"/>
      <c r="AP323" s="1"/>
      <c r="AQ323" s="6"/>
      <c r="BD323" s="5"/>
      <c r="BE323" s="157"/>
      <c r="BF323" s="5"/>
      <c r="BG323" s="5"/>
      <c r="BH323" s="5"/>
      <c r="BI323" s="58"/>
    </row>
    <row r="324" spans="1:61" ht="15" customHeight="1">
      <c r="A324" s="57"/>
      <c r="B324" s="6"/>
      <c r="C324" s="25"/>
      <c r="I324" s="25"/>
      <c r="K324" s="1" t="s">
        <v>312</v>
      </c>
      <c r="AL324" s="1"/>
      <c r="AM324" s="1"/>
      <c r="AN324" s="6"/>
      <c r="AO324" s="25"/>
      <c r="AP324" s="1"/>
      <c r="AQ324" s="6"/>
      <c r="BD324" s="5"/>
      <c r="BE324" s="157"/>
      <c r="BF324" s="5"/>
      <c r="BG324" s="5"/>
      <c r="BH324" s="5"/>
      <c r="BI324" s="58"/>
    </row>
    <row r="325" spans="1:61" ht="15" customHeight="1">
      <c r="A325" s="57"/>
      <c r="B325" s="6"/>
      <c r="C325" s="25"/>
      <c r="I325" s="25"/>
      <c r="AL325" s="1"/>
      <c r="AM325" s="1"/>
      <c r="AN325" s="6"/>
      <c r="AO325" s="25"/>
      <c r="AP325" s="1"/>
      <c r="AQ325" s="6"/>
      <c r="BD325" s="5"/>
      <c r="BE325" s="157"/>
      <c r="BF325" s="5"/>
      <c r="BG325" s="5"/>
      <c r="BH325" s="5"/>
      <c r="BI325" s="58"/>
    </row>
    <row r="326" spans="1:61" ht="15" customHeight="1">
      <c r="A326" s="57"/>
      <c r="B326" s="6"/>
      <c r="C326" s="25"/>
      <c r="I326" s="25"/>
      <c r="K326" s="1" t="s">
        <v>313</v>
      </c>
      <c r="AL326" s="1"/>
      <c r="AM326" s="1"/>
      <c r="AN326" s="6"/>
      <c r="AO326" s="25"/>
      <c r="AP326" s="1"/>
      <c r="AQ326" s="6"/>
      <c r="BD326" s="5"/>
      <c r="BE326" s="157"/>
      <c r="BF326" s="5"/>
      <c r="BG326" s="5"/>
      <c r="BH326" s="5"/>
      <c r="BI326" s="58"/>
    </row>
    <row r="327" spans="1:61" ht="15" customHeight="1">
      <c r="A327" s="57"/>
      <c r="B327" s="6"/>
      <c r="C327" s="25"/>
      <c r="I327" s="25"/>
      <c r="AL327" s="1"/>
      <c r="AM327" s="1"/>
      <c r="AN327" s="6"/>
      <c r="AO327" s="25"/>
      <c r="AP327" s="1"/>
      <c r="AQ327" s="6"/>
      <c r="BD327" s="5"/>
      <c r="BE327" s="157"/>
      <c r="BF327" s="5"/>
      <c r="BG327" s="5"/>
      <c r="BH327" s="5"/>
      <c r="BI327" s="58"/>
    </row>
    <row r="328" spans="1:61" ht="15" customHeight="1">
      <c r="A328" s="57"/>
      <c r="B328" s="6"/>
      <c r="C328" s="25"/>
      <c r="I328" s="25"/>
      <c r="K328" s="1" t="s">
        <v>314</v>
      </c>
      <c r="AL328" s="1"/>
      <c r="AM328" s="1"/>
      <c r="AN328" s="6"/>
      <c r="AO328" s="25"/>
      <c r="AP328" s="1"/>
      <c r="AQ328" s="6"/>
      <c r="BD328" s="5"/>
      <c r="BE328" s="157"/>
      <c r="BF328" s="5"/>
      <c r="BG328" s="5"/>
      <c r="BH328" s="5"/>
      <c r="BI328" s="58"/>
    </row>
    <row r="329" spans="1:61" ht="15" customHeight="1">
      <c r="A329" s="57"/>
      <c r="B329" s="6"/>
      <c r="C329" s="25"/>
      <c r="I329" s="25"/>
      <c r="K329" s="1" t="s">
        <v>208</v>
      </c>
      <c r="AL329" s="1"/>
      <c r="AM329" s="1"/>
      <c r="AN329" s="6"/>
      <c r="AO329" s="25"/>
      <c r="AP329" s="1"/>
      <c r="AQ329" s="6"/>
      <c r="BD329" s="5"/>
      <c r="BE329" s="157"/>
      <c r="BF329" s="5"/>
      <c r="BG329" s="5"/>
      <c r="BH329" s="5"/>
      <c r="BI329" s="58"/>
    </row>
    <row r="330" spans="1:61" ht="15" customHeight="1">
      <c r="A330" s="57"/>
      <c r="B330" s="6"/>
      <c r="C330" s="25"/>
      <c r="I330" s="25"/>
      <c r="AL330" s="1"/>
      <c r="AM330" s="1"/>
      <c r="AN330" s="6"/>
      <c r="AO330" s="25"/>
      <c r="AP330" s="1"/>
      <c r="AQ330" s="6"/>
      <c r="BD330" s="5"/>
      <c r="BE330" s="157"/>
      <c r="BF330" s="5"/>
      <c r="BG330" s="5"/>
      <c r="BH330" s="5"/>
      <c r="BI330" s="58"/>
    </row>
    <row r="331" spans="1:61" ht="15" customHeight="1" thickBot="1">
      <c r="A331" s="19"/>
      <c r="B331" s="56"/>
      <c r="C331" s="64"/>
      <c r="D331" s="27"/>
      <c r="E331" s="27"/>
      <c r="F331" s="27"/>
      <c r="G331" s="27"/>
      <c r="H331" s="27"/>
      <c r="I331" s="64"/>
      <c r="J331" s="27"/>
      <c r="K331" s="27"/>
      <c r="L331" s="27"/>
      <c r="M331" s="27"/>
      <c r="N331" s="27"/>
      <c r="O331" s="27"/>
      <c r="P331" s="27"/>
      <c r="Q331" s="27"/>
      <c r="R331" s="27"/>
      <c r="S331" s="27"/>
      <c r="T331" s="27"/>
      <c r="U331" s="27"/>
      <c r="V331" s="27"/>
      <c r="W331" s="27"/>
      <c r="X331" s="27"/>
      <c r="Y331" s="27"/>
      <c r="Z331" s="27"/>
      <c r="AA331" s="27"/>
      <c r="AB331" s="27"/>
      <c r="AC331" s="27"/>
      <c r="AD331" s="27"/>
      <c r="AE331" s="27"/>
      <c r="AF331" s="27"/>
      <c r="AG331" s="27"/>
      <c r="AH331" s="27"/>
      <c r="AI331" s="27"/>
      <c r="AJ331" s="27"/>
      <c r="AK331" s="27"/>
      <c r="AL331" s="27"/>
      <c r="AM331" s="27"/>
      <c r="AN331" s="56"/>
      <c r="AO331" s="64"/>
      <c r="AP331" s="27"/>
      <c r="AQ331" s="56"/>
      <c r="AR331" s="27"/>
      <c r="AS331" s="27"/>
      <c r="AT331" s="27"/>
      <c r="AU331" s="27"/>
      <c r="AV331" s="27"/>
      <c r="AW331" s="27"/>
      <c r="AX331" s="27"/>
      <c r="AY331" s="27"/>
      <c r="AZ331" s="27"/>
      <c r="BA331" s="27"/>
      <c r="BB331" s="27"/>
      <c r="BC331" s="27"/>
      <c r="BD331" s="65"/>
      <c r="BE331" s="159"/>
      <c r="BF331" s="65"/>
      <c r="BG331" s="65"/>
      <c r="BH331" s="65"/>
      <c r="BI331" s="66"/>
    </row>
  </sheetData>
  <mergeCells count="29">
    <mergeCell ref="A5:B5"/>
    <mergeCell ref="A4:H4"/>
    <mergeCell ref="C5:H5"/>
    <mergeCell ref="AO5:AQ5"/>
    <mergeCell ref="I5:AN5"/>
    <mergeCell ref="A1:E3"/>
    <mergeCell ref="F1:P1"/>
    <mergeCell ref="Q1:V1"/>
    <mergeCell ref="W1:AD1"/>
    <mergeCell ref="AE1:AS1"/>
    <mergeCell ref="AT1:BA1"/>
    <mergeCell ref="BB1:BI1"/>
    <mergeCell ref="F2:P3"/>
    <mergeCell ref="Q2:V3"/>
    <mergeCell ref="W2:AD3"/>
    <mergeCell ref="AE2:AS3"/>
    <mergeCell ref="AT2:AU2"/>
    <mergeCell ref="AV2:BA2"/>
    <mergeCell ref="BB2:BI2"/>
    <mergeCell ref="AT3:AU3"/>
    <mergeCell ref="AV3:BA3"/>
    <mergeCell ref="BB3:BI3"/>
    <mergeCell ref="AR254:BE255"/>
    <mergeCell ref="AR94:BE95"/>
    <mergeCell ref="AR171:BE172"/>
    <mergeCell ref="BF5:BI5"/>
    <mergeCell ref="AR5:BE5"/>
    <mergeCell ref="AR30:BE31"/>
    <mergeCell ref="AR50:BE51"/>
  </mergeCells>
  <phoneticPr fontId="2"/>
  <printOptions horizontalCentered="1"/>
  <pageMargins left="0.23622047244094491" right="0.23622047244094491" top="0.74803149606299213" bottom="0.74803149606299213" header="0.31496062992125984" footer="0.31496062992125984"/>
  <pageSetup paperSize="9" scale="85"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5C4142-7323-4A20-B3E7-0593764C537D}">
  <dimension ref="A1:BI111"/>
  <sheetViews>
    <sheetView showGridLines="0" zoomScale="70" zoomScaleNormal="70" workbookViewId="0">
      <pane ySplit="5" topLeftCell="A6" activePane="bottomLeft" state="frozen"/>
      <selection pane="bottomLeft" sqref="A1:E3"/>
    </sheetView>
  </sheetViews>
  <sheetFormatPr defaultColWidth="2.5" defaultRowHeight="15" customHeight="1"/>
  <cols>
    <col min="1" max="16384" width="2.5" style="45"/>
  </cols>
  <sheetData>
    <row r="1" spans="1:61" s="1" customFormat="1" ht="15" customHeight="1" thickBot="1">
      <c r="A1" s="294" t="s">
        <v>32</v>
      </c>
      <c r="B1" s="295"/>
      <c r="C1" s="295"/>
      <c r="D1" s="295"/>
      <c r="E1" s="296"/>
      <c r="F1" s="303" t="str">
        <f>変更履歴!F1</f>
        <v>システム名</v>
      </c>
      <c r="G1" s="304"/>
      <c r="H1" s="304"/>
      <c r="I1" s="304"/>
      <c r="J1" s="304"/>
      <c r="K1" s="304"/>
      <c r="L1" s="304"/>
      <c r="M1" s="304"/>
      <c r="N1" s="304"/>
      <c r="O1" s="304"/>
      <c r="P1" s="305"/>
      <c r="Q1" s="306" t="str">
        <f>変更履歴!Q1</f>
        <v>機能分類</v>
      </c>
      <c r="R1" s="307"/>
      <c r="S1" s="307"/>
      <c r="T1" s="307"/>
      <c r="U1" s="307"/>
      <c r="V1" s="308"/>
      <c r="W1" s="303" t="str">
        <f>変更履歴!W1</f>
        <v>機能ＩＤ</v>
      </c>
      <c r="X1" s="304"/>
      <c r="Y1" s="304"/>
      <c r="Z1" s="304"/>
      <c r="AA1" s="304"/>
      <c r="AB1" s="304"/>
      <c r="AC1" s="304"/>
      <c r="AD1" s="305"/>
      <c r="AE1" s="303" t="str">
        <f>変更履歴!AE1</f>
        <v>機能名称</v>
      </c>
      <c r="AF1" s="304"/>
      <c r="AG1" s="304"/>
      <c r="AH1" s="304"/>
      <c r="AI1" s="304"/>
      <c r="AJ1" s="304"/>
      <c r="AK1" s="304"/>
      <c r="AL1" s="304"/>
      <c r="AM1" s="304"/>
      <c r="AN1" s="304"/>
      <c r="AO1" s="304"/>
      <c r="AP1" s="304"/>
      <c r="AQ1" s="304"/>
      <c r="AR1" s="304"/>
      <c r="AS1" s="305"/>
      <c r="AT1" s="309" t="str">
        <f>変更履歴!AT1</f>
        <v>日付</v>
      </c>
      <c r="AU1" s="310"/>
      <c r="AV1" s="310"/>
      <c r="AW1" s="310"/>
      <c r="AX1" s="310"/>
      <c r="AY1" s="310"/>
      <c r="AZ1" s="310"/>
      <c r="BA1" s="311"/>
      <c r="BB1" s="266" t="str">
        <f>変更履歴!BB1</f>
        <v>更新者</v>
      </c>
      <c r="BC1" s="268"/>
      <c r="BD1" s="268"/>
      <c r="BE1" s="268"/>
      <c r="BF1" s="268"/>
      <c r="BG1" s="268"/>
      <c r="BH1" s="268"/>
      <c r="BI1" s="269"/>
    </row>
    <row r="2" spans="1:61" s="1" customFormat="1" ht="15" customHeight="1">
      <c r="A2" s="297"/>
      <c r="B2" s="298"/>
      <c r="C2" s="298"/>
      <c r="D2" s="298"/>
      <c r="E2" s="299"/>
      <c r="F2" s="270" t="str">
        <f>変更履歴!F2</f>
        <v>Dynamics365 for Finance and Operations</v>
      </c>
      <c r="G2" s="271"/>
      <c r="H2" s="271"/>
      <c r="I2" s="271"/>
      <c r="J2" s="271"/>
      <c r="K2" s="271"/>
      <c r="L2" s="271"/>
      <c r="M2" s="271"/>
      <c r="N2" s="271"/>
      <c r="O2" s="271"/>
      <c r="P2" s="272"/>
      <c r="Q2" s="270" t="str">
        <f>変更履歴!Q2</f>
        <v>システム共通</v>
      </c>
      <c r="R2" s="271"/>
      <c r="S2" s="271"/>
      <c r="T2" s="271"/>
      <c r="U2" s="271"/>
      <c r="V2" s="272"/>
      <c r="W2" s="276" t="str">
        <f>変更履歴!W2</f>
        <v>FO-088</v>
      </c>
      <c r="X2" s="277"/>
      <c r="Y2" s="277"/>
      <c r="Z2" s="277"/>
      <c r="AA2" s="277"/>
      <c r="AB2" s="277"/>
      <c r="AC2" s="277"/>
      <c r="AD2" s="278"/>
      <c r="AE2" s="270" t="str">
        <f>変更履歴!AE2</f>
        <v>AzureFiles連携共通インターフェース</v>
      </c>
      <c r="AF2" s="271"/>
      <c r="AG2" s="271"/>
      <c r="AH2" s="271"/>
      <c r="AI2" s="271"/>
      <c r="AJ2" s="271"/>
      <c r="AK2" s="271"/>
      <c r="AL2" s="271"/>
      <c r="AM2" s="271"/>
      <c r="AN2" s="271"/>
      <c r="AO2" s="271"/>
      <c r="AP2" s="271"/>
      <c r="AQ2" s="271"/>
      <c r="AR2" s="271"/>
      <c r="AS2" s="272"/>
      <c r="AT2" s="282" t="str">
        <f>変更履歴!AT2</f>
        <v>作成</v>
      </c>
      <c r="AU2" s="283"/>
      <c r="AV2" s="284">
        <f>変更履歴!AV2</f>
        <v>45453</v>
      </c>
      <c r="AW2" s="284"/>
      <c r="AX2" s="284"/>
      <c r="AY2" s="284"/>
      <c r="AZ2" s="284"/>
      <c r="BA2" s="285"/>
      <c r="BB2" s="286" t="str">
        <f>変更履歴!BB2</f>
        <v>JBS石岡</v>
      </c>
      <c r="BC2" s="288"/>
      <c r="BD2" s="288"/>
      <c r="BE2" s="288"/>
      <c r="BF2" s="288"/>
      <c r="BG2" s="288"/>
      <c r="BH2" s="288"/>
      <c r="BI2" s="289"/>
    </row>
    <row r="3" spans="1:61" s="1" customFormat="1" ht="15" customHeight="1" thickBot="1">
      <c r="A3" s="300"/>
      <c r="B3" s="301"/>
      <c r="C3" s="301"/>
      <c r="D3" s="301"/>
      <c r="E3" s="302"/>
      <c r="F3" s="273"/>
      <c r="G3" s="274"/>
      <c r="H3" s="274"/>
      <c r="I3" s="274"/>
      <c r="J3" s="274"/>
      <c r="K3" s="274"/>
      <c r="L3" s="274"/>
      <c r="M3" s="274"/>
      <c r="N3" s="274"/>
      <c r="O3" s="274"/>
      <c r="P3" s="275"/>
      <c r="Q3" s="273"/>
      <c r="R3" s="274"/>
      <c r="S3" s="274"/>
      <c r="T3" s="274"/>
      <c r="U3" s="274"/>
      <c r="V3" s="275"/>
      <c r="W3" s="279"/>
      <c r="X3" s="280"/>
      <c r="Y3" s="280"/>
      <c r="Z3" s="280"/>
      <c r="AA3" s="280"/>
      <c r="AB3" s="280"/>
      <c r="AC3" s="280"/>
      <c r="AD3" s="281"/>
      <c r="AE3" s="273"/>
      <c r="AF3" s="274"/>
      <c r="AG3" s="274"/>
      <c r="AH3" s="274"/>
      <c r="AI3" s="274"/>
      <c r="AJ3" s="274"/>
      <c r="AK3" s="274"/>
      <c r="AL3" s="274"/>
      <c r="AM3" s="274"/>
      <c r="AN3" s="274"/>
      <c r="AO3" s="274"/>
      <c r="AP3" s="274"/>
      <c r="AQ3" s="274"/>
      <c r="AR3" s="274"/>
      <c r="AS3" s="275"/>
      <c r="AT3" s="290" t="str">
        <f>変更履歴!AT3</f>
        <v>更新</v>
      </c>
      <c r="AU3" s="291"/>
      <c r="AV3" s="316">
        <f ca="1">変更履歴!AV3</f>
        <v>45726</v>
      </c>
      <c r="AW3" s="317"/>
      <c r="AX3" s="317"/>
      <c r="AY3" s="317"/>
      <c r="AZ3" s="317"/>
      <c r="BA3" s="318"/>
      <c r="BB3" s="313" t="str">
        <f ca="1">変更履歴!BB3</f>
        <v>JBS石岡</v>
      </c>
      <c r="BC3" s="314"/>
      <c r="BD3" s="314"/>
      <c r="BE3" s="314"/>
      <c r="BF3" s="314"/>
      <c r="BG3" s="314"/>
      <c r="BH3" s="314"/>
      <c r="BI3" s="315"/>
    </row>
    <row r="4" spans="1:61" s="1" customFormat="1" ht="15" customHeight="1" thickBot="1">
      <c r="A4" s="312"/>
      <c r="B4" s="312"/>
      <c r="C4" s="312"/>
      <c r="D4" s="312"/>
      <c r="E4" s="312"/>
      <c r="F4" s="312"/>
      <c r="G4" s="312"/>
      <c r="H4" s="312"/>
    </row>
    <row r="5" spans="1:61" s="1" customFormat="1" ht="15" customHeight="1" thickBot="1">
      <c r="A5" s="319" t="s">
        <v>374</v>
      </c>
      <c r="B5" s="320"/>
      <c r="C5" s="320"/>
      <c r="D5" s="320"/>
      <c r="E5" s="320"/>
      <c r="F5" s="320"/>
      <c r="G5" s="320"/>
      <c r="H5" s="320"/>
      <c r="I5" s="320"/>
      <c r="J5" s="320"/>
      <c r="K5" s="320"/>
      <c r="L5" s="320"/>
      <c r="M5" s="320"/>
      <c r="N5" s="320"/>
      <c r="O5" s="320"/>
      <c r="P5" s="320"/>
      <c r="Q5" s="320"/>
      <c r="R5" s="320"/>
      <c r="S5" s="320"/>
      <c r="T5" s="320"/>
      <c r="U5" s="320"/>
      <c r="V5" s="320"/>
      <c r="W5" s="320"/>
      <c r="X5" s="320"/>
      <c r="Y5" s="320"/>
      <c r="Z5" s="320"/>
      <c r="AA5" s="320"/>
      <c r="AB5" s="320"/>
      <c r="AC5" s="320"/>
      <c r="AD5" s="320"/>
      <c r="AE5" s="320"/>
      <c r="AF5" s="320"/>
      <c r="AG5" s="320"/>
      <c r="AH5" s="320"/>
      <c r="AI5" s="320"/>
      <c r="AJ5" s="320"/>
      <c r="AK5" s="320"/>
      <c r="AL5" s="320"/>
      <c r="AM5" s="320"/>
      <c r="AN5" s="320"/>
      <c r="AO5" s="320"/>
      <c r="AP5" s="320"/>
      <c r="AQ5" s="320"/>
      <c r="AR5" s="320"/>
      <c r="AS5" s="320"/>
      <c r="AT5" s="320"/>
      <c r="AU5" s="320"/>
      <c r="AV5" s="320"/>
      <c r="AW5" s="320"/>
      <c r="AX5" s="320"/>
      <c r="AY5" s="320"/>
      <c r="AZ5" s="320"/>
      <c r="BA5" s="320"/>
      <c r="BB5" s="320"/>
      <c r="BC5" s="320"/>
      <c r="BD5" s="320"/>
      <c r="BE5" s="320"/>
      <c r="BF5" s="320"/>
      <c r="BG5" s="320"/>
      <c r="BH5" s="320"/>
      <c r="BI5" s="321"/>
    </row>
    <row r="6" spans="1:61" s="1" customFormat="1" ht="15" customHeight="1">
      <c r="A6" s="15"/>
      <c r="BI6" s="26"/>
    </row>
    <row r="7" spans="1:61" s="1" customFormat="1" ht="15" customHeight="1">
      <c r="A7" s="15"/>
      <c r="B7" s="94" t="s">
        <v>375</v>
      </c>
      <c r="BI7" s="26"/>
    </row>
    <row r="8" spans="1:61" s="1" customFormat="1" ht="15" customHeight="1">
      <c r="A8" s="15"/>
      <c r="BI8" s="26"/>
    </row>
    <row r="9" spans="1:61" s="1" customFormat="1" ht="15" customHeight="1">
      <c r="A9" s="15"/>
      <c r="C9" s="94" t="s">
        <v>376</v>
      </c>
      <c r="D9" s="94" t="s">
        <v>377</v>
      </c>
      <c r="G9" s="1" t="s">
        <v>378</v>
      </c>
      <c r="H9" s="1" t="s">
        <v>379</v>
      </c>
      <c r="BI9" s="26"/>
    </row>
    <row r="10" spans="1:61" s="1" customFormat="1" ht="15" customHeight="1">
      <c r="A10" s="15"/>
      <c r="C10" s="148" t="s">
        <v>376</v>
      </c>
      <c r="D10" s="148" t="s">
        <v>380</v>
      </c>
      <c r="G10" s="1" t="s">
        <v>378</v>
      </c>
      <c r="H10" s="1" t="s">
        <v>381</v>
      </c>
      <c r="BI10" s="26"/>
    </row>
    <row r="11" spans="1:61" s="1" customFormat="1" ht="15" customHeight="1">
      <c r="A11" s="15"/>
      <c r="C11" s="147" t="s">
        <v>376</v>
      </c>
      <c r="D11" s="147" t="s">
        <v>382</v>
      </c>
      <c r="G11" s="1" t="s">
        <v>378</v>
      </c>
      <c r="H11" s="1" t="s">
        <v>383</v>
      </c>
      <c r="BI11" s="26"/>
    </row>
    <row r="12" spans="1:61" s="1" customFormat="1" ht="15" customHeight="1">
      <c r="A12" s="15"/>
      <c r="BI12" s="26"/>
    </row>
    <row r="13" spans="1:61" s="1" customFormat="1" ht="15" customHeight="1">
      <c r="A13" s="15"/>
      <c r="C13" s="178" t="s">
        <v>384</v>
      </c>
      <c r="BI13" s="26"/>
    </row>
    <row r="14" spans="1:61" s="1" customFormat="1" ht="15" customHeight="1">
      <c r="A14" s="15"/>
      <c r="BI14" s="26"/>
    </row>
    <row r="15" spans="1:61" s="1" customFormat="1" ht="15" customHeight="1">
      <c r="A15" s="15"/>
      <c r="BI15" s="26"/>
    </row>
    <row r="16" spans="1:61" s="1" customFormat="1" ht="15" customHeight="1">
      <c r="A16" s="15"/>
      <c r="D16" s="388" t="s">
        <v>385</v>
      </c>
      <c r="E16" s="389"/>
      <c r="F16" s="389"/>
      <c r="G16" s="389"/>
      <c r="H16" s="389"/>
      <c r="I16" s="389"/>
      <c r="J16" s="389"/>
      <c r="K16" s="389"/>
      <c r="L16" s="389"/>
      <c r="M16" s="389"/>
      <c r="N16" s="389"/>
      <c r="O16" s="389"/>
      <c r="P16" s="389"/>
      <c r="Q16" s="389"/>
      <c r="R16" s="389"/>
      <c r="S16" s="389"/>
      <c r="T16" s="389"/>
      <c r="U16" s="389"/>
      <c r="V16" s="389"/>
      <c r="W16" s="389"/>
      <c r="X16" s="389"/>
      <c r="Y16" s="389"/>
      <c r="Z16" s="389"/>
      <c r="AA16" s="389"/>
      <c r="AB16" s="389"/>
      <c r="AC16" s="389"/>
      <c r="AD16" s="389"/>
      <c r="AE16" s="390"/>
      <c r="AH16" s="382" t="s">
        <v>74</v>
      </c>
      <c r="AI16" s="383"/>
      <c r="AJ16" s="383"/>
      <c r="AK16" s="383"/>
      <c r="AL16" s="383"/>
      <c r="AM16" s="383"/>
      <c r="AN16" s="383"/>
      <c r="AO16" s="383"/>
      <c r="AP16" s="383"/>
      <c r="AQ16" s="383"/>
      <c r="AR16" s="383"/>
      <c r="AS16" s="383"/>
      <c r="AT16" s="383"/>
      <c r="AU16" s="383"/>
      <c r="AV16" s="383"/>
      <c r="AW16" s="383"/>
      <c r="AX16" s="383"/>
      <c r="AY16" s="383"/>
      <c r="AZ16" s="383"/>
      <c r="BA16" s="383"/>
      <c r="BB16" s="383"/>
      <c r="BC16" s="383"/>
      <c r="BD16" s="383"/>
      <c r="BE16" s="384"/>
      <c r="BI16" s="26"/>
    </row>
    <row r="17" spans="1:61" s="1" customFormat="1" ht="15" customHeight="1">
      <c r="A17" s="15"/>
      <c r="D17" s="385" t="s">
        <v>72</v>
      </c>
      <c r="E17" s="386"/>
      <c r="F17" s="386"/>
      <c r="G17" s="386"/>
      <c r="H17" s="386"/>
      <c r="I17" s="386"/>
      <c r="J17" s="386"/>
      <c r="K17" s="386"/>
      <c r="L17" s="386"/>
      <c r="M17" s="386"/>
      <c r="N17" s="386"/>
      <c r="O17" s="386"/>
      <c r="P17" s="386"/>
      <c r="Q17" s="387"/>
      <c r="R17" s="385" t="s">
        <v>386</v>
      </c>
      <c r="S17" s="386"/>
      <c r="T17" s="386"/>
      <c r="U17" s="386"/>
      <c r="V17" s="386"/>
      <c r="W17" s="386"/>
      <c r="X17" s="386"/>
      <c r="Y17" s="386"/>
      <c r="Z17" s="386"/>
      <c r="AA17" s="386"/>
      <c r="AB17" s="386"/>
      <c r="AC17" s="386"/>
      <c r="AD17" s="386"/>
      <c r="AE17" s="387"/>
      <c r="AH17" s="382" t="s">
        <v>387</v>
      </c>
      <c r="AI17" s="383"/>
      <c r="AJ17" s="383"/>
      <c r="AK17" s="383"/>
      <c r="AL17" s="383"/>
      <c r="AM17" s="384"/>
      <c r="AN17" s="382" t="s">
        <v>388</v>
      </c>
      <c r="AO17" s="383"/>
      <c r="AP17" s="383"/>
      <c r="AQ17" s="383"/>
      <c r="AR17" s="383"/>
      <c r="AS17" s="384"/>
      <c r="AT17" s="382" t="s">
        <v>389</v>
      </c>
      <c r="AU17" s="383"/>
      <c r="AV17" s="383"/>
      <c r="AW17" s="383"/>
      <c r="AX17" s="383"/>
      <c r="AY17" s="384"/>
      <c r="AZ17" s="382" t="s">
        <v>390</v>
      </c>
      <c r="BA17" s="383"/>
      <c r="BB17" s="383"/>
      <c r="BC17" s="383"/>
      <c r="BD17" s="383"/>
      <c r="BE17" s="384"/>
      <c r="BI17" s="26"/>
    </row>
    <row r="18" spans="1:61" s="1" customFormat="1" ht="15" customHeight="1">
      <c r="A18" s="15"/>
      <c r="D18" s="145"/>
      <c r="E18" s="23"/>
      <c r="F18" s="23"/>
      <c r="G18" s="23"/>
      <c r="H18" s="23"/>
      <c r="I18" s="23"/>
      <c r="J18" s="23"/>
      <c r="K18" s="23"/>
      <c r="L18" s="23"/>
      <c r="M18" s="23"/>
      <c r="N18" s="23"/>
      <c r="O18" s="23"/>
      <c r="P18" s="23"/>
      <c r="Q18" s="55"/>
      <c r="R18" s="23"/>
      <c r="S18" s="23"/>
      <c r="T18" s="23"/>
      <c r="U18" s="23"/>
      <c r="V18" s="23"/>
      <c r="W18" s="23"/>
      <c r="X18" s="23"/>
      <c r="Y18" s="23"/>
      <c r="Z18" s="23"/>
      <c r="AA18" s="23"/>
      <c r="AB18" s="23"/>
      <c r="AC18" s="23"/>
      <c r="AD18" s="23"/>
      <c r="AE18" s="55"/>
      <c r="AH18" s="25"/>
      <c r="AM18" s="6"/>
      <c r="AN18" s="25"/>
      <c r="AS18" s="6"/>
      <c r="AT18" s="25"/>
      <c r="AY18" s="6"/>
      <c r="AZ18" s="25"/>
      <c r="BE18" s="6"/>
      <c r="BI18" s="26"/>
    </row>
    <row r="19" spans="1:61" s="1" customFormat="1" ht="15" customHeight="1">
      <c r="A19" s="15"/>
      <c r="D19" s="25"/>
      <c r="Q19" s="6"/>
      <c r="AE19" s="6"/>
      <c r="AH19" s="25"/>
      <c r="AM19" s="6"/>
      <c r="AN19" s="25"/>
      <c r="AS19" s="6"/>
      <c r="AT19" s="25"/>
      <c r="AY19" s="6"/>
      <c r="AZ19" s="25"/>
      <c r="BE19" s="6"/>
      <c r="BI19" s="26"/>
    </row>
    <row r="20" spans="1:61" s="1" customFormat="1" ht="15" customHeight="1">
      <c r="A20" s="15"/>
      <c r="D20" s="25"/>
      <c r="Q20" s="6"/>
      <c r="AE20" s="6"/>
      <c r="AH20" s="25"/>
      <c r="AM20" s="6"/>
      <c r="AN20" s="25"/>
      <c r="AS20" s="6"/>
      <c r="AT20" s="25"/>
      <c r="AY20" s="6"/>
      <c r="AZ20" s="25"/>
      <c r="BE20" s="6"/>
      <c r="BI20" s="26"/>
    </row>
    <row r="21" spans="1:61" s="1" customFormat="1" ht="15" customHeight="1">
      <c r="A21" s="15"/>
      <c r="D21" s="25"/>
      <c r="Q21" s="6"/>
      <c r="AE21" s="6"/>
      <c r="AH21" s="25"/>
      <c r="AM21" s="6"/>
      <c r="AN21" s="25"/>
      <c r="AS21" s="6"/>
      <c r="AT21" s="25"/>
      <c r="AY21" s="6"/>
      <c r="AZ21" s="25"/>
      <c r="BE21" s="6"/>
      <c r="BI21" s="26"/>
    </row>
    <row r="22" spans="1:61" s="1" customFormat="1" ht="15" customHeight="1">
      <c r="A22" s="15"/>
      <c r="D22" s="25"/>
      <c r="Q22" s="6"/>
      <c r="AE22" s="6"/>
      <c r="AH22" s="25"/>
      <c r="AM22" s="6"/>
      <c r="AN22" s="25"/>
      <c r="AS22" s="6"/>
      <c r="AT22" s="25"/>
      <c r="AY22" s="6"/>
      <c r="AZ22" s="25"/>
      <c r="BE22" s="6"/>
      <c r="BI22" s="26"/>
    </row>
    <row r="23" spans="1:61" s="1" customFormat="1" ht="15" customHeight="1">
      <c r="A23" s="15"/>
      <c r="D23" s="25"/>
      <c r="Q23" s="6"/>
      <c r="AE23" s="6"/>
      <c r="AH23" s="25"/>
      <c r="AM23" s="6"/>
      <c r="AN23" s="25"/>
      <c r="AS23" s="6"/>
      <c r="AT23" s="25"/>
      <c r="AY23" s="6"/>
      <c r="AZ23" s="25"/>
      <c r="BE23" s="6"/>
      <c r="BI23" s="26"/>
    </row>
    <row r="24" spans="1:61" s="1" customFormat="1" ht="15" customHeight="1">
      <c r="A24" s="15"/>
      <c r="D24" s="25"/>
      <c r="Q24" s="6"/>
      <c r="AE24" s="6"/>
      <c r="AH24" s="25"/>
      <c r="AM24" s="6"/>
      <c r="AN24" s="25"/>
      <c r="AS24" s="6"/>
      <c r="AT24" s="25"/>
      <c r="AY24" s="6"/>
      <c r="AZ24" s="25"/>
      <c r="BE24" s="6"/>
      <c r="BI24" s="26"/>
    </row>
    <row r="25" spans="1:61" s="1" customFormat="1" ht="15" customHeight="1">
      <c r="A25" s="15"/>
      <c r="D25" s="25"/>
      <c r="Q25" s="6"/>
      <c r="AE25" s="6"/>
      <c r="AH25" s="25"/>
      <c r="AM25" s="6"/>
      <c r="AN25" s="25"/>
      <c r="AS25" s="6"/>
      <c r="AT25" s="25"/>
      <c r="AY25" s="6"/>
      <c r="AZ25" s="25"/>
      <c r="BE25" s="6"/>
      <c r="BI25" s="26"/>
    </row>
    <row r="26" spans="1:61" s="1" customFormat="1" ht="15" customHeight="1">
      <c r="A26" s="15"/>
      <c r="D26" s="25"/>
      <c r="Q26" s="6"/>
      <c r="AE26" s="6"/>
      <c r="AH26" s="25"/>
      <c r="AM26" s="6"/>
      <c r="AN26" s="25"/>
      <c r="AS26" s="6"/>
      <c r="AT26" s="25"/>
      <c r="AY26" s="6"/>
      <c r="AZ26" s="25"/>
      <c r="BE26" s="6"/>
      <c r="BI26" s="26"/>
    </row>
    <row r="27" spans="1:61" s="1" customFormat="1" ht="15" customHeight="1">
      <c r="A27" s="15"/>
      <c r="D27" s="25"/>
      <c r="Q27" s="6"/>
      <c r="AE27" s="6"/>
      <c r="AH27" s="25"/>
      <c r="AM27" s="6"/>
      <c r="AN27" s="25"/>
      <c r="AS27" s="6"/>
      <c r="AT27" s="25"/>
      <c r="AY27" s="6"/>
      <c r="AZ27" s="25"/>
      <c r="BE27" s="6"/>
      <c r="BI27" s="26"/>
    </row>
    <row r="28" spans="1:61" s="1" customFormat="1" ht="15" customHeight="1">
      <c r="A28" s="15"/>
      <c r="D28" s="25"/>
      <c r="Q28" s="6"/>
      <c r="AE28" s="6"/>
      <c r="AH28" s="25"/>
      <c r="AM28" s="6"/>
      <c r="AN28" s="25"/>
      <c r="AS28" s="6"/>
      <c r="AT28" s="25"/>
      <c r="AY28" s="6"/>
      <c r="AZ28" s="25"/>
      <c r="BE28" s="6"/>
      <c r="BI28" s="26"/>
    </row>
    <row r="29" spans="1:61" s="1" customFormat="1" ht="15" customHeight="1">
      <c r="A29" s="15"/>
      <c r="D29" s="25"/>
      <c r="Q29" s="6"/>
      <c r="AE29" s="6"/>
      <c r="AH29" s="25"/>
      <c r="AM29" s="6"/>
      <c r="AN29" s="25"/>
      <c r="AS29" s="6"/>
      <c r="AT29" s="25"/>
      <c r="AY29" s="6"/>
      <c r="AZ29" s="25"/>
      <c r="BE29" s="6"/>
      <c r="BI29" s="26"/>
    </row>
    <row r="30" spans="1:61" s="1" customFormat="1" ht="15" customHeight="1">
      <c r="A30" s="15"/>
      <c r="D30" s="25"/>
      <c r="Q30" s="6"/>
      <c r="AE30" s="6"/>
      <c r="AH30" s="25"/>
      <c r="AM30" s="6"/>
      <c r="AN30" s="25"/>
      <c r="AS30" s="6"/>
      <c r="AT30" s="25"/>
      <c r="AY30" s="6"/>
      <c r="AZ30" s="25"/>
      <c r="BE30" s="6"/>
      <c r="BI30" s="26"/>
    </row>
    <row r="31" spans="1:61" s="1" customFormat="1" ht="15" customHeight="1">
      <c r="A31" s="15"/>
      <c r="D31" s="25"/>
      <c r="Q31" s="6"/>
      <c r="AE31" s="6"/>
      <c r="AH31" s="25"/>
      <c r="AM31" s="6"/>
      <c r="AN31" s="25"/>
      <c r="AS31" s="6"/>
      <c r="AT31" s="25"/>
      <c r="AY31" s="6"/>
      <c r="AZ31" s="25"/>
      <c r="BE31" s="6"/>
      <c r="BI31" s="26"/>
    </row>
    <row r="32" spans="1:61" s="1" customFormat="1" ht="15" customHeight="1">
      <c r="A32" s="15"/>
      <c r="D32" s="25"/>
      <c r="Q32" s="6"/>
      <c r="AE32" s="6"/>
      <c r="AH32" s="25"/>
      <c r="AM32" s="6"/>
      <c r="AN32" s="25"/>
      <c r="AS32" s="6"/>
      <c r="AT32" s="25"/>
      <c r="AY32" s="6"/>
      <c r="AZ32" s="25"/>
      <c r="BE32" s="6"/>
      <c r="BI32" s="26"/>
    </row>
    <row r="33" spans="1:61" s="1" customFormat="1" ht="15" customHeight="1">
      <c r="A33" s="15"/>
      <c r="D33" s="25"/>
      <c r="Q33" s="6"/>
      <c r="AE33" s="6"/>
      <c r="AH33" s="25"/>
      <c r="AM33" s="6"/>
      <c r="AN33" s="25"/>
      <c r="AS33" s="6"/>
      <c r="AT33" s="25"/>
      <c r="AY33" s="6"/>
      <c r="AZ33" s="25"/>
      <c r="BE33" s="6"/>
      <c r="BI33" s="26"/>
    </row>
    <row r="34" spans="1:61" s="1" customFormat="1" ht="15" customHeight="1">
      <c r="A34" s="15"/>
      <c r="D34" s="25"/>
      <c r="Q34" s="6"/>
      <c r="AE34" s="6"/>
      <c r="AH34" s="25"/>
      <c r="AM34" s="6"/>
      <c r="AN34" s="25"/>
      <c r="AS34" s="6"/>
      <c r="AT34" s="25"/>
      <c r="AY34" s="6"/>
      <c r="AZ34" s="25"/>
      <c r="BE34" s="6"/>
      <c r="BI34" s="26"/>
    </row>
    <row r="35" spans="1:61" s="1" customFormat="1" ht="15" customHeight="1">
      <c r="A35" s="15"/>
      <c r="D35" s="25"/>
      <c r="Q35" s="6"/>
      <c r="AE35" s="6"/>
      <c r="AH35" s="25"/>
      <c r="AM35" s="6"/>
      <c r="AN35" s="25"/>
      <c r="AS35" s="6"/>
      <c r="AT35" s="25"/>
      <c r="AY35" s="6"/>
      <c r="AZ35" s="25"/>
      <c r="BE35" s="6"/>
      <c r="BI35" s="26"/>
    </row>
    <row r="36" spans="1:61" s="1" customFormat="1" ht="15" customHeight="1">
      <c r="A36" s="15"/>
      <c r="D36" s="25"/>
      <c r="Q36" s="6"/>
      <c r="AE36" s="6"/>
      <c r="AH36" s="25"/>
      <c r="AM36" s="6"/>
      <c r="AN36" s="25"/>
      <c r="AS36" s="6"/>
      <c r="AT36" s="25"/>
      <c r="AY36" s="6"/>
      <c r="AZ36" s="25"/>
      <c r="BE36" s="6"/>
      <c r="BI36" s="26"/>
    </row>
    <row r="37" spans="1:61" s="1" customFormat="1" ht="15" customHeight="1">
      <c r="A37" s="15"/>
      <c r="D37" s="25"/>
      <c r="Q37" s="6"/>
      <c r="AE37" s="6"/>
      <c r="AH37" s="25"/>
      <c r="AM37" s="6"/>
      <c r="AN37" s="25"/>
      <c r="AS37" s="6"/>
      <c r="AT37" s="25"/>
      <c r="AY37" s="6"/>
      <c r="AZ37" s="25"/>
      <c r="BE37" s="6"/>
      <c r="BI37" s="26"/>
    </row>
    <row r="38" spans="1:61" s="1" customFormat="1" ht="15" customHeight="1">
      <c r="A38" s="15"/>
      <c r="D38" s="25"/>
      <c r="Q38" s="6"/>
      <c r="AE38" s="6"/>
      <c r="AH38" s="25"/>
      <c r="AM38" s="6"/>
      <c r="AN38" s="25"/>
      <c r="AS38" s="6"/>
      <c r="AT38" s="25"/>
      <c r="AY38" s="6"/>
      <c r="AZ38" s="25"/>
      <c r="BE38" s="6"/>
      <c r="BI38" s="26"/>
    </row>
    <row r="39" spans="1:61" s="1" customFormat="1" ht="15" customHeight="1">
      <c r="A39" s="15"/>
      <c r="D39" s="25"/>
      <c r="Q39" s="6"/>
      <c r="AE39" s="6"/>
      <c r="AH39" s="25"/>
      <c r="AM39" s="6"/>
      <c r="AN39" s="25"/>
      <c r="AS39" s="6"/>
      <c r="AT39" s="25"/>
      <c r="AY39" s="6"/>
      <c r="AZ39" s="25"/>
      <c r="BE39" s="6"/>
      <c r="BI39" s="26"/>
    </row>
    <row r="40" spans="1:61" s="1" customFormat="1" ht="15" customHeight="1">
      <c r="A40" s="15"/>
      <c r="D40" s="25"/>
      <c r="Q40" s="6"/>
      <c r="AE40" s="6"/>
      <c r="AH40" s="25"/>
      <c r="AM40" s="6"/>
      <c r="AN40" s="25"/>
      <c r="AS40" s="6"/>
      <c r="AT40" s="25"/>
      <c r="AY40" s="6"/>
      <c r="AZ40" s="25"/>
      <c r="BE40" s="6"/>
      <c r="BI40" s="26"/>
    </row>
    <row r="41" spans="1:61" s="1" customFormat="1" ht="15" customHeight="1">
      <c r="A41" s="15"/>
      <c r="D41" s="25"/>
      <c r="Q41" s="6"/>
      <c r="AE41" s="6"/>
      <c r="AH41" s="25"/>
      <c r="AM41" s="6"/>
      <c r="AN41" s="25"/>
      <c r="AS41" s="6"/>
      <c r="AT41" s="25"/>
      <c r="AY41" s="146"/>
      <c r="AZ41" s="25"/>
      <c r="BE41" s="6"/>
      <c r="BI41" s="26"/>
    </row>
    <row r="42" spans="1:61" s="1" customFormat="1" ht="15" customHeight="1">
      <c r="A42" s="15"/>
      <c r="D42" s="25"/>
      <c r="Q42" s="6"/>
      <c r="AE42" s="6"/>
      <c r="AH42" s="25"/>
      <c r="AM42" s="6"/>
      <c r="AN42" s="25"/>
      <c r="AS42" s="6"/>
      <c r="AT42" s="25"/>
      <c r="AY42" s="6"/>
      <c r="AZ42" s="25"/>
      <c r="BE42" s="6"/>
      <c r="BI42" s="26"/>
    </row>
    <row r="43" spans="1:61" s="1" customFormat="1" ht="15" customHeight="1">
      <c r="A43" s="15"/>
      <c r="D43" s="59"/>
      <c r="E43" s="18"/>
      <c r="F43" s="18"/>
      <c r="G43" s="18"/>
      <c r="H43" s="18"/>
      <c r="I43" s="18"/>
      <c r="J43" s="18"/>
      <c r="K43" s="18"/>
      <c r="L43" s="18"/>
      <c r="M43" s="18"/>
      <c r="N43" s="18"/>
      <c r="O43" s="18"/>
      <c r="P43" s="18"/>
      <c r="Q43" s="60"/>
      <c r="R43" s="18"/>
      <c r="S43" s="18"/>
      <c r="T43" s="18"/>
      <c r="U43" s="18"/>
      <c r="V43" s="18"/>
      <c r="W43" s="18"/>
      <c r="X43" s="18"/>
      <c r="Y43" s="18"/>
      <c r="Z43" s="18"/>
      <c r="AA43" s="18"/>
      <c r="AB43" s="18"/>
      <c r="AC43" s="18"/>
      <c r="AD43" s="18"/>
      <c r="AE43" s="60"/>
      <c r="AH43" s="59"/>
      <c r="AI43" s="18"/>
      <c r="AJ43" s="18"/>
      <c r="AK43" s="18"/>
      <c r="AL43" s="18"/>
      <c r="AM43" s="60"/>
      <c r="AN43" s="59"/>
      <c r="AO43" s="18"/>
      <c r="AP43" s="18"/>
      <c r="AQ43" s="18"/>
      <c r="AR43" s="18"/>
      <c r="AS43" s="60"/>
      <c r="AT43" s="59"/>
      <c r="AU43" s="18"/>
      <c r="AV43" s="18"/>
      <c r="AW43" s="18"/>
      <c r="AX43" s="18"/>
      <c r="AY43" s="60"/>
      <c r="AZ43" s="59"/>
      <c r="BA43" s="18"/>
      <c r="BB43" s="18"/>
      <c r="BC43" s="18"/>
      <c r="BD43" s="18"/>
      <c r="BE43" s="60"/>
      <c r="BI43" s="26"/>
    </row>
    <row r="44" spans="1:61" s="1" customFormat="1" ht="15" customHeight="1">
      <c r="A44" s="15"/>
      <c r="BI44" s="26"/>
    </row>
    <row r="45" spans="1:61" s="1" customFormat="1" ht="15" customHeight="1">
      <c r="A45" s="15"/>
      <c r="BI45" s="26"/>
    </row>
    <row r="46" spans="1:61" s="1" customFormat="1" ht="15" customHeight="1">
      <c r="A46" s="15"/>
      <c r="BI46" s="26"/>
    </row>
    <row r="47" spans="1:61" s="1" customFormat="1" ht="15" customHeight="1">
      <c r="A47" s="15"/>
      <c r="BI47" s="26"/>
    </row>
    <row r="48" spans="1:61" s="1" customFormat="1" ht="15" customHeight="1">
      <c r="A48" s="15"/>
      <c r="BI48" s="26"/>
    </row>
    <row r="49" spans="1:61" s="1" customFormat="1" ht="15" customHeight="1">
      <c r="A49" s="15"/>
      <c r="BI49" s="26"/>
    </row>
    <row r="50" spans="1:61" s="1" customFormat="1" ht="15" customHeight="1">
      <c r="A50" s="15"/>
      <c r="BI50" s="26"/>
    </row>
    <row r="51" spans="1:61" s="1" customFormat="1" ht="15" customHeight="1">
      <c r="A51" s="15"/>
      <c r="BI51" s="26"/>
    </row>
    <row r="52" spans="1:61" s="1" customFormat="1" ht="15" customHeight="1">
      <c r="A52" s="15"/>
      <c r="BI52" s="26"/>
    </row>
    <row r="53" spans="1:61" s="1" customFormat="1" ht="15" customHeight="1">
      <c r="A53" s="15"/>
      <c r="C53" s="144"/>
      <c r="BI53" s="26"/>
    </row>
    <row r="54" spans="1:61" s="1" customFormat="1" ht="15" customHeight="1">
      <c r="A54" s="15"/>
      <c r="C54" s="144"/>
      <c r="BI54" s="26"/>
    </row>
    <row r="55" spans="1:61" s="1" customFormat="1" ht="15" customHeight="1">
      <c r="A55" s="15"/>
      <c r="C55" s="178" t="s">
        <v>391</v>
      </c>
      <c r="BI55" s="26"/>
    </row>
    <row r="56" spans="1:61" s="1" customFormat="1" ht="15" customHeight="1">
      <c r="A56" s="15"/>
      <c r="BI56" s="26"/>
    </row>
    <row r="57" spans="1:61" s="1" customFormat="1" ht="15" customHeight="1">
      <c r="A57" s="15"/>
      <c r="BI57" s="26"/>
    </row>
    <row r="58" spans="1:61" s="1" customFormat="1" ht="15" customHeight="1">
      <c r="A58" s="15"/>
      <c r="D58" s="388" t="s">
        <v>385</v>
      </c>
      <c r="E58" s="389"/>
      <c r="F58" s="389"/>
      <c r="G58" s="389"/>
      <c r="H58" s="389"/>
      <c r="I58" s="389"/>
      <c r="J58" s="389"/>
      <c r="K58" s="389"/>
      <c r="L58" s="389"/>
      <c r="M58" s="389"/>
      <c r="N58" s="389"/>
      <c r="O58" s="389"/>
      <c r="P58" s="389"/>
      <c r="Q58" s="389"/>
      <c r="R58" s="389"/>
      <c r="S58" s="389"/>
      <c r="T58" s="389"/>
      <c r="U58" s="389"/>
      <c r="V58" s="389"/>
      <c r="W58" s="389"/>
      <c r="X58" s="389"/>
      <c r="Y58" s="389"/>
      <c r="Z58" s="389"/>
      <c r="AA58" s="389"/>
      <c r="AB58" s="389"/>
      <c r="AC58" s="389"/>
      <c r="AD58" s="389"/>
      <c r="AE58" s="390"/>
      <c r="AH58" s="382" t="s">
        <v>74</v>
      </c>
      <c r="AI58" s="383"/>
      <c r="AJ58" s="383"/>
      <c r="AK58" s="383"/>
      <c r="AL58" s="383"/>
      <c r="AM58" s="383"/>
      <c r="AN58" s="383"/>
      <c r="AO58" s="383"/>
      <c r="AP58" s="383"/>
      <c r="AQ58" s="383"/>
      <c r="AR58" s="383"/>
      <c r="AS58" s="383"/>
      <c r="AT58" s="383"/>
      <c r="AU58" s="383"/>
      <c r="AV58" s="383"/>
      <c r="AW58" s="383"/>
      <c r="AX58" s="383"/>
      <c r="AY58" s="383"/>
      <c r="AZ58" s="383"/>
      <c r="BA58" s="383"/>
      <c r="BB58" s="383"/>
      <c r="BC58" s="383"/>
      <c r="BD58" s="383"/>
      <c r="BE58" s="384"/>
      <c r="BI58" s="26"/>
    </row>
    <row r="59" spans="1:61" s="1" customFormat="1" ht="15" customHeight="1">
      <c r="A59" s="15"/>
      <c r="D59" s="385" t="s">
        <v>72</v>
      </c>
      <c r="E59" s="386"/>
      <c r="F59" s="386"/>
      <c r="G59" s="386"/>
      <c r="H59" s="386"/>
      <c r="I59" s="386"/>
      <c r="J59" s="386"/>
      <c r="K59" s="386"/>
      <c r="L59" s="386"/>
      <c r="M59" s="386"/>
      <c r="N59" s="386"/>
      <c r="O59" s="386"/>
      <c r="P59" s="386"/>
      <c r="Q59" s="387"/>
      <c r="R59" s="385" t="s">
        <v>386</v>
      </c>
      <c r="S59" s="386"/>
      <c r="T59" s="386"/>
      <c r="U59" s="386"/>
      <c r="V59" s="386"/>
      <c r="W59" s="386"/>
      <c r="X59" s="386"/>
      <c r="Y59" s="386"/>
      <c r="Z59" s="386"/>
      <c r="AA59" s="386"/>
      <c r="AB59" s="386"/>
      <c r="AC59" s="386"/>
      <c r="AD59" s="386"/>
      <c r="AE59" s="387"/>
      <c r="AH59" s="382" t="s">
        <v>387</v>
      </c>
      <c r="AI59" s="383"/>
      <c r="AJ59" s="383"/>
      <c r="AK59" s="383"/>
      <c r="AL59" s="383"/>
      <c r="AM59" s="384"/>
      <c r="AN59" s="382" t="s">
        <v>392</v>
      </c>
      <c r="AO59" s="383"/>
      <c r="AP59" s="383"/>
      <c r="AQ59" s="383"/>
      <c r="AR59" s="383"/>
      <c r="AS59" s="384"/>
      <c r="AT59" s="382" t="s">
        <v>389</v>
      </c>
      <c r="AU59" s="383"/>
      <c r="AV59" s="383"/>
      <c r="AW59" s="383"/>
      <c r="AX59" s="383"/>
      <c r="AY59" s="384"/>
      <c r="AZ59" s="382" t="s">
        <v>390</v>
      </c>
      <c r="BA59" s="383"/>
      <c r="BB59" s="383"/>
      <c r="BC59" s="383"/>
      <c r="BD59" s="383"/>
      <c r="BE59" s="384"/>
      <c r="BI59" s="26"/>
    </row>
    <row r="60" spans="1:61" s="1" customFormat="1" ht="15" customHeight="1">
      <c r="A60" s="15"/>
      <c r="D60" s="145"/>
      <c r="E60" s="23"/>
      <c r="F60" s="23"/>
      <c r="G60" s="23"/>
      <c r="H60" s="23"/>
      <c r="I60" s="23"/>
      <c r="J60" s="23"/>
      <c r="K60" s="23"/>
      <c r="L60" s="23"/>
      <c r="M60" s="23"/>
      <c r="N60" s="23"/>
      <c r="O60" s="23"/>
      <c r="P60" s="23"/>
      <c r="Q60" s="55"/>
      <c r="R60" s="23"/>
      <c r="S60" s="23"/>
      <c r="T60" s="23"/>
      <c r="U60" s="23"/>
      <c r="V60" s="23"/>
      <c r="W60" s="23"/>
      <c r="X60" s="23"/>
      <c r="Y60" s="23"/>
      <c r="Z60" s="23"/>
      <c r="AA60" s="23"/>
      <c r="AB60" s="23"/>
      <c r="AC60" s="23"/>
      <c r="AD60" s="23"/>
      <c r="AE60" s="55"/>
      <c r="AH60" s="25"/>
      <c r="AM60" s="6"/>
      <c r="AN60" s="25"/>
      <c r="AS60" s="6"/>
      <c r="AT60" s="25"/>
      <c r="AY60" s="6"/>
      <c r="AZ60" s="25"/>
      <c r="BE60" s="6"/>
      <c r="BI60" s="26"/>
    </row>
    <row r="61" spans="1:61" s="1" customFormat="1" ht="15" customHeight="1">
      <c r="A61" s="15"/>
      <c r="D61" s="25"/>
      <c r="Q61" s="6"/>
      <c r="AE61" s="6"/>
      <c r="AH61" s="25"/>
      <c r="AM61" s="6"/>
      <c r="AN61" s="25"/>
      <c r="AS61" s="6"/>
      <c r="AT61" s="25"/>
      <c r="AY61" s="6"/>
      <c r="AZ61" s="25"/>
      <c r="BE61" s="6"/>
      <c r="BI61" s="26"/>
    </row>
    <row r="62" spans="1:61" s="1" customFormat="1" ht="15" customHeight="1">
      <c r="A62" s="15"/>
      <c r="D62" s="25"/>
      <c r="Q62" s="6"/>
      <c r="AE62" s="6"/>
      <c r="AH62" s="25"/>
      <c r="AM62" s="6"/>
      <c r="AN62" s="25"/>
      <c r="AS62" s="6"/>
      <c r="AT62" s="25"/>
      <c r="AY62" s="6"/>
      <c r="AZ62" s="25"/>
      <c r="BE62" s="6"/>
      <c r="BI62" s="26"/>
    </row>
    <row r="63" spans="1:61" s="1" customFormat="1" ht="15" customHeight="1">
      <c r="A63" s="15"/>
      <c r="D63" s="25"/>
      <c r="Q63" s="6"/>
      <c r="AE63" s="6"/>
      <c r="AH63" s="25"/>
      <c r="AM63" s="6"/>
      <c r="AN63" s="25"/>
      <c r="AS63" s="6"/>
      <c r="AT63" s="25"/>
      <c r="AY63" s="6"/>
      <c r="AZ63" s="25"/>
      <c r="BE63" s="6"/>
      <c r="BI63" s="26"/>
    </row>
    <row r="64" spans="1:61" s="1" customFormat="1" ht="15" customHeight="1">
      <c r="A64" s="15"/>
      <c r="D64" s="25"/>
      <c r="Q64" s="6"/>
      <c r="AE64" s="6"/>
      <c r="AH64" s="25"/>
      <c r="AM64" s="6"/>
      <c r="AN64" s="25"/>
      <c r="AS64" s="6"/>
      <c r="AT64" s="25"/>
      <c r="AY64" s="6"/>
      <c r="AZ64" s="25"/>
      <c r="BE64" s="6"/>
      <c r="BI64" s="26"/>
    </row>
    <row r="65" spans="1:61" s="1" customFormat="1" ht="15" customHeight="1">
      <c r="A65" s="15"/>
      <c r="D65" s="25"/>
      <c r="Q65" s="6"/>
      <c r="AE65" s="6"/>
      <c r="AH65" s="25"/>
      <c r="AM65" s="6"/>
      <c r="AN65" s="25"/>
      <c r="AS65" s="6"/>
      <c r="AT65" s="25"/>
      <c r="AY65" s="6"/>
      <c r="AZ65" s="25"/>
      <c r="BE65" s="6"/>
      <c r="BI65" s="26"/>
    </row>
    <row r="66" spans="1:61" s="1" customFormat="1" ht="15" customHeight="1">
      <c r="A66" s="15"/>
      <c r="D66" s="25"/>
      <c r="Q66" s="6"/>
      <c r="AE66" s="6"/>
      <c r="AH66" s="25"/>
      <c r="AM66" s="6"/>
      <c r="AN66" s="25"/>
      <c r="AS66" s="6"/>
      <c r="AT66" s="25"/>
      <c r="AY66" s="6"/>
      <c r="AZ66" s="25"/>
      <c r="BE66" s="6"/>
      <c r="BI66" s="26"/>
    </row>
    <row r="67" spans="1:61" s="1" customFormat="1" ht="15" customHeight="1">
      <c r="A67" s="15"/>
      <c r="D67" s="25"/>
      <c r="Q67" s="6"/>
      <c r="AE67" s="6"/>
      <c r="AH67" s="25"/>
      <c r="AM67" s="6"/>
      <c r="AN67" s="25"/>
      <c r="AS67" s="6"/>
      <c r="AT67" s="25"/>
      <c r="AY67" s="6"/>
      <c r="AZ67" s="25"/>
      <c r="BE67" s="6"/>
      <c r="BI67" s="26"/>
    </row>
    <row r="68" spans="1:61" s="1" customFormat="1" ht="15" customHeight="1">
      <c r="A68" s="15"/>
      <c r="D68" s="25"/>
      <c r="Q68" s="6"/>
      <c r="AE68" s="6"/>
      <c r="AH68" s="25"/>
      <c r="AM68" s="6"/>
      <c r="AN68" s="25"/>
      <c r="AS68" s="6"/>
      <c r="AT68" s="25"/>
      <c r="AY68" s="6"/>
      <c r="AZ68" s="25"/>
      <c r="BE68" s="6"/>
      <c r="BI68" s="26"/>
    </row>
    <row r="69" spans="1:61" s="1" customFormat="1" ht="15" customHeight="1">
      <c r="A69" s="15"/>
      <c r="D69" s="25"/>
      <c r="Q69" s="6"/>
      <c r="AE69" s="6"/>
      <c r="AH69" s="25"/>
      <c r="AM69" s="6"/>
      <c r="AN69" s="25"/>
      <c r="AS69" s="6"/>
      <c r="AT69" s="25"/>
      <c r="AY69" s="6"/>
      <c r="AZ69" s="25"/>
      <c r="BE69" s="6"/>
      <c r="BI69" s="26"/>
    </row>
    <row r="70" spans="1:61" s="1" customFormat="1" ht="15" customHeight="1">
      <c r="A70" s="15"/>
      <c r="D70" s="25"/>
      <c r="Q70" s="6"/>
      <c r="AE70" s="6"/>
      <c r="AH70" s="25"/>
      <c r="AM70" s="6"/>
      <c r="AN70" s="25"/>
      <c r="AS70" s="6"/>
      <c r="AT70" s="25"/>
      <c r="AY70" s="6"/>
      <c r="AZ70" s="25"/>
      <c r="BE70" s="6"/>
      <c r="BI70" s="26"/>
    </row>
    <row r="71" spans="1:61" s="1" customFormat="1" ht="15" customHeight="1">
      <c r="A71" s="15"/>
      <c r="D71" s="25"/>
      <c r="Q71" s="6"/>
      <c r="AE71" s="6"/>
      <c r="AH71" s="25"/>
      <c r="AM71" s="6"/>
      <c r="AN71" s="25"/>
      <c r="AS71" s="6"/>
      <c r="AT71" s="25"/>
      <c r="AY71" s="6"/>
      <c r="AZ71" s="25"/>
      <c r="BE71" s="6"/>
      <c r="BI71" s="26"/>
    </row>
    <row r="72" spans="1:61" s="1" customFormat="1" ht="15" customHeight="1">
      <c r="A72" s="15"/>
      <c r="D72" s="25"/>
      <c r="Q72" s="6"/>
      <c r="AE72" s="6"/>
      <c r="AH72" s="25"/>
      <c r="AM72" s="6"/>
      <c r="AN72" s="25"/>
      <c r="AS72" s="6"/>
      <c r="AT72" s="25"/>
      <c r="AY72" s="6"/>
      <c r="AZ72" s="25"/>
      <c r="BE72" s="6"/>
      <c r="BI72" s="26"/>
    </row>
    <row r="73" spans="1:61" s="1" customFormat="1" ht="15" customHeight="1">
      <c r="A73" s="15"/>
      <c r="D73" s="25"/>
      <c r="Q73" s="6"/>
      <c r="AE73" s="6"/>
      <c r="AH73" s="25"/>
      <c r="AM73" s="6"/>
      <c r="AN73" s="25"/>
      <c r="AS73" s="6"/>
      <c r="AT73" s="25"/>
      <c r="AY73" s="6"/>
      <c r="AZ73" s="25"/>
      <c r="BE73" s="6"/>
      <c r="BI73" s="26"/>
    </row>
    <row r="74" spans="1:61" s="1" customFormat="1" ht="15" customHeight="1">
      <c r="A74" s="15"/>
      <c r="D74" s="25"/>
      <c r="Q74" s="6"/>
      <c r="AE74" s="6"/>
      <c r="AH74" s="25"/>
      <c r="AM74" s="6"/>
      <c r="AN74" s="25"/>
      <c r="AS74" s="6"/>
      <c r="AT74" s="25"/>
      <c r="AY74" s="6"/>
      <c r="AZ74" s="25"/>
      <c r="BE74" s="6"/>
      <c r="BI74" s="26"/>
    </row>
    <row r="75" spans="1:61" s="1" customFormat="1" ht="15" customHeight="1">
      <c r="A75" s="15"/>
      <c r="D75" s="25"/>
      <c r="Q75" s="6"/>
      <c r="AE75" s="6"/>
      <c r="AH75" s="25"/>
      <c r="AM75" s="6"/>
      <c r="AN75" s="25"/>
      <c r="AS75" s="6"/>
      <c r="AT75" s="25"/>
      <c r="AY75" s="6"/>
      <c r="AZ75" s="25"/>
      <c r="BE75" s="6"/>
      <c r="BI75" s="26"/>
    </row>
    <row r="76" spans="1:61" s="1" customFormat="1" ht="15" customHeight="1">
      <c r="A76" s="15"/>
      <c r="D76" s="25"/>
      <c r="Q76" s="6"/>
      <c r="AE76" s="6"/>
      <c r="AH76" s="25"/>
      <c r="AM76" s="6"/>
      <c r="AN76" s="25"/>
      <c r="AS76" s="6"/>
      <c r="AT76" s="25"/>
      <c r="AY76" s="6"/>
      <c r="AZ76" s="25"/>
      <c r="BE76" s="6"/>
      <c r="BI76" s="26"/>
    </row>
    <row r="77" spans="1:61" s="1" customFormat="1" ht="15" customHeight="1">
      <c r="A77" s="15"/>
      <c r="D77" s="25"/>
      <c r="Q77" s="6"/>
      <c r="AE77" s="6"/>
      <c r="AH77" s="25"/>
      <c r="AM77" s="6"/>
      <c r="AN77" s="25"/>
      <c r="AS77" s="6"/>
      <c r="AT77" s="25"/>
      <c r="AY77" s="6"/>
      <c r="AZ77" s="25"/>
      <c r="BE77" s="6"/>
      <c r="BI77" s="26"/>
    </row>
    <row r="78" spans="1:61" s="1" customFormat="1" ht="15" customHeight="1">
      <c r="A78" s="15"/>
      <c r="D78" s="25"/>
      <c r="Q78" s="6"/>
      <c r="AE78" s="6"/>
      <c r="AH78" s="25"/>
      <c r="AM78" s="6"/>
      <c r="AN78" s="25"/>
      <c r="AS78" s="6"/>
      <c r="AT78" s="25"/>
      <c r="AY78" s="6"/>
      <c r="AZ78" s="25"/>
      <c r="BE78" s="6"/>
      <c r="BI78" s="26"/>
    </row>
    <row r="79" spans="1:61" s="1" customFormat="1" ht="15" customHeight="1">
      <c r="A79" s="15"/>
      <c r="D79" s="25"/>
      <c r="Q79" s="6"/>
      <c r="AE79" s="6"/>
      <c r="AH79" s="25"/>
      <c r="AM79" s="6"/>
      <c r="AN79" s="25"/>
      <c r="AS79" s="6"/>
      <c r="AT79" s="25"/>
      <c r="AY79" s="6"/>
      <c r="AZ79" s="25"/>
      <c r="BE79" s="6"/>
      <c r="BI79" s="26"/>
    </row>
    <row r="80" spans="1:61" s="1" customFormat="1" ht="15" customHeight="1">
      <c r="A80" s="15"/>
      <c r="D80" s="25"/>
      <c r="Q80" s="6"/>
      <c r="AE80" s="6"/>
      <c r="AH80" s="25"/>
      <c r="AM80" s="6"/>
      <c r="AN80" s="25"/>
      <c r="AS80" s="6"/>
      <c r="AT80" s="25"/>
      <c r="AY80" s="6"/>
      <c r="AZ80" s="25"/>
      <c r="BE80" s="6"/>
      <c r="BI80" s="26"/>
    </row>
    <row r="81" spans="1:61" s="1" customFormat="1" ht="15" customHeight="1">
      <c r="A81" s="15"/>
      <c r="D81" s="25"/>
      <c r="Q81" s="6"/>
      <c r="AE81" s="6"/>
      <c r="AH81" s="25"/>
      <c r="AM81" s="6"/>
      <c r="AN81" s="25"/>
      <c r="AS81" s="6"/>
      <c r="AT81" s="25"/>
      <c r="AY81" s="6"/>
      <c r="AZ81" s="25"/>
      <c r="BE81" s="6"/>
      <c r="BI81" s="26"/>
    </row>
    <row r="82" spans="1:61" s="1" customFormat="1" ht="15" customHeight="1">
      <c r="A82" s="15"/>
      <c r="D82" s="25"/>
      <c r="Q82" s="6"/>
      <c r="AE82" s="6"/>
      <c r="AH82" s="25"/>
      <c r="AM82" s="6"/>
      <c r="AN82" s="25"/>
      <c r="AS82" s="6"/>
      <c r="AT82" s="25"/>
      <c r="AY82" s="6"/>
      <c r="AZ82" s="25"/>
      <c r="BE82" s="6"/>
      <c r="BI82" s="26"/>
    </row>
    <row r="83" spans="1:61" s="1" customFormat="1" ht="15" customHeight="1">
      <c r="A83" s="15"/>
      <c r="D83" s="25"/>
      <c r="Q83" s="6"/>
      <c r="AE83" s="6"/>
      <c r="AH83" s="25"/>
      <c r="AM83" s="6"/>
      <c r="AN83" s="25"/>
      <c r="AS83" s="6"/>
      <c r="AT83" s="25"/>
      <c r="AY83" s="146"/>
      <c r="AZ83" s="25"/>
      <c r="BE83" s="6"/>
      <c r="BI83" s="26"/>
    </row>
    <row r="84" spans="1:61" s="1" customFormat="1" ht="15" customHeight="1">
      <c r="A84" s="15"/>
      <c r="D84" s="25"/>
      <c r="Q84" s="6"/>
      <c r="AE84" s="6"/>
      <c r="AH84" s="25"/>
      <c r="AM84" s="6"/>
      <c r="AN84" s="25"/>
      <c r="AS84" s="6"/>
      <c r="AT84" s="25"/>
      <c r="AY84" s="6"/>
      <c r="AZ84" s="25"/>
      <c r="BE84" s="6"/>
      <c r="BI84" s="26"/>
    </row>
    <row r="85" spans="1:61" s="1" customFormat="1" ht="15" customHeight="1">
      <c r="A85" s="15"/>
      <c r="D85" s="59"/>
      <c r="E85" s="18"/>
      <c r="F85" s="18"/>
      <c r="G85" s="18"/>
      <c r="H85" s="18"/>
      <c r="I85" s="18"/>
      <c r="J85" s="18"/>
      <c r="K85" s="18"/>
      <c r="L85" s="18"/>
      <c r="M85" s="18"/>
      <c r="N85" s="18"/>
      <c r="O85" s="18"/>
      <c r="P85" s="18"/>
      <c r="Q85" s="60"/>
      <c r="R85" s="18"/>
      <c r="S85" s="18"/>
      <c r="T85" s="18"/>
      <c r="U85" s="18"/>
      <c r="V85" s="18"/>
      <c r="W85" s="18"/>
      <c r="X85" s="18"/>
      <c r="Y85" s="18"/>
      <c r="Z85" s="18"/>
      <c r="AA85" s="18"/>
      <c r="AB85" s="18"/>
      <c r="AC85" s="18"/>
      <c r="AD85" s="18"/>
      <c r="AE85" s="60"/>
      <c r="AH85" s="59"/>
      <c r="AI85" s="18"/>
      <c r="AJ85" s="18"/>
      <c r="AK85" s="18"/>
      <c r="AL85" s="18"/>
      <c r="AM85" s="60"/>
      <c r="AN85" s="59"/>
      <c r="AO85" s="18"/>
      <c r="AP85" s="18"/>
      <c r="AQ85" s="18"/>
      <c r="AR85" s="18"/>
      <c r="AS85" s="60"/>
      <c r="AT85" s="59"/>
      <c r="AU85" s="18"/>
      <c r="AV85" s="18"/>
      <c r="AW85" s="18"/>
      <c r="AX85" s="18"/>
      <c r="AY85" s="60"/>
      <c r="AZ85" s="59"/>
      <c r="BA85" s="18"/>
      <c r="BB85" s="18"/>
      <c r="BC85" s="18"/>
      <c r="BD85" s="18"/>
      <c r="BE85" s="60"/>
      <c r="BI85" s="26"/>
    </row>
    <row r="86" spans="1:61" s="1" customFormat="1" ht="15" customHeight="1">
      <c r="A86" s="15"/>
      <c r="BI86" s="26"/>
    </row>
    <row r="87" spans="1:61" s="1" customFormat="1" ht="15" customHeight="1">
      <c r="A87" s="15"/>
      <c r="BI87" s="26"/>
    </row>
    <row r="88" spans="1:61" s="1" customFormat="1" ht="15" customHeight="1">
      <c r="A88" s="15"/>
      <c r="BI88" s="26"/>
    </row>
    <row r="89" spans="1:61" s="1" customFormat="1" ht="15" customHeight="1">
      <c r="A89" s="15"/>
      <c r="B89" s="94" t="s">
        <v>393</v>
      </c>
      <c r="BI89" s="26"/>
    </row>
    <row r="90" spans="1:61" s="1" customFormat="1" ht="15" customHeight="1">
      <c r="A90" s="15"/>
      <c r="BI90" s="26"/>
    </row>
    <row r="91" spans="1:61" s="1" customFormat="1" ht="15" customHeight="1">
      <c r="A91" s="15"/>
      <c r="C91" s="178" t="s">
        <v>384</v>
      </c>
      <c r="BI91" s="26"/>
    </row>
    <row r="92" spans="1:61" s="1" customFormat="1" ht="15" customHeight="1">
      <c r="A92" s="15"/>
      <c r="BI92" s="26"/>
    </row>
    <row r="93" spans="1:61" s="1" customFormat="1" ht="15" customHeight="1">
      <c r="A93" s="15"/>
      <c r="D93" s="1" t="s">
        <v>111</v>
      </c>
      <c r="T93" s="1" t="s">
        <v>394</v>
      </c>
      <c r="BI93" s="26"/>
    </row>
    <row r="94" spans="1:61" s="1" customFormat="1" ht="15" customHeight="1">
      <c r="A94" s="15"/>
      <c r="D94" s="1" t="s">
        <v>114</v>
      </c>
      <c r="T94" s="1" t="s">
        <v>395</v>
      </c>
      <c r="BI94" s="26"/>
    </row>
    <row r="95" spans="1:61" s="1" customFormat="1" ht="15" customHeight="1">
      <c r="A95" s="15"/>
      <c r="D95" s="1" t="s">
        <v>396</v>
      </c>
      <c r="BI95" s="26"/>
    </row>
    <row r="96" spans="1:61" s="1" customFormat="1" ht="15" customHeight="1">
      <c r="A96" s="15"/>
      <c r="D96" s="1" t="s">
        <v>397</v>
      </c>
      <c r="BI96" s="26"/>
    </row>
    <row r="97" spans="1:61" s="1" customFormat="1" ht="15" customHeight="1">
      <c r="A97" s="15"/>
      <c r="D97" s="1" t="s">
        <v>398</v>
      </c>
      <c r="BI97" s="26"/>
    </row>
    <row r="98" spans="1:61" s="1" customFormat="1" ht="15" customHeight="1">
      <c r="A98" s="15"/>
      <c r="D98" s="1" t="s">
        <v>399</v>
      </c>
      <c r="T98" s="1" t="s">
        <v>496</v>
      </c>
      <c r="BI98" s="26"/>
    </row>
    <row r="99" spans="1:61" s="1" customFormat="1" ht="15" customHeight="1">
      <c r="A99" s="15"/>
      <c r="BI99" s="26"/>
    </row>
    <row r="100" spans="1:61" s="1" customFormat="1" ht="15" customHeight="1">
      <c r="A100" s="15"/>
      <c r="C100" s="178" t="s">
        <v>391</v>
      </c>
      <c r="BI100" s="26"/>
    </row>
    <row r="101" spans="1:61" s="1" customFormat="1" ht="15" customHeight="1">
      <c r="A101" s="15"/>
      <c r="BI101" s="26"/>
    </row>
    <row r="102" spans="1:61" s="1" customFormat="1" ht="15" customHeight="1">
      <c r="A102" s="15"/>
      <c r="D102" s="1" t="s">
        <v>400</v>
      </c>
      <c r="T102" s="1" t="s">
        <v>401</v>
      </c>
      <c r="BI102" s="26"/>
    </row>
    <row r="103" spans="1:61" s="1" customFormat="1" ht="15" customHeight="1">
      <c r="A103" s="15"/>
      <c r="D103" s="1" t="s">
        <v>402</v>
      </c>
      <c r="T103" s="1" t="s">
        <v>494</v>
      </c>
      <c r="BI103" s="26"/>
    </row>
    <row r="104" spans="1:61" s="1" customFormat="1" ht="15" customHeight="1">
      <c r="A104" s="15"/>
      <c r="D104" s="1" t="s">
        <v>280</v>
      </c>
      <c r="BI104" s="26"/>
    </row>
    <row r="105" spans="1:61" s="1" customFormat="1" ht="15" customHeight="1">
      <c r="A105" s="15"/>
      <c r="D105" s="1" t="s">
        <v>403</v>
      </c>
      <c r="BI105" s="26"/>
    </row>
    <row r="106" spans="1:61" s="1" customFormat="1" ht="15" customHeight="1">
      <c r="A106" s="15"/>
      <c r="D106" s="1" t="s">
        <v>404</v>
      </c>
      <c r="BI106" s="26"/>
    </row>
    <row r="107" spans="1:61" s="1" customFormat="1" ht="15" customHeight="1">
      <c r="A107" s="15"/>
      <c r="D107" s="1" t="s">
        <v>405</v>
      </c>
      <c r="T107" s="1" t="s">
        <v>493</v>
      </c>
      <c r="BI107" s="26"/>
    </row>
    <row r="108" spans="1:61" s="1" customFormat="1" ht="15" customHeight="1">
      <c r="A108" s="15"/>
      <c r="D108" s="1" t="s">
        <v>406</v>
      </c>
      <c r="T108" s="1" t="s">
        <v>495</v>
      </c>
      <c r="BI108" s="26"/>
    </row>
    <row r="109" spans="1:61" s="1" customFormat="1" ht="15" customHeight="1">
      <c r="A109" s="15"/>
      <c r="BI109" s="26"/>
    </row>
    <row r="110" spans="1:61" s="1" customFormat="1" ht="15" customHeight="1">
      <c r="A110" s="15"/>
      <c r="BI110" s="26"/>
    </row>
    <row r="111" spans="1:61" s="1" customFormat="1" ht="15" customHeight="1" thickBot="1">
      <c r="A111" s="19"/>
      <c r="B111" s="27"/>
      <c r="C111" s="27"/>
      <c r="D111" s="27"/>
      <c r="E111" s="27"/>
      <c r="F111" s="27"/>
      <c r="G111" s="27"/>
      <c r="H111" s="27"/>
      <c r="I111" s="27"/>
      <c r="J111" s="27"/>
      <c r="K111" s="27"/>
      <c r="L111" s="27"/>
      <c r="M111" s="27"/>
      <c r="N111" s="27"/>
      <c r="O111" s="27"/>
      <c r="P111" s="27"/>
      <c r="Q111" s="27"/>
      <c r="R111" s="27"/>
      <c r="S111" s="27"/>
      <c r="T111" s="27"/>
      <c r="U111" s="27"/>
      <c r="V111" s="27"/>
      <c r="W111" s="27"/>
      <c r="X111" s="27"/>
      <c r="Y111" s="27"/>
      <c r="Z111" s="27"/>
      <c r="AA111" s="27"/>
      <c r="AB111" s="27"/>
      <c r="AC111" s="27"/>
      <c r="AD111" s="27"/>
      <c r="AE111" s="27"/>
      <c r="AF111" s="27"/>
      <c r="AG111" s="27"/>
      <c r="AH111" s="27"/>
      <c r="AI111" s="27"/>
      <c r="AJ111" s="27"/>
      <c r="AK111" s="27"/>
      <c r="AL111" s="27"/>
      <c r="AM111" s="27"/>
      <c r="AN111" s="27"/>
      <c r="AO111" s="27"/>
      <c r="AP111" s="27"/>
      <c r="AQ111" s="27"/>
      <c r="AR111" s="27"/>
      <c r="AS111" s="27"/>
      <c r="AT111" s="27"/>
      <c r="AU111" s="27"/>
      <c r="AV111" s="27"/>
      <c r="AW111" s="27"/>
      <c r="AX111" s="27"/>
      <c r="AY111" s="27"/>
      <c r="AZ111" s="27"/>
      <c r="BA111" s="27"/>
      <c r="BB111" s="27"/>
      <c r="BC111" s="27"/>
      <c r="BD111" s="27"/>
      <c r="BE111" s="27"/>
      <c r="BF111" s="27"/>
      <c r="BG111" s="27"/>
      <c r="BH111" s="27"/>
      <c r="BI111" s="28"/>
    </row>
  </sheetData>
  <mergeCells count="35">
    <mergeCell ref="D16:AE16"/>
    <mergeCell ref="AH16:BE16"/>
    <mergeCell ref="A5:BI5"/>
    <mergeCell ref="A1:E3"/>
    <mergeCell ref="F1:P1"/>
    <mergeCell ref="AV2:BA2"/>
    <mergeCell ref="BB2:BI2"/>
    <mergeCell ref="AT3:AU3"/>
    <mergeCell ref="AV3:BA3"/>
    <mergeCell ref="BB3:BI3"/>
    <mergeCell ref="Q1:V1"/>
    <mergeCell ref="W1:AD1"/>
    <mergeCell ref="AE1:AS1"/>
    <mergeCell ref="A4:H4"/>
    <mergeCell ref="AT1:BA1"/>
    <mergeCell ref="BB1:BI1"/>
    <mergeCell ref="F2:P3"/>
    <mergeCell ref="Q2:V3"/>
    <mergeCell ref="W2:AD3"/>
    <mergeCell ref="AE2:AS3"/>
    <mergeCell ref="AT2:AU2"/>
    <mergeCell ref="D58:AE58"/>
    <mergeCell ref="AH58:BE58"/>
    <mergeCell ref="AZ17:BE17"/>
    <mergeCell ref="AT17:AY17"/>
    <mergeCell ref="AN17:AS17"/>
    <mergeCell ref="AH17:AM17"/>
    <mergeCell ref="R17:AE17"/>
    <mergeCell ref="D17:Q17"/>
    <mergeCell ref="AZ59:BE59"/>
    <mergeCell ref="D59:Q59"/>
    <mergeCell ref="R59:AE59"/>
    <mergeCell ref="AH59:AM59"/>
    <mergeCell ref="AN59:AS59"/>
    <mergeCell ref="AT59:AY59"/>
  </mergeCells>
  <phoneticPr fontId="2"/>
  <printOptions horizontalCentered="1"/>
  <pageMargins left="0.23622047244094491" right="0.23622047244094491" top="0.74803149606299213" bottom="0.74803149606299213" header="0.31496062992125984" footer="0.31496062992125984"/>
  <pageSetup paperSize="9" scale="85"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D2214-FE2B-4A53-A3CA-84909A38E840}">
  <sheetPr>
    <tabColor theme="0" tint="-0.499984740745262"/>
  </sheetPr>
  <dimension ref="A1:BI38"/>
  <sheetViews>
    <sheetView showGridLines="0" zoomScaleNormal="100" workbookViewId="0">
      <pane ySplit="6" topLeftCell="A7" activePane="bottomLeft" state="frozen"/>
      <selection activeCell="AH22" sqref="AH22"/>
      <selection pane="bottomLeft" activeCell="AH22" sqref="AH22"/>
    </sheetView>
  </sheetViews>
  <sheetFormatPr defaultColWidth="2.5" defaultRowHeight="15" customHeight="1"/>
  <cols>
    <col min="1" max="16384" width="2.5" style="45"/>
  </cols>
  <sheetData>
    <row r="1" spans="1:61" s="1" customFormat="1" ht="15" customHeight="1" thickBot="1">
      <c r="A1" s="294" t="s">
        <v>32</v>
      </c>
      <c r="B1" s="295"/>
      <c r="C1" s="295"/>
      <c r="D1" s="295"/>
      <c r="E1" s="296"/>
      <c r="F1" s="303" t="str">
        <f>変更履歴!F1</f>
        <v>システム名</v>
      </c>
      <c r="G1" s="304"/>
      <c r="H1" s="304"/>
      <c r="I1" s="304"/>
      <c r="J1" s="304"/>
      <c r="K1" s="304"/>
      <c r="L1" s="304"/>
      <c r="M1" s="304"/>
      <c r="N1" s="304"/>
      <c r="O1" s="304"/>
      <c r="P1" s="305"/>
      <c r="Q1" s="306" t="str">
        <f>変更履歴!Q1</f>
        <v>機能分類</v>
      </c>
      <c r="R1" s="307"/>
      <c r="S1" s="307"/>
      <c r="T1" s="307"/>
      <c r="U1" s="307"/>
      <c r="V1" s="308"/>
      <c r="W1" s="303" t="str">
        <f>変更履歴!W1</f>
        <v>機能ＩＤ</v>
      </c>
      <c r="X1" s="304"/>
      <c r="Y1" s="304"/>
      <c r="Z1" s="304"/>
      <c r="AA1" s="304"/>
      <c r="AB1" s="304"/>
      <c r="AC1" s="304"/>
      <c r="AD1" s="305"/>
      <c r="AE1" s="303" t="str">
        <f>変更履歴!AE1</f>
        <v>機能名称</v>
      </c>
      <c r="AF1" s="304"/>
      <c r="AG1" s="304"/>
      <c r="AH1" s="304"/>
      <c r="AI1" s="304"/>
      <c r="AJ1" s="304"/>
      <c r="AK1" s="304"/>
      <c r="AL1" s="304"/>
      <c r="AM1" s="304"/>
      <c r="AN1" s="304"/>
      <c r="AO1" s="304"/>
      <c r="AP1" s="304"/>
      <c r="AQ1" s="304"/>
      <c r="AR1" s="304"/>
      <c r="AS1" s="305"/>
      <c r="AT1" s="309" t="str">
        <f>変更履歴!AT1</f>
        <v>日付</v>
      </c>
      <c r="AU1" s="310"/>
      <c r="AV1" s="310"/>
      <c r="AW1" s="310"/>
      <c r="AX1" s="310"/>
      <c r="AY1" s="310"/>
      <c r="AZ1" s="310"/>
      <c r="BA1" s="311"/>
      <c r="BB1" s="266" t="str">
        <f>変更履歴!BB1</f>
        <v>更新者</v>
      </c>
      <c r="BC1" s="268"/>
      <c r="BD1" s="268"/>
      <c r="BE1" s="268"/>
      <c r="BF1" s="268"/>
      <c r="BG1" s="268"/>
      <c r="BH1" s="268"/>
      <c r="BI1" s="269"/>
    </row>
    <row r="2" spans="1:61" s="1" customFormat="1" ht="15" customHeight="1">
      <c r="A2" s="297"/>
      <c r="B2" s="298"/>
      <c r="C2" s="298"/>
      <c r="D2" s="298"/>
      <c r="E2" s="299"/>
      <c r="F2" s="270" t="str">
        <f>変更履歴!F2</f>
        <v>Dynamics365 for Finance and Operations</v>
      </c>
      <c r="G2" s="271"/>
      <c r="H2" s="271"/>
      <c r="I2" s="271"/>
      <c r="J2" s="271"/>
      <c r="K2" s="271"/>
      <c r="L2" s="271"/>
      <c r="M2" s="271"/>
      <c r="N2" s="271"/>
      <c r="O2" s="271"/>
      <c r="P2" s="272"/>
      <c r="Q2" s="270" t="str">
        <f>変更履歴!Q2</f>
        <v>システム共通</v>
      </c>
      <c r="R2" s="271"/>
      <c r="S2" s="271"/>
      <c r="T2" s="271"/>
      <c r="U2" s="271"/>
      <c r="V2" s="272"/>
      <c r="W2" s="276" t="str">
        <f>変更履歴!W2</f>
        <v>FO-088</v>
      </c>
      <c r="X2" s="277"/>
      <c r="Y2" s="277"/>
      <c r="Z2" s="277"/>
      <c r="AA2" s="277"/>
      <c r="AB2" s="277"/>
      <c r="AC2" s="277"/>
      <c r="AD2" s="278"/>
      <c r="AE2" s="270" t="str">
        <f>変更履歴!AE2</f>
        <v>AzureFiles連携共通インターフェース</v>
      </c>
      <c r="AF2" s="271"/>
      <c r="AG2" s="271"/>
      <c r="AH2" s="271"/>
      <c r="AI2" s="271"/>
      <c r="AJ2" s="271"/>
      <c r="AK2" s="271"/>
      <c r="AL2" s="271"/>
      <c r="AM2" s="271"/>
      <c r="AN2" s="271"/>
      <c r="AO2" s="271"/>
      <c r="AP2" s="271"/>
      <c r="AQ2" s="271"/>
      <c r="AR2" s="271"/>
      <c r="AS2" s="272"/>
      <c r="AT2" s="282" t="str">
        <f>変更履歴!AT2</f>
        <v>作成</v>
      </c>
      <c r="AU2" s="283"/>
      <c r="AV2" s="284">
        <f>変更履歴!AV2</f>
        <v>45453</v>
      </c>
      <c r="AW2" s="284"/>
      <c r="AX2" s="284"/>
      <c r="AY2" s="284"/>
      <c r="AZ2" s="284"/>
      <c r="BA2" s="285"/>
      <c r="BB2" s="286" t="str">
        <f>変更履歴!BB2</f>
        <v>JBS石岡</v>
      </c>
      <c r="BC2" s="288"/>
      <c r="BD2" s="288"/>
      <c r="BE2" s="288"/>
      <c r="BF2" s="288"/>
      <c r="BG2" s="288"/>
      <c r="BH2" s="288"/>
      <c r="BI2" s="289"/>
    </row>
    <row r="3" spans="1:61" s="1" customFormat="1" ht="15" customHeight="1" thickBot="1">
      <c r="A3" s="300"/>
      <c r="B3" s="301"/>
      <c r="C3" s="301"/>
      <c r="D3" s="301"/>
      <c r="E3" s="302"/>
      <c r="F3" s="273"/>
      <c r="G3" s="274"/>
      <c r="H3" s="274"/>
      <c r="I3" s="274"/>
      <c r="J3" s="274"/>
      <c r="K3" s="274"/>
      <c r="L3" s="274"/>
      <c r="M3" s="274"/>
      <c r="N3" s="274"/>
      <c r="O3" s="274"/>
      <c r="P3" s="275"/>
      <c r="Q3" s="273"/>
      <c r="R3" s="274"/>
      <c r="S3" s="274"/>
      <c r="T3" s="274"/>
      <c r="U3" s="274"/>
      <c r="V3" s="275"/>
      <c r="W3" s="279"/>
      <c r="X3" s="280"/>
      <c r="Y3" s="280"/>
      <c r="Z3" s="280"/>
      <c r="AA3" s="280"/>
      <c r="AB3" s="280"/>
      <c r="AC3" s="280"/>
      <c r="AD3" s="281"/>
      <c r="AE3" s="273"/>
      <c r="AF3" s="274"/>
      <c r="AG3" s="274"/>
      <c r="AH3" s="274"/>
      <c r="AI3" s="274"/>
      <c r="AJ3" s="274"/>
      <c r="AK3" s="274"/>
      <c r="AL3" s="274"/>
      <c r="AM3" s="274"/>
      <c r="AN3" s="274"/>
      <c r="AO3" s="274"/>
      <c r="AP3" s="274"/>
      <c r="AQ3" s="274"/>
      <c r="AR3" s="274"/>
      <c r="AS3" s="275"/>
      <c r="AT3" s="290" t="str">
        <f>変更履歴!AT3</f>
        <v>更新</v>
      </c>
      <c r="AU3" s="291"/>
      <c r="AV3" s="316">
        <f ca="1">変更履歴!AV3</f>
        <v>45726</v>
      </c>
      <c r="AW3" s="317"/>
      <c r="AX3" s="317"/>
      <c r="AY3" s="317"/>
      <c r="AZ3" s="317"/>
      <c r="BA3" s="318"/>
      <c r="BB3" s="313" t="str">
        <f ca="1">変更履歴!BB3</f>
        <v>JBS石岡</v>
      </c>
      <c r="BC3" s="314"/>
      <c r="BD3" s="314"/>
      <c r="BE3" s="314"/>
      <c r="BF3" s="314"/>
      <c r="BG3" s="314"/>
      <c r="BH3" s="314"/>
      <c r="BI3" s="315"/>
    </row>
    <row r="4" spans="1:61" s="1" customFormat="1" ht="15" customHeight="1" thickBot="1">
      <c r="A4" s="3"/>
      <c r="B4" s="3"/>
      <c r="C4" s="3"/>
      <c r="D4" s="3"/>
      <c r="E4" s="3"/>
      <c r="F4" s="3"/>
      <c r="G4" s="3"/>
      <c r="H4" s="3"/>
    </row>
    <row r="5" spans="1:61" s="1" customFormat="1" ht="15" customHeight="1" thickBot="1">
      <c r="A5" s="391" t="s">
        <v>315</v>
      </c>
      <c r="B5" s="392"/>
      <c r="C5" s="392"/>
      <c r="D5" s="392"/>
      <c r="E5" s="392"/>
      <c r="F5" s="392"/>
      <c r="G5" s="392"/>
      <c r="H5" s="393"/>
      <c r="I5" s="67"/>
      <c r="J5" s="67"/>
      <c r="K5" s="67"/>
      <c r="L5" s="67"/>
      <c r="M5" s="67"/>
      <c r="N5" s="67"/>
      <c r="O5" s="67"/>
      <c r="P5" s="67"/>
      <c r="Q5" s="67"/>
      <c r="R5" s="67"/>
      <c r="S5" s="67"/>
      <c r="T5" s="67"/>
      <c r="U5" s="67"/>
      <c r="V5" s="67"/>
      <c r="W5" s="67"/>
      <c r="X5" s="67"/>
      <c r="Y5" s="67"/>
      <c r="Z5" s="67"/>
      <c r="AA5" s="67"/>
      <c r="AB5" s="67"/>
      <c r="AC5" s="67"/>
      <c r="AD5" s="67"/>
      <c r="AE5" s="67"/>
      <c r="AF5" s="67"/>
      <c r="AG5" s="67"/>
      <c r="AH5" s="67"/>
      <c r="AI5" s="67"/>
      <c r="AJ5" s="67"/>
      <c r="AK5" s="67"/>
      <c r="AL5" s="67"/>
      <c r="AM5" s="67"/>
      <c r="AN5" s="67"/>
      <c r="AO5" s="67"/>
      <c r="AP5" s="67"/>
      <c r="AQ5" s="67"/>
      <c r="AR5" s="67"/>
      <c r="AS5" s="67"/>
      <c r="AT5" s="67"/>
      <c r="AU5" s="67"/>
      <c r="AV5" s="67"/>
      <c r="AW5" s="67"/>
      <c r="AX5" s="67"/>
      <c r="AY5" s="67"/>
      <c r="AZ5" s="67"/>
      <c r="BA5" s="67"/>
      <c r="BB5" s="67"/>
      <c r="BC5" s="67"/>
      <c r="BD5" s="67"/>
      <c r="BE5" s="67"/>
      <c r="BF5" s="67"/>
      <c r="BG5" s="67"/>
      <c r="BH5" s="67"/>
      <c r="BI5" s="68"/>
    </row>
    <row r="6" spans="1:61" s="1" customFormat="1" ht="15" customHeight="1" thickBot="1">
      <c r="A6" s="394" t="s">
        <v>316</v>
      </c>
      <c r="B6" s="395"/>
      <c r="C6" s="395"/>
      <c r="D6" s="395"/>
      <c r="E6" s="395"/>
      <c r="F6" s="395"/>
      <c r="G6" s="395"/>
      <c r="H6" s="396"/>
      <c r="I6" s="27"/>
      <c r="J6" s="27"/>
      <c r="K6" s="27"/>
      <c r="L6" s="27"/>
      <c r="M6" s="27"/>
      <c r="N6" s="27"/>
      <c r="O6" s="27"/>
      <c r="P6" s="27"/>
      <c r="Q6" s="27"/>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7"/>
      <c r="AT6" s="27"/>
      <c r="AU6" s="27"/>
      <c r="AV6" s="27"/>
      <c r="AW6" s="27"/>
      <c r="AX6" s="27"/>
      <c r="AY6" s="27"/>
      <c r="AZ6" s="27"/>
      <c r="BA6" s="27"/>
      <c r="BB6" s="27"/>
      <c r="BC6" s="27"/>
      <c r="BD6" s="27"/>
      <c r="BE6" s="27"/>
      <c r="BF6" s="27"/>
      <c r="BG6" s="27"/>
      <c r="BH6" s="27"/>
      <c r="BI6" s="28"/>
    </row>
    <row r="7" spans="1:61" s="1" customFormat="1" ht="15" customHeight="1" thickBot="1">
      <c r="A7" s="15"/>
      <c r="BI7" s="26"/>
    </row>
    <row r="8" spans="1:61" s="1" customFormat="1" ht="15" customHeight="1" thickBot="1">
      <c r="A8" s="391" t="s">
        <v>317</v>
      </c>
      <c r="B8" s="392"/>
      <c r="C8" s="392"/>
      <c r="D8" s="392"/>
      <c r="E8" s="392"/>
      <c r="F8" s="392"/>
      <c r="G8" s="392"/>
      <c r="H8" s="393"/>
      <c r="I8" s="69"/>
      <c r="J8" s="67"/>
      <c r="K8" s="67"/>
      <c r="L8" s="67"/>
      <c r="M8" s="67"/>
      <c r="N8" s="67"/>
      <c r="O8" s="67"/>
      <c r="P8" s="67"/>
      <c r="Q8" s="67"/>
      <c r="R8" s="67"/>
      <c r="S8" s="67"/>
      <c r="T8" s="67"/>
      <c r="U8" s="67"/>
      <c r="V8" s="67"/>
      <c r="W8" s="67"/>
      <c r="X8" s="67"/>
      <c r="Y8" s="67"/>
      <c r="Z8" s="67"/>
      <c r="AA8" s="67"/>
      <c r="AB8" s="67"/>
      <c r="AC8" s="67"/>
      <c r="AD8" s="67"/>
      <c r="AE8" s="67"/>
      <c r="AF8" s="67"/>
      <c r="AG8" s="67"/>
      <c r="AH8" s="67"/>
      <c r="AI8" s="67"/>
      <c r="AJ8" s="67"/>
      <c r="AK8" s="67"/>
      <c r="AL8" s="67"/>
      <c r="AM8" s="67"/>
      <c r="AN8" s="67"/>
      <c r="AO8" s="67"/>
      <c r="AP8" s="67"/>
      <c r="AQ8" s="67"/>
      <c r="AR8" s="67"/>
      <c r="AS8" s="67"/>
      <c r="AT8" s="67"/>
      <c r="AU8" s="67"/>
      <c r="AV8" s="67"/>
      <c r="AW8" s="67"/>
      <c r="AX8" s="67"/>
      <c r="AY8" s="67"/>
      <c r="AZ8" s="67"/>
      <c r="BA8" s="67"/>
      <c r="BB8" s="67"/>
      <c r="BC8" s="67"/>
      <c r="BD8" s="67"/>
      <c r="BE8" s="67"/>
      <c r="BF8" s="67"/>
      <c r="BG8" s="67"/>
      <c r="BH8" s="67"/>
      <c r="BI8" s="68"/>
    </row>
    <row r="9" spans="1:61" s="1" customFormat="1" ht="15" customHeight="1">
      <c r="A9" s="15"/>
      <c r="BI9" s="26"/>
    </row>
    <row r="10" spans="1:61" s="1" customFormat="1" ht="15" customHeight="1">
      <c r="A10" s="15"/>
      <c r="BI10" s="26"/>
    </row>
    <row r="11" spans="1:61" s="1" customFormat="1" ht="15" customHeight="1">
      <c r="A11" s="15"/>
      <c r="BI11" s="26"/>
    </row>
    <row r="12" spans="1:61" s="1" customFormat="1" ht="15" customHeight="1">
      <c r="A12" s="15"/>
      <c r="BI12" s="26"/>
    </row>
    <row r="13" spans="1:61" ht="15" customHeight="1">
      <c r="A13" s="37"/>
      <c r="BI13" s="35"/>
    </row>
    <row r="14" spans="1:61" ht="15" customHeight="1">
      <c r="A14" s="37"/>
      <c r="BI14" s="35"/>
    </row>
    <row r="15" spans="1:61" ht="15" customHeight="1">
      <c r="A15" s="37"/>
      <c r="BI15" s="35"/>
    </row>
    <row r="16" spans="1:61" ht="15" customHeight="1">
      <c r="A16" s="37"/>
      <c r="BI16" s="35"/>
    </row>
    <row r="17" spans="1:61" ht="15" customHeight="1">
      <c r="A17" s="37"/>
      <c r="BI17" s="35"/>
    </row>
    <row r="18" spans="1:61" ht="15" customHeight="1">
      <c r="A18" s="37"/>
      <c r="BI18" s="35"/>
    </row>
    <row r="19" spans="1:61" ht="15" customHeight="1">
      <c r="A19" s="37"/>
      <c r="BI19" s="35"/>
    </row>
    <row r="20" spans="1:61" ht="15" customHeight="1">
      <c r="A20" s="37"/>
      <c r="BI20" s="35"/>
    </row>
    <row r="21" spans="1:61" ht="15" customHeight="1">
      <c r="A21" s="37"/>
      <c r="BI21" s="35"/>
    </row>
    <row r="22" spans="1:61" ht="15" customHeight="1">
      <c r="A22" s="37"/>
      <c r="BI22" s="35"/>
    </row>
    <row r="23" spans="1:61" ht="15" customHeight="1">
      <c r="A23" s="37"/>
      <c r="BI23" s="35"/>
    </row>
    <row r="24" spans="1:61" ht="15" customHeight="1">
      <c r="A24" s="37"/>
      <c r="BI24" s="35"/>
    </row>
    <row r="25" spans="1:61" ht="15" customHeight="1">
      <c r="A25" s="37"/>
      <c r="BI25" s="35"/>
    </row>
    <row r="26" spans="1:61" ht="15" customHeight="1">
      <c r="A26" s="37"/>
      <c r="BI26" s="35"/>
    </row>
    <row r="27" spans="1:61" ht="15" customHeight="1">
      <c r="A27" s="37"/>
      <c r="BI27" s="35"/>
    </row>
    <row r="28" spans="1:61" ht="15" customHeight="1">
      <c r="A28" s="37"/>
      <c r="BI28" s="35"/>
    </row>
    <row r="29" spans="1:61" s="1" customFormat="1" ht="15" customHeight="1">
      <c r="A29" s="15"/>
      <c r="BI29" s="26"/>
    </row>
    <row r="30" spans="1:61" s="1" customFormat="1" ht="15" customHeight="1">
      <c r="A30" s="15"/>
      <c r="BI30" s="26"/>
    </row>
    <row r="31" spans="1:61" ht="15" customHeight="1">
      <c r="A31" s="37"/>
      <c r="BI31" s="35"/>
    </row>
    <row r="32" spans="1:61" ht="15" customHeight="1">
      <c r="A32" s="37"/>
      <c r="BI32" s="35"/>
    </row>
    <row r="33" spans="1:61" ht="15" customHeight="1">
      <c r="A33" s="37"/>
      <c r="BI33" s="35"/>
    </row>
    <row r="34" spans="1:61" ht="15" customHeight="1">
      <c r="A34" s="37"/>
      <c r="BI34" s="35"/>
    </row>
    <row r="35" spans="1:61" ht="15" customHeight="1">
      <c r="A35" s="37"/>
      <c r="BI35" s="35"/>
    </row>
    <row r="36" spans="1:61" ht="15" customHeight="1">
      <c r="A36" s="37"/>
      <c r="BI36" s="35"/>
    </row>
    <row r="37" spans="1:61" ht="15" customHeight="1">
      <c r="A37" s="37"/>
      <c r="BI37" s="35"/>
    </row>
    <row r="38" spans="1:61" ht="15" customHeight="1" thickBot="1">
      <c r="A38" s="50"/>
      <c r="B38" s="51"/>
      <c r="C38" s="51"/>
      <c r="D38" s="51"/>
      <c r="E38" s="51"/>
      <c r="F38" s="51"/>
      <c r="G38" s="51"/>
      <c r="H38" s="51"/>
      <c r="I38" s="51"/>
      <c r="J38" s="51"/>
      <c r="K38" s="51"/>
      <c r="L38" s="51"/>
      <c r="M38" s="51"/>
      <c r="N38" s="51"/>
      <c r="O38" s="51"/>
      <c r="P38" s="51"/>
      <c r="Q38" s="51"/>
      <c r="R38" s="51"/>
      <c r="S38" s="51"/>
      <c r="T38" s="51"/>
      <c r="U38" s="51"/>
      <c r="V38" s="51"/>
      <c r="W38" s="51"/>
      <c r="X38" s="51"/>
      <c r="Y38" s="51"/>
      <c r="Z38" s="51"/>
      <c r="AA38" s="51"/>
      <c r="AB38" s="51"/>
      <c r="AC38" s="51"/>
      <c r="AD38" s="51"/>
      <c r="AE38" s="51"/>
      <c r="AF38" s="51"/>
      <c r="AG38" s="51"/>
      <c r="AH38" s="51"/>
      <c r="AI38" s="51"/>
      <c r="AJ38" s="51"/>
      <c r="AK38" s="51"/>
      <c r="AL38" s="51"/>
      <c r="AM38" s="51"/>
      <c r="AN38" s="51"/>
      <c r="AO38" s="51"/>
      <c r="AP38" s="51"/>
      <c r="AQ38" s="51"/>
      <c r="AR38" s="51"/>
      <c r="AS38" s="51"/>
      <c r="AT38" s="51"/>
      <c r="AU38" s="51"/>
      <c r="AV38" s="51"/>
      <c r="AW38" s="51"/>
      <c r="AX38" s="51"/>
      <c r="AY38" s="51"/>
      <c r="AZ38" s="51"/>
      <c r="BA38" s="51"/>
      <c r="BB38" s="51"/>
      <c r="BC38" s="51"/>
      <c r="BD38" s="51"/>
      <c r="BE38" s="51"/>
      <c r="BF38" s="51"/>
      <c r="BG38" s="51"/>
      <c r="BH38" s="51"/>
      <c r="BI38" s="54"/>
    </row>
  </sheetData>
  <mergeCells count="20">
    <mergeCell ref="A5:H5"/>
    <mergeCell ref="A6:H6"/>
    <mergeCell ref="A8:H8"/>
    <mergeCell ref="A1:E3"/>
    <mergeCell ref="F1:P1"/>
    <mergeCell ref="AE1:AS1"/>
    <mergeCell ref="AT1:BA1"/>
    <mergeCell ref="BB1:BI1"/>
    <mergeCell ref="F2:P3"/>
    <mergeCell ref="Q2:V3"/>
    <mergeCell ref="W2:AD3"/>
    <mergeCell ref="AE2:AS3"/>
    <mergeCell ref="AT2:AU2"/>
    <mergeCell ref="AV2:BA2"/>
    <mergeCell ref="BB2:BI2"/>
    <mergeCell ref="AT3:AU3"/>
    <mergeCell ref="AV3:BA3"/>
    <mergeCell ref="BB3:BI3"/>
    <mergeCell ref="Q1:V1"/>
    <mergeCell ref="W1:AD1"/>
  </mergeCells>
  <phoneticPr fontId="2"/>
  <printOptions horizontalCentered="1"/>
  <pageMargins left="0.23622047244094491" right="0.23622047244094491" top="0.74803149606299213" bottom="0.74803149606299213" header="0.31496062992125984" footer="0.31496062992125984"/>
  <pageSetup paperSize="9" scale="85" orientation="landscape"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AE1F4B-1B0F-4B71-9CA1-004084418863}">
  <sheetPr>
    <tabColor theme="0" tint="-0.499984740745262"/>
  </sheetPr>
  <dimension ref="A1:BI38"/>
  <sheetViews>
    <sheetView showGridLines="0" zoomScaleNormal="100" workbookViewId="0">
      <pane ySplit="5" topLeftCell="A6" activePane="bottomLeft" state="frozen"/>
      <selection pane="bottomLeft" activeCell="A6" sqref="A6"/>
    </sheetView>
  </sheetViews>
  <sheetFormatPr defaultColWidth="2.5" defaultRowHeight="15" customHeight="1"/>
  <cols>
    <col min="1" max="22" width="2.5" style="45"/>
    <col min="23" max="24" width="2.5" style="38"/>
    <col min="25" max="16384" width="2.5" style="45"/>
  </cols>
  <sheetData>
    <row r="1" spans="1:61" s="1" customFormat="1" ht="15" customHeight="1" thickBot="1">
      <c r="A1" s="294" t="s">
        <v>32</v>
      </c>
      <c r="B1" s="295"/>
      <c r="C1" s="295"/>
      <c r="D1" s="295"/>
      <c r="E1" s="296"/>
      <c r="F1" s="303" t="str">
        <f>変更履歴!F1</f>
        <v>システム名</v>
      </c>
      <c r="G1" s="304"/>
      <c r="H1" s="304"/>
      <c r="I1" s="304"/>
      <c r="J1" s="304"/>
      <c r="K1" s="304"/>
      <c r="L1" s="304"/>
      <c r="M1" s="304"/>
      <c r="N1" s="304"/>
      <c r="O1" s="304"/>
      <c r="P1" s="305"/>
      <c r="Q1" s="306" t="str">
        <f>変更履歴!Q1</f>
        <v>機能分類</v>
      </c>
      <c r="R1" s="307"/>
      <c r="S1" s="307"/>
      <c r="T1" s="307"/>
      <c r="U1" s="307"/>
      <c r="V1" s="308"/>
      <c r="W1" s="303" t="str">
        <f>変更履歴!W1</f>
        <v>機能ＩＤ</v>
      </c>
      <c r="X1" s="304"/>
      <c r="Y1" s="304"/>
      <c r="Z1" s="304"/>
      <c r="AA1" s="304"/>
      <c r="AB1" s="304"/>
      <c r="AC1" s="304"/>
      <c r="AD1" s="305"/>
      <c r="AE1" s="303" t="str">
        <f>変更履歴!AE1</f>
        <v>機能名称</v>
      </c>
      <c r="AF1" s="304"/>
      <c r="AG1" s="304"/>
      <c r="AH1" s="304"/>
      <c r="AI1" s="304"/>
      <c r="AJ1" s="304"/>
      <c r="AK1" s="304"/>
      <c r="AL1" s="304"/>
      <c r="AM1" s="304"/>
      <c r="AN1" s="304"/>
      <c r="AO1" s="304"/>
      <c r="AP1" s="304"/>
      <c r="AQ1" s="304"/>
      <c r="AR1" s="304"/>
      <c r="AS1" s="305"/>
      <c r="AT1" s="309" t="str">
        <f>変更履歴!AT1</f>
        <v>日付</v>
      </c>
      <c r="AU1" s="310"/>
      <c r="AV1" s="310"/>
      <c r="AW1" s="310"/>
      <c r="AX1" s="310"/>
      <c r="AY1" s="310"/>
      <c r="AZ1" s="310"/>
      <c r="BA1" s="311"/>
      <c r="BB1" s="266" t="str">
        <f>変更履歴!BB1</f>
        <v>更新者</v>
      </c>
      <c r="BC1" s="268"/>
      <c r="BD1" s="268"/>
      <c r="BE1" s="268"/>
      <c r="BF1" s="268"/>
      <c r="BG1" s="268"/>
      <c r="BH1" s="268"/>
      <c r="BI1" s="269"/>
    </row>
    <row r="2" spans="1:61" s="1" customFormat="1" ht="15" customHeight="1">
      <c r="A2" s="297"/>
      <c r="B2" s="298"/>
      <c r="C2" s="298"/>
      <c r="D2" s="298"/>
      <c r="E2" s="299"/>
      <c r="F2" s="270" t="str">
        <f>変更履歴!F2</f>
        <v>Dynamics365 for Finance and Operations</v>
      </c>
      <c r="G2" s="271"/>
      <c r="H2" s="271"/>
      <c r="I2" s="271"/>
      <c r="J2" s="271"/>
      <c r="K2" s="271"/>
      <c r="L2" s="271"/>
      <c r="M2" s="271"/>
      <c r="N2" s="271"/>
      <c r="O2" s="271"/>
      <c r="P2" s="272"/>
      <c r="Q2" s="270" t="str">
        <f>変更履歴!Q2</f>
        <v>システム共通</v>
      </c>
      <c r="R2" s="271"/>
      <c r="S2" s="271"/>
      <c r="T2" s="271"/>
      <c r="U2" s="271"/>
      <c r="V2" s="272"/>
      <c r="W2" s="276" t="str">
        <f>変更履歴!W2</f>
        <v>FO-088</v>
      </c>
      <c r="X2" s="277"/>
      <c r="Y2" s="277"/>
      <c r="Z2" s="277"/>
      <c r="AA2" s="277"/>
      <c r="AB2" s="277"/>
      <c r="AC2" s="277"/>
      <c r="AD2" s="278"/>
      <c r="AE2" s="270" t="str">
        <f>変更履歴!AE2</f>
        <v>AzureFiles連携共通インターフェース</v>
      </c>
      <c r="AF2" s="271"/>
      <c r="AG2" s="271"/>
      <c r="AH2" s="271"/>
      <c r="AI2" s="271"/>
      <c r="AJ2" s="271"/>
      <c r="AK2" s="271"/>
      <c r="AL2" s="271"/>
      <c r="AM2" s="271"/>
      <c r="AN2" s="271"/>
      <c r="AO2" s="271"/>
      <c r="AP2" s="271"/>
      <c r="AQ2" s="271"/>
      <c r="AR2" s="271"/>
      <c r="AS2" s="272"/>
      <c r="AT2" s="282" t="str">
        <f>変更履歴!AT2</f>
        <v>作成</v>
      </c>
      <c r="AU2" s="283"/>
      <c r="AV2" s="284">
        <f>変更履歴!AV2</f>
        <v>45453</v>
      </c>
      <c r="AW2" s="284"/>
      <c r="AX2" s="284"/>
      <c r="AY2" s="284"/>
      <c r="AZ2" s="284"/>
      <c r="BA2" s="285"/>
      <c r="BB2" s="286" t="str">
        <f>変更履歴!BB2</f>
        <v>JBS石岡</v>
      </c>
      <c r="BC2" s="288"/>
      <c r="BD2" s="288"/>
      <c r="BE2" s="288"/>
      <c r="BF2" s="288"/>
      <c r="BG2" s="288"/>
      <c r="BH2" s="288"/>
      <c r="BI2" s="289"/>
    </row>
    <row r="3" spans="1:61" s="1" customFormat="1" ht="15" customHeight="1" thickBot="1">
      <c r="A3" s="300"/>
      <c r="B3" s="301"/>
      <c r="C3" s="301"/>
      <c r="D3" s="301"/>
      <c r="E3" s="302"/>
      <c r="F3" s="273"/>
      <c r="G3" s="274"/>
      <c r="H3" s="274"/>
      <c r="I3" s="274"/>
      <c r="J3" s="274"/>
      <c r="K3" s="274"/>
      <c r="L3" s="274"/>
      <c r="M3" s="274"/>
      <c r="N3" s="274"/>
      <c r="O3" s="274"/>
      <c r="P3" s="275"/>
      <c r="Q3" s="273"/>
      <c r="R3" s="274"/>
      <c r="S3" s="274"/>
      <c r="T3" s="274"/>
      <c r="U3" s="274"/>
      <c r="V3" s="275"/>
      <c r="W3" s="279"/>
      <c r="X3" s="280"/>
      <c r="Y3" s="280"/>
      <c r="Z3" s="280"/>
      <c r="AA3" s="280"/>
      <c r="AB3" s="280"/>
      <c r="AC3" s="280"/>
      <c r="AD3" s="281"/>
      <c r="AE3" s="273"/>
      <c r="AF3" s="274"/>
      <c r="AG3" s="274"/>
      <c r="AH3" s="274"/>
      <c r="AI3" s="274"/>
      <c r="AJ3" s="274"/>
      <c r="AK3" s="274"/>
      <c r="AL3" s="274"/>
      <c r="AM3" s="274"/>
      <c r="AN3" s="274"/>
      <c r="AO3" s="274"/>
      <c r="AP3" s="274"/>
      <c r="AQ3" s="274"/>
      <c r="AR3" s="274"/>
      <c r="AS3" s="275"/>
      <c r="AT3" s="290" t="str">
        <f>変更履歴!AT3</f>
        <v>更新</v>
      </c>
      <c r="AU3" s="291"/>
      <c r="AV3" s="316">
        <f ca="1">変更履歴!AV3</f>
        <v>45726</v>
      </c>
      <c r="AW3" s="317"/>
      <c r="AX3" s="317"/>
      <c r="AY3" s="317"/>
      <c r="AZ3" s="317"/>
      <c r="BA3" s="318"/>
      <c r="BB3" s="313" t="str">
        <f ca="1">変更履歴!BB3</f>
        <v>JBS石岡</v>
      </c>
      <c r="BC3" s="314"/>
      <c r="BD3" s="314"/>
      <c r="BE3" s="314"/>
      <c r="BF3" s="314"/>
      <c r="BG3" s="314"/>
      <c r="BH3" s="314"/>
      <c r="BI3" s="315"/>
    </row>
    <row r="4" spans="1:61" s="1" customFormat="1" ht="15" customHeight="1" thickBot="1">
      <c r="A4" s="312"/>
      <c r="B4" s="312"/>
      <c r="C4" s="312"/>
      <c r="D4" s="312"/>
      <c r="E4" s="312"/>
      <c r="F4" s="312"/>
      <c r="G4" s="312"/>
      <c r="H4" s="312"/>
      <c r="W4" s="49"/>
      <c r="X4" s="49"/>
    </row>
    <row r="5" spans="1:61" s="1" customFormat="1" ht="15" customHeight="1" thickBot="1">
      <c r="A5" s="319" t="s">
        <v>318</v>
      </c>
      <c r="B5" s="320"/>
      <c r="C5" s="320"/>
      <c r="D5" s="320"/>
      <c r="E5" s="320"/>
      <c r="F5" s="320"/>
      <c r="G5" s="320"/>
      <c r="H5" s="319" t="s">
        <v>319</v>
      </c>
      <c r="I5" s="320"/>
      <c r="J5" s="320"/>
      <c r="K5" s="320"/>
      <c r="L5" s="320"/>
      <c r="M5" s="320"/>
      <c r="N5" s="320"/>
      <c r="O5" s="320"/>
      <c r="P5" s="321"/>
      <c r="Q5" s="320" t="s">
        <v>320</v>
      </c>
      <c r="R5" s="320"/>
      <c r="S5" s="320"/>
      <c r="T5" s="320"/>
      <c r="U5" s="319" t="s">
        <v>321</v>
      </c>
      <c r="V5" s="321"/>
      <c r="W5" s="320" t="s">
        <v>322</v>
      </c>
      <c r="X5" s="321"/>
      <c r="Y5" s="319" t="s">
        <v>323</v>
      </c>
      <c r="Z5" s="320"/>
      <c r="AA5" s="320"/>
      <c r="AB5" s="320"/>
      <c r="AC5" s="320"/>
      <c r="AD5" s="320"/>
      <c r="AE5" s="320"/>
      <c r="AF5" s="320"/>
      <c r="AG5" s="320"/>
      <c r="AH5" s="320"/>
      <c r="AI5" s="320"/>
      <c r="AJ5" s="320"/>
      <c r="AK5" s="320"/>
      <c r="AL5" s="320"/>
      <c r="AM5" s="320"/>
      <c r="AN5" s="320"/>
      <c r="AO5" s="320"/>
      <c r="AP5" s="320"/>
      <c r="AQ5" s="320"/>
      <c r="AR5" s="320"/>
      <c r="AS5" s="320"/>
      <c r="AT5" s="320"/>
      <c r="AU5" s="320"/>
      <c r="AV5" s="320"/>
      <c r="AW5" s="320"/>
      <c r="AX5" s="320"/>
      <c r="AY5" s="320"/>
      <c r="AZ5" s="320"/>
      <c r="BA5" s="321"/>
      <c r="BB5" s="320" t="s">
        <v>61</v>
      </c>
      <c r="BC5" s="320"/>
      <c r="BD5" s="320"/>
      <c r="BE5" s="320"/>
      <c r="BF5" s="320"/>
      <c r="BG5" s="320"/>
      <c r="BH5" s="320"/>
      <c r="BI5" s="321"/>
    </row>
    <row r="6" spans="1:61" s="1" customFormat="1" ht="15" customHeight="1">
      <c r="A6" s="15"/>
      <c r="Q6" s="70"/>
      <c r="R6" s="3"/>
      <c r="S6" s="3"/>
      <c r="T6" s="4"/>
      <c r="U6" s="401"/>
      <c r="V6" s="402"/>
      <c r="W6" s="407"/>
      <c r="X6" s="408"/>
      <c r="BB6" s="70"/>
      <c r="BC6" s="3"/>
      <c r="BD6" s="3"/>
      <c r="BE6" s="3"/>
      <c r="BF6" s="3"/>
      <c r="BG6" s="3"/>
      <c r="BH6" s="3"/>
      <c r="BI6" s="4"/>
    </row>
    <row r="7" spans="1:61" s="1" customFormat="1" ht="15" customHeight="1">
      <c r="A7" s="15"/>
      <c r="Q7" s="15"/>
      <c r="T7" s="26"/>
      <c r="U7" s="401"/>
      <c r="V7" s="402"/>
      <c r="W7" s="401"/>
      <c r="X7" s="402"/>
      <c r="BB7" s="15"/>
      <c r="BI7" s="26"/>
    </row>
    <row r="8" spans="1:61" s="1" customFormat="1" ht="15" customHeight="1" thickBot="1">
      <c r="A8" s="19"/>
      <c r="B8" s="27"/>
      <c r="C8" s="27"/>
      <c r="D8" s="27"/>
      <c r="E8" s="27"/>
      <c r="F8" s="27"/>
      <c r="G8" s="27"/>
      <c r="H8" s="27"/>
      <c r="I8" s="27"/>
      <c r="J8" s="27"/>
      <c r="K8" s="27"/>
      <c r="L8" s="27"/>
      <c r="M8" s="27"/>
      <c r="N8" s="27"/>
      <c r="O8" s="27"/>
      <c r="P8" s="27"/>
      <c r="Q8" s="19"/>
      <c r="R8" s="27"/>
      <c r="S8" s="27"/>
      <c r="T8" s="28"/>
      <c r="U8" s="403"/>
      <c r="V8" s="404"/>
      <c r="W8" s="403"/>
      <c r="X8" s="404"/>
      <c r="Y8" s="27"/>
      <c r="Z8" s="27"/>
      <c r="AA8" s="27"/>
      <c r="AB8" s="27"/>
      <c r="AC8" s="27"/>
      <c r="AD8" s="27"/>
      <c r="AE8" s="27"/>
      <c r="AF8" s="27"/>
      <c r="AG8" s="27"/>
      <c r="AH8" s="27"/>
      <c r="AI8" s="27"/>
      <c r="AJ8" s="27"/>
      <c r="AK8" s="27"/>
      <c r="AL8" s="27"/>
      <c r="AM8" s="27"/>
      <c r="AN8" s="27"/>
      <c r="AO8" s="27"/>
      <c r="AP8" s="27"/>
      <c r="AQ8" s="27"/>
      <c r="AR8" s="27"/>
      <c r="AS8" s="27"/>
      <c r="AT8" s="27"/>
      <c r="AU8" s="27"/>
      <c r="AV8" s="27"/>
      <c r="AW8" s="27"/>
      <c r="AX8" s="27"/>
      <c r="AY8" s="27"/>
      <c r="AZ8" s="27"/>
      <c r="BA8" s="28"/>
      <c r="BB8" s="19"/>
      <c r="BC8" s="27"/>
      <c r="BD8" s="27"/>
      <c r="BE8" s="27"/>
      <c r="BF8" s="27"/>
      <c r="BG8" s="27"/>
      <c r="BH8" s="27"/>
      <c r="BI8" s="28"/>
    </row>
    <row r="9" spans="1:61" ht="15" customHeight="1">
      <c r="A9" s="72"/>
      <c r="B9" s="73"/>
      <c r="C9" s="73"/>
      <c r="D9" s="73"/>
      <c r="E9" s="73"/>
      <c r="F9" s="73"/>
      <c r="G9" s="73"/>
      <c r="H9" s="73"/>
      <c r="I9" s="73"/>
      <c r="J9" s="73"/>
      <c r="K9" s="73"/>
      <c r="L9" s="73"/>
      <c r="M9" s="73"/>
      <c r="N9" s="73"/>
      <c r="O9" s="73"/>
      <c r="P9" s="73"/>
      <c r="Q9" s="73"/>
      <c r="R9" s="73"/>
      <c r="S9" s="73"/>
      <c r="T9" s="73"/>
      <c r="U9" s="409"/>
      <c r="V9" s="409"/>
      <c r="W9" s="73"/>
      <c r="X9" s="73"/>
      <c r="Y9" s="73"/>
      <c r="Z9" s="73"/>
      <c r="AA9" s="73"/>
      <c r="AB9" s="73"/>
      <c r="AC9" s="73"/>
      <c r="AD9" s="73"/>
      <c r="AE9" s="73"/>
      <c r="AF9" s="73"/>
      <c r="AG9" s="73"/>
      <c r="AH9" s="73"/>
      <c r="AI9" s="73"/>
      <c r="AJ9" s="73"/>
      <c r="AK9" s="73"/>
      <c r="AL9" s="73"/>
      <c r="AM9" s="73"/>
      <c r="AN9" s="73"/>
      <c r="AO9" s="73"/>
      <c r="AP9" s="73"/>
      <c r="AQ9" s="73"/>
      <c r="AR9" s="73"/>
      <c r="AS9" s="73"/>
      <c r="AT9" s="73"/>
      <c r="AU9" s="73"/>
      <c r="AV9" s="73"/>
      <c r="AW9" s="73"/>
      <c r="AX9" s="73"/>
      <c r="AY9" s="73"/>
      <c r="AZ9" s="73"/>
      <c r="BA9" s="73"/>
      <c r="BB9" s="73"/>
      <c r="BC9" s="73"/>
      <c r="BD9" s="73"/>
      <c r="BE9" s="73"/>
      <c r="BF9" s="73"/>
      <c r="BG9" s="73"/>
      <c r="BH9" s="73"/>
      <c r="BI9" s="74"/>
    </row>
    <row r="10" spans="1:61" ht="15" customHeight="1" thickBot="1">
      <c r="A10" s="72"/>
      <c r="B10" s="73"/>
      <c r="C10" s="73"/>
      <c r="D10" s="73"/>
      <c r="E10" s="73"/>
      <c r="F10" s="73"/>
      <c r="G10" s="73"/>
      <c r="H10" s="73"/>
      <c r="I10" s="73"/>
      <c r="J10" s="73"/>
      <c r="K10" s="73"/>
      <c r="L10" s="73"/>
      <c r="M10" s="73"/>
      <c r="N10" s="73"/>
      <c r="O10" s="73"/>
      <c r="P10" s="73"/>
      <c r="Q10" s="73"/>
      <c r="R10" s="73"/>
      <c r="S10" s="73"/>
      <c r="T10" s="73"/>
      <c r="U10" s="397"/>
      <c r="V10" s="397"/>
      <c r="W10" s="397"/>
      <c r="X10" s="397"/>
      <c r="Y10" s="73"/>
      <c r="Z10" s="73"/>
      <c r="AA10" s="73"/>
      <c r="AB10" s="73"/>
      <c r="AC10" s="73"/>
      <c r="AD10" s="73"/>
      <c r="AE10" s="73"/>
      <c r="AF10" s="73"/>
      <c r="AG10" s="73"/>
      <c r="AH10" s="73"/>
      <c r="AI10" s="73"/>
      <c r="AJ10" s="73"/>
      <c r="AK10" s="73"/>
      <c r="AL10" s="73"/>
      <c r="AM10" s="73"/>
      <c r="AN10" s="73"/>
      <c r="AO10" s="73"/>
      <c r="AP10" s="73"/>
      <c r="AQ10" s="73"/>
      <c r="AR10" s="73"/>
      <c r="AS10" s="73"/>
      <c r="AT10" s="73"/>
      <c r="AU10" s="73"/>
      <c r="AV10" s="73"/>
      <c r="AW10" s="73"/>
      <c r="AX10" s="73"/>
      <c r="AY10" s="73"/>
      <c r="AZ10" s="73"/>
      <c r="BA10" s="73"/>
      <c r="BB10" s="73"/>
      <c r="BC10" s="73"/>
      <c r="BD10" s="73"/>
      <c r="BE10" s="73"/>
      <c r="BF10" s="73"/>
      <c r="BG10" s="73"/>
      <c r="BH10" s="73"/>
      <c r="BI10" s="74"/>
    </row>
    <row r="11" spans="1:61" ht="15" customHeight="1" thickBot="1">
      <c r="A11" s="72"/>
      <c r="B11" s="73"/>
      <c r="C11" s="73"/>
      <c r="D11" s="73"/>
      <c r="E11" s="75"/>
      <c r="F11" s="76"/>
      <c r="G11" s="76"/>
      <c r="H11" s="76"/>
      <c r="I11" s="76"/>
      <c r="J11" s="76"/>
      <c r="K11" s="76"/>
      <c r="L11" s="76"/>
      <c r="M11" s="76"/>
      <c r="N11" s="76"/>
      <c r="O11" s="76"/>
      <c r="P11" s="76"/>
      <c r="Q11" s="76"/>
      <c r="R11" s="76"/>
      <c r="S11" s="76"/>
      <c r="T11" s="76"/>
      <c r="U11" s="398"/>
      <c r="V11" s="398"/>
      <c r="W11" s="398"/>
      <c r="X11" s="398"/>
      <c r="Y11" s="76"/>
      <c r="Z11" s="76"/>
      <c r="AA11" s="76"/>
      <c r="AB11" s="76"/>
      <c r="AC11" s="76"/>
      <c r="AD11" s="76"/>
      <c r="AE11" s="76"/>
      <c r="AF11" s="76"/>
      <c r="AG11" s="76"/>
      <c r="AH11" s="76"/>
      <c r="AI11" s="76"/>
      <c r="AJ11" s="76"/>
      <c r="AK11" s="76"/>
      <c r="AL11" s="76"/>
      <c r="AM11" s="76"/>
      <c r="AN11" s="76"/>
      <c r="AO11" s="76"/>
      <c r="AP11" s="76"/>
      <c r="AQ11" s="76"/>
      <c r="AR11" s="76"/>
      <c r="AS11" s="76"/>
      <c r="AT11" s="76"/>
      <c r="AU11" s="76"/>
      <c r="AV11" s="76"/>
      <c r="AW11" s="76"/>
      <c r="AX11" s="76"/>
      <c r="AY11" s="76"/>
      <c r="AZ11" s="76"/>
      <c r="BA11" s="76"/>
      <c r="BB11" s="76"/>
      <c r="BC11" s="76"/>
      <c r="BD11" s="76"/>
      <c r="BE11" s="76"/>
      <c r="BF11" s="76"/>
      <c r="BG11" s="76"/>
      <c r="BH11" s="76"/>
      <c r="BI11" s="77"/>
    </row>
    <row r="12" spans="1:61" ht="15" customHeight="1">
      <c r="A12" s="72"/>
      <c r="B12" s="73"/>
      <c r="C12" s="73"/>
      <c r="D12" s="73"/>
      <c r="E12" s="72"/>
      <c r="F12" s="73"/>
      <c r="G12" s="73"/>
      <c r="H12" s="36"/>
      <c r="I12" s="71"/>
      <c r="J12" s="71"/>
      <c r="K12" s="71"/>
      <c r="L12" s="71"/>
      <c r="M12" s="71"/>
      <c r="N12" s="71"/>
      <c r="O12" s="71"/>
      <c r="P12" s="71"/>
      <c r="Q12" s="36"/>
      <c r="R12" s="71"/>
      <c r="S12" s="71"/>
      <c r="T12" s="34"/>
      <c r="U12" s="399"/>
      <c r="V12" s="400"/>
      <c r="W12" s="399"/>
      <c r="X12" s="400"/>
      <c r="Y12" s="71"/>
      <c r="Z12" s="71"/>
      <c r="AA12" s="71"/>
      <c r="AB12" s="71"/>
      <c r="AC12" s="71"/>
      <c r="AD12" s="71"/>
      <c r="AE12" s="71"/>
      <c r="AF12" s="71"/>
      <c r="AG12" s="71"/>
      <c r="AH12" s="71"/>
      <c r="AI12" s="71"/>
      <c r="AJ12" s="71"/>
      <c r="AK12" s="71"/>
      <c r="AL12" s="71"/>
      <c r="AM12" s="71"/>
      <c r="AN12" s="71"/>
      <c r="AO12" s="71"/>
      <c r="AP12" s="71"/>
      <c r="AQ12" s="71"/>
      <c r="AR12" s="71"/>
      <c r="AS12" s="71"/>
      <c r="AT12" s="71"/>
      <c r="AU12" s="71"/>
      <c r="AV12" s="71"/>
      <c r="AW12" s="71"/>
      <c r="AX12" s="71"/>
      <c r="AY12" s="71"/>
      <c r="AZ12" s="71"/>
      <c r="BA12" s="71"/>
      <c r="BB12" s="36"/>
      <c r="BC12" s="71"/>
      <c r="BD12" s="71"/>
      <c r="BE12" s="71"/>
      <c r="BF12" s="71"/>
      <c r="BG12" s="71"/>
      <c r="BH12" s="71"/>
      <c r="BI12" s="34"/>
    </row>
    <row r="13" spans="1:61" ht="15" customHeight="1">
      <c r="A13" s="72"/>
      <c r="B13" s="73"/>
      <c r="C13" s="73"/>
      <c r="D13" s="73"/>
      <c r="E13" s="72"/>
      <c r="F13" s="73"/>
      <c r="G13" s="73"/>
      <c r="H13" s="37"/>
      <c r="Q13" s="37"/>
      <c r="T13" s="35"/>
      <c r="U13" s="399"/>
      <c r="V13" s="400"/>
      <c r="W13" s="399"/>
      <c r="X13" s="400"/>
      <c r="BB13" s="37"/>
      <c r="BI13" s="35"/>
    </row>
    <row r="14" spans="1:61" ht="15" customHeight="1" thickBot="1">
      <c r="A14" s="72"/>
      <c r="B14" s="73"/>
      <c r="C14" s="73"/>
      <c r="D14" s="73"/>
      <c r="E14" s="72"/>
      <c r="F14" s="73"/>
      <c r="G14" s="73"/>
      <c r="H14" s="50"/>
      <c r="I14" s="51"/>
      <c r="J14" s="51"/>
      <c r="K14" s="51"/>
      <c r="L14" s="51"/>
      <c r="M14" s="51"/>
      <c r="N14" s="51"/>
      <c r="O14" s="51"/>
      <c r="P14" s="51"/>
      <c r="Q14" s="50"/>
      <c r="R14" s="51"/>
      <c r="S14" s="51"/>
      <c r="T14" s="54"/>
      <c r="U14" s="405"/>
      <c r="V14" s="406"/>
      <c r="W14" s="405"/>
      <c r="X14" s="406"/>
      <c r="Y14" s="51"/>
      <c r="Z14" s="51"/>
      <c r="AA14" s="51"/>
      <c r="AB14" s="51"/>
      <c r="AC14" s="51"/>
      <c r="AD14" s="51"/>
      <c r="AE14" s="51"/>
      <c r="AF14" s="51"/>
      <c r="AG14" s="51"/>
      <c r="AH14" s="51"/>
      <c r="AI14" s="51"/>
      <c r="AJ14" s="51"/>
      <c r="AK14" s="51"/>
      <c r="AL14" s="51"/>
      <c r="AM14" s="51"/>
      <c r="AN14" s="51"/>
      <c r="AO14" s="51"/>
      <c r="AP14" s="51"/>
      <c r="AQ14" s="51"/>
      <c r="AR14" s="51"/>
      <c r="AS14" s="51"/>
      <c r="AT14" s="51"/>
      <c r="AU14" s="51"/>
      <c r="AV14" s="51"/>
      <c r="AW14" s="51"/>
      <c r="AX14" s="51"/>
      <c r="AY14" s="51"/>
      <c r="AZ14" s="51"/>
      <c r="BA14" s="51"/>
      <c r="BB14" s="50"/>
      <c r="BC14" s="51"/>
      <c r="BD14" s="51"/>
      <c r="BE14" s="51"/>
      <c r="BF14" s="51"/>
      <c r="BG14" s="51"/>
      <c r="BH14" s="51"/>
      <c r="BI14" s="54"/>
    </row>
    <row r="15" spans="1:61" ht="15" customHeight="1">
      <c r="A15" s="72"/>
      <c r="B15" s="73"/>
      <c r="C15" s="73"/>
      <c r="D15" s="73"/>
      <c r="E15" s="72"/>
      <c r="F15" s="73"/>
      <c r="G15" s="73"/>
      <c r="H15" s="37"/>
      <c r="Q15" s="37"/>
      <c r="T15" s="35"/>
      <c r="U15" s="399"/>
      <c r="V15" s="400"/>
      <c r="W15" s="399"/>
      <c r="X15" s="400"/>
      <c r="BB15" s="37"/>
      <c r="BI15" s="35"/>
    </row>
    <row r="16" spans="1:61" ht="15" customHeight="1">
      <c r="A16" s="72"/>
      <c r="B16" s="73"/>
      <c r="C16" s="73"/>
      <c r="D16" s="73"/>
      <c r="E16" s="72"/>
      <c r="F16" s="73"/>
      <c r="G16" s="73"/>
      <c r="H16" s="37"/>
      <c r="Q16" s="37"/>
      <c r="T16" s="35"/>
      <c r="U16" s="399"/>
      <c r="V16" s="400"/>
      <c r="W16" s="399"/>
      <c r="X16" s="400"/>
      <c r="BB16" s="37"/>
      <c r="BI16" s="35"/>
    </row>
    <row r="17" spans="1:61" ht="15" customHeight="1" thickBot="1">
      <c r="A17" s="72"/>
      <c r="B17" s="73"/>
      <c r="C17" s="73"/>
      <c r="D17" s="73"/>
      <c r="E17" s="72"/>
      <c r="F17" s="73"/>
      <c r="G17" s="73"/>
      <c r="H17" s="50"/>
      <c r="I17" s="51"/>
      <c r="J17" s="51"/>
      <c r="K17" s="51"/>
      <c r="L17" s="51"/>
      <c r="M17" s="51"/>
      <c r="N17" s="51"/>
      <c r="O17" s="51"/>
      <c r="P17" s="51"/>
      <c r="Q17" s="50"/>
      <c r="R17" s="51"/>
      <c r="S17" s="51"/>
      <c r="T17" s="54"/>
      <c r="U17" s="405"/>
      <c r="V17" s="406"/>
      <c r="W17" s="405"/>
      <c r="X17" s="406"/>
      <c r="Y17" s="51"/>
      <c r="Z17" s="51"/>
      <c r="AA17" s="51"/>
      <c r="AB17" s="51"/>
      <c r="AC17" s="51"/>
      <c r="AD17" s="51"/>
      <c r="AE17" s="51"/>
      <c r="AF17" s="51"/>
      <c r="AG17" s="51"/>
      <c r="AH17" s="51"/>
      <c r="AI17" s="51"/>
      <c r="AJ17" s="51"/>
      <c r="AK17" s="51"/>
      <c r="AL17" s="51"/>
      <c r="AM17" s="51"/>
      <c r="AN17" s="51"/>
      <c r="AO17" s="51"/>
      <c r="AP17" s="51"/>
      <c r="AQ17" s="51"/>
      <c r="AR17" s="51"/>
      <c r="AS17" s="51"/>
      <c r="AT17" s="51"/>
      <c r="AU17" s="51"/>
      <c r="AV17" s="51"/>
      <c r="AW17" s="51"/>
      <c r="AX17" s="51"/>
      <c r="AY17" s="51"/>
      <c r="AZ17" s="51"/>
      <c r="BA17" s="51"/>
      <c r="BB17" s="50"/>
      <c r="BC17" s="51"/>
      <c r="BD17" s="51"/>
      <c r="BE17" s="51"/>
      <c r="BF17" s="51"/>
      <c r="BG17" s="51"/>
      <c r="BH17" s="51"/>
      <c r="BI17" s="54"/>
    </row>
    <row r="18" spans="1:61" ht="15" customHeight="1">
      <c r="A18" s="72"/>
      <c r="B18" s="73"/>
      <c r="C18" s="73"/>
      <c r="D18" s="73"/>
      <c r="E18" s="72"/>
      <c r="F18" s="73"/>
      <c r="G18" s="73"/>
      <c r="H18" s="37"/>
      <c r="Q18" s="37"/>
      <c r="T18" s="35"/>
      <c r="U18" s="399"/>
      <c r="V18" s="400"/>
      <c r="W18" s="399"/>
      <c r="X18" s="400"/>
      <c r="BB18" s="37"/>
      <c r="BI18" s="35"/>
    </row>
    <row r="19" spans="1:61" ht="15" customHeight="1">
      <c r="A19" s="72"/>
      <c r="B19" s="73"/>
      <c r="C19" s="73"/>
      <c r="D19" s="73"/>
      <c r="E19" s="72"/>
      <c r="F19" s="73"/>
      <c r="G19" s="73"/>
      <c r="H19" s="37"/>
      <c r="Q19" s="37"/>
      <c r="T19" s="35"/>
      <c r="U19" s="399"/>
      <c r="V19" s="400"/>
      <c r="W19" s="399"/>
      <c r="X19" s="400"/>
      <c r="BB19" s="37"/>
      <c r="BI19" s="35"/>
    </row>
    <row r="20" spans="1:61" ht="15" customHeight="1" thickBot="1">
      <c r="A20" s="72"/>
      <c r="B20" s="73"/>
      <c r="C20" s="73"/>
      <c r="D20" s="73"/>
      <c r="E20" s="72"/>
      <c r="F20" s="73"/>
      <c r="G20" s="73"/>
      <c r="H20" s="50"/>
      <c r="I20" s="51"/>
      <c r="J20" s="51"/>
      <c r="K20" s="51"/>
      <c r="L20" s="51"/>
      <c r="M20" s="51"/>
      <c r="N20" s="51"/>
      <c r="O20" s="51"/>
      <c r="P20" s="51"/>
      <c r="Q20" s="50"/>
      <c r="R20" s="51"/>
      <c r="S20" s="51"/>
      <c r="T20" s="54"/>
      <c r="U20" s="405"/>
      <c r="V20" s="406"/>
      <c r="W20" s="405"/>
      <c r="X20" s="406"/>
      <c r="Y20" s="51"/>
      <c r="Z20" s="51"/>
      <c r="AA20" s="51"/>
      <c r="AB20" s="51"/>
      <c r="AC20" s="51"/>
      <c r="AD20" s="51"/>
      <c r="AE20" s="51"/>
      <c r="AF20" s="51"/>
      <c r="AG20" s="51"/>
      <c r="AH20" s="51"/>
      <c r="AI20" s="51"/>
      <c r="AJ20" s="51"/>
      <c r="AK20" s="51"/>
      <c r="AL20" s="51"/>
      <c r="AM20" s="51"/>
      <c r="AN20" s="51"/>
      <c r="AO20" s="51"/>
      <c r="AP20" s="51"/>
      <c r="AQ20" s="51"/>
      <c r="AR20" s="51"/>
      <c r="AS20" s="51"/>
      <c r="AT20" s="51"/>
      <c r="AU20" s="51"/>
      <c r="AV20" s="51"/>
      <c r="AW20" s="51"/>
      <c r="AX20" s="51"/>
      <c r="AY20" s="51"/>
      <c r="AZ20" s="51"/>
      <c r="BA20" s="51"/>
      <c r="BB20" s="50"/>
      <c r="BC20" s="51"/>
      <c r="BD20" s="51"/>
      <c r="BE20" s="51"/>
      <c r="BF20" s="51"/>
      <c r="BG20" s="51"/>
      <c r="BH20" s="51"/>
      <c r="BI20" s="54"/>
    </row>
    <row r="21" spans="1:61" ht="15" customHeight="1">
      <c r="A21" s="72"/>
      <c r="B21" s="73"/>
      <c r="C21" s="73"/>
      <c r="D21" s="73"/>
      <c r="E21" s="72"/>
      <c r="F21" s="73"/>
      <c r="G21" s="73"/>
      <c r="H21" s="37"/>
      <c r="Q21" s="37"/>
      <c r="T21" s="35"/>
      <c r="U21" s="399"/>
      <c r="V21" s="400"/>
      <c r="W21" s="399"/>
      <c r="X21" s="400"/>
      <c r="BB21" s="37"/>
      <c r="BI21" s="35"/>
    </row>
    <row r="22" spans="1:61" ht="15" customHeight="1">
      <c r="A22" s="72"/>
      <c r="B22" s="73"/>
      <c r="C22" s="73"/>
      <c r="D22" s="73"/>
      <c r="E22" s="72"/>
      <c r="F22" s="73"/>
      <c r="G22" s="73"/>
      <c r="H22" s="37"/>
      <c r="Q22" s="37"/>
      <c r="T22" s="35"/>
      <c r="U22" s="399"/>
      <c r="V22" s="400"/>
      <c r="W22" s="399"/>
      <c r="X22" s="400"/>
      <c r="BB22" s="37"/>
      <c r="BI22" s="35"/>
    </row>
    <row r="23" spans="1:61" ht="15" customHeight="1" thickBot="1">
      <c r="A23" s="72"/>
      <c r="B23" s="73"/>
      <c r="C23" s="73"/>
      <c r="D23" s="73"/>
      <c r="E23" s="72"/>
      <c r="F23" s="73"/>
      <c r="G23" s="73"/>
      <c r="H23" s="50"/>
      <c r="I23" s="51"/>
      <c r="J23" s="51"/>
      <c r="K23" s="51"/>
      <c r="L23" s="51"/>
      <c r="M23" s="51"/>
      <c r="N23" s="51"/>
      <c r="O23" s="51"/>
      <c r="P23" s="51"/>
      <c r="Q23" s="50"/>
      <c r="R23" s="51"/>
      <c r="S23" s="51"/>
      <c r="T23" s="54"/>
      <c r="U23" s="405"/>
      <c r="V23" s="406"/>
      <c r="W23" s="405"/>
      <c r="X23" s="406"/>
      <c r="Y23" s="51"/>
      <c r="Z23" s="51"/>
      <c r="AA23" s="51"/>
      <c r="AB23" s="51"/>
      <c r="AC23" s="51"/>
      <c r="AD23" s="51"/>
      <c r="AE23" s="51"/>
      <c r="AF23" s="51"/>
      <c r="AG23" s="51"/>
      <c r="AH23" s="51"/>
      <c r="AI23" s="51"/>
      <c r="AJ23" s="51"/>
      <c r="AK23" s="51"/>
      <c r="AL23" s="51"/>
      <c r="AM23" s="51"/>
      <c r="AN23" s="51"/>
      <c r="AO23" s="51"/>
      <c r="AP23" s="51"/>
      <c r="AQ23" s="51"/>
      <c r="AR23" s="51"/>
      <c r="AS23" s="51"/>
      <c r="AT23" s="51"/>
      <c r="AU23" s="51"/>
      <c r="AV23" s="51"/>
      <c r="AW23" s="51"/>
      <c r="AX23" s="51"/>
      <c r="AY23" s="51"/>
      <c r="AZ23" s="51"/>
      <c r="BA23" s="51"/>
      <c r="BB23" s="50"/>
      <c r="BC23" s="51"/>
      <c r="BD23" s="51"/>
      <c r="BE23" s="51"/>
      <c r="BF23" s="51"/>
      <c r="BG23" s="51"/>
      <c r="BH23" s="51"/>
      <c r="BI23" s="54"/>
    </row>
    <row r="24" spans="1:61" ht="15" customHeight="1">
      <c r="A24" s="72"/>
      <c r="B24" s="73"/>
      <c r="C24" s="73"/>
      <c r="D24" s="73"/>
      <c r="E24" s="72"/>
      <c r="F24" s="73"/>
      <c r="G24" s="73"/>
      <c r="H24" s="37"/>
      <c r="Q24" s="37"/>
      <c r="T24" s="35"/>
      <c r="U24" s="399"/>
      <c r="V24" s="400"/>
      <c r="W24" s="399"/>
      <c r="X24" s="400"/>
      <c r="BB24" s="37"/>
      <c r="BI24" s="35"/>
    </row>
    <row r="25" spans="1:61" ht="15" customHeight="1">
      <c r="A25" s="72"/>
      <c r="B25" s="73"/>
      <c r="C25" s="73"/>
      <c r="D25" s="73"/>
      <c r="E25" s="72"/>
      <c r="F25" s="73"/>
      <c r="G25" s="73"/>
      <c r="H25" s="37"/>
      <c r="Q25" s="37"/>
      <c r="T25" s="35"/>
      <c r="U25" s="399"/>
      <c r="V25" s="400"/>
      <c r="W25" s="399"/>
      <c r="X25" s="400"/>
      <c r="BB25" s="37"/>
      <c r="BI25" s="35"/>
    </row>
    <row r="26" spans="1:61" ht="15" customHeight="1" thickBot="1">
      <c r="A26" s="72"/>
      <c r="B26" s="73"/>
      <c r="C26" s="73"/>
      <c r="D26" s="73"/>
      <c r="E26" s="72"/>
      <c r="F26" s="73"/>
      <c r="G26" s="73"/>
      <c r="H26" s="50"/>
      <c r="I26" s="51"/>
      <c r="J26" s="51"/>
      <c r="K26" s="51"/>
      <c r="L26" s="51"/>
      <c r="M26" s="51"/>
      <c r="N26" s="51"/>
      <c r="O26" s="51"/>
      <c r="P26" s="51"/>
      <c r="Q26" s="50"/>
      <c r="R26" s="51"/>
      <c r="S26" s="51"/>
      <c r="T26" s="54"/>
      <c r="U26" s="405"/>
      <c r="V26" s="406"/>
      <c r="W26" s="405"/>
      <c r="X26" s="406"/>
      <c r="Y26" s="51"/>
      <c r="Z26" s="51"/>
      <c r="AA26" s="51"/>
      <c r="AB26" s="51"/>
      <c r="AC26" s="51"/>
      <c r="AD26" s="51"/>
      <c r="AE26" s="51"/>
      <c r="AF26" s="51"/>
      <c r="AG26" s="51"/>
      <c r="AH26" s="51"/>
      <c r="AI26" s="51"/>
      <c r="AJ26" s="51"/>
      <c r="AK26" s="51"/>
      <c r="AL26" s="51"/>
      <c r="AM26" s="51"/>
      <c r="AN26" s="51"/>
      <c r="AO26" s="51"/>
      <c r="AP26" s="51"/>
      <c r="AQ26" s="51"/>
      <c r="AR26" s="51"/>
      <c r="AS26" s="51"/>
      <c r="AT26" s="51"/>
      <c r="AU26" s="51"/>
      <c r="AV26" s="51"/>
      <c r="AW26" s="51"/>
      <c r="AX26" s="51"/>
      <c r="AY26" s="51"/>
      <c r="AZ26" s="51"/>
      <c r="BA26" s="51"/>
      <c r="BB26" s="50"/>
      <c r="BC26" s="51"/>
      <c r="BD26" s="51"/>
      <c r="BE26" s="51"/>
      <c r="BF26" s="51"/>
      <c r="BG26" s="51"/>
      <c r="BH26" s="51"/>
      <c r="BI26" s="54"/>
    </row>
    <row r="27" spans="1:61" ht="15" customHeight="1">
      <c r="A27" s="72"/>
      <c r="B27" s="73"/>
      <c r="C27" s="73"/>
      <c r="D27" s="73"/>
      <c r="E27" s="72"/>
      <c r="F27" s="73"/>
      <c r="G27" s="73"/>
      <c r="H27" s="37"/>
      <c r="Q27" s="37"/>
      <c r="T27" s="35"/>
      <c r="U27" s="399"/>
      <c r="V27" s="400"/>
      <c r="W27" s="399"/>
      <c r="X27" s="400"/>
      <c r="BB27" s="37"/>
      <c r="BI27" s="35"/>
    </row>
    <row r="28" spans="1:61" ht="15" customHeight="1">
      <c r="A28" s="72"/>
      <c r="B28" s="73"/>
      <c r="C28" s="73"/>
      <c r="D28" s="73"/>
      <c r="E28" s="72"/>
      <c r="F28" s="73"/>
      <c r="G28" s="73"/>
      <c r="H28" s="37"/>
      <c r="Q28" s="37"/>
      <c r="T28" s="35"/>
      <c r="U28" s="399"/>
      <c r="V28" s="400"/>
      <c r="W28" s="399"/>
      <c r="X28" s="400"/>
      <c r="BB28" s="37"/>
      <c r="BI28" s="35"/>
    </row>
    <row r="29" spans="1:61" ht="15" customHeight="1" thickBot="1">
      <c r="A29" s="72"/>
      <c r="B29" s="73"/>
      <c r="C29" s="73"/>
      <c r="D29" s="73"/>
      <c r="E29" s="72"/>
      <c r="F29" s="73"/>
      <c r="G29" s="73"/>
      <c r="H29" s="50"/>
      <c r="I29" s="51"/>
      <c r="J29" s="51"/>
      <c r="K29" s="51"/>
      <c r="L29" s="51"/>
      <c r="M29" s="51"/>
      <c r="N29" s="51"/>
      <c r="O29" s="51"/>
      <c r="P29" s="51"/>
      <c r="Q29" s="50"/>
      <c r="R29" s="51"/>
      <c r="S29" s="51"/>
      <c r="T29" s="54"/>
      <c r="U29" s="405"/>
      <c r="V29" s="406"/>
      <c r="W29" s="405"/>
      <c r="X29" s="406"/>
      <c r="Y29" s="51"/>
      <c r="Z29" s="51"/>
      <c r="AA29" s="51"/>
      <c r="AB29" s="51"/>
      <c r="AC29" s="51"/>
      <c r="AD29" s="51"/>
      <c r="AE29" s="51"/>
      <c r="AF29" s="51"/>
      <c r="AG29" s="51"/>
      <c r="AH29" s="51"/>
      <c r="AI29" s="51"/>
      <c r="AJ29" s="51"/>
      <c r="AK29" s="51"/>
      <c r="AL29" s="51"/>
      <c r="AM29" s="51"/>
      <c r="AN29" s="51"/>
      <c r="AO29" s="51"/>
      <c r="AP29" s="51"/>
      <c r="AQ29" s="51"/>
      <c r="AR29" s="51"/>
      <c r="AS29" s="51"/>
      <c r="AT29" s="51"/>
      <c r="AU29" s="51"/>
      <c r="AV29" s="51"/>
      <c r="AW29" s="51"/>
      <c r="AX29" s="51"/>
      <c r="AY29" s="51"/>
      <c r="AZ29" s="51"/>
      <c r="BA29" s="51"/>
      <c r="BB29" s="50"/>
      <c r="BC29" s="51"/>
      <c r="BD29" s="51"/>
      <c r="BE29" s="51"/>
      <c r="BF29" s="51"/>
      <c r="BG29" s="51"/>
      <c r="BH29" s="51"/>
      <c r="BI29" s="54"/>
    </row>
    <row r="30" spans="1:61" ht="15" customHeight="1">
      <c r="A30" s="72"/>
      <c r="B30" s="73"/>
      <c r="C30" s="73"/>
      <c r="D30" s="73"/>
      <c r="E30" s="72"/>
      <c r="F30" s="73"/>
      <c r="G30" s="73"/>
      <c r="H30" s="37"/>
      <c r="Q30" s="37"/>
      <c r="T30" s="35"/>
      <c r="U30" s="399"/>
      <c r="V30" s="400"/>
      <c r="W30" s="399"/>
      <c r="X30" s="400"/>
      <c r="BB30" s="37"/>
      <c r="BI30" s="35"/>
    </row>
    <row r="31" spans="1:61" ht="15" customHeight="1">
      <c r="A31" s="72"/>
      <c r="B31" s="73"/>
      <c r="C31" s="73"/>
      <c r="D31" s="73"/>
      <c r="E31" s="72"/>
      <c r="F31" s="73"/>
      <c r="G31" s="73"/>
      <c r="H31" s="37"/>
      <c r="Q31" s="37"/>
      <c r="T31" s="35"/>
      <c r="U31" s="399"/>
      <c r="V31" s="400"/>
      <c r="W31" s="399"/>
      <c r="X31" s="400"/>
      <c r="BB31" s="37"/>
      <c r="BI31" s="35"/>
    </row>
    <row r="32" spans="1:61" ht="15" customHeight="1" thickBot="1">
      <c r="A32" s="72"/>
      <c r="B32" s="73"/>
      <c r="C32" s="73"/>
      <c r="D32" s="73"/>
      <c r="E32" s="72"/>
      <c r="F32" s="73"/>
      <c r="G32" s="73"/>
      <c r="H32" s="50"/>
      <c r="I32" s="51"/>
      <c r="J32" s="51"/>
      <c r="K32" s="51"/>
      <c r="L32" s="51"/>
      <c r="M32" s="51"/>
      <c r="N32" s="51"/>
      <c r="O32" s="51"/>
      <c r="P32" s="51"/>
      <c r="Q32" s="50"/>
      <c r="R32" s="51"/>
      <c r="S32" s="51"/>
      <c r="T32" s="54"/>
      <c r="U32" s="405"/>
      <c r="V32" s="406"/>
      <c r="W32" s="405"/>
      <c r="X32" s="406"/>
      <c r="Y32" s="51"/>
      <c r="Z32" s="51"/>
      <c r="AA32" s="51"/>
      <c r="AB32" s="51"/>
      <c r="AC32" s="51"/>
      <c r="AD32" s="51"/>
      <c r="AE32" s="51"/>
      <c r="AF32" s="51"/>
      <c r="AG32" s="51"/>
      <c r="AH32" s="51"/>
      <c r="AI32" s="51"/>
      <c r="AJ32" s="51"/>
      <c r="AK32" s="51"/>
      <c r="AL32" s="51"/>
      <c r="AM32" s="51"/>
      <c r="AN32" s="51"/>
      <c r="AO32" s="51"/>
      <c r="AP32" s="51"/>
      <c r="AQ32" s="51"/>
      <c r="AR32" s="51"/>
      <c r="AS32" s="51"/>
      <c r="AT32" s="51"/>
      <c r="AU32" s="51"/>
      <c r="AV32" s="51"/>
      <c r="AW32" s="51"/>
      <c r="AX32" s="51"/>
      <c r="AY32" s="51"/>
      <c r="AZ32" s="51"/>
      <c r="BA32" s="51"/>
      <c r="BB32" s="50"/>
      <c r="BC32" s="51"/>
      <c r="BD32" s="51"/>
      <c r="BE32" s="51"/>
      <c r="BF32" s="51"/>
      <c r="BG32" s="51"/>
      <c r="BH32" s="51"/>
      <c r="BI32" s="54"/>
    </row>
    <row r="33" spans="1:61" ht="15" customHeight="1">
      <c r="A33" s="72"/>
      <c r="B33" s="73"/>
      <c r="C33" s="73"/>
      <c r="D33" s="73"/>
      <c r="E33" s="72"/>
      <c r="F33" s="73"/>
      <c r="G33" s="73"/>
      <c r="H33" s="37"/>
      <c r="Q33" s="37"/>
      <c r="T33" s="35"/>
      <c r="U33" s="399"/>
      <c r="V33" s="400"/>
      <c r="W33" s="399"/>
      <c r="X33" s="400"/>
      <c r="BB33" s="37"/>
      <c r="BI33" s="35"/>
    </row>
    <row r="34" spans="1:61" ht="15" customHeight="1">
      <c r="A34" s="72"/>
      <c r="B34" s="73"/>
      <c r="C34" s="73"/>
      <c r="D34" s="73"/>
      <c r="E34" s="72"/>
      <c r="F34" s="73"/>
      <c r="G34" s="73"/>
      <c r="H34" s="37"/>
      <c r="Q34" s="37"/>
      <c r="T34" s="35"/>
      <c r="U34" s="399"/>
      <c r="V34" s="400"/>
      <c r="W34" s="399"/>
      <c r="X34" s="400"/>
      <c r="BB34" s="37"/>
      <c r="BI34" s="35"/>
    </row>
    <row r="35" spans="1:61" ht="15" customHeight="1" thickBot="1">
      <c r="A35" s="72"/>
      <c r="B35" s="73"/>
      <c r="C35" s="73"/>
      <c r="D35" s="73"/>
      <c r="E35" s="72"/>
      <c r="F35" s="73"/>
      <c r="G35" s="73"/>
      <c r="H35" s="50"/>
      <c r="I35" s="51"/>
      <c r="J35" s="51"/>
      <c r="K35" s="51"/>
      <c r="L35" s="51"/>
      <c r="M35" s="51"/>
      <c r="N35" s="51"/>
      <c r="O35" s="51"/>
      <c r="P35" s="51"/>
      <c r="Q35" s="50"/>
      <c r="R35" s="51"/>
      <c r="S35" s="51"/>
      <c r="T35" s="54"/>
      <c r="U35" s="405"/>
      <c r="V35" s="406"/>
      <c r="W35" s="405"/>
      <c r="X35" s="406"/>
      <c r="Y35" s="51"/>
      <c r="Z35" s="51"/>
      <c r="AA35" s="51"/>
      <c r="AB35" s="51"/>
      <c r="AC35" s="51"/>
      <c r="AD35" s="51"/>
      <c r="AE35" s="51"/>
      <c r="AF35" s="51"/>
      <c r="AG35" s="51"/>
      <c r="AH35" s="51"/>
      <c r="AI35" s="51"/>
      <c r="AJ35" s="51"/>
      <c r="AK35" s="51"/>
      <c r="AL35" s="51"/>
      <c r="AM35" s="51"/>
      <c r="AN35" s="51"/>
      <c r="AO35" s="51"/>
      <c r="AP35" s="51"/>
      <c r="AQ35" s="51"/>
      <c r="AR35" s="51"/>
      <c r="AS35" s="51"/>
      <c r="AT35" s="51"/>
      <c r="AU35" s="51"/>
      <c r="AV35" s="51"/>
      <c r="AW35" s="51"/>
      <c r="AX35" s="51"/>
      <c r="AY35" s="51"/>
      <c r="AZ35" s="51"/>
      <c r="BA35" s="51"/>
      <c r="BB35" s="50"/>
      <c r="BC35" s="51"/>
      <c r="BD35" s="51"/>
      <c r="BE35" s="51"/>
      <c r="BF35" s="51"/>
      <c r="BG35" s="51"/>
      <c r="BH35" s="51"/>
      <c r="BI35" s="54"/>
    </row>
    <row r="36" spans="1:61" ht="15" customHeight="1">
      <c r="A36" s="72"/>
      <c r="B36" s="73"/>
      <c r="C36" s="73"/>
      <c r="D36" s="73"/>
      <c r="E36" s="72"/>
      <c r="F36" s="73"/>
      <c r="G36" s="73"/>
      <c r="H36" s="37"/>
      <c r="Q36" s="37"/>
      <c r="T36" s="35"/>
      <c r="U36" s="78"/>
      <c r="V36" s="79"/>
      <c r="W36" s="78"/>
      <c r="X36" s="79"/>
      <c r="BB36" s="37"/>
      <c r="BI36" s="35"/>
    </row>
    <row r="37" spans="1:61" ht="15" customHeight="1">
      <c r="A37" s="72"/>
      <c r="B37" s="73"/>
      <c r="C37" s="73"/>
      <c r="D37" s="73"/>
      <c r="E37" s="72"/>
      <c r="F37" s="73"/>
      <c r="G37" s="73"/>
      <c r="H37" s="37"/>
      <c r="Q37" s="37"/>
      <c r="T37" s="35"/>
      <c r="U37" s="399"/>
      <c r="V37" s="400"/>
      <c r="W37" s="399"/>
      <c r="X37" s="400"/>
      <c r="BB37" s="37"/>
      <c r="BI37" s="35"/>
    </row>
    <row r="38" spans="1:61" ht="15" customHeight="1" thickBot="1">
      <c r="A38" s="80"/>
      <c r="B38" s="81"/>
      <c r="C38" s="81"/>
      <c r="D38" s="81"/>
      <c r="E38" s="80"/>
      <c r="F38" s="81"/>
      <c r="G38" s="81"/>
      <c r="H38" s="50"/>
      <c r="I38" s="51"/>
      <c r="J38" s="51"/>
      <c r="K38" s="51"/>
      <c r="L38" s="51"/>
      <c r="M38" s="51"/>
      <c r="N38" s="51"/>
      <c r="O38" s="51"/>
      <c r="P38" s="51"/>
      <c r="Q38" s="50"/>
      <c r="R38" s="51"/>
      <c r="S38" s="51"/>
      <c r="T38" s="54"/>
      <c r="U38" s="405"/>
      <c r="V38" s="406"/>
      <c r="W38" s="405"/>
      <c r="X38" s="406"/>
      <c r="Y38" s="51"/>
      <c r="Z38" s="51"/>
      <c r="AA38" s="51"/>
      <c r="AB38" s="51"/>
      <c r="AC38" s="51"/>
      <c r="AD38" s="51"/>
      <c r="AE38" s="51"/>
      <c r="AF38" s="51"/>
      <c r="AG38" s="51"/>
      <c r="AH38" s="51"/>
      <c r="AI38" s="51"/>
      <c r="AJ38" s="51"/>
      <c r="AK38" s="51"/>
      <c r="AL38" s="51"/>
      <c r="AM38" s="51"/>
      <c r="AN38" s="51"/>
      <c r="AO38" s="51"/>
      <c r="AP38" s="51"/>
      <c r="AQ38" s="51"/>
      <c r="AR38" s="51"/>
      <c r="AS38" s="51"/>
      <c r="AT38" s="51"/>
      <c r="AU38" s="51"/>
      <c r="AV38" s="51"/>
      <c r="AW38" s="51"/>
      <c r="AX38" s="51"/>
      <c r="AY38" s="51"/>
      <c r="AZ38" s="51"/>
      <c r="BA38" s="51"/>
      <c r="BB38" s="50"/>
      <c r="BC38" s="51"/>
      <c r="BD38" s="51"/>
      <c r="BE38" s="51"/>
      <c r="BF38" s="51"/>
      <c r="BG38" s="51"/>
      <c r="BH38" s="51"/>
      <c r="BI38" s="54"/>
    </row>
  </sheetData>
  <mergeCells count="88">
    <mergeCell ref="U33:V33"/>
    <mergeCell ref="W33:X33"/>
    <mergeCell ref="U34:V34"/>
    <mergeCell ref="W34:X34"/>
    <mergeCell ref="U35:V35"/>
    <mergeCell ref="W35:X35"/>
    <mergeCell ref="U30:V30"/>
    <mergeCell ref="W30:X30"/>
    <mergeCell ref="U31:V31"/>
    <mergeCell ref="W31:X31"/>
    <mergeCell ref="U32:V32"/>
    <mergeCell ref="W32:X32"/>
    <mergeCell ref="U27:V27"/>
    <mergeCell ref="W27:X27"/>
    <mergeCell ref="U28:V28"/>
    <mergeCell ref="W28:X28"/>
    <mergeCell ref="U29:V29"/>
    <mergeCell ref="W29:X29"/>
    <mergeCell ref="U25:V25"/>
    <mergeCell ref="W25:X25"/>
    <mergeCell ref="U26:V26"/>
    <mergeCell ref="W26:X26"/>
    <mergeCell ref="U21:V21"/>
    <mergeCell ref="W21:X21"/>
    <mergeCell ref="U22:V22"/>
    <mergeCell ref="W22:X22"/>
    <mergeCell ref="U23:V23"/>
    <mergeCell ref="W23:X23"/>
    <mergeCell ref="W24:X24"/>
    <mergeCell ref="W38:X38"/>
    <mergeCell ref="Y5:BA5"/>
    <mergeCell ref="W18:X18"/>
    <mergeCell ref="W19:X19"/>
    <mergeCell ref="W20:X20"/>
    <mergeCell ref="W14:X14"/>
    <mergeCell ref="W15:X15"/>
    <mergeCell ref="W16:X16"/>
    <mergeCell ref="W17:X17"/>
    <mergeCell ref="W10:X10"/>
    <mergeCell ref="W11:X11"/>
    <mergeCell ref="W12:X12"/>
    <mergeCell ref="W13:X13"/>
    <mergeCell ref="U20:V20"/>
    <mergeCell ref="U24:V24"/>
    <mergeCell ref="U37:V37"/>
    <mergeCell ref="U38:V38"/>
    <mergeCell ref="W5:X5"/>
    <mergeCell ref="W6:X6"/>
    <mergeCell ref="W7:X7"/>
    <mergeCell ref="W8:X8"/>
    <mergeCell ref="U18:V18"/>
    <mergeCell ref="U19:V19"/>
    <mergeCell ref="U14:V14"/>
    <mergeCell ref="U15:V15"/>
    <mergeCell ref="U16:V16"/>
    <mergeCell ref="U17:V17"/>
    <mergeCell ref="U9:V9"/>
    <mergeCell ref="W37:X37"/>
    <mergeCell ref="U10:V10"/>
    <mergeCell ref="U11:V11"/>
    <mergeCell ref="U12:V12"/>
    <mergeCell ref="U13:V13"/>
    <mergeCell ref="BB5:BI5"/>
    <mergeCell ref="U6:V6"/>
    <mergeCell ref="U7:V7"/>
    <mergeCell ref="U8:V8"/>
    <mergeCell ref="Q5:T5"/>
    <mergeCell ref="U5:V5"/>
    <mergeCell ref="A4:H4"/>
    <mergeCell ref="H5:P5"/>
    <mergeCell ref="AE1:AS1"/>
    <mergeCell ref="A1:E3"/>
    <mergeCell ref="A5:G5"/>
    <mergeCell ref="AT1:BA1"/>
    <mergeCell ref="BB1:BI1"/>
    <mergeCell ref="F2:P3"/>
    <mergeCell ref="Q2:V3"/>
    <mergeCell ref="W2:AD3"/>
    <mergeCell ref="AE2:AS3"/>
    <mergeCell ref="AT2:AU2"/>
    <mergeCell ref="AV2:BA2"/>
    <mergeCell ref="BB2:BI2"/>
    <mergeCell ref="AT3:AU3"/>
    <mergeCell ref="AV3:BA3"/>
    <mergeCell ref="BB3:BI3"/>
    <mergeCell ref="F1:P1"/>
    <mergeCell ref="Q1:V1"/>
    <mergeCell ref="W1:AD1"/>
  </mergeCells>
  <phoneticPr fontId="2"/>
  <printOptions horizontalCentered="1"/>
  <pageMargins left="0.23622047244094491" right="0.23622047244094491" top="0.74803149606299213" bottom="0.74803149606299213" header="0.31496062992125984" footer="0.31496062992125984"/>
  <pageSetup paperSize="9" scale="85" orientation="landscape"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EEF63A-F82F-4DF1-B27C-5BB42FE71799}">
  <sheetPr>
    <tabColor theme="0" tint="-0.499984740745262"/>
  </sheetPr>
  <dimension ref="A1:BI38"/>
  <sheetViews>
    <sheetView showGridLines="0" zoomScaleNormal="100" workbookViewId="0">
      <selection sqref="A1:E3"/>
    </sheetView>
  </sheetViews>
  <sheetFormatPr defaultColWidth="2.5" defaultRowHeight="15" customHeight="1"/>
  <cols>
    <col min="1" max="16384" width="2.5" style="1"/>
  </cols>
  <sheetData>
    <row r="1" spans="1:61" ht="15" customHeight="1" thickBot="1">
      <c r="A1" s="294" t="s">
        <v>32</v>
      </c>
      <c r="B1" s="295"/>
      <c r="C1" s="295"/>
      <c r="D1" s="295"/>
      <c r="E1" s="296"/>
      <c r="F1" s="303" t="str">
        <f>変更履歴!F1</f>
        <v>システム名</v>
      </c>
      <c r="G1" s="304"/>
      <c r="H1" s="304"/>
      <c r="I1" s="304"/>
      <c r="J1" s="304"/>
      <c r="K1" s="304"/>
      <c r="L1" s="304"/>
      <c r="M1" s="304"/>
      <c r="N1" s="304"/>
      <c r="O1" s="304"/>
      <c r="P1" s="305"/>
      <c r="Q1" s="306" t="str">
        <f>変更履歴!Q1</f>
        <v>機能分類</v>
      </c>
      <c r="R1" s="307"/>
      <c r="S1" s="307"/>
      <c r="T1" s="307"/>
      <c r="U1" s="307"/>
      <c r="V1" s="308"/>
      <c r="W1" s="303" t="str">
        <f>変更履歴!W1</f>
        <v>機能ＩＤ</v>
      </c>
      <c r="X1" s="304"/>
      <c r="Y1" s="304"/>
      <c r="Z1" s="304"/>
      <c r="AA1" s="304"/>
      <c r="AB1" s="304"/>
      <c r="AC1" s="304"/>
      <c r="AD1" s="305"/>
      <c r="AE1" s="303" t="str">
        <f>変更履歴!AE1</f>
        <v>機能名称</v>
      </c>
      <c r="AF1" s="304"/>
      <c r="AG1" s="304"/>
      <c r="AH1" s="304"/>
      <c r="AI1" s="304"/>
      <c r="AJ1" s="304"/>
      <c r="AK1" s="304"/>
      <c r="AL1" s="304"/>
      <c r="AM1" s="304"/>
      <c r="AN1" s="304"/>
      <c r="AO1" s="304"/>
      <c r="AP1" s="304"/>
      <c r="AQ1" s="304"/>
      <c r="AR1" s="304"/>
      <c r="AS1" s="305"/>
      <c r="AT1" s="309" t="str">
        <f>変更履歴!AT1</f>
        <v>日付</v>
      </c>
      <c r="AU1" s="310"/>
      <c r="AV1" s="310"/>
      <c r="AW1" s="310"/>
      <c r="AX1" s="310"/>
      <c r="AY1" s="310"/>
      <c r="AZ1" s="310"/>
      <c r="BA1" s="311"/>
      <c r="BB1" s="266" t="str">
        <f>変更履歴!BB1</f>
        <v>更新者</v>
      </c>
      <c r="BC1" s="268"/>
      <c r="BD1" s="268"/>
      <c r="BE1" s="268"/>
      <c r="BF1" s="268"/>
      <c r="BG1" s="268"/>
      <c r="BH1" s="268"/>
      <c r="BI1" s="269"/>
    </row>
    <row r="2" spans="1:61" ht="15" customHeight="1">
      <c r="A2" s="297"/>
      <c r="B2" s="298"/>
      <c r="C2" s="298"/>
      <c r="D2" s="298"/>
      <c r="E2" s="299"/>
      <c r="F2" s="270" t="str">
        <f>変更履歴!F2</f>
        <v>Dynamics365 for Finance and Operations</v>
      </c>
      <c r="G2" s="271"/>
      <c r="H2" s="271"/>
      <c r="I2" s="271"/>
      <c r="J2" s="271"/>
      <c r="K2" s="271"/>
      <c r="L2" s="271"/>
      <c r="M2" s="271"/>
      <c r="N2" s="271"/>
      <c r="O2" s="271"/>
      <c r="P2" s="272"/>
      <c r="Q2" s="270" t="str">
        <f>変更履歴!Q2</f>
        <v>システム共通</v>
      </c>
      <c r="R2" s="271"/>
      <c r="S2" s="271"/>
      <c r="T2" s="271"/>
      <c r="U2" s="271"/>
      <c r="V2" s="272"/>
      <c r="W2" s="276" t="str">
        <f>変更履歴!W2</f>
        <v>FO-088</v>
      </c>
      <c r="X2" s="277"/>
      <c r="Y2" s="277"/>
      <c r="Z2" s="277"/>
      <c r="AA2" s="277"/>
      <c r="AB2" s="277"/>
      <c r="AC2" s="277"/>
      <c r="AD2" s="278"/>
      <c r="AE2" s="270" t="str">
        <f>変更履歴!AE2</f>
        <v>AzureFiles連携共通インターフェース</v>
      </c>
      <c r="AF2" s="271"/>
      <c r="AG2" s="271"/>
      <c r="AH2" s="271"/>
      <c r="AI2" s="271"/>
      <c r="AJ2" s="271"/>
      <c r="AK2" s="271"/>
      <c r="AL2" s="271"/>
      <c r="AM2" s="271"/>
      <c r="AN2" s="271"/>
      <c r="AO2" s="271"/>
      <c r="AP2" s="271"/>
      <c r="AQ2" s="271"/>
      <c r="AR2" s="271"/>
      <c r="AS2" s="272"/>
      <c r="AT2" s="282" t="str">
        <f>変更履歴!AT2</f>
        <v>作成</v>
      </c>
      <c r="AU2" s="283"/>
      <c r="AV2" s="284">
        <f>変更履歴!AV2</f>
        <v>45453</v>
      </c>
      <c r="AW2" s="284"/>
      <c r="AX2" s="284"/>
      <c r="AY2" s="284"/>
      <c r="AZ2" s="284"/>
      <c r="BA2" s="285"/>
      <c r="BB2" s="286" t="str">
        <f>変更履歴!BB2</f>
        <v>JBS石岡</v>
      </c>
      <c r="BC2" s="288"/>
      <c r="BD2" s="288"/>
      <c r="BE2" s="288"/>
      <c r="BF2" s="288"/>
      <c r="BG2" s="288"/>
      <c r="BH2" s="288"/>
      <c r="BI2" s="289"/>
    </row>
    <row r="3" spans="1:61" ht="15" customHeight="1" thickBot="1">
      <c r="A3" s="300"/>
      <c r="B3" s="301"/>
      <c r="C3" s="301"/>
      <c r="D3" s="301"/>
      <c r="E3" s="302"/>
      <c r="F3" s="273"/>
      <c r="G3" s="274"/>
      <c r="H3" s="274"/>
      <c r="I3" s="274"/>
      <c r="J3" s="274"/>
      <c r="K3" s="274"/>
      <c r="L3" s="274"/>
      <c r="M3" s="274"/>
      <c r="N3" s="274"/>
      <c r="O3" s="274"/>
      <c r="P3" s="275"/>
      <c r="Q3" s="273"/>
      <c r="R3" s="274"/>
      <c r="S3" s="274"/>
      <c r="T3" s="274"/>
      <c r="U3" s="274"/>
      <c r="V3" s="275"/>
      <c r="W3" s="279"/>
      <c r="X3" s="280"/>
      <c r="Y3" s="280"/>
      <c r="Z3" s="280"/>
      <c r="AA3" s="280"/>
      <c r="AB3" s="280"/>
      <c r="AC3" s="280"/>
      <c r="AD3" s="281"/>
      <c r="AE3" s="273"/>
      <c r="AF3" s="274"/>
      <c r="AG3" s="274"/>
      <c r="AH3" s="274"/>
      <c r="AI3" s="274"/>
      <c r="AJ3" s="274"/>
      <c r="AK3" s="274"/>
      <c r="AL3" s="274"/>
      <c r="AM3" s="274"/>
      <c r="AN3" s="274"/>
      <c r="AO3" s="274"/>
      <c r="AP3" s="274"/>
      <c r="AQ3" s="274"/>
      <c r="AR3" s="274"/>
      <c r="AS3" s="275"/>
      <c r="AT3" s="290" t="str">
        <f>変更履歴!AT3</f>
        <v>更新</v>
      </c>
      <c r="AU3" s="291"/>
      <c r="AV3" s="316">
        <f ca="1">変更履歴!AV3</f>
        <v>45726</v>
      </c>
      <c r="AW3" s="317"/>
      <c r="AX3" s="317"/>
      <c r="AY3" s="317"/>
      <c r="AZ3" s="317"/>
      <c r="BA3" s="318"/>
      <c r="BB3" s="313" t="str">
        <f ca="1">変更履歴!BB3</f>
        <v>JBS石岡</v>
      </c>
      <c r="BC3" s="314"/>
      <c r="BD3" s="314"/>
      <c r="BE3" s="314"/>
      <c r="BF3" s="314"/>
      <c r="BG3" s="314"/>
      <c r="BH3" s="314"/>
      <c r="BI3" s="315"/>
    </row>
    <row r="4" spans="1:61" ht="15" customHeight="1" thickBot="1"/>
    <row r="5" spans="1:61" ht="15" customHeight="1" thickBot="1">
      <c r="A5" s="319" t="s">
        <v>324</v>
      </c>
      <c r="B5" s="320"/>
      <c r="C5" s="320"/>
      <c r="D5" s="320"/>
      <c r="E5" s="320"/>
      <c r="F5" s="320"/>
      <c r="G5" s="320"/>
      <c r="H5" s="320"/>
      <c r="I5" s="320"/>
      <c r="J5" s="320"/>
      <c r="K5" s="320"/>
      <c r="L5" s="320"/>
      <c r="M5" s="320"/>
      <c r="N5" s="320"/>
      <c r="O5" s="320"/>
      <c r="P5" s="320"/>
      <c r="Q5" s="320"/>
      <c r="R5" s="320"/>
      <c r="S5" s="320"/>
      <c r="T5" s="320"/>
      <c r="U5" s="320"/>
      <c r="V5" s="320"/>
      <c r="W5" s="320"/>
      <c r="X5" s="320"/>
      <c r="Y5" s="320"/>
      <c r="Z5" s="320"/>
      <c r="AA5" s="320"/>
      <c r="AB5" s="320"/>
      <c r="AC5" s="320"/>
      <c r="AD5" s="320"/>
      <c r="AE5" s="320"/>
      <c r="AF5" s="320"/>
      <c r="AG5" s="320"/>
      <c r="AH5" s="320"/>
      <c r="AI5" s="320"/>
      <c r="AJ5" s="320"/>
      <c r="AK5" s="320"/>
      <c r="AL5" s="320"/>
      <c r="AM5" s="320"/>
      <c r="AN5" s="320"/>
      <c r="AO5" s="320"/>
      <c r="AP5" s="320"/>
      <c r="AQ5" s="320"/>
      <c r="AR5" s="320"/>
      <c r="AS5" s="320"/>
      <c r="AT5" s="320"/>
      <c r="AU5" s="320"/>
      <c r="AV5" s="320"/>
      <c r="AW5" s="320"/>
      <c r="AX5" s="321"/>
      <c r="AY5" s="327" t="s">
        <v>61</v>
      </c>
      <c r="AZ5" s="328"/>
      <c r="BA5" s="328"/>
      <c r="BB5" s="328"/>
      <c r="BC5" s="328"/>
      <c r="BD5" s="328"/>
      <c r="BE5" s="328"/>
      <c r="BF5" s="328"/>
      <c r="BG5" s="328"/>
      <c r="BH5" s="328"/>
      <c r="BI5" s="329"/>
    </row>
    <row r="6" spans="1:61" ht="15" customHeight="1" thickBot="1">
      <c r="A6" s="70" t="s">
        <v>325</v>
      </c>
      <c r="B6" s="3"/>
      <c r="C6" s="3"/>
      <c r="D6" s="3"/>
      <c r="E6" s="3"/>
      <c r="F6" s="3"/>
      <c r="G6" s="3"/>
      <c r="H6" s="3"/>
      <c r="I6" s="3"/>
      <c r="J6" s="3"/>
      <c r="K6" s="3"/>
      <c r="L6" s="3"/>
      <c r="M6" s="3"/>
      <c r="N6" s="3"/>
      <c r="O6" s="3"/>
      <c r="P6" s="3"/>
      <c r="Q6" s="3"/>
      <c r="R6" s="3"/>
      <c r="S6" s="3"/>
      <c r="T6" s="3"/>
      <c r="U6" s="3"/>
      <c r="V6" s="3"/>
      <c r="W6" s="3"/>
      <c r="X6" s="3"/>
      <c r="Y6" s="3"/>
      <c r="Z6" s="67"/>
      <c r="AA6" s="67"/>
      <c r="AB6" s="67"/>
      <c r="AC6" s="67"/>
      <c r="AD6" s="67"/>
      <c r="AE6" s="67"/>
      <c r="AF6" s="67"/>
      <c r="AG6" s="67"/>
      <c r="AH6" s="68"/>
      <c r="AI6" s="419" t="s">
        <v>326</v>
      </c>
      <c r="AJ6" s="420"/>
      <c r="AK6" s="420"/>
      <c r="AL6" s="420"/>
      <c r="AM6" s="420"/>
      <c r="AN6" s="420"/>
      <c r="AO6" s="420"/>
      <c r="AP6" s="420"/>
      <c r="AQ6" s="420"/>
      <c r="AR6" s="420"/>
      <c r="AS6" s="420"/>
      <c r="AT6" s="420"/>
      <c r="AU6" s="420"/>
      <c r="AV6" s="420"/>
      <c r="AW6" s="420"/>
      <c r="AX6" s="421"/>
      <c r="AY6" s="410"/>
      <c r="AZ6" s="411"/>
      <c r="BA6" s="411"/>
      <c r="BB6" s="411"/>
      <c r="BC6" s="411"/>
      <c r="BD6" s="411"/>
      <c r="BE6" s="411"/>
      <c r="BF6" s="411"/>
      <c r="BG6" s="411"/>
      <c r="BH6" s="411"/>
      <c r="BI6" s="412"/>
    </row>
    <row r="7" spans="1:61" ht="15" customHeight="1" thickBot="1">
      <c r="A7" s="422" t="s">
        <v>327</v>
      </c>
      <c r="B7" s="312"/>
      <c r="C7" s="312"/>
      <c r="D7" s="312"/>
      <c r="E7" s="312"/>
      <c r="F7" s="312"/>
      <c r="G7" s="312"/>
      <c r="H7" s="312"/>
      <c r="I7" s="67"/>
      <c r="J7" s="67"/>
      <c r="K7" s="68"/>
      <c r="L7" s="70" t="s">
        <v>328</v>
      </c>
      <c r="M7" s="3"/>
      <c r="N7" s="3"/>
      <c r="O7" s="3"/>
      <c r="P7" s="3"/>
      <c r="Q7" s="3"/>
      <c r="R7" s="3"/>
      <c r="S7" s="3"/>
      <c r="T7" s="67"/>
      <c r="U7" s="67"/>
      <c r="V7" s="67"/>
      <c r="W7" s="68"/>
      <c r="X7" s="70" t="s">
        <v>329</v>
      </c>
      <c r="Y7" s="3"/>
      <c r="Z7" s="3"/>
      <c r="AA7" s="3"/>
      <c r="AB7" s="3"/>
      <c r="AC7" s="3"/>
      <c r="AD7" s="3"/>
      <c r="AE7" s="3"/>
      <c r="AF7" s="3"/>
      <c r="AG7" s="3"/>
      <c r="AH7" s="68"/>
      <c r="AI7" s="416" t="s">
        <v>330</v>
      </c>
      <c r="AJ7" s="417"/>
      <c r="AK7" s="417"/>
      <c r="AL7" s="417"/>
      <c r="AM7" s="417"/>
      <c r="AN7" s="417"/>
      <c r="AO7" s="417"/>
      <c r="AP7" s="417"/>
      <c r="AQ7" s="417"/>
      <c r="AR7" s="417"/>
      <c r="AS7" s="417"/>
      <c r="AT7" s="417"/>
      <c r="AU7" s="417"/>
      <c r="AV7" s="417"/>
      <c r="AW7" s="417"/>
      <c r="AX7" s="418"/>
      <c r="AY7" s="410"/>
      <c r="AZ7" s="411"/>
      <c r="BA7" s="411"/>
      <c r="BB7" s="411"/>
      <c r="BC7" s="411"/>
      <c r="BD7" s="411"/>
      <c r="BE7" s="411"/>
      <c r="BF7" s="411"/>
      <c r="BG7" s="411"/>
      <c r="BH7" s="411"/>
      <c r="BI7" s="412"/>
    </row>
    <row r="8" spans="1:61" ht="15" customHeight="1" thickBot="1">
      <c r="A8" s="99" t="s">
        <v>331</v>
      </c>
      <c r="B8" s="96"/>
      <c r="C8" s="96"/>
      <c r="D8" s="96"/>
      <c r="E8" s="96"/>
      <c r="F8" s="96" t="s">
        <v>332</v>
      </c>
      <c r="G8" s="96"/>
      <c r="H8" s="96"/>
      <c r="I8" s="96"/>
      <c r="J8" s="96" t="s">
        <v>333</v>
      </c>
      <c r="K8" s="96"/>
      <c r="L8" s="96"/>
      <c r="M8" s="96"/>
      <c r="N8" s="96" t="s">
        <v>334</v>
      </c>
      <c r="O8" s="96"/>
      <c r="P8" s="96"/>
      <c r="Q8" s="96"/>
      <c r="R8" s="96" t="s">
        <v>335</v>
      </c>
      <c r="S8" s="96"/>
      <c r="T8" s="96"/>
      <c r="U8" s="96"/>
      <c r="V8" s="96"/>
      <c r="W8" s="96"/>
      <c r="X8" s="96"/>
      <c r="Y8" s="96"/>
      <c r="Z8" s="96"/>
      <c r="AA8" s="96"/>
      <c r="AB8" s="96"/>
      <c r="AC8" s="96"/>
      <c r="AD8" s="96"/>
      <c r="AE8" s="96"/>
      <c r="AF8" s="96"/>
      <c r="AG8" s="96"/>
      <c r="AH8" s="96"/>
      <c r="AI8" s="416" t="s">
        <v>336</v>
      </c>
      <c r="AJ8" s="417"/>
      <c r="AK8" s="417"/>
      <c r="AL8" s="417"/>
      <c r="AM8" s="417"/>
      <c r="AN8" s="417"/>
      <c r="AO8" s="417"/>
      <c r="AP8" s="417"/>
      <c r="AQ8" s="417"/>
      <c r="AR8" s="417"/>
      <c r="AS8" s="417"/>
      <c r="AT8" s="417"/>
      <c r="AU8" s="417"/>
      <c r="AV8" s="417"/>
      <c r="AW8" s="417"/>
      <c r="AX8" s="418"/>
      <c r="AY8" s="413"/>
      <c r="AZ8" s="414"/>
      <c r="BA8" s="414"/>
      <c r="BB8" s="414"/>
      <c r="BC8" s="414"/>
      <c r="BD8" s="414"/>
      <c r="BE8" s="414"/>
      <c r="BF8" s="414"/>
      <c r="BG8" s="414"/>
      <c r="BH8" s="414"/>
      <c r="BI8" s="415"/>
    </row>
    <row r="9" spans="1:61" ht="15" customHeight="1">
      <c r="A9" s="98"/>
      <c r="B9" s="95"/>
      <c r="C9" s="95"/>
      <c r="D9" s="95"/>
      <c r="E9" s="95"/>
      <c r="F9" s="95"/>
      <c r="G9" s="95"/>
      <c r="H9" s="95"/>
      <c r="I9" s="95"/>
      <c r="J9" s="95"/>
      <c r="K9" s="95"/>
      <c r="L9" s="95"/>
      <c r="M9" s="95"/>
      <c r="N9" s="95"/>
      <c r="O9" s="95"/>
      <c r="P9" s="95"/>
      <c r="Q9" s="95"/>
      <c r="R9" s="95"/>
      <c r="S9" s="95"/>
      <c r="T9" s="95"/>
      <c r="U9" s="95"/>
      <c r="V9" s="95"/>
      <c r="W9" s="95"/>
      <c r="X9" s="95"/>
      <c r="Y9" s="95"/>
      <c r="Z9" s="95"/>
      <c r="AA9" s="95"/>
      <c r="AB9" s="95"/>
      <c r="AC9" s="95"/>
      <c r="AD9" s="95"/>
      <c r="AE9" s="95"/>
      <c r="AF9" s="95"/>
      <c r="AG9" s="95"/>
      <c r="AH9" s="95"/>
      <c r="AI9" s="95"/>
      <c r="AJ9" s="95"/>
      <c r="AK9" s="95"/>
      <c r="AL9" s="95"/>
      <c r="AM9" s="95"/>
      <c r="AN9" s="95"/>
      <c r="AO9" s="95"/>
      <c r="AP9" s="95"/>
      <c r="AQ9" s="95"/>
      <c r="AR9" s="95"/>
      <c r="AS9" s="95"/>
      <c r="AT9" s="95"/>
      <c r="AU9" s="95"/>
      <c r="AV9" s="95"/>
      <c r="AW9" s="95"/>
      <c r="AX9" s="97"/>
      <c r="AY9" s="70"/>
      <c r="AZ9" s="3"/>
      <c r="BA9" s="3"/>
      <c r="BB9" s="3"/>
      <c r="BC9" s="3"/>
      <c r="BD9" s="3"/>
      <c r="BE9" s="3"/>
      <c r="BF9" s="3"/>
      <c r="BG9" s="3"/>
      <c r="BH9" s="3"/>
      <c r="BI9" s="4"/>
    </row>
    <row r="10" spans="1:61" ht="15" customHeight="1">
      <c r="A10" s="15"/>
      <c r="AX10" s="26"/>
      <c r="AY10" s="15"/>
      <c r="BI10" s="26"/>
    </row>
    <row r="11" spans="1:61" ht="15" customHeight="1">
      <c r="A11" s="15"/>
      <c r="AX11" s="26"/>
      <c r="AY11" s="15"/>
      <c r="BI11" s="26"/>
    </row>
    <row r="12" spans="1:61" ht="15" customHeight="1">
      <c r="A12" s="15"/>
      <c r="AX12" s="26"/>
      <c r="AY12" s="15"/>
      <c r="BI12" s="26"/>
    </row>
    <row r="13" spans="1:61" ht="15" customHeight="1">
      <c r="A13" s="15"/>
      <c r="AX13" s="26"/>
      <c r="AY13" s="15"/>
      <c r="BI13" s="26"/>
    </row>
    <row r="14" spans="1:61" ht="15" customHeight="1">
      <c r="A14" s="15"/>
      <c r="AX14" s="26"/>
      <c r="AY14" s="15"/>
      <c r="BI14" s="26"/>
    </row>
    <row r="15" spans="1:61" ht="15" customHeight="1">
      <c r="A15" s="15"/>
      <c r="AX15" s="26"/>
      <c r="AY15" s="15"/>
      <c r="BI15" s="26"/>
    </row>
    <row r="16" spans="1:61" ht="15" customHeight="1">
      <c r="A16" s="15"/>
      <c r="AX16" s="26"/>
      <c r="AY16" s="15"/>
      <c r="BI16" s="26"/>
    </row>
    <row r="17" spans="1:61" ht="15" customHeight="1">
      <c r="A17" s="15"/>
      <c r="AX17" s="26"/>
      <c r="AY17" s="15"/>
      <c r="BI17" s="26"/>
    </row>
    <row r="18" spans="1:61" ht="15" customHeight="1">
      <c r="A18" s="15"/>
      <c r="AX18" s="26"/>
      <c r="AY18" s="15"/>
      <c r="BI18" s="26"/>
    </row>
    <row r="19" spans="1:61" ht="15" customHeight="1">
      <c r="A19" s="15"/>
      <c r="AX19" s="26"/>
      <c r="AY19" s="15"/>
      <c r="BI19" s="26"/>
    </row>
    <row r="20" spans="1:61" ht="15" customHeight="1">
      <c r="A20" s="15"/>
      <c r="AX20" s="26"/>
      <c r="AY20" s="15"/>
      <c r="BI20" s="26"/>
    </row>
    <row r="21" spans="1:61" ht="15" customHeight="1">
      <c r="A21" s="15"/>
      <c r="AX21" s="26"/>
      <c r="AY21" s="15"/>
      <c r="BI21" s="26"/>
    </row>
    <row r="22" spans="1:61" ht="15" customHeight="1">
      <c r="A22" s="15"/>
      <c r="AX22" s="26"/>
      <c r="AY22" s="15"/>
      <c r="BI22" s="26"/>
    </row>
    <row r="23" spans="1:61" ht="15" customHeight="1">
      <c r="A23" s="15"/>
      <c r="AX23" s="26"/>
      <c r="AY23" s="15"/>
      <c r="BI23" s="26"/>
    </row>
    <row r="24" spans="1:61" ht="15" customHeight="1">
      <c r="A24" s="15"/>
      <c r="AX24" s="26"/>
      <c r="AY24" s="15"/>
      <c r="BI24" s="26"/>
    </row>
    <row r="25" spans="1:61" ht="15" customHeight="1">
      <c r="A25" s="15"/>
      <c r="AX25" s="26"/>
      <c r="AY25" s="15"/>
      <c r="BI25" s="26"/>
    </row>
    <row r="26" spans="1:61" ht="15" customHeight="1">
      <c r="A26" s="15"/>
      <c r="AX26" s="26"/>
      <c r="AY26" s="15"/>
      <c r="BI26" s="26"/>
    </row>
    <row r="27" spans="1:61" ht="15" customHeight="1">
      <c r="A27" s="15"/>
      <c r="AX27" s="26"/>
      <c r="AY27" s="15"/>
      <c r="BI27" s="26"/>
    </row>
    <row r="28" spans="1:61" ht="15" customHeight="1">
      <c r="A28" s="15"/>
      <c r="AX28" s="26"/>
      <c r="AY28" s="15"/>
      <c r="BI28" s="26"/>
    </row>
    <row r="29" spans="1:61" ht="15" customHeight="1">
      <c r="A29" s="15"/>
      <c r="AX29" s="26"/>
      <c r="AY29" s="15"/>
      <c r="BI29" s="26"/>
    </row>
    <row r="30" spans="1:61" ht="15" customHeight="1">
      <c r="A30" s="15"/>
      <c r="AX30" s="26"/>
      <c r="AY30" s="15"/>
      <c r="BI30" s="26"/>
    </row>
    <row r="31" spans="1:61" ht="15" customHeight="1">
      <c r="A31" s="15"/>
      <c r="AX31" s="26"/>
      <c r="AY31" s="15"/>
      <c r="BI31" s="26"/>
    </row>
    <row r="32" spans="1:61" ht="15" customHeight="1">
      <c r="A32" s="15"/>
      <c r="AX32" s="26"/>
      <c r="AY32" s="15"/>
      <c r="BI32" s="26"/>
    </row>
    <row r="33" spans="1:61" ht="15" customHeight="1">
      <c r="A33" s="15"/>
      <c r="AX33" s="26"/>
      <c r="AY33" s="15"/>
      <c r="BI33" s="26"/>
    </row>
    <row r="34" spans="1:61" ht="15" customHeight="1">
      <c r="A34" s="15"/>
      <c r="AX34" s="26"/>
      <c r="AY34" s="15"/>
      <c r="BI34" s="26"/>
    </row>
    <row r="35" spans="1:61" ht="15" customHeight="1">
      <c r="A35" s="15"/>
      <c r="AX35" s="26"/>
      <c r="AY35" s="15"/>
      <c r="BI35" s="26"/>
    </row>
    <row r="36" spans="1:61" ht="15" customHeight="1">
      <c r="A36" s="15"/>
      <c r="AX36" s="26"/>
      <c r="AY36" s="15"/>
      <c r="BI36" s="26"/>
    </row>
    <row r="37" spans="1:61" ht="15" customHeight="1">
      <c r="A37" s="15"/>
      <c r="AX37" s="26"/>
      <c r="AY37" s="15"/>
      <c r="BI37" s="26"/>
    </row>
    <row r="38" spans="1:61" ht="15" customHeight="1" thickBot="1">
      <c r="A38" s="19"/>
      <c r="B38" s="27"/>
      <c r="C38" s="27"/>
      <c r="D38" s="27"/>
      <c r="E38" s="27"/>
      <c r="F38" s="27"/>
      <c r="G38" s="27"/>
      <c r="H38" s="27"/>
      <c r="I38" s="27"/>
      <c r="J38" s="27"/>
      <c r="K38" s="27"/>
      <c r="L38" s="27"/>
      <c r="M38" s="27"/>
      <c r="N38" s="27"/>
      <c r="O38" s="27"/>
      <c r="P38" s="27"/>
      <c r="Q38" s="27"/>
      <c r="R38" s="27"/>
      <c r="S38" s="27"/>
      <c r="T38" s="27"/>
      <c r="U38" s="27"/>
      <c r="V38" s="27"/>
      <c r="W38" s="27"/>
      <c r="X38" s="27"/>
      <c r="Y38" s="27"/>
      <c r="Z38" s="27"/>
      <c r="AA38" s="27"/>
      <c r="AB38" s="27"/>
      <c r="AC38" s="27"/>
      <c r="AD38" s="27"/>
      <c r="AE38" s="27"/>
      <c r="AF38" s="27"/>
      <c r="AG38" s="27"/>
      <c r="AH38" s="27"/>
      <c r="AI38" s="27"/>
      <c r="AJ38" s="27"/>
      <c r="AK38" s="27"/>
      <c r="AL38" s="27"/>
      <c r="AM38" s="27"/>
      <c r="AN38" s="27"/>
      <c r="AO38" s="27"/>
      <c r="AP38" s="27"/>
      <c r="AQ38" s="27"/>
      <c r="AR38" s="27"/>
      <c r="AS38" s="27"/>
      <c r="AT38" s="27"/>
      <c r="AU38" s="27"/>
      <c r="AV38" s="27"/>
      <c r="AW38" s="27"/>
      <c r="AX38" s="28"/>
      <c r="AY38" s="19"/>
      <c r="AZ38" s="27"/>
      <c r="BA38" s="27"/>
      <c r="BB38" s="27"/>
      <c r="BC38" s="27"/>
      <c r="BD38" s="27"/>
      <c r="BE38" s="27"/>
      <c r="BF38" s="27"/>
      <c r="BG38" s="27"/>
      <c r="BH38" s="27"/>
      <c r="BI38" s="28"/>
    </row>
  </sheetData>
  <mergeCells count="23">
    <mergeCell ref="A5:AX5"/>
    <mergeCell ref="AY5:BI8"/>
    <mergeCell ref="AI7:AX7"/>
    <mergeCell ref="AI6:AX6"/>
    <mergeCell ref="A7:H7"/>
    <mergeCell ref="AI8:AX8"/>
    <mergeCell ref="AT3:AU3"/>
    <mergeCell ref="AV3:BA3"/>
    <mergeCell ref="BB3:BI3"/>
    <mergeCell ref="F1:P1"/>
    <mergeCell ref="Q1:V1"/>
    <mergeCell ref="W1:AD1"/>
    <mergeCell ref="AT1:BA1"/>
    <mergeCell ref="BB1:BI1"/>
    <mergeCell ref="AT2:AU2"/>
    <mergeCell ref="AV2:BA2"/>
    <mergeCell ref="BB2:BI2"/>
    <mergeCell ref="A1:E3"/>
    <mergeCell ref="AE1:AS1"/>
    <mergeCell ref="F2:P3"/>
    <mergeCell ref="Q2:V3"/>
    <mergeCell ref="W2:AD3"/>
    <mergeCell ref="AE2:AS3"/>
  </mergeCells>
  <phoneticPr fontId="2"/>
  <printOptions horizontalCentered="1"/>
  <pageMargins left="0.23622047244094491" right="0.23622047244094491" top="0.74803149606299213" bottom="0.74803149606299213" header="0.31496062992125984" footer="0.31496062992125984"/>
  <pageSetup paperSize="9" scale="85" orientation="landscape" verticalDpi="360"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344D7-022C-4AED-8747-624C74E25F82}">
  <sheetPr>
    <tabColor theme="0" tint="-0.499984740745262"/>
  </sheetPr>
  <dimension ref="A1:EF52"/>
  <sheetViews>
    <sheetView showGridLines="0" zoomScaleNormal="100" workbookViewId="0">
      <pane xSplit="18" ySplit="7" topLeftCell="S8" activePane="bottomRight" state="frozen"/>
      <selection pane="topRight" activeCell="V11" sqref="V11"/>
      <selection pane="bottomLeft" activeCell="V11" sqref="V11"/>
      <selection pane="bottomRight" activeCell="S8" sqref="S8:U8"/>
    </sheetView>
  </sheetViews>
  <sheetFormatPr defaultColWidth="2.5" defaultRowHeight="15" customHeight="1"/>
  <cols>
    <col min="1" max="16384" width="2.5" style="1"/>
  </cols>
  <sheetData>
    <row r="1" spans="1:136" ht="15" customHeight="1" thickBot="1">
      <c r="A1" s="294" t="s">
        <v>32</v>
      </c>
      <c r="B1" s="295"/>
      <c r="C1" s="295"/>
      <c r="D1" s="295"/>
      <c r="E1" s="296"/>
      <c r="F1" s="303" t="str">
        <f>変更履歴!F1</f>
        <v>システム名</v>
      </c>
      <c r="G1" s="304"/>
      <c r="H1" s="304"/>
      <c r="I1" s="304"/>
      <c r="J1" s="304"/>
      <c r="K1" s="304"/>
      <c r="L1" s="304"/>
      <c r="M1" s="304"/>
      <c r="N1" s="304"/>
      <c r="O1" s="304"/>
      <c r="P1" s="305"/>
      <c r="Q1" s="306" t="str">
        <f>変更履歴!Q1</f>
        <v>機能分類</v>
      </c>
      <c r="R1" s="307"/>
      <c r="S1" s="307"/>
      <c r="T1" s="307"/>
      <c r="U1" s="307"/>
      <c r="V1" s="308"/>
      <c r="W1" s="303" t="str">
        <f>変更履歴!W1</f>
        <v>機能ＩＤ</v>
      </c>
      <c r="X1" s="304"/>
      <c r="Y1" s="304"/>
      <c r="Z1" s="304"/>
      <c r="AA1" s="304"/>
      <c r="AB1" s="304"/>
      <c r="AC1" s="304"/>
      <c r="AD1" s="305"/>
      <c r="AE1" s="303" t="str">
        <f>変更履歴!AE1</f>
        <v>機能名称</v>
      </c>
      <c r="AF1" s="304"/>
      <c r="AG1" s="304"/>
      <c r="AH1" s="304"/>
      <c r="AI1" s="304"/>
      <c r="AJ1" s="304"/>
      <c r="AK1" s="304"/>
      <c r="AL1" s="304"/>
      <c r="AM1" s="304"/>
      <c r="AN1" s="304"/>
      <c r="AO1" s="304"/>
      <c r="AP1" s="304"/>
      <c r="AQ1" s="304"/>
      <c r="AR1" s="304"/>
      <c r="AS1" s="305"/>
      <c r="AT1" s="309" t="str">
        <f>変更履歴!AT1</f>
        <v>日付</v>
      </c>
      <c r="AU1" s="310"/>
      <c r="AV1" s="310"/>
      <c r="AW1" s="310"/>
      <c r="AX1" s="310"/>
      <c r="AY1" s="310"/>
      <c r="AZ1" s="310"/>
      <c r="BA1" s="311"/>
      <c r="BB1" s="266" t="str">
        <f>変更履歴!BB1</f>
        <v>更新者</v>
      </c>
      <c r="BC1" s="268"/>
      <c r="BD1" s="268"/>
      <c r="BE1" s="268"/>
      <c r="BF1" s="268"/>
      <c r="BG1" s="268"/>
      <c r="BH1" s="268"/>
      <c r="BI1" s="269"/>
    </row>
    <row r="2" spans="1:136" ht="15" customHeight="1">
      <c r="A2" s="297"/>
      <c r="B2" s="298"/>
      <c r="C2" s="298"/>
      <c r="D2" s="298"/>
      <c r="E2" s="299"/>
      <c r="F2" s="270" t="str">
        <f>変更履歴!F2</f>
        <v>Dynamics365 for Finance and Operations</v>
      </c>
      <c r="G2" s="271"/>
      <c r="H2" s="271"/>
      <c r="I2" s="271"/>
      <c r="J2" s="271"/>
      <c r="K2" s="271"/>
      <c r="L2" s="271"/>
      <c r="M2" s="271"/>
      <c r="N2" s="271"/>
      <c r="O2" s="271"/>
      <c r="P2" s="272"/>
      <c r="Q2" s="270" t="str">
        <f>変更履歴!Q2</f>
        <v>システム共通</v>
      </c>
      <c r="R2" s="271"/>
      <c r="S2" s="271"/>
      <c r="T2" s="271"/>
      <c r="U2" s="271"/>
      <c r="V2" s="272"/>
      <c r="W2" s="276" t="str">
        <f>変更履歴!W2</f>
        <v>FO-088</v>
      </c>
      <c r="X2" s="277"/>
      <c r="Y2" s="277"/>
      <c r="Z2" s="277"/>
      <c r="AA2" s="277"/>
      <c r="AB2" s="277"/>
      <c r="AC2" s="277"/>
      <c r="AD2" s="278"/>
      <c r="AE2" s="270" t="str">
        <f>変更履歴!AE2</f>
        <v>AzureFiles連携共通インターフェース</v>
      </c>
      <c r="AF2" s="271"/>
      <c r="AG2" s="271"/>
      <c r="AH2" s="271"/>
      <c r="AI2" s="271"/>
      <c r="AJ2" s="271"/>
      <c r="AK2" s="271"/>
      <c r="AL2" s="271"/>
      <c r="AM2" s="271"/>
      <c r="AN2" s="271"/>
      <c r="AO2" s="271"/>
      <c r="AP2" s="271"/>
      <c r="AQ2" s="271"/>
      <c r="AR2" s="271"/>
      <c r="AS2" s="272"/>
      <c r="AT2" s="282" t="str">
        <f>変更履歴!AT2</f>
        <v>作成</v>
      </c>
      <c r="AU2" s="283"/>
      <c r="AV2" s="284">
        <f>変更履歴!AV2</f>
        <v>45453</v>
      </c>
      <c r="AW2" s="284"/>
      <c r="AX2" s="284"/>
      <c r="AY2" s="284"/>
      <c r="AZ2" s="284"/>
      <c r="BA2" s="285"/>
      <c r="BB2" s="286" t="str">
        <f>変更履歴!BB2</f>
        <v>JBS石岡</v>
      </c>
      <c r="BC2" s="288"/>
      <c r="BD2" s="288"/>
      <c r="BE2" s="288"/>
      <c r="BF2" s="288"/>
      <c r="BG2" s="288"/>
      <c r="BH2" s="288"/>
      <c r="BI2" s="289"/>
    </row>
    <row r="3" spans="1:136" ht="15" customHeight="1" thickBot="1">
      <c r="A3" s="300"/>
      <c r="B3" s="301"/>
      <c r="C3" s="301"/>
      <c r="D3" s="301"/>
      <c r="E3" s="302"/>
      <c r="F3" s="273"/>
      <c r="G3" s="274"/>
      <c r="H3" s="274"/>
      <c r="I3" s="274"/>
      <c r="J3" s="274"/>
      <c r="K3" s="274"/>
      <c r="L3" s="274"/>
      <c r="M3" s="274"/>
      <c r="N3" s="274"/>
      <c r="O3" s="274"/>
      <c r="P3" s="275"/>
      <c r="Q3" s="273"/>
      <c r="R3" s="274"/>
      <c r="S3" s="274"/>
      <c r="T3" s="274"/>
      <c r="U3" s="274"/>
      <c r="V3" s="275"/>
      <c r="W3" s="279"/>
      <c r="X3" s="280"/>
      <c r="Y3" s="280"/>
      <c r="Z3" s="280"/>
      <c r="AA3" s="280"/>
      <c r="AB3" s="280"/>
      <c r="AC3" s="280"/>
      <c r="AD3" s="281"/>
      <c r="AE3" s="273"/>
      <c r="AF3" s="274"/>
      <c r="AG3" s="274"/>
      <c r="AH3" s="274"/>
      <c r="AI3" s="274"/>
      <c r="AJ3" s="274"/>
      <c r="AK3" s="274"/>
      <c r="AL3" s="274"/>
      <c r="AM3" s="274"/>
      <c r="AN3" s="274"/>
      <c r="AO3" s="274"/>
      <c r="AP3" s="274"/>
      <c r="AQ3" s="274"/>
      <c r="AR3" s="274"/>
      <c r="AS3" s="275"/>
      <c r="AT3" s="290" t="str">
        <f>変更履歴!AT3</f>
        <v>更新</v>
      </c>
      <c r="AU3" s="291"/>
      <c r="AV3" s="316">
        <f ca="1">変更履歴!AV3</f>
        <v>45726</v>
      </c>
      <c r="AW3" s="317"/>
      <c r="AX3" s="317"/>
      <c r="AY3" s="317"/>
      <c r="AZ3" s="317"/>
      <c r="BA3" s="318"/>
      <c r="BB3" s="313" t="str">
        <f ca="1">変更履歴!BB3</f>
        <v>JBS石岡</v>
      </c>
      <c r="BC3" s="314"/>
      <c r="BD3" s="314"/>
      <c r="BE3" s="314"/>
      <c r="BF3" s="314"/>
      <c r="BG3" s="314"/>
      <c r="BH3" s="314"/>
      <c r="BI3" s="315"/>
    </row>
    <row r="4" spans="1:136" ht="15" customHeight="1" thickBot="1"/>
    <row r="5" spans="1:136" ht="15" customHeight="1" thickBot="1">
      <c r="S5" s="423" t="s">
        <v>337</v>
      </c>
      <c r="T5" s="424"/>
      <c r="U5" s="424"/>
      <c r="V5" s="424"/>
      <c r="W5" s="424"/>
      <c r="X5" s="424"/>
      <c r="Y5" s="424"/>
      <c r="Z5" s="424"/>
      <c r="AA5" s="424"/>
      <c r="AB5" s="424" t="s">
        <v>338</v>
      </c>
      <c r="AC5" s="424"/>
      <c r="AD5" s="424"/>
      <c r="AE5" s="424"/>
      <c r="AF5" s="424"/>
      <c r="AG5" s="425"/>
      <c r="AH5" s="426"/>
      <c r="AI5" s="426"/>
      <c r="AJ5" s="426"/>
      <c r="AK5" s="100"/>
    </row>
    <row r="6" spans="1:136" ht="15" customHeight="1">
      <c r="A6" s="427" t="s">
        <v>339</v>
      </c>
      <c r="B6" s="428"/>
      <c r="C6" s="428"/>
      <c r="D6" s="428"/>
      <c r="E6" s="428"/>
      <c r="F6" s="428"/>
      <c r="G6" s="428"/>
      <c r="H6" s="431" t="s">
        <v>56</v>
      </c>
      <c r="I6" s="431"/>
      <c r="J6" s="428" t="s">
        <v>319</v>
      </c>
      <c r="K6" s="428"/>
      <c r="L6" s="428"/>
      <c r="M6" s="428"/>
      <c r="N6" s="428"/>
      <c r="O6" s="428"/>
      <c r="P6" s="428"/>
      <c r="Q6" s="428"/>
      <c r="R6" s="428"/>
      <c r="S6" s="433" t="s">
        <v>340</v>
      </c>
      <c r="T6" s="433"/>
      <c r="U6" s="433"/>
      <c r="V6" s="434" t="s">
        <v>341</v>
      </c>
      <c r="W6" s="434"/>
      <c r="X6" s="434"/>
      <c r="Y6" s="434"/>
      <c r="Z6" s="434"/>
      <c r="AA6" s="434"/>
      <c r="AB6" s="434" t="s">
        <v>342</v>
      </c>
      <c r="AC6" s="434"/>
      <c r="AD6" s="434"/>
      <c r="AE6" s="434" t="s">
        <v>343</v>
      </c>
      <c r="AF6" s="434"/>
      <c r="AG6" s="434"/>
      <c r="AH6" s="431" t="s">
        <v>344</v>
      </c>
      <c r="AI6" s="431"/>
      <c r="AJ6" s="431"/>
      <c r="AK6" s="431" t="s">
        <v>345</v>
      </c>
      <c r="AL6" s="431"/>
      <c r="AM6" s="431"/>
      <c r="AN6" s="431"/>
      <c r="AO6" s="428" t="s">
        <v>346</v>
      </c>
      <c r="AP6" s="428"/>
      <c r="AQ6" s="428"/>
      <c r="AR6" s="428"/>
      <c r="AS6" s="428"/>
      <c r="AT6" s="428"/>
      <c r="AU6" s="428"/>
      <c r="AV6" s="428"/>
      <c r="AW6" s="428"/>
      <c r="AX6" s="428"/>
      <c r="AY6" s="428"/>
      <c r="AZ6" s="428"/>
      <c r="BA6" s="428"/>
      <c r="BB6" s="428"/>
      <c r="BC6" s="428"/>
      <c r="BD6" s="428"/>
      <c r="BE6" s="428"/>
      <c r="BF6" s="428"/>
      <c r="BG6" s="428"/>
      <c r="BH6" s="428"/>
      <c r="BI6" s="428"/>
      <c r="BJ6" s="428"/>
      <c r="BK6" s="428"/>
      <c r="BL6" s="428" t="s">
        <v>61</v>
      </c>
      <c r="BM6" s="428"/>
      <c r="BN6" s="428"/>
      <c r="BO6" s="428"/>
      <c r="BP6" s="428"/>
      <c r="BQ6" s="428"/>
      <c r="BR6" s="428"/>
      <c r="BS6" s="428"/>
      <c r="BT6" s="428"/>
      <c r="BU6" s="428"/>
      <c r="BV6" s="428"/>
      <c r="BW6" s="428"/>
      <c r="BX6" s="428"/>
      <c r="BY6" s="428"/>
      <c r="BZ6" s="428"/>
      <c r="CA6" s="428"/>
      <c r="CB6" s="428"/>
      <c r="CC6" s="428" t="s">
        <v>347</v>
      </c>
      <c r="CD6" s="428"/>
      <c r="CE6" s="428"/>
      <c r="CF6" s="428"/>
      <c r="CG6" s="428"/>
      <c r="CH6" s="428"/>
      <c r="CI6" s="428"/>
      <c r="CJ6" s="428"/>
      <c r="CK6" s="428"/>
      <c r="CL6" s="428"/>
      <c r="CM6" s="428"/>
      <c r="CN6" s="428"/>
      <c r="CO6" s="428" t="s">
        <v>348</v>
      </c>
      <c r="CP6" s="428"/>
      <c r="CQ6" s="428"/>
      <c r="CR6" s="428"/>
      <c r="CS6" s="428"/>
      <c r="CT6" s="428"/>
      <c r="CU6" s="428"/>
      <c r="CV6" s="428"/>
      <c r="CW6" s="428"/>
      <c r="CX6" s="428"/>
      <c r="CY6" s="428"/>
      <c r="CZ6" s="428"/>
      <c r="DA6" s="431" t="s">
        <v>349</v>
      </c>
      <c r="DB6" s="431"/>
      <c r="DC6" s="431"/>
      <c r="DD6" s="431"/>
      <c r="DE6" s="431"/>
      <c r="DF6" s="431"/>
      <c r="DG6" s="428" t="s">
        <v>350</v>
      </c>
      <c r="DH6" s="428"/>
      <c r="DI6" s="428"/>
      <c r="DJ6" s="428"/>
      <c r="DK6" s="428"/>
      <c r="DL6" s="428"/>
      <c r="DM6" s="428"/>
      <c r="DN6" s="428"/>
      <c r="DO6" s="428"/>
      <c r="DP6" s="428"/>
      <c r="DQ6" s="428"/>
      <c r="DR6" s="428"/>
      <c r="DS6" s="428"/>
      <c r="DT6" s="428" t="s">
        <v>351</v>
      </c>
      <c r="DU6" s="428"/>
      <c r="DV6" s="428"/>
      <c r="DW6" s="428"/>
      <c r="DX6" s="428"/>
      <c r="DY6" s="428"/>
      <c r="DZ6" s="428"/>
      <c r="EA6" s="428"/>
      <c r="EB6" s="428"/>
      <c r="EC6" s="428"/>
      <c r="ED6" s="428"/>
      <c r="EE6" s="428"/>
      <c r="EF6" s="435"/>
    </row>
    <row r="7" spans="1:136" ht="15" customHeight="1">
      <c r="A7" s="429"/>
      <c r="B7" s="430"/>
      <c r="C7" s="430"/>
      <c r="D7" s="430"/>
      <c r="E7" s="430"/>
      <c r="F7" s="430"/>
      <c r="G7" s="430"/>
      <c r="H7" s="432"/>
      <c r="I7" s="432"/>
      <c r="J7" s="430"/>
      <c r="K7" s="430"/>
      <c r="L7" s="430"/>
      <c r="M7" s="430"/>
      <c r="N7" s="430"/>
      <c r="O7" s="430"/>
      <c r="P7" s="430"/>
      <c r="Q7" s="430"/>
      <c r="R7" s="430"/>
      <c r="S7" s="432"/>
      <c r="T7" s="432"/>
      <c r="U7" s="432"/>
      <c r="V7" s="430"/>
      <c r="W7" s="430"/>
      <c r="X7" s="430"/>
      <c r="Y7" s="430"/>
      <c r="Z7" s="430"/>
      <c r="AA7" s="430"/>
      <c r="AB7" s="430"/>
      <c r="AC7" s="430"/>
      <c r="AD7" s="430"/>
      <c r="AE7" s="430"/>
      <c r="AF7" s="430"/>
      <c r="AG7" s="430"/>
      <c r="AH7" s="432"/>
      <c r="AI7" s="432"/>
      <c r="AJ7" s="432"/>
      <c r="AK7" s="432"/>
      <c r="AL7" s="432"/>
      <c r="AM7" s="432"/>
      <c r="AN7" s="432"/>
      <c r="AO7" s="430"/>
      <c r="AP7" s="430"/>
      <c r="AQ7" s="430"/>
      <c r="AR7" s="430"/>
      <c r="AS7" s="430"/>
      <c r="AT7" s="430"/>
      <c r="AU7" s="430"/>
      <c r="AV7" s="430"/>
      <c r="AW7" s="430"/>
      <c r="AX7" s="430"/>
      <c r="AY7" s="430"/>
      <c r="AZ7" s="430"/>
      <c r="BA7" s="430"/>
      <c r="BB7" s="430"/>
      <c r="BC7" s="430"/>
      <c r="BD7" s="430"/>
      <c r="BE7" s="430"/>
      <c r="BF7" s="430"/>
      <c r="BG7" s="430"/>
      <c r="BH7" s="430"/>
      <c r="BI7" s="430"/>
      <c r="BJ7" s="430"/>
      <c r="BK7" s="430"/>
      <c r="BL7" s="430"/>
      <c r="BM7" s="430"/>
      <c r="BN7" s="430"/>
      <c r="BO7" s="430"/>
      <c r="BP7" s="430"/>
      <c r="BQ7" s="430"/>
      <c r="BR7" s="430"/>
      <c r="BS7" s="430"/>
      <c r="BT7" s="430"/>
      <c r="BU7" s="430"/>
      <c r="BV7" s="430"/>
      <c r="BW7" s="430"/>
      <c r="BX7" s="430"/>
      <c r="BY7" s="430"/>
      <c r="BZ7" s="430"/>
      <c r="CA7" s="430"/>
      <c r="CB7" s="430"/>
      <c r="CC7" s="430"/>
      <c r="CD7" s="430"/>
      <c r="CE7" s="430"/>
      <c r="CF7" s="430"/>
      <c r="CG7" s="430"/>
      <c r="CH7" s="430"/>
      <c r="CI7" s="430"/>
      <c r="CJ7" s="430"/>
      <c r="CK7" s="430"/>
      <c r="CL7" s="430"/>
      <c r="CM7" s="430"/>
      <c r="CN7" s="430"/>
      <c r="CO7" s="430"/>
      <c r="CP7" s="430"/>
      <c r="CQ7" s="430"/>
      <c r="CR7" s="430"/>
      <c r="CS7" s="430"/>
      <c r="CT7" s="430"/>
      <c r="CU7" s="430"/>
      <c r="CV7" s="430"/>
      <c r="CW7" s="430"/>
      <c r="CX7" s="430"/>
      <c r="CY7" s="430"/>
      <c r="CZ7" s="430"/>
      <c r="DA7" s="432"/>
      <c r="DB7" s="432"/>
      <c r="DC7" s="432"/>
      <c r="DD7" s="432"/>
      <c r="DE7" s="432"/>
      <c r="DF7" s="432"/>
      <c r="DG7" s="430"/>
      <c r="DH7" s="430"/>
      <c r="DI7" s="430"/>
      <c r="DJ7" s="430"/>
      <c r="DK7" s="430"/>
      <c r="DL7" s="430"/>
      <c r="DM7" s="430"/>
      <c r="DN7" s="430"/>
      <c r="DO7" s="430"/>
      <c r="DP7" s="430"/>
      <c r="DQ7" s="430"/>
      <c r="DR7" s="430"/>
      <c r="DS7" s="430"/>
      <c r="DT7" s="430"/>
      <c r="DU7" s="430"/>
      <c r="DV7" s="430"/>
      <c r="DW7" s="430"/>
      <c r="DX7" s="430"/>
      <c r="DY7" s="430"/>
      <c r="DZ7" s="430"/>
      <c r="EA7" s="430"/>
      <c r="EB7" s="430"/>
      <c r="EC7" s="430"/>
      <c r="ED7" s="430"/>
      <c r="EE7" s="430"/>
      <c r="EF7" s="436"/>
    </row>
    <row r="8" spans="1:136" ht="15" customHeight="1">
      <c r="A8" s="437" t="s">
        <v>352</v>
      </c>
      <c r="B8" s="369"/>
      <c r="C8" s="369"/>
      <c r="D8" s="369"/>
      <c r="E8" s="369"/>
      <c r="F8" s="369"/>
      <c r="G8" s="370"/>
      <c r="H8" s="438">
        <f>ROW()-7</f>
        <v>1</v>
      </c>
      <c r="I8" s="439"/>
      <c r="J8" s="440"/>
      <c r="K8" s="441"/>
      <c r="L8" s="441"/>
      <c r="M8" s="441"/>
      <c r="N8" s="441"/>
      <c r="O8" s="441"/>
      <c r="P8" s="441"/>
      <c r="Q8" s="441"/>
      <c r="R8" s="442"/>
      <c r="S8" s="443"/>
      <c r="T8" s="351"/>
      <c r="U8" s="444"/>
      <c r="V8" s="440"/>
      <c r="W8" s="441"/>
      <c r="X8" s="441"/>
      <c r="Y8" s="441"/>
      <c r="Z8" s="441"/>
      <c r="AA8" s="442"/>
      <c r="AB8" s="440"/>
      <c r="AC8" s="441"/>
      <c r="AD8" s="442"/>
      <c r="AE8" s="440"/>
      <c r="AF8" s="441"/>
      <c r="AG8" s="442"/>
      <c r="AH8" s="438"/>
      <c r="AI8" s="453"/>
      <c r="AJ8" s="439"/>
      <c r="AK8" s="448"/>
      <c r="AL8" s="449"/>
      <c r="AM8" s="449"/>
      <c r="AN8" s="450"/>
      <c r="AO8" s="454"/>
      <c r="AP8" s="454"/>
      <c r="AQ8" s="454"/>
      <c r="AR8" s="454"/>
      <c r="AS8" s="454"/>
      <c r="AT8" s="454"/>
      <c r="AU8" s="454"/>
      <c r="AV8" s="454"/>
      <c r="AW8" s="454"/>
      <c r="AX8" s="454"/>
      <c r="AY8" s="454"/>
      <c r="AZ8" s="454"/>
      <c r="BA8" s="454"/>
      <c r="BB8" s="454"/>
      <c r="BC8" s="454"/>
      <c r="BD8" s="454"/>
      <c r="BE8" s="454"/>
      <c r="BF8" s="454"/>
      <c r="BG8" s="454"/>
      <c r="BH8" s="454"/>
      <c r="BI8" s="454"/>
      <c r="BJ8" s="454"/>
      <c r="BK8" s="454"/>
      <c r="BL8" s="445"/>
      <c r="BM8" s="446"/>
      <c r="BN8" s="446"/>
      <c r="BO8" s="446"/>
      <c r="BP8" s="446"/>
      <c r="BQ8" s="446"/>
      <c r="BR8" s="446"/>
      <c r="BS8" s="446"/>
      <c r="BT8" s="446"/>
      <c r="BU8" s="446"/>
      <c r="BV8" s="446"/>
      <c r="BW8" s="446"/>
      <c r="BX8" s="446"/>
      <c r="BY8" s="446"/>
      <c r="BZ8" s="446"/>
      <c r="CA8" s="446"/>
      <c r="CB8" s="447"/>
      <c r="CC8" s="445"/>
      <c r="CD8" s="446"/>
      <c r="CE8" s="446"/>
      <c r="CF8" s="446"/>
      <c r="CG8" s="446"/>
      <c r="CH8" s="446"/>
      <c r="CI8" s="446"/>
      <c r="CJ8" s="446"/>
      <c r="CK8" s="446"/>
      <c r="CL8" s="446"/>
      <c r="CM8" s="446"/>
      <c r="CN8" s="447"/>
      <c r="CO8" s="445"/>
      <c r="CP8" s="446"/>
      <c r="CQ8" s="446"/>
      <c r="CR8" s="446"/>
      <c r="CS8" s="446"/>
      <c r="CT8" s="446"/>
      <c r="CU8" s="446"/>
      <c r="CV8" s="446"/>
      <c r="CW8" s="446"/>
      <c r="CX8" s="446"/>
      <c r="CY8" s="446"/>
      <c r="CZ8" s="447"/>
      <c r="DA8" s="448" t="s">
        <v>353</v>
      </c>
      <c r="DB8" s="449"/>
      <c r="DC8" s="449"/>
      <c r="DD8" s="449"/>
      <c r="DE8" s="449"/>
      <c r="DF8" s="450"/>
      <c r="DG8" s="445"/>
      <c r="DH8" s="446"/>
      <c r="DI8" s="446"/>
      <c r="DJ8" s="446"/>
      <c r="DK8" s="446"/>
      <c r="DL8" s="446"/>
      <c r="DM8" s="446"/>
      <c r="DN8" s="446"/>
      <c r="DO8" s="446"/>
      <c r="DP8" s="446"/>
      <c r="DQ8" s="446"/>
      <c r="DR8" s="446"/>
      <c r="DS8" s="447"/>
      <c r="DT8" s="445"/>
      <c r="DU8" s="446"/>
      <c r="DV8" s="446"/>
      <c r="DW8" s="446"/>
      <c r="DX8" s="446"/>
      <c r="DY8" s="446"/>
      <c r="DZ8" s="446"/>
      <c r="EA8" s="446"/>
      <c r="EB8" s="446"/>
      <c r="EC8" s="446"/>
      <c r="ED8" s="446"/>
      <c r="EE8" s="446"/>
      <c r="EF8" s="451"/>
    </row>
    <row r="9" spans="1:136" ht="15" customHeight="1">
      <c r="A9" s="437"/>
      <c r="B9" s="369"/>
      <c r="C9" s="369"/>
      <c r="D9" s="369"/>
      <c r="E9" s="369"/>
      <c r="F9" s="369"/>
      <c r="G9" s="370"/>
      <c r="H9" s="438">
        <f t="shared" ref="H9:H51" si="0">ROW()-7</f>
        <v>2</v>
      </c>
      <c r="I9" s="439"/>
      <c r="J9" s="443"/>
      <c r="K9" s="351"/>
      <c r="L9" s="351"/>
      <c r="M9" s="351"/>
      <c r="N9" s="351"/>
      <c r="O9" s="351"/>
      <c r="P9" s="351"/>
      <c r="Q9" s="351"/>
      <c r="R9" s="444"/>
      <c r="S9" s="452"/>
      <c r="T9" s="452"/>
      <c r="U9" s="452"/>
      <c r="V9" s="443"/>
      <c r="W9" s="351"/>
      <c r="X9" s="351"/>
      <c r="Y9" s="351"/>
      <c r="Z9" s="351"/>
      <c r="AA9" s="444"/>
      <c r="AB9" s="443"/>
      <c r="AC9" s="351"/>
      <c r="AD9" s="444"/>
      <c r="AE9" s="443"/>
      <c r="AF9" s="351"/>
      <c r="AG9" s="444"/>
      <c r="AH9" s="462"/>
      <c r="AI9" s="463"/>
      <c r="AJ9" s="464"/>
      <c r="AK9" s="455"/>
      <c r="AL9" s="456"/>
      <c r="AM9" s="456"/>
      <c r="AN9" s="457"/>
      <c r="AO9" s="465"/>
      <c r="AP9" s="465"/>
      <c r="AQ9" s="465"/>
      <c r="AR9" s="465"/>
      <c r="AS9" s="465"/>
      <c r="AT9" s="465"/>
      <c r="AU9" s="465"/>
      <c r="AV9" s="465"/>
      <c r="AW9" s="465"/>
      <c r="AX9" s="465"/>
      <c r="AY9" s="465"/>
      <c r="AZ9" s="465"/>
      <c r="BA9" s="465"/>
      <c r="BB9" s="465"/>
      <c r="BC9" s="465"/>
      <c r="BD9" s="465"/>
      <c r="BE9" s="465"/>
      <c r="BF9" s="465"/>
      <c r="BG9" s="465"/>
      <c r="BH9" s="465"/>
      <c r="BI9" s="465"/>
      <c r="BJ9" s="465"/>
      <c r="BK9" s="465"/>
      <c r="BL9" s="466"/>
      <c r="BM9" s="325"/>
      <c r="BN9" s="325"/>
      <c r="BO9" s="325"/>
      <c r="BP9" s="325"/>
      <c r="BQ9" s="325"/>
      <c r="BR9" s="325"/>
      <c r="BS9" s="325"/>
      <c r="BT9" s="325"/>
      <c r="BU9" s="325"/>
      <c r="BV9" s="325"/>
      <c r="BW9" s="325"/>
      <c r="BX9" s="325"/>
      <c r="BY9" s="325"/>
      <c r="BZ9" s="325"/>
      <c r="CA9" s="325"/>
      <c r="CB9" s="467"/>
      <c r="CC9" s="458"/>
      <c r="CD9" s="459"/>
      <c r="CE9" s="459"/>
      <c r="CF9" s="459"/>
      <c r="CG9" s="459"/>
      <c r="CH9" s="459"/>
      <c r="CI9" s="459"/>
      <c r="CJ9" s="459"/>
      <c r="CK9" s="459"/>
      <c r="CL9" s="459"/>
      <c r="CM9" s="459"/>
      <c r="CN9" s="460"/>
      <c r="CO9" s="458"/>
      <c r="CP9" s="459"/>
      <c r="CQ9" s="459"/>
      <c r="CR9" s="459"/>
      <c r="CS9" s="459"/>
      <c r="CT9" s="459"/>
      <c r="CU9" s="459"/>
      <c r="CV9" s="459"/>
      <c r="CW9" s="459"/>
      <c r="CX9" s="459"/>
      <c r="CY9" s="459"/>
      <c r="CZ9" s="460"/>
      <c r="DA9" s="455" t="s">
        <v>353</v>
      </c>
      <c r="DB9" s="456"/>
      <c r="DC9" s="456"/>
      <c r="DD9" s="456"/>
      <c r="DE9" s="456"/>
      <c r="DF9" s="457"/>
      <c r="DG9" s="458"/>
      <c r="DH9" s="459"/>
      <c r="DI9" s="459"/>
      <c r="DJ9" s="459"/>
      <c r="DK9" s="459"/>
      <c r="DL9" s="459"/>
      <c r="DM9" s="459"/>
      <c r="DN9" s="459"/>
      <c r="DO9" s="459"/>
      <c r="DP9" s="459"/>
      <c r="DQ9" s="459"/>
      <c r="DR9" s="459"/>
      <c r="DS9" s="460"/>
      <c r="DT9" s="458"/>
      <c r="DU9" s="459"/>
      <c r="DV9" s="459"/>
      <c r="DW9" s="459"/>
      <c r="DX9" s="459"/>
      <c r="DY9" s="459"/>
      <c r="DZ9" s="459"/>
      <c r="EA9" s="459"/>
      <c r="EB9" s="459"/>
      <c r="EC9" s="459"/>
      <c r="ED9" s="459"/>
      <c r="EE9" s="459"/>
      <c r="EF9" s="461"/>
    </row>
    <row r="10" spans="1:136" ht="15" customHeight="1">
      <c r="A10" s="437"/>
      <c r="B10" s="369"/>
      <c r="C10" s="369"/>
      <c r="D10" s="369"/>
      <c r="E10" s="369"/>
      <c r="F10" s="369"/>
      <c r="G10" s="370"/>
      <c r="H10" s="438">
        <f t="shared" si="0"/>
        <v>3</v>
      </c>
      <c r="I10" s="439"/>
      <c r="J10" s="443"/>
      <c r="K10" s="351"/>
      <c r="L10" s="351"/>
      <c r="M10" s="351"/>
      <c r="N10" s="351"/>
      <c r="O10" s="351"/>
      <c r="P10" s="351"/>
      <c r="Q10" s="351"/>
      <c r="R10" s="444"/>
      <c r="S10" s="452"/>
      <c r="T10" s="452"/>
      <c r="U10" s="452"/>
      <c r="V10" s="443"/>
      <c r="W10" s="351"/>
      <c r="X10" s="351"/>
      <c r="Y10" s="351"/>
      <c r="Z10" s="351"/>
      <c r="AA10" s="444"/>
      <c r="AB10" s="443"/>
      <c r="AC10" s="351"/>
      <c r="AD10" s="444"/>
      <c r="AE10" s="443"/>
      <c r="AF10" s="351"/>
      <c r="AG10" s="444"/>
      <c r="AH10" s="462"/>
      <c r="AI10" s="463"/>
      <c r="AJ10" s="464"/>
      <c r="AK10" s="455"/>
      <c r="AL10" s="456"/>
      <c r="AM10" s="456"/>
      <c r="AN10" s="457"/>
      <c r="AO10" s="465"/>
      <c r="AP10" s="465"/>
      <c r="AQ10" s="465"/>
      <c r="AR10" s="465"/>
      <c r="AS10" s="465"/>
      <c r="AT10" s="465"/>
      <c r="AU10" s="465"/>
      <c r="AV10" s="465"/>
      <c r="AW10" s="465"/>
      <c r="AX10" s="465"/>
      <c r="AY10" s="465"/>
      <c r="AZ10" s="465"/>
      <c r="BA10" s="465"/>
      <c r="BB10" s="465"/>
      <c r="BC10" s="465"/>
      <c r="BD10" s="465"/>
      <c r="BE10" s="465"/>
      <c r="BF10" s="465"/>
      <c r="BG10" s="465"/>
      <c r="BH10" s="465"/>
      <c r="BI10" s="465"/>
      <c r="BJ10" s="465"/>
      <c r="BK10" s="465"/>
      <c r="BL10" s="466"/>
      <c r="BM10" s="325"/>
      <c r="BN10" s="325"/>
      <c r="BO10" s="325"/>
      <c r="BP10" s="325"/>
      <c r="BQ10" s="325"/>
      <c r="BR10" s="325"/>
      <c r="BS10" s="325"/>
      <c r="BT10" s="325"/>
      <c r="BU10" s="325"/>
      <c r="BV10" s="325"/>
      <c r="BW10" s="325"/>
      <c r="BX10" s="325"/>
      <c r="BY10" s="325"/>
      <c r="BZ10" s="325"/>
      <c r="CA10" s="325"/>
      <c r="CB10" s="467"/>
      <c r="CC10" s="458"/>
      <c r="CD10" s="459"/>
      <c r="CE10" s="459"/>
      <c r="CF10" s="459"/>
      <c r="CG10" s="459"/>
      <c r="CH10" s="459"/>
      <c r="CI10" s="459"/>
      <c r="CJ10" s="459"/>
      <c r="CK10" s="459"/>
      <c r="CL10" s="459"/>
      <c r="CM10" s="459"/>
      <c r="CN10" s="460"/>
      <c r="CO10" s="458"/>
      <c r="CP10" s="459"/>
      <c r="CQ10" s="459"/>
      <c r="CR10" s="459"/>
      <c r="CS10" s="459"/>
      <c r="CT10" s="459"/>
      <c r="CU10" s="459"/>
      <c r="CV10" s="459"/>
      <c r="CW10" s="459"/>
      <c r="CX10" s="459"/>
      <c r="CY10" s="459"/>
      <c r="CZ10" s="460"/>
      <c r="DA10" s="455" t="s">
        <v>353</v>
      </c>
      <c r="DB10" s="456"/>
      <c r="DC10" s="456"/>
      <c r="DD10" s="456"/>
      <c r="DE10" s="456"/>
      <c r="DF10" s="457"/>
      <c r="DG10" s="458"/>
      <c r="DH10" s="459"/>
      <c r="DI10" s="459"/>
      <c r="DJ10" s="459"/>
      <c r="DK10" s="459"/>
      <c r="DL10" s="459"/>
      <c r="DM10" s="459"/>
      <c r="DN10" s="459"/>
      <c r="DO10" s="459"/>
      <c r="DP10" s="459"/>
      <c r="DQ10" s="459"/>
      <c r="DR10" s="459"/>
      <c r="DS10" s="460"/>
      <c r="DT10" s="458"/>
      <c r="DU10" s="459"/>
      <c r="DV10" s="459"/>
      <c r="DW10" s="459"/>
      <c r="DX10" s="459"/>
      <c r="DY10" s="459"/>
      <c r="DZ10" s="459"/>
      <c r="EA10" s="459"/>
      <c r="EB10" s="459"/>
      <c r="EC10" s="459"/>
      <c r="ED10" s="459"/>
      <c r="EE10" s="459"/>
      <c r="EF10" s="461"/>
    </row>
    <row r="11" spans="1:136" ht="15" customHeight="1">
      <c r="A11" s="437"/>
      <c r="B11" s="369"/>
      <c r="C11" s="369"/>
      <c r="D11" s="369"/>
      <c r="E11" s="369"/>
      <c r="F11" s="369"/>
      <c r="G11" s="370"/>
      <c r="H11" s="438">
        <f t="shared" si="0"/>
        <v>4</v>
      </c>
      <c r="I11" s="439"/>
      <c r="J11" s="443"/>
      <c r="K11" s="351"/>
      <c r="L11" s="351"/>
      <c r="M11" s="351"/>
      <c r="N11" s="351"/>
      <c r="O11" s="351"/>
      <c r="P11" s="351"/>
      <c r="Q11" s="351"/>
      <c r="R11" s="444"/>
      <c r="S11" s="452"/>
      <c r="T11" s="452"/>
      <c r="U11" s="452"/>
      <c r="V11" s="443"/>
      <c r="W11" s="351"/>
      <c r="X11" s="351"/>
      <c r="Y11" s="351"/>
      <c r="Z11" s="351"/>
      <c r="AA11" s="444"/>
      <c r="AB11" s="443"/>
      <c r="AC11" s="351"/>
      <c r="AD11" s="444"/>
      <c r="AE11" s="443"/>
      <c r="AF11" s="351"/>
      <c r="AG11" s="444"/>
      <c r="AH11" s="462"/>
      <c r="AI11" s="463"/>
      <c r="AJ11" s="464"/>
      <c r="AK11" s="455"/>
      <c r="AL11" s="456"/>
      <c r="AM11" s="456"/>
      <c r="AN11" s="457"/>
      <c r="AO11" s="465"/>
      <c r="AP11" s="465"/>
      <c r="AQ11" s="465"/>
      <c r="AR11" s="465"/>
      <c r="AS11" s="465"/>
      <c r="AT11" s="465"/>
      <c r="AU11" s="465"/>
      <c r="AV11" s="465"/>
      <c r="AW11" s="465"/>
      <c r="AX11" s="465"/>
      <c r="AY11" s="465"/>
      <c r="AZ11" s="465"/>
      <c r="BA11" s="465"/>
      <c r="BB11" s="465"/>
      <c r="BC11" s="465"/>
      <c r="BD11" s="465"/>
      <c r="BE11" s="465"/>
      <c r="BF11" s="465"/>
      <c r="BG11" s="465"/>
      <c r="BH11" s="465"/>
      <c r="BI11" s="465"/>
      <c r="BJ11" s="465"/>
      <c r="BK11" s="465"/>
      <c r="BL11" s="466"/>
      <c r="BM11" s="325"/>
      <c r="BN11" s="325"/>
      <c r="BO11" s="325"/>
      <c r="BP11" s="325"/>
      <c r="BQ11" s="325"/>
      <c r="BR11" s="325"/>
      <c r="BS11" s="325"/>
      <c r="BT11" s="325"/>
      <c r="BU11" s="325"/>
      <c r="BV11" s="325"/>
      <c r="BW11" s="325"/>
      <c r="BX11" s="325"/>
      <c r="BY11" s="325"/>
      <c r="BZ11" s="325"/>
      <c r="CA11" s="325"/>
      <c r="CB11" s="467"/>
      <c r="CC11" s="458"/>
      <c r="CD11" s="459"/>
      <c r="CE11" s="459"/>
      <c r="CF11" s="459"/>
      <c r="CG11" s="459"/>
      <c r="CH11" s="459"/>
      <c r="CI11" s="459"/>
      <c r="CJ11" s="459"/>
      <c r="CK11" s="459"/>
      <c r="CL11" s="459"/>
      <c r="CM11" s="459"/>
      <c r="CN11" s="460"/>
      <c r="CO11" s="458"/>
      <c r="CP11" s="459"/>
      <c r="CQ11" s="459"/>
      <c r="CR11" s="459"/>
      <c r="CS11" s="459"/>
      <c r="CT11" s="459"/>
      <c r="CU11" s="459"/>
      <c r="CV11" s="459"/>
      <c r="CW11" s="459"/>
      <c r="CX11" s="459"/>
      <c r="CY11" s="459"/>
      <c r="CZ11" s="460"/>
      <c r="DA11" s="455" t="s">
        <v>353</v>
      </c>
      <c r="DB11" s="456"/>
      <c r="DC11" s="456"/>
      <c r="DD11" s="456"/>
      <c r="DE11" s="456"/>
      <c r="DF11" s="457"/>
      <c r="DG11" s="458"/>
      <c r="DH11" s="459"/>
      <c r="DI11" s="459"/>
      <c r="DJ11" s="459"/>
      <c r="DK11" s="459"/>
      <c r="DL11" s="459"/>
      <c r="DM11" s="459"/>
      <c r="DN11" s="459"/>
      <c r="DO11" s="459"/>
      <c r="DP11" s="459"/>
      <c r="DQ11" s="459"/>
      <c r="DR11" s="459"/>
      <c r="DS11" s="460"/>
      <c r="DT11" s="458"/>
      <c r="DU11" s="459"/>
      <c r="DV11" s="459"/>
      <c r="DW11" s="459"/>
      <c r="DX11" s="459"/>
      <c r="DY11" s="459"/>
      <c r="DZ11" s="459"/>
      <c r="EA11" s="459"/>
      <c r="EB11" s="459"/>
      <c r="EC11" s="459"/>
      <c r="ED11" s="459"/>
      <c r="EE11" s="459"/>
      <c r="EF11" s="461"/>
    </row>
    <row r="12" spans="1:136" ht="15" customHeight="1">
      <c r="A12" s="437"/>
      <c r="B12" s="369"/>
      <c r="C12" s="369"/>
      <c r="D12" s="369"/>
      <c r="E12" s="369"/>
      <c r="F12" s="369"/>
      <c r="G12" s="370"/>
      <c r="H12" s="438">
        <f t="shared" si="0"/>
        <v>5</v>
      </c>
      <c r="I12" s="439"/>
      <c r="J12" s="443"/>
      <c r="K12" s="351"/>
      <c r="L12" s="351"/>
      <c r="M12" s="351"/>
      <c r="N12" s="351"/>
      <c r="O12" s="351"/>
      <c r="P12" s="351"/>
      <c r="Q12" s="351"/>
      <c r="R12" s="444"/>
      <c r="S12" s="452"/>
      <c r="T12" s="452"/>
      <c r="U12" s="452"/>
      <c r="V12" s="443"/>
      <c r="W12" s="351"/>
      <c r="X12" s="351"/>
      <c r="Y12" s="351"/>
      <c r="Z12" s="351"/>
      <c r="AA12" s="444"/>
      <c r="AB12" s="443"/>
      <c r="AC12" s="351"/>
      <c r="AD12" s="444"/>
      <c r="AE12" s="443"/>
      <c r="AF12" s="351"/>
      <c r="AG12" s="444"/>
      <c r="AH12" s="462"/>
      <c r="AI12" s="463"/>
      <c r="AJ12" s="464"/>
      <c r="AK12" s="455"/>
      <c r="AL12" s="456"/>
      <c r="AM12" s="456"/>
      <c r="AN12" s="457"/>
      <c r="AO12" s="465"/>
      <c r="AP12" s="465"/>
      <c r="AQ12" s="465"/>
      <c r="AR12" s="465"/>
      <c r="AS12" s="465"/>
      <c r="AT12" s="465"/>
      <c r="AU12" s="465"/>
      <c r="AV12" s="465"/>
      <c r="AW12" s="465"/>
      <c r="AX12" s="465"/>
      <c r="AY12" s="465"/>
      <c r="AZ12" s="465"/>
      <c r="BA12" s="465"/>
      <c r="BB12" s="465"/>
      <c r="BC12" s="465"/>
      <c r="BD12" s="465"/>
      <c r="BE12" s="465"/>
      <c r="BF12" s="465"/>
      <c r="BG12" s="465"/>
      <c r="BH12" s="465"/>
      <c r="BI12" s="465"/>
      <c r="BJ12" s="465"/>
      <c r="BK12" s="465"/>
      <c r="BL12" s="466"/>
      <c r="BM12" s="325"/>
      <c r="BN12" s="325"/>
      <c r="BO12" s="325"/>
      <c r="BP12" s="325"/>
      <c r="BQ12" s="325"/>
      <c r="BR12" s="325"/>
      <c r="BS12" s="325"/>
      <c r="BT12" s="325"/>
      <c r="BU12" s="325"/>
      <c r="BV12" s="325"/>
      <c r="BW12" s="325"/>
      <c r="BX12" s="325"/>
      <c r="BY12" s="325"/>
      <c r="BZ12" s="325"/>
      <c r="CA12" s="325"/>
      <c r="CB12" s="467"/>
      <c r="CC12" s="458"/>
      <c r="CD12" s="459"/>
      <c r="CE12" s="459"/>
      <c r="CF12" s="459"/>
      <c r="CG12" s="459"/>
      <c r="CH12" s="459"/>
      <c r="CI12" s="459"/>
      <c r="CJ12" s="459"/>
      <c r="CK12" s="459"/>
      <c r="CL12" s="459"/>
      <c r="CM12" s="459"/>
      <c r="CN12" s="460"/>
      <c r="CO12" s="458"/>
      <c r="CP12" s="459"/>
      <c r="CQ12" s="459"/>
      <c r="CR12" s="459"/>
      <c r="CS12" s="459"/>
      <c r="CT12" s="459"/>
      <c r="CU12" s="459"/>
      <c r="CV12" s="459"/>
      <c r="CW12" s="459"/>
      <c r="CX12" s="459"/>
      <c r="CY12" s="459"/>
      <c r="CZ12" s="460"/>
      <c r="DA12" s="455" t="s">
        <v>353</v>
      </c>
      <c r="DB12" s="456"/>
      <c r="DC12" s="456"/>
      <c r="DD12" s="456"/>
      <c r="DE12" s="456"/>
      <c r="DF12" s="457"/>
      <c r="DG12" s="458"/>
      <c r="DH12" s="459"/>
      <c r="DI12" s="459"/>
      <c r="DJ12" s="459"/>
      <c r="DK12" s="459"/>
      <c r="DL12" s="459"/>
      <c r="DM12" s="459"/>
      <c r="DN12" s="459"/>
      <c r="DO12" s="459"/>
      <c r="DP12" s="459"/>
      <c r="DQ12" s="459"/>
      <c r="DR12" s="459"/>
      <c r="DS12" s="460"/>
      <c r="DT12" s="458"/>
      <c r="DU12" s="459"/>
      <c r="DV12" s="459"/>
      <c r="DW12" s="459"/>
      <c r="DX12" s="459"/>
      <c r="DY12" s="459"/>
      <c r="DZ12" s="459"/>
      <c r="EA12" s="459"/>
      <c r="EB12" s="459"/>
      <c r="EC12" s="459"/>
      <c r="ED12" s="459"/>
      <c r="EE12" s="459"/>
      <c r="EF12" s="461"/>
    </row>
    <row r="13" spans="1:136" ht="15" customHeight="1">
      <c r="A13" s="437"/>
      <c r="B13" s="369"/>
      <c r="C13" s="369"/>
      <c r="D13" s="369"/>
      <c r="E13" s="369"/>
      <c r="F13" s="369"/>
      <c r="G13" s="370"/>
      <c r="H13" s="438">
        <f t="shared" si="0"/>
        <v>6</v>
      </c>
      <c r="I13" s="439"/>
      <c r="J13" s="443"/>
      <c r="K13" s="351"/>
      <c r="L13" s="351"/>
      <c r="M13" s="351"/>
      <c r="N13" s="351"/>
      <c r="O13" s="351"/>
      <c r="P13" s="351"/>
      <c r="Q13" s="351"/>
      <c r="R13" s="444"/>
      <c r="S13" s="452"/>
      <c r="T13" s="452"/>
      <c r="U13" s="452"/>
      <c r="V13" s="443"/>
      <c r="W13" s="351"/>
      <c r="X13" s="351"/>
      <c r="Y13" s="351"/>
      <c r="Z13" s="351"/>
      <c r="AA13" s="444"/>
      <c r="AB13" s="443"/>
      <c r="AC13" s="351"/>
      <c r="AD13" s="444"/>
      <c r="AE13" s="443"/>
      <c r="AF13" s="351"/>
      <c r="AG13" s="444"/>
      <c r="AH13" s="462"/>
      <c r="AI13" s="463"/>
      <c r="AJ13" s="464"/>
      <c r="AK13" s="455"/>
      <c r="AL13" s="456"/>
      <c r="AM13" s="456"/>
      <c r="AN13" s="457"/>
      <c r="AO13" s="465"/>
      <c r="AP13" s="465"/>
      <c r="AQ13" s="465"/>
      <c r="AR13" s="465"/>
      <c r="AS13" s="465"/>
      <c r="AT13" s="465"/>
      <c r="AU13" s="465"/>
      <c r="AV13" s="465"/>
      <c r="AW13" s="465"/>
      <c r="AX13" s="465"/>
      <c r="AY13" s="465"/>
      <c r="AZ13" s="465"/>
      <c r="BA13" s="465"/>
      <c r="BB13" s="465"/>
      <c r="BC13" s="465"/>
      <c r="BD13" s="465"/>
      <c r="BE13" s="465"/>
      <c r="BF13" s="465"/>
      <c r="BG13" s="465"/>
      <c r="BH13" s="465"/>
      <c r="BI13" s="465"/>
      <c r="BJ13" s="465"/>
      <c r="BK13" s="465"/>
      <c r="BL13" s="466"/>
      <c r="BM13" s="325"/>
      <c r="BN13" s="325"/>
      <c r="BO13" s="325"/>
      <c r="BP13" s="325"/>
      <c r="BQ13" s="325"/>
      <c r="BR13" s="325"/>
      <c r="BS13" s="325"/>
      <c r="BT13" s="325"/>
      <c r="BU13" s="325"/>
      <c r="BV13" s="325"/>
      <c r="BW13" s="325"/>
      <c r="BX13" s="325"/>
      <c r="BY13" s="325"/>
      <c r="BZ13" s="325"/>
      <c r="CA13" s="325"/>
      <c r="CB13" s="467"/>
      <c r="CC13" s="458"/>
      <c r="CD13" s="459"/>
      <c r="CE13" s="459"/>
      <c r="CF13" s="459"/>
      <c r="CG13" s="459"/>
      <c r="CH13" s="459"/>
      <c r="CI13" s="459"/>
      <c r="CJ13" s="459"/>
      <c r="CK13" s="459"/>
      <c r="CL13" s="459"/>
      <c r="CM13" s="459"/>
      <c r="CN13" s="460"/>
      <c r="CO13" s="458"/>
      <c r="CP13" s="459"/>
      <c r="CQ13" s="459"/>
      <c r="CR13" s="459"/>
      <c r="CS13" s="459"/>
      <c r="CT13" s="459"/>
      <c r="CU13" s="459"/>
      <c r="CV13" s="459"/>
      <c r="CW13" s="459"/>
      <c r="CX13" s="459"/>
      <c r="CY13" s="459"/>
      <c r="CZ13" s="460"/>
      <c r="DA13" s="455" t="s">
        <v>353</v>
      </c>
      <c r="DB13" s="456"/>
      <c r="DC13" s="456"/>
      <c r="DD13" s="456"/>
      <c r="DE13" s="456"/>
      <c r="DF13" s="457"/>
      <c r="DG13" s="458"/>
      <c r="DH13" s="459"/>
      <c r="DI13" s="459"/>
      <c r="DJ13" s="459"/>
      <c r="DK13" s="459"/>
      <c r="DL13" s="459"/>
      <c r="DM13" s="459"/>
      <c r="DN13" s="459"/>
      <c r="DO13" s="459"/>
      <c r="DP13" s="459"/>
      <c r="DQ13" s="459"/>
      <c r="DR13" s="459"/>
      <c r="DS13" s="460"/>
      <c r="DT13" s="458"/>
      <c r="DU13" s="459"/>
      <c r="DV13" s="459"/>
      <c r="DW13" s="459"/>
      <c r="DX13" s="459"/>
      <c r="DY13" s="459"/>
      <c r="DZ13" s="459"/>
      <c r="EA13" s="459"/>
      <c r="EB13" s="459"/>
      <c r="EC13" s="459"/>
      <c r="ED13" s="459"/>
      <c r="EE13" s="459"/>
      <c r="EF13" s="461"/>
    </row>
    <row r="14" spans="1:136" ht="15" customHeight="1">
      <c r="A14" s="437"/>
      <c r="B14" s="369"/>
      <c r="C14" s="369"/>
      <c r="D14" s="369"/>
      <c r="E14" s="369"/>
      <c r="F14" s="369"/>
      <c r="G14" s="370"/>
      <c r="H14" s="438">
        <f t="shared" si="0"/>
        <v>7</v>
      </c>
      <c r="I14" s="439"/>
      <c r="J14" s="443"/>
      <c r="K14" s="351"/>
      <c r="L14" s="351"/>
      <c r="M14" s="351"/>
      <c r="N14" s="351"/>
      <c r="O14" s="351"/>
      <c r="P14" s="351"/>
      <c r="Q14" s="351"/>
      <c r="R14" s="444"/>
      <c r="S14" s="452"/>
      <c r="T14" s="452"/>
      <c r="U14" s="452"/>
      <c r="V14" s="443"/>
      <c r="W14" s="351"/>
      <c r="X14" s="351"/>
      <c r="Y14" s="351"/>
      <c r="Z14" s="351"/>
      <c r="AA14" s="444"/>
      <c r="AB14" s="443"/>
      <c r="AC14" s="351"/>
      <c r="AD14" s="444"/>
      <c r="AE14" s="443"/>
      <c r="AF14" s="351"/>
      <c r="AG14" s="444"/>
      <c r="AH14" s="462"/>
      <c r="AI14" s="463"/>
      <c r="AJ14" s="464"/>
      <c r="AK14" s="455"/>
      <c r="AL14" s="456"/>
      <c r="AM14" s="456"/>
      <c r="AN14" s="457"/>
      <c r="AO14" s="465"/>
      <c r="AP14" s="465"/>
      <c r="AQ14" s="465"/>
      <c r="AR14" s="465"/>
      <c r="AS14" s="465"/>
      <c r="AT14" s="465"/>
      <c r="AU14" s="465"/>
      <c r="AV14" s="465"/>
      <c r="AW14" s="465"/>
      <c r="AX14" s="465"/>
      <c r="AY14" s="465"/>
      <c r="AZ14" s="465"/>
      <c r="BA14" s="465"/>
      <c r="BB14" s="465"/>
      <c r="BC14" s="465"/>
      <c r="BD14" s="465"/>
      <c r="BE14" s="465"/>
      <c r="BF14" s="465"/>
      <c r="BG14" s="465"/>
      <c r="BH14" s="465"/>
      <c r="BI14" s="465"/>
      <c r="BJ14" s="465"/>
      <c r="BK14" s="465"/>
      <c r="BL14" s="466"/>
      <c r="BM14" s="325"/>
      <c r="BN14" s="325"/>
      <c r="BO14" s="325"/>
      <c r="BP14" s="325"/>
      <c r="BQ14" s="325"/>
      <c r="BR14" s="325"/>
      <c r="BS14" s="325"/>
      <c r="BT14" s="325"/>
      <c r="BU14" s="325"/>
      <c r="BV14" s="325"/>
      <c r="BW14" s="325"/>
      <c r="BX14" s="325"/>
      <c r="BY14" s="325"/>
      <c r="BZ14" s="325"/>
      <c r="CA14" s="325"/>
      <c r="CB14" s="467"/>
      <c r="CC14" s="458"/>
      <c r="CD14" s="459"/>
      <c r="CE14" s="459"/>
      <c r="CF14" s="459"/>
      <c r="CG14" s="459"/>
      <c r="CH14" s="459"/>
      <c r="CI14" s="459"/>
      <c r="CJ14" s="459"/>
      <c r="CK14" s="459"/>
      <c r="CL14" s="459"/>
      <c r="CM14" s="459"/>
      <c r="CN14" s="460"/>
      <c r="CO14" s="458"/>
      <c r="CP14" s="459"/>
      <c r="CQ14" s="459"/>
      <c r="CR14" s="459"/>
      <c r="CS14" s="459"/>
      <c r="CT14" s="459"/>
      <c r="CU14" s="459"/>
      <c r="CV14" s="459"/>
      <c r="CW14" s="459"/>
      <c r="CX14" s="459"/>
      <c r="CY14" s="459"/>
      <c r="CZ14" s="460"/>
      <c r="DA14" s="455" t="s">
        <v>353</v>
      </c>
      <c r="DB14" s="456"/>
      <c r="DC14" s="456"/>
      <c r="DD14" s="456"/>
      <c r="DE14" s="456"/>
      <c r="DF14" s="457"/>
      <c r="DG14" s="458"/>
      <c r="DH14" s="459"/>
      <c r="DI14" s="459"/>
      <c r="DJ14" s="459"/>
      <c r="DK14" s="459"/>
      <c r="DL14" s="459"/>
      <c r="DM14" s="459"/>
      <c r="DN14" s="459"/>
      <c r="DO14" s="459"/>
      <c r="DP14" s="459"/>
      <c r="DQ14" s="459"/>
      <c r="DR14" s="459"/>
      <c r="DS14" s="460"/>
      <c r="DT14" s="458"/>
      <c r="DU14" s="459"/>
      <c r="DV14" s="459"/>
      <c r="DW14" s="459"/>
      <c r="DX14" s="459"/>
      <c r="DY14" s="459"/>
      <c r="DZ14" s="459"/>
      <c r="EA14" s="459"/>
      <c r="EB14" s="459"/>
      <c r="EC14" s="459"/>
      <c r="ED14" s="459"/>
      <c r="EE14" s="459"/>
      <c r="EF14" s="461"/>
    </row>
    <row r="15" spans="1:136" ht="15" customHeight="1">
      <c r="A15" s="437"/>
      <c r="B15" s="369"/>
      <c r="C15" s="369"/>
      <c r="D15" s="369"/>
      <c r="E15" s="369"/>
      <c r="F15" s="369"/>
      <c r="G15" s="370"/>
      <c r="H15" s="438">
        <f t="shared" si="0"/>
        <v>8</v>
      </c>
      <c r="I15" s="439"/>
      <c r="J15" s="443"/>
      <c r="K15" s="351"/>
      <c r="L15" s="351"/>
      <c r="M15" s="351"/>
      <c r="N15" s="351"/>
      <c r="O15" s="351"/>
      <c r="P15" s="351"/>
      <c r="Q15" s="351"/>
      <c r="R15" s="444"/>
      <c r="S15" s="452"/>
      <c r="T15" s="452"/>
      <c r="U15" s="452"/>
      <c r="V15" s="443"/>
      <c r="W15" s="351"/>
      <c r="X15" s="351"/>
      <c r="Y15" s="351"/>
      <c r="Z15" s="351"/>
      <c r="AA15" s="444"/>
      <c r="AB15" s="443"/>
      <c r="AC15" s="351"/>
      <c r="AD15" s="444"/>
      <c r="AE15" s="443"/>
      <c r="AF15" s="351"/>
      <c r="AG15" s="444"/>
      <c r="AH15" s="462"/>
      <c r="AI15" s="463"/>
      <c r="AJ15" s="464"/>
      <c r="AK15" s="455"/>
      <c r="AL15" s="456"/>
      <c r="AM15" s="456"/>
      <c r="AN15" s="457"/>
      <c r="AO15" s="465"/>
      <c r="AP15" s="465"/>
      <c r="AQ15" s="465"/>
      <c r="AR15" s="465"/>
      <c r="AS15" s="465"/>
      <c r="AT15" s="465"/>
      <c r="AU15" s="465"/>
      <c r="AV15" s="465"/>
      <c r="AW15" s="465"/>
      <c r="AX15" s="465"/>
      <c r="AY15" s="465"/>
      <c r="AZ15" s="465"/>
      <c r="BA15" s="465"/>
      <c r="BB15" s="465"/>
      <c r="BC15" s="465"/>
      <c r="BD15" s="465"/>
      <c r="BE15" s="465"/>
      <c r="BF15" s="465"/>
      <c r="BG15" s="465"/>
      <c r="BH15" s="465"/>
      <c r="BI15" s="465"/>
      <c r="BJ15" s="465"/>
      <c r="BK15" s="465"/>
      <c r="BL15" s="466"/>
      <c r="BM15" s="325"/>
      <c r="BN15" s="325"/>
      <c r="BO15" s="325"/>
      <c r="BP15" s="325"/>
      <c r="BQ15" s="325"/>
      <c r="BR15" s="325"/>
      <c r="BS15" s="325"/>
      <c r="BT15" s="325"/>
      <c r="BU15" s="325"/>
      <c r="BV15" s="325"/>
      <c r="BW15" s="325"/>
      <c r="BX15" s="325"/>
      <c r="BY15" s="325"/>
      <c r="BZ15" s="325"/>
      <c r="CA15" s="325"/>
      <c r="CB15" s="467"/>
      <c r="CC15" s="458"/>
      <c r="CD15" s="459"/>
      <c r="CE15" s="459"/>
      <c r="CF15" s="459"/>
      <c r="CG15" s="459"/>
      <c r="CH15" s="459"/>
      <c r="CI15" s="459"/>
      <c r="CJ15" s="459"/>
      <c r="CK15" s="459"/>
      <c r="CL15" s="459"/>
      <c r="CM15" s="459"/>
      <c r="CN15" s="460"/>
      <c r="CO15" s="458"/>
      <c r="CP15" s="459"/>
      <c r="CQ15" s="459"/>
      <c r="CR15" s="459"/>
      <c r="CS15" s="459"/>
      <c r="CT15" s="459"/>
      <c r="CU15" s="459"/>
      <c r="CV15" s="459"/>
      <c r="CW15" s="459"/>
      <c r="CX15" s="459"/>
      <c r="CY15" s="459"/>
      <c r="CZ15" s="460"/>
      <c r="DA15" s="455" t="s">
        <v>353</v>
      </c>
      <c r="DB15" s="456"/>
      <c r="DC15" s="456"/>
      <c r="DD15" s="456"/>
      <c r="DE15" s="456"/>
      <c r="DF15" s="457"/>
      <c r="DG15" s="458"/>
      <c r="DH15" s="459"/>
      <c r="DI15" s="459"/>
      <c r="DJ15" s="459"/>
      <c r="DK15" s="459"/>
      <c r="DL15" s="459"/>
      <c r="DM15" s="459"/>
      <c r="DN15" s="459"/>
      <c r="DO15" s="459"/>
      <c r="DP15" s="459"/>
      <c r="DQ15" s="459"/>
      <c r="DR15" s="459"/>
      <c r="DS15" s="460"/>
      <c r="DT15" s="458"/>
      <c r="DU15" s="459"/>
      <c r="DV15" s="459"/>
      <c r="DW15" s="459"/>
      <c r="DX15" s="459"/>
      <c r="DY15" s="459"/>
      <c r="DZ15" s="459"/>
      <c r="EA15" s="459"/>
      <c r="EB15" s="459"/>
      <c r="EC15" s="459"/>
      <c r="ED15" s="459"/>
      <c r="EE15" s="459"/>
      <c r="EF15" s="461"/>
    </row>
    <row r="16" spans="1:136" ht="15" customHeight="1">
      <c r="A16" s="437"/>
      <c r="B16" s="369"/>
      <c r="C16" s="369"/>
      <c r="D16" s="369"/>
      <c r="E16" s="369"/>
      <c r="F16" s="369"/>
      <c r="G16" s="370"/>
      <c r="H16" s="438">
        <f t="shared" si="0"/>
        <v>9</v>
      </c>
      <c r="I16" s="439"/>
      <c r="J16" s="443"/>
      <c r="K16" s="351"/>
      <c r="L16" s="351"/>
      <c r="M16" s="351"/>
      <c r="N16" s="351"/>
      <c r="O16" s="351"/>
      <c r="P16" s="351"/>
      <c r="Q16" s="351"/>
      <c r="R16" s="444"/>
      <c r="S16" s="452"/>
      <c r="T16" s="452"/>
      <c r="U16" s="452"/>
      <c r="V16" s="443"/>
      <c r="W16" s="351"/>
      <c r="X16" s="351"/>
      <c r="Y16" s="351"/>
      <c r="Z16" s="351"/>
      <c r="AA16" s="444"/>
      <c r="AB16" s="443"/>
      <c r="AC16" s="351"/>
      <c r="AD16" s="444"/>
      <c r="AE16" s="443"/>
      <c r="AF16" s="351"/>
      <c r="AG16" s="444"/>
      <c r="AH16" s="462"/>
      <c r="AI16" s="463"/>
      <c r="AJ16" s="464"/>
      <c r="AK16" s="462"/>
      <c r="AL16" s="463"/>
      <c r="AM16" s="463"/>
      <c r="AN16" s="464"/>
      <c r="AO16" s="465"/>
      <c r="AP16" s="465"/>
      <c r="AQ16" s="465"/>
      <c r="AR16" s="465"/>
      <c r="AS16" s="465"/>
      <c r="AT16" s="465"/>
      <c r="AU16" s="465"/>
      <c r="AV16" s="465"/>
      <c r="AW16" s="465"/>
      <c r="AX16" s="465"/>
      <c r="AY16" s="465"/>
      <c r="AZ16" s="465"/>
      <c r="BA16" s="465"/>
      <c r="BB16" s="465"/>
      <c r="BC16" s="465"/>
      <c r="BD16" s="465"/>
      <c r="BE16" s="465"/>
      <c r="BF16" s="465"/>
      <c r="BG16" s="465"/>
      <c r="BH16" s="465"/>
      <c r="BI16" s="465"/>
      <c r="BJ16" s="465"/>
      <c r="BK16" s="465"/>
      <c r="BL16" s="466"/>
      <c r="BM16" s="325"/>
      <c r="BN16" s="325"/>
      <c r="BO16" s="325"/>
      <c r="BP16" s="325"/>
      <c r="BQ16" s="325"/>
      <c r="BR16" s="325"/>
      <c r="BS16" s="325"/>
      <c r="BT16" s="325"/>
      <c r="BU16" s="325"/>
      <c r="BV16" s="325"/>
      <c r="BW16" s="325"/>
      <c r="BX16" s="325"/>
      <c r="BY16" s="325"/>
      <c r="BZ16" s="325"/>
      <c r="CA16" s="325"/>
      <c r="CB16" s="467"/>
      <c r="CC16" s="458"/>
      <c r="CD16" s="459"/>
      <c r="CE16" s="459"/>
      <c r="CF16" s="459"/>
      <c r="CG16" s="459"/>
      <c r="CH16" s="459"/>
      <c r="CI16" s="459"/>
      <c r="CJ16" s="459"/>
      <c r="CK16" s="459"/>
      <c r="CL16" s="459"/>
      <c r="CM16" s="459"/>
      <c r="CN16" s="460"/>
      <c r="CO16" s="466"/>
      <c r="CP16" s="325"/>
      <c r="CQ16" s="325"/>
      <c r="CR16" s="325"/>
      <c r="CS16" s="325"/>
      <c r="CT16" s="325"/>
      <c r="CU16" s="325"/>
      <c r="CV16" s="325"/>
      <c r="CW16" s="325"/>
      <c r="CX16" s="325"/>
      <c r="CY16" s="325"/>
      <c r="CZ16" s="467"/>
      <c r="DA16" s="455" t="s">
        <v>353</v>
      </c>
      <c r="DB16" s="456"/>
      <c r="DC16" s="456"/>
      <c r="DD16" s="456"/>
      <c r="DE16" s="456"/>
      <c r="DF16" s="457"/>
      <c r="DG16" s="466"/>
      <c r="DH16" s="325"/>
      <c r="DI16" s="325"/>
      <c r="DJ16" s="325"/>
      <c r="DK16" s="325"/>
      <c r="DL16" s="325"/>
      <c r="DM16" s="325"/>
      <c r="DN16" s="325"/>
      <c r="DO16" s="325"/>
      <c r="DP16" s="325"/>
      <c r="DQ16" s="325"/>
      <c r="DR16" s="325"/>
      <c r="DS16" s="467"/>
      <c r="DT16" s="466"/>
      <c r="DU16" s="325"/>
      <c r="DV16" s="325"/>
      <c r="DW16" s="325"/>
      <c r="DX16" s="325"/>
      <c r="DY16" s="325"/>
      <c r="DZ16" s="325"/>
      <c r="EA16" s="325"/>
      <c r="EB16" s="325"/>
      <c r="EC16" s="325"/>
      <c r="ED16" s="325"/>
      <c r="EE16" s="325"/>
      <c r="EF16" s="326"/>
    </row>
    <row r="17" spans="1:136" ht="15" customHeight="1">
      <c r="A17" s="474" t="s">
        <v>354</v>
      </c>
      <c r="B17" s="475"/>
      <c r="C17" s="475"/>
      <c r="D17" s="475"/>
      <c r="E17" s="475"/>
      <c r="F17" s="475"/>
      <c r="G17" s="476"/>
      <c r="H17" s="438">
        <f t="shared" si="0"/>
        <v>10</v>
      </c>
      <c r="I17" s="439"/>
      <c r="J17" s="443"/>
      <c r="K17" s="351"/>
      <c r="L17" s="351"/>
      <c r="M17" s="351"/>
      <c r="N17" s="351"/>
      <c r="O17" s="351"/>
      <c r="P17" s="351"/>
      <c r="Q17" s="351"/>
      <c r="R17" s="444"/>
      <c r="S17" s="452"/>
      <c r="T17" s="452"/>
      <c r="U17" s="452"/>
      <c r="V17" s="466"/>
      <c r="W17" s="325"/>
      <c r="X17" s="325"/>
      <c r="Y17" s="325"/>
      <c r="Z17" s="325"/>
      <c r="AA17" s="467"/>
      <c r="AB17" s="466"/>
      <c r="AC17" s="325"/>
      <c r="AD17" s="467"/>
      <c r="AE17" s="466"/>
      <c r="AF17" s="325"/>
      <c r="AG17" s="467"/>
      <c r="AH17" s="462"/>
      <c r="AI17" s="463"/>
      <c r="AJ17" s="464"/>
      <c r="AK17" s="455"/>
      <c r="AL17" s="456"/>
      <c r="AM17" s="456"/>
      <c r="AN17" s="457"/>
      <c r="AO17" s="466"/>
      <c r="AP17" s="325"/>
      <c r="AQ17" s="325"/>
      <c r="AR17" s="325"/>
      <c r="AS17" s="325"/>
      <c r="AT17" s="325"/>
      <c r="AU17" s="325"/>
      <c r="AV17" s="325"/>
      <c r="AW17" s="325"/>
      <c r="AX17" s="325"/>
      <c r="AY17" s="325"/>
      <c r="AZ17" s="325"/>
      <c r="BA17" s="325"/>
      <c r="BB17" s="325"/>
      <c r="BC17" s="325"/>
      <c r="BD17" s="325"/>
      <c r="BE17" s="325"/>
      <c r="BF17" s="325"/>
      <c r="BG17" s="325"/>
      <c r="BH17" s="325"/>
      <c r="BI17" s="325"/>
      <c r="BJ17" s="325"/>
      <c r="BK17" s="467"/>
      <c r="BL17" s="466"/>
      <c r="BM17" s="325"/>
      <c r="BN17" s="325"/>
      <c r="BO17" s="325"/>
      <c r="BP17" s="325"/>
      <c r="BQ17" s="325"/>
      <c r="BR17" s="325"/>
      <c r="BS17" s="325"/>
      <c r="BT17" s="325"/>
      <c r="BU17" s="325"/>
      <c r="BV17" s="325"/>
      <c r="BW17" s="325"/>
      <c r="BX17" s="325"/>
      <c r="BY17" s="325"/>
      <c r="BZ17" s="325"/>
      <c r="CA17" s="325"/>
      <c r="CB17" s="467"/>
      <c r="CC17" s="466"/>
      <c r="CD17" s="325"/>
      <c r="CE17" s="325"/>
      <c r="CF17" s="325"/>
      <c r="CG17" s="325"/>
      <c r="CH17" s="325"/>
      <c r="CI17" s="325"/>
      <c r="CJ17" s="325"/>
      <c r="CK17" s="325"/>
      <c r="CL17" s="325"/>
      <c r="CM17" s="325"/>
      <c r="CN17" s="467"/>
      <c r="CO17" s="466"/>
      <c r="CP17" s="325"/>
      <c r="CQ17" s="325"/>
      <c r="CR17" s="325"/>
      <c r="CS17" s="325"/>
      <c r="CT17" s="325"/>
      <c r="CU17" s="325"/>
      <c r="CV17" s="325"/>
      <c r="CW17" s="325"/>
      <c r="CX17" s="325"/>
      <c r="CY17" s="325"/>
      <c r="CZ17" s="467"/>
      <c r="DA17" s="455" t="s">
        <v>353</v>
      </c>
      <c r="DB17" s="456"/>
      <c r="DC17" s="456"/>
      <c r="DD17" s="456"/>
      <c r="DE17" s="456"/>
      <c r="DF17" s="457"/>
      <c r="DG17" s="466"/>
      <c r="DH17" s="325"/>
      <c r="DI17" s="325"/>
      <c r="DJ17" s="325"/>
      <c r="DK17" s="325"/>
      <c r="DL17" s="325"/>
      <c r="DM17" s="325"/>
      <c r="DN17" s="325"/>
      <c r="DO17" s="325"/>
      <c r="DP17" s="325"/>
      <c r="DQ17" s="325"/>
      <c r="DR17" s="325"/>
      <c r="DS17" s="467"/>
      <c r="DT17" s="466"/>
      <c r="DU17" s="325"/>
      <c r="DV17" s="325"/>
      <c r="DW17" s="325"/>
      <c r="DX17" s="325"/>
      <c r="DY17" s="325"/>
      <c r="DZ17" s="325"/>
      <c r="EA17" s="325"/>
      <c r="EB17" s="325"/>
      <c r="EC17" s="325"/>
      <c r="ED17" s="325"/>
      <c r="EE17" s="325"/>
      <c r="EF17" s="326"/>
    </row>
    <row r="18" spans="1:136" ht="15" customHeight="1">
      <c r="A18" s="468" t="s">
        <v>355</v>
      </c>
      <c r="B18" s="469"/>
      <c r="C18" s="469"/>
      <c r="D18" s="469"/>
      <c r="E18" s="469"/>
      <c r="F18" s="469"/>
      <c r="G18" s="470"/>
      <c r="H18" s="438">
        <f t="shared" si="0"/>
        <v>11</v>
      </c>
      <c r="I18" s="439"/>
      <c r="J18" s="443"/>
      <c r="K18" s="351"/>
      <c r="L18" s="351"/>
      <c r="M18" s="351"/>
      <c r="N18" s="351"/>
      <c r="O18" s="351"/>
      <c r="P18" s="351"/>
      <c r="Q18" s="351"/>
      <c r="R18" s="444"/>
      <c r="S18" s="452"/>
      <c r="T18" s="452"/>
      <c r="U18" s="452"/>
      <c r="V18" s="466"/>
      <c r="W18" s="325"/>
      <c r="X18" s="325"/>
      <c r="Y18" s="325"/>
      <c r="Z18" s="325"/>
      <c r="AA18" s="467"/>
      <c r="AB18" s="466"/>
      <c r="AC18" s="325"/>
      <c r="AD18" s="467"/>
      <c r="AE18" s="466"/>
      <c r="AF18" s="325"/>
      <c r="AG18" s="467"/>
      <c r="AH18" s="462"/>
      <c r="AI18" s="463"/>
      <c r="AJ18" s="464"/>
      <c r="AK18" s="455"/>
      <c r="AL18" s="456"/>
      <c r="AM18" s="456"/>
      <c r="AN18" s="457"/>
      <c r="AO18" s="466"/>
      <c r="AP18" s="325"/>
      <c r="AQ18" s="325"/>
      <c r="AR18" s="325"/>
      <c r="AS18" s="325"/>
      <c r="AT18" s="325"/>
      <c r="AU18" s="325"/>
      <c r="AV18" s="325"/>
      <c r="AW18" s="325"/>
      <c r="AX18" s="325"/>
      <c r="AY18" s="325"/>
      <c r="AZ18" s="325"/>
      <c r="BA18" s="325"/>
      <c r="BB18" s="325"/>
      <c r="BC18" s="325"/>
      <c r="BD18" s="325"/>
      <c r="BE18" s="325"/>
      <c r="BF18" s="325"/>
      <c r="BG18" s="325"/>
      <c r="BH18" s="325"/>
      <c r="BI18" s="325"/>
      <c r="BJ18" s="325"/>
      <c r="BK18" s="467"/>
      <c r="BL18" s="466"/>
      <c r="BM18" s="325"/>
      <c r="BN18" s="325"/>
      <c r="BO18" s="325"/>
      <c r="BP18" s="325"/>
      <c r="BQ18" s="325"/>
      <c r="BR18" s="325"/>
      <c r="BS18" s="325"/>
      <c r="BT18" s="325"/>
      <c r="BU18" s="325"/>
      <c r="BV18" s="325"/>
      <c r="BW18" s="325"/>
      <c r="BX18" s="325"/>
      <c r="BY18" s="325"/>
      <c r="BZ18" s="325"/>
      <c r="CA18" s="325"/>
      <c r="CB18" s="467"/>
      <c r="CC18" s="466"/>
      <c r="CD18" s="325"/>
      <c r="CE18" s="325"/>
      <c r="CF18" s="325"/>
      <c r="CG18" s="325"/>
      <c r="CH18" s="325"/>
      <c r="CI18" s="325"/>
      <c r="CJ18" s="325"/>
      <c r="CK18" s="325"/>
      <c r="CL18" s="325"/>
      <c r="CM18" s="325"/>
      <c r="CN18" s="467"/>
      <c r="CO18" s="466"/>
      <c r="CP18" s="325"/>
      <c r="CQ18" s="325"/>
      <c r="CR18" s="325"/>
      <c r="CS18" s="325"/>
      <c r="CT18" s="325"/>
      <c r="CU18" s="325"/>
      <c r="CV18" s="325"/>
      <c r="CW18" s="325"/>
      <c r="CX18" s="325"/>
      <c r="CY18" s="325"/>
      <c r="CZ18" s="467"/>
      <c r="DA18" s="455" t="s">
        <v>353</v>
      </c>
      <c r="DB18" s="456"/>
      <c r="DC18" s="456"/>
      <c r="DD18" s="456"/>
      <c r="DE18" s="456"/>
      <c r="DF18" s="457"/>
      <c r="DG18" s="466"/>
      <c r="DH18" s="325"/>
      <c r="DI18" s="325"/>
      <c r="DJ18" s="325"/>
      <c r="DK18" s="325"/>
      <c r="DL18" s="325"/>
      <c r="DM18" s="325"/>
      <c r="DN18" s="325"/>
      <c r="DO18" s="325"/>
      <c r="DP18" s="325"/>
      <c r="DQ18" s="325"/>
      <c r="DR18" s="325"/>
      <c r="DS18" s="467"/>
      <c r="DT18" s="466"/>
      <c r="DU18" s="325"/>
      <c r="DV18" s="325"/>
      <c r="DW18" s="325"/>
      <c r="DX18" s="325"/>
      <c r="DY18" s="325"/>
      <c r="DZ18" s="325"/>
      <c r="EA18" s="325"/>
      <c r="EB18" s="325"/>
      <c r="EC18" s="325"/>
      <c r="ED18" s="325"/>
      <c r="EE18" s="325"/>
      <c r="EF18" s="326"/>
    </row>
    <row r="19" spans="1:136" ht="15" customHeight="1">
      <c r="A19" s="468"/>
      <c r="B19" s="469"/>
      <c r="C19" s="469"/>
      <c r="D19" s="469"/>
      <c r="E19" s="469"/>
      <c r="F19" s="469"/>
      <c r="G19" s="470"/>
      <c r="H19" s="438">
        <f t="shared" si="0"/>
        <v>12</v>
      </c>
      <c r="I19" s="439"/>
      <c r="J19" s="443"/>
      <c r="K19" s="351"/>
      <c r="L19" s="351"/>
      <c r="M19" s="351"/>
      <c r="N19" s="351"/>
      <c r="O19" s="351"/>
      <c r="P19" s="351"/>
      <c r="Q19" s="351"/>
      <c r="R19" s="444"/>
      <c r="S19" s="452"/>
      <c r="T19" s="452"/>
      <c r="U19" s="452"/>
      <c r="V19" s="466"/>
      <c r="W19" s="325"/>
      <c r="X19" s="325"/>
      <c r="Y19" s="325"/>
      <c r="Z19" s="325"/>
      <c r="AA19" s="467"/>
      <c r="AB19" s="466"/>
      <c r="AC19" s="325"/>
      <c r="AD19" s="467"/>
      <c r="AE19" s="466"/>
      <c r="AF19" s="325"/>
      <c r="AG19" s="467"/>
      <c r="AH19" s="462"/>
      <c r="AI19" s="463"/>
      <c r="AJ19" s="464"/>
      <c r="AK19" s="455"/>
      <c r="AL19" s="456"/>
      <c r="AM19" s="456"/>
      <c r="AN19" s="457"/>
      <c r="AO19" s="466"/>
      <c r="AP19" s="325"/>
      <c r="AQ19" s="325"/>
      <c r="AR19" s="325"/>
      <c r="AS19" s="325"/>
      <c r="AT19" s="325"/>
      <c r="AU19" s="325"/>
      <c r="AV19" s="325"/>
      <c r="AW19" s="325"/>
      <c r="AX19" s="325"/>
      <c r="AY19" s="325"/>
      <c r="AZ19" s="325"/>
      <c r="BA19" s="325"/>
      <c r="BB19" s="325"/>
      <c r="BC19" s="325"/>
      <c r="BD19" s="325"/>
      <c r="BE19" s="325"/>
      <c r="BF19" s="325"/>
      <c r="BG19" s="325"/>
      <c r="BH19" s="325"/>
      <c r="BI19" s="325"/>
      <c r="BJ19" s="325"/>
      <c r="BK19" s="467"/>
      <c r="BL19" s="466"/>
      <c r="BM19" s="325"/>
      <c r="BN19" s="325"/>
      <c r="BO19" s="325"/>
      <c r="BP19" s="325"/>
      <c r="BQ19" s="325"/>
      <c r="BR19" s="325"/>
      <c r="BS19" s="325"/>
      <c r="BT19" s="325"/>
      <c r="BU19" s="325"/>
      <c r="BV19" s="325"/>
      <c r="BW19" s="325"/>
      <c r="BX19" s="325"/>
      <c r="BY19" s="325"/>
      <c r="BZ19" s="325"/>
      <c r="CA19" s="325"/>
      <c r="CB19" s="467"/>
      <c r="CC19" s="466"/>
      <c r="CD19" s="325"/>
      <c r="CE19" s="325"/>
      <c r="CF19" s="325"/>
      <c r="CG19" s="325"/>
      <c r="CH19" s="325"/>
      <c r="CI19" s="325"/>
      <c r="CJ19" s="325"/>
      <c r="CK19" s="325"/>
      <c r="CL19" s="325"/>
      <c r="CM19" s="325"/>
      <c r="CN19" s="467"/>
      <c r="CO19" s="466"/>
      <c r="CP19" s="325"/>
      <c r="CQ19" s="325"/>
      <c r="CR19" s="325"/>
      <c r="CS19" s="325"/>
      <c r="CT19" s="325"/>
      <c r="CU19" s="325"/>
      <c r="CV19" s="325"/>
      <c r="CW19" s="325"/>
      <c r="CX19" s="325"/>
      <c r="CY19" s="325"/>
      <c r="CZ19" s="467"/>
      <c r="DA19" s="455" t="s">
        <v>353</v>
      </c>
      <c r="DB19" s="456"/>
      <c r="DC19" s="456"/>
      <c r="DD19" s="456"/>
      <c r="DE19" s="456"/>
      <c r="DF19" s="457"/>
      <c r="DG19" s="466"/>
      <c r="DH19" s="325"/>
      <c r="DI19" s="325"/>
      <c r="DJ19" s="325"/>
      <c r="DK19" s="325"/>
      <c r="DL19" s="325"/>
      <c r="DM19" s="325"/>
      <c r="DN19" s="325"/>
      <c r="DO19" s="325"/>
      <c r="DP19" s="325"/>
      <c r="DQ19" s="325"/>
      <c r="DR19" s="325"/>
      <c r="DS19" s="467"/>
      <c r="DT19" s="466"/>
      <c r="DU19" s="325"/>
      <c r="DV19" s="325"/>
      <c r="DW19" s="325"/>
      <c r="DX19" s="325"/>
      <c r="DY19" s="325"/>
      <c r="DZ19" s="325"/>
      <c r="EA19" s="325"/>
      <c r="EB19" s="325"/>
      <c r="EC19" s="325"/>
      <c r="ED19" s="325"/>
      <c r="EE19" s="325"/>
      <c r="EF19" s="326"/>
    </row>
    <row r="20" spans="1:136" ht="15" customHeight="1">
      <c r="A20" s="468"/>
      <c r="B20" s="469"/>
      <c r="C20" s="469"/>
      <c r="D20" s="469"/>
      <c r="E20" s="469"/>
      <c r="F20" s="469"/>
      <c r="G20" s="470"/>
      <c r="H20" s="438">
        <f t="shared" si="0"/>
        <v>13</v>
      </c>
      <c r="I20" s="439"/>
      <c r="J20" s="443"/>
      <c r="K20" s="351"/>
      <c r="L20" s="351"/>
      <c r="M20" s="351"/>
      <c r="N20" s="351"/>
      <c r="O20" s="351"/>
      <c r="P20" s="351"/>
      <c r="Q20" s="351"/>
      <c r="R20" s="444"/>
      <c r="S20" s="452"/>
      <c r="T20" s="452"/>
      <c r="U20" s="452"/>
      <c r="V20" s="466"/>
      <c r="W20" s="325"/>
      <c r="X20" s="325"/>
      <c r="Y20" s="325"/>
      <c r="Z20" s="325"/>
      <c r="AA20" s="467"/>
      <c r="AB20" s="466"/>
      <c r="AC20" s="325"/>
      <c r="AD20" s="467"/>
      <c r="AE20" s="466"/>
      <c r="AF20" s="325"/>
      <c r="AG20" s="467"/>
      <c r="AH20" s="462"/>
      <c r="AI20" s="463"/>
      <c r="AJ20" s="464"/>
      <c r="AK20" s="455"/>
      <c r="AL20" s="456"/>
      <c r="AM20" s="456"/>
      <c r="AN20" s="457"/>
      <c r="AO20" s="466"/>
      <c r="AP20" s="325"/>
      <c r="AQ20" s="325"/>
      <c r="AR20" s="325"/>
      <c r="AS20" s="325"/>
      <c r="AT20" s="325"/>
      <c r="AU20" s="325"/>
      <c r="AV20" s="325"/>
      <c r="AW20" s="325"/>
      <c r="AX20" s="325"/>
      <c r="AY20" s="325"/>
      <c r="AZ20" s="325"/>
      <c r="BA20" s="325"/>
      <c r="BB20" s="325"/>
      <c r="BC20" s="325"/>
      <c r="BD20" s="325"/>
      <c r="BE20" s="325"/>
      <c r="BF20" s="325"/>
      <c r="BG20" s="325"/>
      <c r="BH20" s="325"/>
      <c r="BI20" s="325"/>
      <c r="BJ20" s="325"/>
      <c r="BK20" s="467"/>
      <c r="BL20" s="466"/>
      <c r="BM20" s="325"/>
      <c r="BN20" s="325"/>
      <c r="BO20" s="325"/>
      <c r="BP20" s="325"/>
      <c r="BQ20" s="325"/>
      <c r="BR20" s="325"/>
      <c r="BS20" s="325"/>
      <c r="BT20" s="325"/>
      <c r="BU20" s="325"/>
      <c r="BV20" s="325"/>
      <c r="BW20" s="325"/>
      <c r="BX20" s="325"/>
      <c r="BY20" s="325"/>
      <c r="BZ20" s="325"/>
      <c r="CA20" s="325"/>
      <c r="CB20" s="467"/>
      <c r="CC20" s="466"/>
      <c r="CD20" s="325"/>
      <c r="CE20" s="325"/>
      <c r="CF20" s="325"/>
      <c r="CG20" s="325"/>
      <c r="CH20" s="325"/>
      <c r="CI20" s="325"/>
      <c r="CJ20" s="325"/>
      <c r="CK20" s="325"/>
      <c r="CL20" s="325"/>
      <c r="CM20" s="325"/>
      <c r="CN20" s="467"/>
      <c r="CO20" s="466"/>
      <c r="CP20" s="325"/>
      <c r="CQ20" s="325"/>
      <c r="CR20" s="325"/>
      <c r="CS20" s="325"/>
      <c r="CT20" s="325"/>
      <c r="CU20" s="325"/>
      <c r="CV20" s="325"/>
      <c r="CW20" s="325"/>
      <c r="CX20" s="325"/>
      <c r="CY20" s="325"/>
      <c r="CZ20" s="467"/>
      <c r="DA20" s="455" t="s">
        <v>353</v>
      </c>
      <c r="DB20" s="456"/>
      <c r="DC20" s="456"/>
      <c r="DD20" s="456"/>
      <c r="DE20" s="456"/>
      <c r="DF20" s="457"/>
      <c r="DG20" s="466"/>
      <c r="DH20" s="325"/>
      <c r="DI20" s="325"/>
      <c r="DJ20" s="325"/>
      <c r="DK20" s="325"/>
      <c r="DL20" s="325"/>
      <c r="DM20" s="325"/>
      <c r="DN20" s="325"/>
      <c r="DO20" s="325"/>
      <c r="DP20" s="325"/>
      <c r="DQ20" s="325"/>
      <c r="DR20" s="325"/>
      <c r="DS20" s="467"/>
      <c r="DT20" s="466"/>
      <c r="DU20" s="325"/>
      <c r="DV20" s="325"/>
      <c r="DW20" s="325"/>
      <c r="DX20" s="325"/>
      <c r="DY20" s="325"/>
      <c r="DZ20" s="325"/>
      <c r="EA20" s="325"/>
      <c r="EB20" s="325"/>
      <c r="EC20" s="325"/>
      <c r="ED20" s="325"/>
      <c r="EE20" s="325"/>
      <c r="EF20" s="326"/>
    </row>
    <row r="21" spans="1:136" ht="15" customHeight="1">
      <c r="A21" s="468"/>
      <c r="B21" s="469"/>
      <c r="C21" s="469"/>
      <c r="D21" s="469"/>
      <c r="E21" s="469"/>
      <c r="F21" s="469"/>
      <c r="G21" s="470"/>
      <c r="H21" s="438">
        <f t="shared" si="0"/>
        <v>14</v>
      </c>
      <c r="I21" s="439"/>
      <c r="J21" s="443"/>
      <c r="K21" s="351"/>
      <c r="L21" s="351"/>
      <c r="M21" s="351"/>
      <c r="N21" s="351"/>
      <c r="O21" s="351"/>
      <c r="P21" s="351"/>
      <c r="Q21" s="351"/>
      <c r="R21" s="444"/>
      <c r="S21" s="452"/>
      <c r="T21" s="452"/>
      <c r="U21" s="452"/>
      <c r="V21" s="466"/>
      <c r="W21" s="325"/>
      <c r="X21" s="325"/>
      <c r="Y21" s="325"/>
      <c r="Z21" s="325"/>
      <c r="AA21" s="467"/>
      <c r="AB21" s="466"/>
      <c r="AC21" s="325"/>
      <c r="AD21" s="467"/>
      <c r="AE21" s="466"/>
      <c r="AF21" s="325"/>
      <c r="AG21" s="467"/>
      <c r="AH21" s="462"/>
      <c r="AI21" s="463"/>
      <c r="AJ21" s="464"/>
      <c r="AK21" s="455"/>
      <c r="AL21" s="456"/>
      <c r="AM21" s="456"/>
      <c r="AN21" s="457"/>
      <c r="AO21" s="466"/>
      <c r="AP21" s="325"/>
      <c r="AQ21" s="325"/>
      <c r="AR21" s="325"/>
      <c r="AS21" s="325"/>
      <c r="AT21" s="325"/>
      <c r="AU21" s="325"/>
      <c r="AV21" s="325"/>
      <c r="AW21" s="325"/>
      <c r="AX21" s="325"/>
      <c r="AY21" s="325"/>
      <c r="AZ21" s="325"/>
      <c r="BA21" s="325"/>
      <c r="BB21" s="325"/>
      <c r="BC21" s="325"/>
      <c r="BD21" s="325"/>
      <c r="BE21" s="325"/>
      <c r="BF21" s="325"/>
      <c r="BG21" s="325"/>
      <c r="BH21" s="325"/>
      <c r="BI21" s="325"/>
      <c r="BJ21" s="325"/>
      <c r="BK21" s="467"/>
      <c r="BL21" s="466"/>
      <c r="BM21" s="325"/>
      <c r="BN21" s="325"/>
      <c r="BO21" s="325"/>
      <c r="BP21" s="325"/>
      <c r="BQ21" s="325"/>
      <c r="BR21" s="325"/>
      <c r="BS21" s="325"/>
      <c r="BT21" s="325"/>
      <c r="BU21" s="325"/>
      <c r="BV21" s="325"/>
      <c r="BW21" s="325"/>
      <c r="BX21" s="325"/>
      <c r="BY21" s="325"/>
      <c r="BZ21" s="325"/>
      <c r="CA21" s="325"/>
      <c r="CB21" s="467"/>
      <c r="CC21" s="466"/>
      <c r="CD21" s="325"/>
      <c r="CE21" s="325"/>
      <c r="CF21" s="325"/>
      <c r="CG21" s="325"/>
      <c r="CH21" s="325"/>
      <c r="CI21" s="325"/>
      <c r="CJ21" s="325"/>
      <c r="CK21" s="325"/>
      <c r="CL21" s="325"/>
      <c r="CM21" s="325"/>
      <c r="CN21" s="467"/>
      <c r="CO21" s="466"/>
      <c r="CP21" s="325"/>
      <c r="CQ21" s="325"/>
      <c r="CR21" s="325"/>
      <c r="CS21" s="325"/>
      <c r="CT21" s="325"/>
      <c r="CU21" s="325"/>
      <c r="CV21" s="325"/>
      <c r="CW21" s="325"/>
      <c r="CX21" s="325"/>
      <c r="CY21" s="325"/>
      <c r="CZ21" s="467"/>
      <c r="DA21" s="455" t="s">
        <v>353</v>
      </c>
      <c r="DB21" s="456"/>
      <c r="DC21" s="456"/>
      <c r="DD21" s="456"/>
      <c r="DE21" s="456"/>
      <c r="DF21" s="457"/>
      <c r="DG21" s="466"/>
      <c r="DH21" s="325"/>
      <c r="DI21" s="325"/>
      <c r="DJ21" s="325"/>
      <c r="DK21" s="325"/>
      <c r="DL21" s="325"/>
      <c r="DM21" s="325"/>
      <c r="DN21" s="325"/>
      <c r="DO21" s="325"/>
      <c r="DP21" s="325"/>
      <c r="DQ21" s="325"/>
      <c r="DR21" s="325"/>
      <c r="DS21" s="467"/>
      <c r="DT21" s="466"/>
      <c r="DU21" s="325"/>
      <c r="DV21" s="325"/>
      <c r="DW21" s="325"/>
      <c r="DX21" s="325"/>
      <c r="DY21" s="325"/>
      <c r="DZ21" s="325"/>
      <c r="EA21" s="325"/>
      <c r="EB21" s="325"/>
      <c r="EC21" s="325"/>
      <c r="ED21" s="325"/>
      <c r="EE21" s="325"/>
      <c r="EF21" s="326"/>
    </row>
    <row r="22" spans="1:136" ht="15" customHeight="1">
      <c r="A22" s="468"/>
      <c r="B22" s="469"/>
      <c r="C22" s="469"/>
      <c r="D22" s="469"/>
      <c r="E22" s="469"/>
      <c r="F22" s="469"/>
      <c r="G22" s="470"/>
      <c r="H22" s="438">
        <f t="shared" si="0"/>
        <v>15</v>
      </c>
      <c r="I22" s="439"/>
      <c r="J22" s="443"/>
      <c r="K22" s="351"/>
      <c r="L22" s="351"/>
      <c r="M22" s="351"/>
      <c r="N22" s="351"/>
      <c r="O22" s="351"/>
      <c r="P22" s="351"/>
      <c r="Q22" s="351"/>
      <c r="R22" s="444"/>
      <c r="S22" s="452"/>
      <c r="T22" s="452"/>
      <c r="U22" s="452"/>
      <c r="V22" s="466"/>
      <c r="W22" s="325"/>
      <c r="X22" s="325"/>
      <c r="Y22" s="325"/>
      <c r="Z22" s="325"/>
      <c r="AA22" s="467"/>
      <c r="AB22" s="466"/>
      <c r="AC22" s="325"/>
      <c r="AD22" s="467"/>
      <c r="AE22" s="466"/>
      <c r="AF22" s="325"/>
      <c r="AG22" s="467"/>
      <c r="AH22" s="462"/>
      <c r="AI22" s="463"/>
      <c r="AJ22" s="464"/>
      <c r="AK22" s="455"/>
      <c r="AL22" s="456"/>
      <c r="AM22" s="456"/>
      <c r="AN22" s="457"/>
      <c r="AO22" s="466"/>
      <c r="AP22" s="325"/>
      <c r="AQ22" s="325"/>
      <c r="AR22" s="325"/>
      <c r="AS22" s="325"/>
      <c r="AT22" s="325"/>
      <c r="AU22" s="325"/>
      <c r="AV22" s="325"/>
      <c r="AW22" s="325"/>
      <c r="AX22" s="325"/>
      <c r="AY22" s="325"/>
      <c r="AZ22" s="325"/>
      <c r="BA22" s="325"/>
      <c r="BB22" s="325"/>
      <c r="BC22" s="325"/>
      <c r="BD22" s="325"/>
      <c r="BE22" s="325"/>
      <c r="BF22" s="325"/>
      <c r="BG22" s="325"/>
      <c r="BH22" s="325"/>
      <c r="BI22" s="325"/>
      <c r="BJ22" s="325"/>
      <c r="BK22" s="467"/>
      <c r="BL22" s="466"/>
      <c r="BM22" s="325"/>
      <c r="BN22" s="325"/>
      <c r="BO22" s="325"/>
      <c r="BP22" s="325"/>
      <c r="BQ22" s="325"/>
      <c r="BR22" s="325"/>
      <c r="BS22" s="325"/>
      <c r="BT22" s="325"/>
      <c r="BU22" s="325"/>
      <c r="BV22" s="325"/>
      <c r="BW22" s="325"/>
      <c r="BX22" s="325"/>
      <c r="BY22" s="325"/>
      <c r="BZ22" s="325"/>
      <c r="CA22" s="325"/>
      <c r="CB22" s="467"/>
      <c r="CC22" s="466"/>
      <c r="CD22" s="325"/>
      <c r="CE22" s="325"/>
      <c r="CF22" s="325"/>
      <c r="CG22" s="325"/>
      <c r="CH22" s="325"/>
      <c r="CI22" s="325"/>
      <c r="CJ22" s="325"/>
      <c r="CK22" s="325"/>
      <c r="CL22" s="325"/>
      <c r="CM22" s="325"/>
      <c r="CN22" s="467"/>
      <c r="CO22" s="466"/>
      <c r="CP22" s="325"/>
      <c r="CQ22" s="325"/>
      <c r="CR22" s="325"/>
      <c r="CS22" s="325"/>
      <c r="CT22" s="325"/>
      <c r="CU22" s="325"/>
      <c r="CV22" s="325"/>
      <c r="CW22" s="325"/>
      <c r="CX22" s="325"/>
      <c r="CY22" s="325"/>
      <c r="CZ22" s="467"/>
      <c r="DA22" s="455" t="s">
        <v>353</v>
      </c>
      <c r="DB22" s="456"/>
      <c r="DC22" s="456"/>
      <c r="DD22" s="456"/>
      <c r="DE22" s="456"/>
      <c r="DF22" s="457"/>
      <c r="DG22" s="466"/>
      <c r="DH22" s="325"/>
      <c r="DI22" s="325"/>
      <c r="DJ22" s="325"/>
      <c r="DK22" s="325"/>
      <c r="DL22" s="325"/>
      <c r="DM22" s="325"/>
      <c r="DN22" s="325"/>
      <c r="DO22" s="325"/>
      <c r="DP22" s="325"/>
      <c r="DQ22" s="325"/>
      <c r="DR22" s="325"/>
      <c r="DS22" s="467"/>
      <c r="DT22" s="466"/>
      <c r="DU22" s="325"/>
      <c r="DV22" s="325"/>
      <c r="DW22" s="325"/>
      <c r="DX22" s="325"/>
      <c r="DY22" s="325"/>
      <c r="DZ22" s="325"/>
      <c r="EA22" s="325"/>
      <c r="EB22" s="325"/>
      <c r="EC22" s="325"/>
      <c r="ED22" s="325"/>
      <c r="EE22" s="325"/>
      <c r="EF22" s="326"/>
    </row>
    <row r="23" spans="1:136" ht="15" customHeight="1">
      <c r="A23" s="468"/>
      <c r="B23" s="469"/>
      <c r="C23" s="469"/>
      <c r="D23" s="469"/>
      <c r="E23" s="469"/>
      <c r="F23" s="469"/>
      <c r="G23" s="470"/>
      <c r="H23" s="438">
        <f t="shared" si="0"/>
        <v>16</v>
      </c>
      <c r="I23" s="439"/>
      <c r="J23" s="443"/>
      <c r="K23" s="351"/>
      <c r="L23" s="351"/>
      <c r="M23" s="351"/>
      <c r="N23" s="351"/>
      <c r="O23" s="351"/>
      <c r="P23" s="351"/>
      <c r="Q23" s="351"/>
      <c r="R23" s="444"/>
      <c r="S23" s="452"/>
      <c r="T23" s="452"/>
      <c r="U23" s="452"/>
      <c r="V23" s="466"/>
      <c r="W23" s="325"/>
      <c r="X23" s="325"/>
      <c r="Y23" s="325"/>
      <c r="Z23" s="325"/>
      <c r="AA23" s="467"/>
      <c r="AB23" s="466"/>
      <c r="AC23" s="325"/>
      <c r="AD23" s="467"/>
      <c r="AE23" s="466"/>
      <c r="AF23" s="325"/>
      <c r="AG23" s="467"/>
      <c r="AH23" s="462"/>
      <c r="AI23" s="463"/>
      <c r="AJ23" s="464"/>
      <c r="AK23" s="455"/>
      <c r="AL23" s="456"/>
      <c r="AM23" s="456"/>
      <c r="AN23" s="457"/>
      <c r="AO23" s="466"/>
      <c r="AP23" s="325"/>
      <c r="AQ23" s="325"/>
      <c r="AR23" s="325"/>
      <c r="AS23" s="325"/>
      <c r="AT23" s="325"/>
      <c r="AU23" s="325"/>
      <c r="AV23" s="325"/>
      <c r="AW23" s="325"/>
      <c r="AX23" s="325"/>
      <c r="AY23" s="325"/>
      <c r="AZ23" s="325"/>
      <c r="BA23" s="325"/>
      <c r="BB23" s="325"/>
      <c r="BC23" s="325"/>
      <c r="BD23" s="325"/>
      <c r="BE23" s="325"/>
      <c r="BF23" s="325"/>
      <c r="BG23" s="325"/>
      <c r="BH23" s="325"/>
      <c r="BI23" s="325"/>
      <c r="BJ23" s="325"/>
      <c r="BK23" s="467"/>
      <c r="BL23" s="466"/>
      <c r="BM23" s="325"/>
      <c r="BN23" s="325"/>
      <c r="BO23" s="325"/>
      <c r="BP23" s="325"/>
      <c r="BQ23" s="325"/>
      <c r="BR23" s="325"/>
      <c r="BS23" s="325"/>
      <c r="BT23" s="325"/>
      <c r="BU23" s="325"/>
      <c r="BV23" s="325"/>
      <c r="BW23" s="325"/>
      <c r="BX23" s="325"/>
      <c r="BY23" s="325"/>
      <c r="BZ23" s="325"/>
      <c r="CA23" s="325"/>
      <c r="CB23" s="467"/>
      <c r="CC23" s="466"/>
      <c r="CD23" s="325"/>
      <c r="CE23" s="325"/>
      <c r="CF23" s="325"/>
      <c r="CG23" s="325"/>
      <c r="CH23" s="325"/>
      <c r="CI23" s="325"/>
      <c r="CJ23" s="325"/>
      <c r="CK23" s="325"/>
      <c r="CL23" s="325"/>
      <c r="CM23" s="325"/>
      <c r="CN23" s="467"/>
      <c r="CO23" s="466"/>
      <c r="CP23" s="325"/>
      <c r="CQ23" s="325"/>
      <c r="CR23" s="325"/>
      <c r="CS23" s="325"/>
      <c r="CT23" s="325"/>
      <c r="CU23" s="325"/>
      <c r="CV23" s="325"/>
      <c r="CW23" s="325"/>
      <c r="CX23" s="325"/>
      <c r="CY23" s="325"/>
      <c r="CZ23" s="467"/>
      <c r="DA23" s="455" t="s">
        <v>353</v>
      </c>
      <c r="DB23" s="456"/>
      <c r="DC23" s="456"/>
      <c r="DD23" s="456"/>
      <c r="DE23" s="456"/>
      <c r="DF23" s="457"/>
      <c r="DG23" s="466"/>
      <c r="DH23" s="325"/>
      <c r="DI23" s="325"/>
      <c r="DJ23" s="325"/>
      <c r="DK23" s="325"/>
      <c r="DL23" s="325"/>
      <c r="DM23" s="325"/>
      <c r="DN23" s="325"/>
      <c r="DO23" s="325"/>
      <c r="DP23" s="325"/>
      <c r="DQ23" s="325"/>
      <c r="DR23" s="325"/>
      <c r="DS23" s="467"/>
      <c r="DT23" s="466"/>
      <c r="DU23" s="325"/>
      <c r="DV23" s="325"/>
      <c r="DW23" s="325"/>
      <c r="DX23" s="325"/>
      <c r="DY23" s="325"/>
      <c r="DZ23" s="325"/>
      <c r="EA23" s="325"/>
      <c r="EB23" s="325"/>
      <c r="EC23" s="325"/>
      <c r="ED23" s="325"/>
      <c r="EE23" s="325"/>
      <c r="EF23" s="326"/>
    </row>
    <row r="24" spans="1:136" ht="15" customHeight="1">
      <c r="A24" s="468"/>
      <c r="B24" s="469"/>
      <c r="C24" s="469"/>
      <c r="D24" s="469"/>
      <c r="E24" s="469"/>
      <c r="F24" s="469"/>
      <c r="G24" s="470"/>
      <c r="H24" s="438">
        <f t="shared" si="0"/>
        <v>17</v>
      </c>
      <c r="I24" s="439"/>
      <c r="J24" s="443"/>
      <c r="K24" s="351"/>
      <c r="L24" s="351"/>
      <c r="M24" s="351"/>
      <c r="N24" s="351"/>
      <c r="O24" s="351"/>
      <c r="P24" s="351"/>
      <c r="Q24" s="351"/>
      <c r="R24" s="444"/>
      <c r="S24" s="452"/>
      <c r="T24" s="452"/>
      <c r="U24" s="452"/>
      <c r="V24" s="466"/>
      <c r="W24" s="325"/>
      <c r="X24" s="325"/>
      <c r="Y24" s="325"/>
      <c r="Z24" s="325"/>
      <c r="AA24" s="467"/>
      <c r="AB24" s="466"/>
      <c r="AC24" s="325"/>
      <c r="AD24" s="467"/>
      <c r="AE24" s="466"/>
      <c r="AF24" s="325"/>
      <c r="AG24" s="467"/>
      <c r="AH24" s="462"/>
      <c r="AI24" s="463"/>
      <c r="AJ24" s="464"/>
      <c r="AK24" s="455"/>
      <c r="AL24" s="456"/>
      <c r="AM24" s="456"/>
      <c r="AN24" s="457"/>
      <c r="AO24" s="466"/>
      <c r="AP24" s="325"/>
      <c r="AQ24" s="325"/>
      <c r="AR24" s="325"/>
      <c r="AS24" s="325"/>
      <c r="AT24" s="325"/>
      <c r="AU24" s="325"/>
      <c r="AV24" s="325"/>
      <c r="AW24" s="325"/>
      <c r="AX24" s="325"/>
      <c r="AY24" s="325"/>
      <c r="AZ24" s="325"/>
      <c r="BA24" s="325"/>
      <c r="BB24" s="325"/>
      <c r="BC24" s="325"/>
      <c r="BD24" s="325"/>
      <c r="BE24" s="325"/>
      <c r="BF24" s="325"/>
      <c r="BG24" s="325"/>
      <c r="BH24" s="325"/>
      <c r="BI24" s="325"/>
      <c r="BJ24" s="325"/>
      <c r="BK24" s="467"/>
      <c r="BL24" s="466"/>
      <c r="BM24" s="325"/>
      <c r="BN24" s="325"/>
      <c r="BO24" s="325"/>
      <c r="BP24" s="325"/>
      <c r="BQ24" s="325"/>
      <c r="BR24" s="325"/>
      <c r="BS24" s="325"/>
      <c r="BT24" s="325"/>
      <c r="BU24" s="325"/>
      <c r="BV24" s="325"/>
      <c r="BW24" s="325"/>
      <c r="BX24" s="325"/>
      <c r="BY24" s="325"/>
      <c r="BZ24" s="325"/>
      <c r="CA24" s="325"/>
      <c r="CB24" s="467"/>
      <c r="CC24" s="466"/>
      <c r="CD24" s="325"/>
      <c r="CE24" s="325"/>
      <c r="CF24" s="325"/>
      <c r="CG24" s="325"/>
      <c r="CH24" s="325"/>
      <c r="CI24" s="325"/>
      <c r="CJ24" s="325"/>
      <c r="CK24" s="325"/>
      <c r="CL24" s="325"/>
      <c r="CM24" s="325"/>
      <c r="CN24" s="467"/>
      <c r="CO24" s="466"/>
      <c r="CP24" s="325"/>
      <c r="CQ24" s="325"/>
      <c r="CR24" s="325"/>
      <c r="CS24" s="325"/>
      <c r="CT24" s="325"/>
      <c r="CU24" s="325"/>
      <c r="CV24" s="325"/>
      <c r="CW24" s="325"/>
      <c r="CX24" s="325"/>
      <c r="CY24" s="325"/>
      <c r="CZ24" s="467"/>
      <c r="DA24" s="455" t="s">
        <v>353</v>
      </c>
      <c r="DB24" s="456"/>
      <c r="DC24" s="456"/>
      <c r="DD24" s="456"/>
      <c r="DE24" s="456"/>
      <c r="DF24" s="457"/>
      <c r="DG24" s="466"/>
      <c r="DH24" s="325"/>
      <c r="DI24" s="325"/>
      <c r="DJ24" s="325"/>
      <c r="DK24" s="325"/>
      <c r="DL24" s="325"/>
      <c r="DM24" s="325"/>
      <c r="DN24" s="325"/>
      <c r="DO24" s="325"/>
      <c r="DP24" s="325"/>
      <c r="DQ24" s="325"/>
      <c r="DR24" s="325"/>
      <c r="DS24" s="467"/>
      <c r="DT24" s="466"/>
      <c r="DU24" s="325"/>
      <c r="DV24" s="325"/>
      <c r="DW24" s="325"/>
      <c r="DX24" s="325"/>
      <c r="DY24" s="325"/>
      <c r="DZ24" s="325"/>
      <c r="EA24" s="325"/>
      <c r="EB24" s="325"/>
      <c r="EC24" s="325"/>
      <c r="ED24" s="325"/>
      <c r="EE24" s="325"/>
      <c r="EF24" s="326"/>
    </row>
    <row r="25" spans="1:136" ht="15" customHeight="1">
      <c r="A25" s="468"/>
      <c r="B25" s="469"/>
      <c r="C25" s="469"/>
      <c r="D25" s="469"/>
      <c r="E25" s="469"/>
      <c r="F25" s="469"/>
      <c r="G25" s="470"/>
      <c r="H25" s="438">
        <f t="shared" si="0"/>
        <v>18</v>
      </c>
      <c r="I25" s="439"/>
      <c r="J25" s="443"/>
      <c r="K25" s="351"/>
      <c r="L25" s="351"/>
      <c r="M25" s="351"/>
      <c r="N25" s="351"/>
      <c r="O25" s="351"/>
      <c r="P25" s="351"/>
      <c r="Q25" s="351"/>
      <c r="R25" s="444"/>
      <c r="S25" s="452"/>
      <c r="T25" s="452"/>
      <c r="U25" s="452"/>
      <c r="V25" s="466"/>
      <c r="W25" s="325"/>
      <c r="X25" s="325"/>
      <c r="Y25" s="325"/>
      <c r="Z25" s="325"/>
      <c r="AA25" s="467"/>
      <c r="AB25" s="466"/>
      <c r="AC25" s="325"/>
      <c r="AD25" s="467"/>
      <c r="AE25" s="466"/>
      <c r="AF25" s="325"/>
      <c r="AG25" s="467"/>
      <c r="AH25" s="462"/>
      <c r="AI25" s="463"/>
      <c r="AJ25" s="464"/>
      <c r="AK25" s="455"/>
      <c r="AL25" s="456"/>
      <c r="AM25" s="456"/>
      <c r="AN25" s="457"/>
      <c r="AO25" s="466"/>
      <c r="AP25" s="325"/>
      <c r="AQ25" s="325"/>
      <c r="AR25" s="325"/>
      <c r="AS25" s="325"/>
      <c r="AT25" s="325"/>
      <c r="AU25" s="325"/>
      <c r="AV25" s="325"/>
      <c r="AW25" s="325"/>
      <c r="AX25" s="325"/>
      <c r="AY25" s="325"/>
      <c r="AZ25" s="325"/>
      <c r="BA25" s="325"/>
      <c r="BB25" s="325"/>
      <c r="BC25" s="325"/>
      <c r="BD25" s="325"/>
      <c r="BE25" s="325"/>
      <c r="BF25" s="325"/>
      <c r="BG25" s="325"/>
      <c r="BH25" s="325"/>
      <c r="BI25" s="325"/>
      <c r="BJ25" s="325"/>
      <c r="BK25" s="467"/>
      <c r="BL25" s="466"/>
      <c r="BM25" s="325"/>
      <c r="BN25" s="325"/>
      <c r="BO25" s="325"/>
      <c r="BP25" s="325"/>
      <c r="BQ25" s="325"/>
      <c r="BR25" s="325"/>
      <c r="BS25" s="325"/>
      <c r="BT25" s="325"/>
      <c r="BU25" s="325"/>
      <c r="BV25" s="325"/>
      <c r="BW25" s="325"/>
      <c r="BX25" s="325"/>
      <c r="BY25" s="325"/>
      <c r="BZ25" s="325"/>
      <c r="CA25" s="325"/>
      <c r="CB25" s="467"/>
      <c r="CC25" s="466"/>
      <c r="CD25" s="325"/>
      <c r="CE25" s="325"/>
      <c r="CF25" s="325"/>
      <c r="CG25" s="325"/>
      <c r="CH25" s="325"/>
      <c r="CI25" s="325"/>
      <c r="CJ25" s="325"/>
      <c r="CK25" s="325"/>
      <c r="CL25" s="325"/>
      <c r="CM25" s="325"/>
      <c r="CN25" s="467"/>
      <c r="CO25" s="466"/>
      <c r="CP25" s="325"/>
      <c r="CQ25" s="325"/>
      <c r="CR25" s="325"/>
      <c r="CS25" s="325"/>
      <c r="CT25" s="325"/>
      <c r="CU25" s="325"/>
      <c r="CV25" s="325"/>
      <c r="CW25" s="325"/>
      <c r="CX25" s="325"/>
      <c r="CY25" s="325"/>
      <c r="CZ25" s="467"/>
      <c r="DA25" s="455" t="s">
        <v>353</v>
      </c>
      <c r="DB25" s="456"/>
      <c r="DC25" s="456"/>
      <c r="DD25" s="456"/>
      <c r="DE25" s="456"/>
      <c r="DF25" s="457"/>
      <c r="DG25" s="466"/>
      <c r="DH25" s="325"/>
      <c r="DI25" s="325"/>
      <c r="DJ25" s="325"/>
      <c r="DK25" s="325"/>
      <c r="DL25" s="325"/>
      <c r="DM25" s="325"/>
      <c r="DN25" s="325"/>
      <c r="DO25" s="325"/>
      <c r="DP25" s="325"/>
      <c r="DQ25" s="325"/>
      <c r="DR25" s="325"/>
      <c r="DS25" s="467"/>
      <c r="DT25" s="466"/>
      <c r="DU25" s="325"/>
      <c r="DV25" s="325"/>
      <c r="DW25" s="325"/>
      <c r="DX25" s="325"/>
      <c r="DY25" s="325"/>
      <c r="DZ25" s="325"/>
      <c r="EA25" s="325"/>
      <c r="EB25" s="325"/>
      <c r="EC25" s="325"/>
      <c r="ED25" s="325"/>
      <c r="EE25" s="325"/>
      <c r="EF25" s="326"/>
    </row>
    <row r="26" spans="1:136" ht="15" customHeight="1">
      <c r="A26" s="468"/>
      <c r="B26" s="469"/>
      <c r="C26" s="469"/>
      <c r="D26" s="469"/>
      <c r="E26" s="469"/>
      <c r="F26" s="469"/>
      <c r="G26" s="470"/>
      <c r="H26" s="438">
        <f t="shared" si="0"/>
        <v>19</v>
      </c>
      <c r="I26" s="439"/>
      <c r="J26" s="443"/>
      <c r="K26" s="351"/>
      <c r="L26" s="351"/>
      <c r="M26" s="351"/>
      <c r="N26" s="351"/>
      <c r="O26" s="351"/>
      <c r="P26" s="351"/>
      <c r="Q26" s="351"/>
      <c r="R26" s="444"/>
      <c r="S26" s="452"/>
      <c r="T26" s="452"/>
      <c r="U26" s="452"/>
      <c r="V26" s="466"/>
      <c r="W26" s="325"/>
      <c r="X26" s="325"/>
      <c r="Y26" s="325"/>
      <c r="Z26" s="325"/>
      <c r="AA26" s="467"/>
      <c r="AB26" s="466"/>
      <c r="AC26" s="325"/>
      <c r="AD26" s="467"/>
      <c r="AE26" s="466"/>
      <c r="AF26" s="325"/>
      <c r="AG26" s="467"/>
      <c r="AH26" s="462"/>
      <c r="AI26" s="463"/>
      <c r="AJ26" s="464"/>
      <c r="AK26" s="455"/>
      <c r="AL26" s="456"/>
      <c r="AM26" s="456"/>
      <c r="AN26" s="457"/>
      <c r="AO26" s="466"/>
      <c r="AP26" s="325"/>
      <c r="AQ26" s="325"/>
      <c r="AR26" s="325"/>
      <c r="AS26" s="325"/>
      <c r="AT26" s="325"/>
      <c r="AU26" s="325"/>
      <c r="AV26" s="325"/>
      <c r="AW26" s="325"/>
      <c r="AX26" s="325"/>
      <c r="AY26" s="325"/>
      <c r="AZ26" s="325"/>
      <c r="BA26" s="325"/>
      <c r="BB26" s="325"/>
      <c r="BC26" s="325"/>
      <c r="BD26" s="325"/>
      <c r="BE26" s="325"/>
      <c r="BF26" s="325"/>
      <c r="BG26" s="325"/>
      <c r="BH26" s="325"/>
      <c r="BI26" s="325"/>
      <c r="BJ26" s="325"/>
      <c r="BK26" s="467"/>
      <c r="BL26" s="466"/>
      <c r="BM26" s="325"/>
      <c r="BN26" s="325"/>
      <c r="BO26" s="325"/>
      <c r="BP26" s="325"/>
      <c r="BQ26" s="325"/>
      <c r="BR26" s="325"/>
      <c r="BS26" s="325"/>
      <c r="BT26" s="325"/>
      <c r="BU26" s="325"/>
      <c r="BV26" s="325"/>
      <c r="BW26" s="325"/>
      <c r="BX26" s="325"/>
      <c r="BY26" s="325"/>
      <c r="BZ26" s="325"/>
      <c r="CA26" s="325"/>
      <c r="CB26" s="467"/>
      <c r="CC26" s="466"/>
      <c r="CD26" s="325"/>
      <c r="CE26" s="325"/>
      <c r="CF26" s="325"/>
      <c r="CG26" s="325"/>
      <c r="CH26" s="325"/>
      <c r="CI26" s="325"/>
      <c r="CJ26" s="325"/>
      <c r="CK26" s="325"/>
      <c r="CL26" s="325"/>
      <c r="CM26" s="325"/>
      <c r="CN26" s="467"/>
      <c r="CO26" s="466"/>
      <c r="CP26" s="325"/>
      <c r="CQ26" s="325"/>
      <c r="CR26" s="325"/>
      <c r="CS26" s="325"/>
      <c r="CT26" s="325"/>
      <c r="CU26" s="325"/>
      <c r="CV26" s="325"/>
      <c r="CW26" s="325"/>
      <c r="CX26" s="325"/>
      <c r="CY26" s="325"/>
      <c r="CZ26" s="467"/>
      <c r="DA26" s="455" t="s">
        <v>353</v>
      </c>
      <c r="DB26" s="456"/>
      <c r="DC26" s="456"/>
      <c r="DD26" s="456"/>
      <c r="DE26" s="456"/>
      <c r="DF26" s="457"/>
      <c r="DG26" s="466"/>
      <c r="DH26" s="325"/>
      <c r="DI26" s="325"/>
      <c r="DJ26" s="325"/>
      <c r="DK26" s="325"/>
      <c r="DL26" s="325"/>
      <c r="DM26" s="325"/>
      <c r="DN26" s="325"/>
      <c r="DO26" s="325"/>
      <c r="DP26" s="325"/>
      <c r="DQ26" s="325"/>
      <c r="DR26" s="325"/>
      <c r="DS26" s="467"/>
      <c r="DT26" s="466"/>
      <c r="DU26" s="325"/>
      <c r="DV26" s="325"/>
      <c r="DW26" s="325"/>
      <c r="DX26" s="325"/>
      <c r="DY26" s="325"/>
      <c r="DZ26" s="325"/>
      <c r="EA26" s="325"/>
      <c r="EB26" s="325"/>
      <c r="EC26" s="325"/>
      <c r="ED26" s="325"/>
      <c r="EE26" s="325"/>
      <c r="EF26" s="326"/>
    </row>
    <row r="27" spans="1:136" ht="15" customHeight="1">
      <c r="A27" s="468"/>
      <c r="B27" s="469"/>
      <c r="C27" s="469"/>
      <c r="D27" s="469"/>
      <c r="E27" s="469"/>
      <c r="F27" s="469"/>
      <c r="G27" s="470"/>
      <c r="H27" s="438">
        <f t="shared" si="0"/>
        <v>20</v>
      </c>
      <c r="I27" s="439"/>
      <c r="J27" s="443"/>
      <c r="K27" s="351"/>
      <c r="L27" s="351"/>
      <c r="M27" s="351"/>
      <c r="N27" s="351"/>
      <c r="O27" s="351"/>
      <c r="P27" s="351"/>
      <c r="Q27" s="351"/>
      <c r="R27" s="444"/>
      <c r="S27" s="452"/>
      <c r="T27" s="452"/>
      <c r="U27" s="452"/>
      <c r="V27" s="466"/>
      <c r="W27" s="325"/>
      <c r="X27" s="325"/>
      <c r="Y27" s="325"/>
      <c r="Z27" s="325"/>
      <c r="AA27" s="467"/>
      <c r="AB27" s="466"/>
      <c r="AC27" s="325"/>
      <c r="AD27" s="467"/>
      <c r="AE27" s="466"/>
      <c r="AF27" s="325"/>
      <c r="AG27" s="467"/>
      <c r="AH27" s="462"/>
      <c r="AI27" s="463"/>
      <c r="AJ27" s="464"/>
      <c r="AK27" s="455"/>
      <c r="AL27" s="456"/>
      <c r="AM27" s="456"/>
      <c r="AN27" s="457"/>
      <c r="AO27" s="466"/>
      <c r="AP27" s="325"/>
      <c r="AQ27" s="325"/>
      <c r="AR27" s="325"/>
      <c r="AS27" s="325"/>
      <c r="AT27" s="325"/>
      <c r="AU27" s="325"/>
      <c r="AV27" s="325"/>
      <c r="AW27" s="325"/>
      <c r="AX27" s="325"/>
      <c r="AY27" s="325"/>
      <c r="AZ27" s="325"/>
      <c r="BA27" s="325"/>
      <c r="BB27" s="325"/>
      <c r="BC27" s="325"/>
      <c r="BD27" s="325"/>
      <c r="BE27" s="325"/>
      <c r="BF27" s="325"/>
      <c r="BG27" s="325"/>
      <c r="BH27" s="325"/>
      <c r="BI27" s="325"/>
      <c r="BJ27" s="325"/>
      <c r="BK27" s="467"/>
      <c r="BL27" s="466"/>
      <c r="BM27" s="325"/>
      <c r="BN27" s="325"/>
      <c r="BO27" s="325"/>
      <c r="BP27" s="325"/>
      <c r="BQ27" s="325"/>
      <c r="BR27" s="325"/>
      <c r="BS27" s="325"/>
      <c r="BT27" s="325"/>
      <c r="BU27" s="325"/>
      <c r="BV27" s="325"/>
      <c r="BW27" s="325"/>
      <c r="BX27" s="325"/>
      <c r="BY27" s="325"/>
      <c r="BZ27" s="325"/>
      <c r="CA27" s="325"/>
      <c r="CB27" s="467"/>
      <c r="CC27" s="466"/>
      <c r="CD27" s="325"/>
      <c r="CE27" s="325"/>
      <c r="CF27" s="325"/>
      <c r="CG27" s="325"/>
      <c r="CH27" s="325"/>
      <c r="CI27" s="325"/>
      <c r="CJ27" s="325"/>
      <c r="CK27" s="325"/>
      <c r="CL27" s="325"/>
      <c r="CM27" s="325"/>
      <c r="CN27" s="467"/>
      <c r="CO27" s="466"/>
      <c r="CP27" s="325"/>
      <c r="CQ27" s="325"/>
      <c r="CR27" s="325"/>
      <c r="CS27" s="325"/>
      <c r="CT27" s="325"/>
      <c r="CU27" s="325"/>
      <c r="CV27" s="325"/>
      <c r="CW27" s="325"/>
      <c r="CX27" s="325"/>
      <c r="CY27" s="325"/>
      <c r="CZ27" s="467"/>
      <c r="DA27" s="455" t="s">
        <v>353</v>
      </c>
      <c r="DB27" s="456"/>
      <c r="DC27" s="456"/>
      <c r="DD27" s="456"/>
      <c r="DE27" s="456"/>
      <c r="DF27" s="457"/>
      <c r="DG27" s="466"/>
      <c r="DH27" s="325"/>
      <c r="DI27" s="325"/>
      <c r="DJ27" s="325"/>
      <c r="DK27" s="325"/>
      <c r="DL27" s="325"/>
      <c r="DM27" s="325"/>
      <c r="DN27" s="325"/>
      <c r="DO27" s="325"/>
      <c r="DP27" s="325"/>
      <c r="DQ27" s="325"/>
      <c r="DR27" s="325"/>
      <c r="DS27" s="467"/>
      <c r="DT27" s="466"/>
      <c r="DU27" s="325"/>
      <c r="DV27" s="325"/>
      <c r="DW27" s="325"/>
      <c r="DX27" s="325"/>
      <c r="DY27" s="325"/>
      <c r="DZ27" s="325"/>
      <c r="EA27" s="325"/>
      <c r="EB27" s="325"/>
      <c r="EC27" s="325"/>
      <c r="ED27" s="325"/>
      <c r="EE27" s="325"/>
      <c r="EF27" s="326"/>
    </row>
    <row r="28" spans="1:136" ht="15" customHeight="1">
      <c r="A28" s="468"/>
      <c r="B28" s="469"/>
      <c r="C28" s="469"/>
      <c r="D28" s="469"/>
      <c r="E28" s="469"/>
      <c r="F28" s="469"/>
      <c r="G28" s="470"/>
      <c r="H28" s="438">
        <f t="shared" si="0"/>
        <v>21</v>
      </c>
      <c r="I28" s="439"/>
      <c r="J28" s="443"/>
      <c r="K28" s="351"/>
      <c r="L28" s="351"/>
      <c r="M28" s="351"/>
      <c r="N28" s="351"/>
      <c r="O28" s="351"/>
      <c r="P28" s="351"/>
      <c r="Q28" s="351"/>
      <c r="R28" s="444"/>
      <c r="S28" s="452"/>
      <c r="T28" s="452"/>
      <c r="U28" s="452"/>
      <c r="V28" s="466"/>
      <c r="W28" s="325"/>
      <c r="X28" s="325"/>
      <c r="Y28" s="325"/>
      <c r="Z28" s="325"/>
      <c r="AA28" s="467"/>
      <c r="AB28" s="466"/>
      <c r="AC28" s="325"/>
      <c r="AD28" s="467"/>
      <c r="AE28" s="466"/>
      <c r="AF28" s="325"/>
      <c r="AG28" s="467"/>
      <c r="AH28" s="462"/>
      <c r="AI28" s="463"/>
      <c r="AJ28" s="464"/>
      <c r="AK28" s="455"/>
      <c r="AL28" s="456"/>
      <c r="AM28" s="456"/>
      <c r="AN28" s="457"/>
      <c r="AO28" s="466"/>
      <c r="AP28" s="325"/>
      <c r="AQ28" s="325"/>
      <c r="AR28" s="325"/>
      <c r="AS28" s="325"/>
      <c r="AT28" s="325"/>
      <c r="AU28" s="325"/>
      <c r="AV28" s="325"/>
      <c r="AW28" s="325"/>
      <c r="AX28" s="325"/>
      <c r="AY28" s="325"/>
      <c r="AZ28" s="325"/>
      <c r="BA28" s="325"/>
      <c r="BB28" s="325"/>
      <c r="BC28" s="325"/>
      <c r="BD28" s="325"/>
      <c r="BE28" s="325"/>
      <c r="BF28" s="325"/>
      <c r="BG28" s="325"/>
      <c r="BH28" s="325"/>
      <c r="BI28" s="325"/>
      <c r="BJ28" s="325"/>
      <c r="BK28" s="467"/>
      <c r="BL28" s="466"/>
      <c r="BM28" s="325"/>
      <c r="BN28" s="325"/>
      <c r="BO28" s="325"/>
      <c r="BP28" s="325"/>
      <c r="BQ28" s="325"/>
      <c r="BR28" s="325"/>
      <c r="BS28" s="325"/>
      <c r="BT28" s="325"/>
      <c r="BU28" s="325"/>
      <c r="BV28" s="325"/>
      <c r="BW28" s="325"/>
      <c r="BX28" s="325"/>
      <c r="BY28" s="325"/>
      <c r="BZ28" s="325"/>
      <c r="CA28" s="325"/>
      <c r="CB28" s="467"/>
      <c r="CC28" s="466"/>
      <c r="CD28" s="325"/>
      <c r="CE28" s="325"/>
      <c r="CF28" s="325"/>
      <c r="CG28" s="325"/>
      <c r="CH28" s="325"/>
      <c r="CI28" s="325"/>
      <c r="CJ28" s="325"/>
      <c r="CK28" s="325"/>
      <c r="CL28" s="325"/>
      <c r="CM28" s="325"/>
      <c r="CN28" s="467"/>
      <c r="CO28" s="466"/>
      <c r="CP28" s="325"/>
      <c r="CQ28" s="325"/>
      <c r="CR28" s="325"/>
      <c r="CS28" s="325"/>
      <c r="CT28" s="325"/>
      <c r="CU28" s="325"/>
      <c r="CV28" s="325"/>
      <c r="CW28" s="325"/>
      <c r="CX28" s="325"/>
      <c r="CY28" s="325"/>
      <c r="CZ28" s="467"/>
      <c r="DA28" s="455" t="s">
        <v>353</v>
      </c>
      <c r="DB28" s="456"/>
      <c r="DC28" s="456"/>
      <c r="DD28" s="456"/>
      <c r="DE28" s="456"/>
      <c r="DF28" s="457"/>
      <c r="DG28" s="466"/>
      <c r="DH28" s="325"/>
      <c r="DI28" s="325"/>
      <c r="DJ28" s="325"/>
      <c r="DK28" s="325"/>
      <c r="DL28" s="325"/>
      <c r="DM28" s="325"/>
      <c r="DN28" s="325"/>
      <c r="DO28" s="325"/>
      <c r="DP28" s="325"/>
      <c r="DQ28" s="325"/>
      <c r="DR28" s="325"/>
      <c r="DS28" s="467"/>
      <c r="DT28" s="466"/>
      <c r="DU28" s="325"/>
      <c r="DV28" s="325"/>
      <c r="DW28" s="325"/>
      <c r="DX28" s="325"/>
      <c r="DY28" s="325"/>
      <c r="DZ28" s="325"/>
      <c r="EA28" s="325"/>
      <c r="EB28" s="325"/>
      <c r="EC28" s="325"/>
      <c r="ED28" s="325"/>
      <c r="EE28" s="325"/>
      <c r="EF28" s="326"/>
    </row>
    <row r="29" spans="1:136" ht="15" customHeight="1">
      <c r="A29" s="468"/>
      <c r="B29" s="469"/>
      <c r="C29" s="469"/>
      <c r="D29" s="469"/>
      <c r="E29" s="469"/>
      <c r="F29" s="469"/>
      <c r="G29" s="470"/>
      <c r="H29" s="438">
        <f t="shared" si="0"/>
        <v>22</v>
      </c>
      <c r="I29" s="439"/>
      <c r="J29" s="443"/>
      <c r="K29" s="351"/>
      <c r="L29" s="351"/>
      <c r="M29" s="351"/>
      <c r="N29" s="351"/>
      <c r="O29" s="351"/>
      <c r="P29" s="351"/>
      <c r="Q29" s="351"/>
      <c r="R29" s="444"/>
      <c r="S29" s="452"/>
      <c r="T29" s="452"/>
      <c r="U29" s="452"/>
      <c r="V29" s="466"/>
      <c r="W29" s="325"/>
      <c r="X29" s="325"/>
      <c r="Y29" s="325"/>
      <c r="Z29" s="325"/>
      <c r="AA29" s="467"/>
      <c r="AB29" s="466"/>
      <c r="AC29" s="325"/>
      <c r="AD29" s="467"/>
      <c r="AE29" s="466"/>
      <c r="AF29" s="325"/>
      <c r="AG29" s="467"/>
      <c r="AH29" s="462"/>
      <c r="AI29" s="463"/>
      <c r="AJ29" s="464"/>
      <c r="AK29" s="455"/>
      <c r="AL29" s="456"/>
      <c r="AM29" s="456"/>
      <c r="AN29" s="457"/>
      <c r="AO29" s="466"/>
      <c r="AP29" s="325"/>
      <c r="AQ29" s="325"/>
      <c r="AR29" s="325"/>
      <c r="AS29" s="325"/>
      <c r="AT29" s="325"/>
      <c r="AU29" s="325"/>
      <c r="AV29" s="325"/>
      <c r="AW29" s="325"/>
      <c r="AX29" s="325"/>
      <c r="AY29" s="325"/>
      <c r="AZ29" s="325"/>
      <c r="BA29" s="325"/>
      <c r="BB29" s="325"/>
      <c r="BC29" s="325"/>
      <c r="BD29" s="325"/>
      <c r="BE29" s="325"/>
      <c r="BF29" s="325"/>
      <c r="BG29" s="325"/>
      <c r="BH29" s="325"/>
      <c r="BI29" s="325"/>
      <c r="BJ29" s="325"/>
      <c r="BK29" s="467"/>
      <c r="BL29" s="466"/>
      <c r="BM29" s="325"/>
      <c r="BN29" s="325"/>
      <c r="BO29" s="325"/>
      <c r="BP29" s="325"/>
      <c r="BQ29" s="325"/>
      <c r="BR29" s="325"/>
      <c r="BS29" s="325"/>
      <c r="BT29" s="325"/>
      <c r="BU29" s="325"/>
      <c r="BV29" s="325"/>
      <c r="BW29" s="325"/>
      <c r="BX29" s="325"/>
      <c r="BY29" s="325"/>
      <c r="BZ29" s="325"/>
      <c r="CA29" s="325"/>
      <c r="CB29" s="467"/>
      <c r="CC29" s="466"/>
      <c r="CD29" s="325"/>
      <c r="CE29" s="325"/>
      <c r="CF29" s="325"/>
      <c r="CG29" s="325"/>
      <c r="CH29" s="325"/>
      <c r="CI29" s="325"/>
      <c r="CJ29" s="325"/>
      <c r="CK29" s="325"/>
      <c r="CL29" s="325"/>
      <c r="CM29" s="325"/>
      <c r="CN29" s="467"/>
      <c r="CO29" s="466"/>
      <c r="CP29" s="325"/>
      <c r="CQ29" s="325"/>
      <c r="CR29" s="325"/>
      <c r="CS29" s="325"/>
      <c r="CT29" s="325"/>
      <c r="CU29" s="325"/>
      <c r="CV29" s="325"/>
      <c r="CW29" s="325"/>
      <c r="CX29" s="325"/>
      <c r="CY29" s="325"/>
      <c r="CZ29" s="467"/>
      <c r="DA29" s="455" t="s">
        <v>353</v>
      </c>
      <c r="DB29" s="456"/>
      <c r="DC29" s="456"/>
      <c r="DD29" s="456"/>
      <c r="DE29" s="456"/>
      <c r="DF29" s="457"/>
      <c r="DG29" s="466"/>
      <c r="DH29" s="325"/>
      <c r="DI29" s="325"/>
      <c r="DJ29" s="325"/>
      <c r="DK29" s="325"/>
      <c r="DL29" s="325"/>
      <c r="DM29" s="325"/>
      <c r="DN29" s="325"/>
      <c r="DO29" s="325"/>
      <c r="DP29" s="325"/>
      <c r="DQ29" s="325"/>
      <c r="DR29" s="325"/>
      <c r="DS29" s="467"/>
      <c r="DT29" s="466"/>
      <c r="DU29" s="325"/>
      <c r="DV29" s="325"/>
      <c r="DW29" s="325"/>
      <c r="DX29" s="325"/>
      <c r="DY29" s="325"/>
      <c r="DZ29" s="325"/>
      <c r="EA29" s="325"/>
      <c r="EB29" s="325"/>
      <c r="EC29" s="325"/>
      <c r="ED29" s="325"/>
      <c r="EE29" s="325"/>
      <c r="EF29" s="326"/>
    </row>
    <row r="30" spans="1:136" ht="15" customHeight="1">
      <c r="A30" s="471"/>
      <c r="B30" s="472"/>
      <c r="C30" s="472"/>
      <c r="D30" s="472"/>
      <c r="E30" s="472"/>
      <c r="F30" s="472"/>
      <c r="G30" s="473"/>
      <c r="H30" s="438">
        <f t="shared" si="0"/>
        <v>23</v>
      </c>
      <c r="I30" s="439"/>
      <c r="J30" s="443"/>
      <c r="K30" s="351"/>
      <c r="L30" s="351"/>
      <c r="M30" s="351"/>
      <c r="N30" s="351"/>
      <c r="O30" s="351"/>
      <c r="P30" s="351"/>
      <c r="Q30" s="351"/>
      <c r="R30" s="444"/>
      <c r="S30" s="452"/>
      <c r="T30" s="452"/>
      <c r="U30" s="452"/>
      <c r="V30" s="466"/>
      <c r="W30" s="325"/>
      <c r="X30" s="325"/>
      <c r="Y30" s="325"/>
      <c r="Z30" s="325"/>
      <c r="AA30" s="467"/>
      <c r="AB30" s="466"/>
      <c r="AC30" s="325"/>
      <c r="AD30" s="467"/>
      <c r="AE30" s="466"/>
      <c r="AF30" s="325"/>
      <c r="AG30" s="467"/>
      <c r="AH30" s="462"/>
      <c r="AI30" s="463"/>
      <c r="AJ30" s="464"/>
      <c r="AK30" s="455"/>
      <c r="AL30" s="456"/>
      <c r="AM30" s="456"/>
      <c r="AN30" s="457"/>
      <c r="AO30" s="466"/>
      <c r="AP30" s="325"/>
      <c r="AQ30" s="325"/>
      <c r="AR30" s="325"/>
      <c r="AS30" s="325"/>
      <c r="AT30" s="325"/>
      <c r="AU30" s="325"/>
      <c r="AV30" s="325"/>
      <c r="AW30" s="325"/>
      <c r="AX30" s="325"/>
      <c r="AY30" s="325"/>
      <c r="AZ30" s="325"/>
      <c r="BA30" s="325"/>
      <c r="BB30" s="325"/>
      <c r="BC30" s="325"/>
      <c r="BD30" s="325"/>
      <c r="BE30" s="325"/>
      <c r="BF30" s="325"/>
      <c r="BG30" s="325"/>
      <c r="BH30" s="325"/>
      <c r="BI30" s="325"/>
      <c r="BJ30" s="325"/>
      <c r="BK30" s="467"/>
      <c r="BL30" s="466"/>
      <c r="BM30" s="325"/>
      <c r="BN30" s="325"/>
      <c r="BO30" s="325"/>
      <c r="BP30" s="325"/>
      <c r="BQ30" s="325"/>
      <c r="BR30" s="325"/>
      <c r="BS30" s="325"/>
      <c r="BT30" s="325"/>
      <c r="BU30" s="325"/>
      <c r="BV30" s="325"/>
      <c r="BW30" s="325"/>
      <c r="BX30" s="325"/>
      <c r="BY30" s="325"/>
      <c r="BZ30" s="325"/>
      <c r="CA30" s="325"/>
      <c r="CB30" s="467"/>
      <c r="CC30" s="466"/>
      <c r="CD30" s="325"/>
      <c r="CE30" s="325"/>
      <c r="CF30" s="325"/>
      <c r="CG30" s="325"/>
      <c r="CH30" s="325"/>
      <c r="CI30" s="325"/>
      <c r="CJ30" s="325"/>
      <c r="CK30" s="325"/>
      <c r="CL30" s="325"/>
      <c r="CM30" s="325"/>
      <c r="CN30" s="467"/>
      <c r="CO30" s="466"/>
      <c r="CP30" s="325"/>
      <c r="CQ30" s="325"/>
      <c r="CR30" s="325"/>
      <c r="CS30" s="325"/>
      <c r="CT30" s="325"/>
      <c r="CU30" s="325"/>
      <c r="CV30" s="325"/>
      <c r="CW30" s="325"/>
      <c r="CX30" s="325"/>
      <c r="CY30" s="325"/>
      <c r="CZ30" s="467"/>
      <c r="DA30" s="455" t="s">
        <v>353</v>
      </c>
      <c r="DB30" s="456"/>
      <c r="DC30" s="456"/>
      <c r="DD30" s="456"/>
      <c r="DE30" s="456"/>
      <c r="DF30" s="457"/>
      <c r="DG30" s="466"/>
      <c r="DH30" s="325"/>
      <c r="DI30" s="325"/>
      <c r="DJ30" s="325"/>
      <c r="DK30" s="325"/>
      <c r="DL30" s="325"/>
      <c r="DM30" s="325"/>
      <c r="DN30" s="325"/>
      <c r="DO30" s="325"/>
      <c r="DP30" s="325"/>
      <c r="DQ30" s="325"/>
      <c r="DR30" s="325"/>
      <c r="DS30" s="467"/>
      <c r="DT30" s="466"/>
      <c r="DU30" s="325"/>
      <c r="DV30" s="325"/>
      <c r="DW30" s="325"/>
      <c r="DX30" s="325"/>
      <c r="DY30" s="325"/>
      <c r="DZ30" s="325"/>
      <c r="EA30" s="325"/>
      <c r="EB30" s="325"/>
      <c r="EC30" s="325"/>
      <c r="ED30" s="325"/>
      <c r="EE30" s="325"/>
      <c r="EF30" s="326"/>
    </row>
    <row r="31" spans="1:136" ht="15" customHeight="1">
      <c r="A31" s="474" t="s">
        <v>356</v>
      </c>
      <c r="B31" s="475"/>
      <c r="C31" s="475"/>
      <c r="D31" s="475"/>
      <c r="E31" s="475"/>
      <c r="F31" s="475"/>
      <c r="G31" s="476"/>
      <c r="H31" s="438">
        <f t="shared" si="0"/>
        <v>24</v>
      </c>
      <c r="I31" s="439"/>
      <c r="J31" s="443"/>
      <c r="K31" s="351"/>
      <c r="L31" s="351"/>
      <c r="M31" s="351"/>
      <c r="N31" s="351"/>
      <c r="O31" s="351"/>
      <c r="P31" s="351"/>
      <c r="Q31" s="351"/>
      <c r="R31" s="444"/>
      <c r="S31" s="452"/>
      <c r="T31" s="452"/>
      <c r="U31" s="452"/>
      <c r="V31" s="466"/>
      <c r="W31" s="325"/>
      <c r="X31" s="325"/>
      <c r="Y31" s="325"/>
      <c r="Z31" s="325"/>
      <c r="AA31" s="467"/>
      <c r="AB31" s="466"/>
      <c r="AC31" s="325"/>
      <c r="AD31" s="467"/>
      <c r="AE31" s="466"/>
      <c r="AF31" s="325"/>
      <c r="AG31" s="467"/>
      <c r="AH31" s="462"/>
      <c r="AI31" s="463"/>
      <c r="AJ31" s="464"/>
      <c r="AK31" s="462"/>
      <c r="AL31" s="463"/>
      <c r="AM31" s="463"/>
      <c r="AN31" s="464"/>
      <c r="AO31" s="466"/>
      <c r="AP31" s="325"/>
      <c r="AQ31" s="325"/>
      <c r="AR31" s="325"/>
      <c r="AS31" s="325"/>
      <c r="AT31" s="325"/>
      <c r="AU31" s="325"/>
      <c r="AV31" s="325"/>
      <c r="AW31" s="325"/>
      <c r="AX31" s="325"/>
      <c r="AY31" s="325"/>
      <c r="AZ31" s="325"/>
      <c r="BA31" s="325"/>
      <c r="BB31" s="325"/>
      <c r="BC31" s="325"/>
      <c r="BD31" s="325"/>
      <c r="BE31" s="325"/>
      <c r="BF31" s="325"/>
      <c r="BG31" s="325"/>
      <c r="BH31" s="325"/>
      <c r="BI31" s="325"/>
      <c r="BJ31" s="325"/>
      <c r="BK31" s="467"/>
      <c r="BL31" s="466"/>
      <c r="BM31" s="325"/>
      <c r="BN31" s="325"/>
      <c r="BO31" s="325"/>
      <c r="BP31" s="325"/>
      <c r="BQ31" s="325"/>
      <c r="BR31" s="325"/>
      <c r="BS31" s="325"/>
      <c r="BT31" s="325"/>
      <c r="BU31" s="325"/>
      <c r="BV31" s="325"/>
      <c r="BW31" s="325"/>
      <c r="BX31" s="325"/>
      <c r="BY31" s="325"/>
      <c r="BZ31" s="325"/>
      <c r="CA31" s="325"/>
      <c r="CB31" s="467"/>
      <c r="CC31" s="466"/>
      <c r="CD31" s="325"/>
      <c r="CE31" s="325"/>
      <c r="CF31" s="325"/>
      <c r="CG31" s="325"/>
      <c r="CH31" s="325"/>
      <c r="CI31" s="325"/>
      <c r="CJ31" s="325"/>
      <c r="CK31" s="325"/>
      <c r="CL31" s="325"/>
      <c r="CM31" s="325"/>
      <c r="CN31" s="467"/>
      <c r="CO31" s="466"/>
      <c r="CP31" s="325"/>
      <c r="CQ31" s="325"/>
      <c r="CR31" s="325"/>
      <c r="CS31" s="325"/>
      <c r="CT31" s="325"/>
      <c r="CU31" s="325"/>
      <c r="CV31" s="325"/>
      <c r="CW31" s="325"/>
      <c r="CX31" s="325"/>
      <c r="CY31" s="325"/>
      <c r="CZ31" s="467"/>
      <c r="DA31" s="455" t="s">
        <v>357</v>
      </c>
      <c r="DB31" s="456"/>
      <c r="DC31" s="456"/>
      <c r="DD31" s="456"/>
      <c r="DE31" s="456"/>
      <c r="DF31" s="457"/>
      <c r="DG31" s="466"/>
      <c r="DH31" s="325"/>
      <c r="DI31" s="325"/>
      <c r="DJ31" s="325"/>
      <c r="DK31" s="325"/>
      <c r="DL31" s="325"/>
      <c r="DM31" s="325"/>
      <c r="DN31" s="325"/>
      <c r="DO31" s="325"/>
      <c r="DP31" s="325"/>
      <c r="DQ31" s="325"/>
      <c r="DR31" s="325"/>
      <c r="DS31" s="467"/>
      <c r="DT31" s="466"/>
      <c r="DU31" s="325"/>
      <c r="DV31" s="325"/>
      <c r="DW31" s="325"/>
      <c r="DX31" s="325"/>
      <c r="DY31" s="325"/>
      <c r="DZ31" s="325"/>
      <c r="EA31" s="325"/>
      <c r="EB31" s="325"/>
      <c r="EC31" s="325"/>
      <c r="ED31" s="325"/>
      <c r="EE31" s="325"/>
      <c r="EF31" s="326"/>
    </row>
    <row r="32" spans="1:136" ht="15" customHeight="1">
      <c r="A32" s="468" t="s">
        <v>358</v>
      </c>
      <c r="B32" s="469"/>
      <c r="C32" s="469"/>
      <c r="D32" s="469"/>
      <c r="E32" s="469"/>
      <c r="F32" s="469"/>
      <c r="G32" s="470"/>
      <c r="H32" s="438">
        <f t="shared" si="0"/>
        <v>25</v>
      </c>
      <c r="I32" s="439"/>
      <c r="J32" s="443"/>
      <c r="K32" s="351"/>
      <c r="L32" s="351"/>
      <c r="M32" s="351"/>
      <c r="N32" s="351"/>
      <c r="O32" s="351"/>
      <c r="P32" s="351"/>
      <c r="Q32" s="351"/>
      <c r="R32" s="444"/>
      <c r="S32" s="452"/>
      <c r="T32" s="452"/>
      <c r="U32" s="452"/>
      <c r="V32" s="466"/>
      <c r="W32" s="325"/>
      <c r="X32" s="325"/>
      <c r="Y32" s="325"/>
      <c r="Z32" s="325"/>
      <c r="AA32" s="467"/>
      <c r="AB32" s="466"/>
      <c r="AC32" s="325"/>
      <c r="AD32" s="467"/>
      <c r="AE32" s="466"/>
      <c r="AF32" s="325"/>
      <c r="AG32" s="467"/>
      <c r="AH32" s="462"/>
      <c r="AI32" s="463"/>
      <c r="AJ32" s="464"/>
      <c r="AK32" s="462"/>
      <c r="AL32" s="463"/>
      <c r="AM32" s="463"/>
      <c r="AN32" s="464"/>
      <c r="AO32" s="466"/>
      <c r="AP32" s="325"/>
      <c r="AQ32" s="325"/>
      <c r="AR32" s="325"/>
      <c r="AS32" s="325"/>
      <c r="AT32" s="325"/>
      <c r="AU32" s="325"/>
      <c r="AV32" s="325"/>
      <c r="AW32" s="325"/>
      <c r="AX32" s="325"/>
      <c r="AY32" s="325"/>
      <c r="AZ32" s="325"/>
      <c r="BA32" s="325"/>
      <c r="BB32" s="325"/>
      <c r="BC32" s="325"/>
      <c r="BD32" s="325"/>
      <c r="BE32" s="325"/>
      <c r="BF32" s="325"/>
      <c r="BG32" s="325"/>
      <c r="BH32" s="325"/>
      <c r="BI32" s="325"/>
      <c r="BJ32" s="325"/>
      <c r="BK32" s="467"/>
      <c r="BL32" s="466"/>
      <c r="BM32" s="325"/>
      <c r="BN32" s="325"/>
      <c r="BO32" s="325"/>
      <c r="BP32" s="325"/>
      <c r="BQ32" s="325"/>
      <c r="BR32" s="325"/>
      <c r="BS32" s="325"/>
      <c r="BT32" s="325"/>
      <c r="BU32" s="325"/>
      <c r="BV32" s="325"/>
      <c r="BW32" s="325"/>
      <c r="BX32" s="325"/>
      <c r="BY32" s="325"/>
      <c r="BZ32" s="325"/>
      <c r="CA32" s="325"/>
      <c r="CB32" s="467"/>
      <c r="CC32" s="466"/>
      <c r="CD32" s="325"/>
      <c r="CE32" s="325"/>
      <c r="CF32" s="325"/>
      <c r="CG32" s="325"/>
      <c r="CH32" s="325"/>
      <c r="CI32" s="325"/>
      <c r="CJ32" s="325"/>
      <c r="CK32" s="325"/>
      <c r="CL32" s="325"/>
      <c r="CM32" s="325"/>
      <c r="CN32" s="467"/>
      <c r="CO32" s="466"/>
      <c r="CP32" s="325"/>
      <c r="CQ32" s="325"/>
      <c r="CR32" s="325"/>
      <c r="CS32" s="325"/>
      <c r="CT32" s="325"/>
      <c r="CU32" s="325"/>
      <c r="CV32" s="325"/>
      <c r="CW32" s="325"/>
      <c r="CX32" s="325"/>
      <c r="CY32" s="325"/>
      <c r="CZ32" s="467"/>
      <c r="DA32" s="455" t="s">
        <v>357</v>
      </c>
      <c r="DB32" s="456"/>
      <c r="DC32" s="456"/>
      <c r="DD32" s="456"/>
      <c r="DE32" s="456"/>
      <c r="DF32" s="457"/>
      <c r="DG32" s="466"/>
      <c r="DH32" s="325"/>
      <c r="DI32" s="325"/>
      <c r="DJ32" s="325"/>
      <c r="DK32" s="325"/>
      <c r="DL32" s="325"/>
      <c r="DM32" s="325"/>
      <c r="DN32" s="325"/>
      <c r="DO32" s="325"/>
      <c r="DP32" s="325"/>
      <c r="DQ32" s="325"/>
      <c r="DR32" s="325"/>
      <c r="DS32" s="467"/>
      <c r="DT32" s="466"/>
      <c r="DU32" s="325"/>
      <c r="DV32" s="325"/>
      <c r="DW32" s="325"/>
      <c r="DX32" s="325"/>
      <c r="DY32" s="325"/>
      <c r="DZ32" s="325"/>
      <c r="EA32" s="325"/>
      <c r="EB32" s="325"/>
      <c r="EC32" s="325"/>
      <c r="ED32" s="325"/>
      <c r="EE32" s="325"/>
      <c r="EF32" s="326"/>
    </row>
    <row r="33" spans="1:136" ht="15" customHeight="1">
      <c r="A33" s="468"/>
      <c r="B33" s="469"/>
      <c r="C33" s="469"/>
      <c r="D33" s="469"/>
      <c r="E33" s="469"/>
      <c r="F33" s="469"/>
      <c r="G33" s="470"/>
      <c r="H33" s="438">
        <f t="shared" si="0"/>
        <v>26</v>
      </c>
      <c r="I33" s="439"/>
      <c r="J33" s="443"/>
      <c r="K33" s="351"/>
      <c r="L33" s="351"/>
      <c r="M33" s="351"/>
      <c r="N33" s="351"/>
      <c r="O33" s="351"/>
      <c r="P33" s="351"/>
      <c r="Q33" s="351"/>
      <c r="R33" s="444"/>
      <c r="S33" s="452"/>
      <c r="T33" s="452"/>
      <c r="U33" s="452"/>
      <c r="V33" s="477"/>
      <c r="W33" s="478"/>
      <c r="X33" s="478"/>
      <c r="Y33" s="478"/>
      <c r="Z33" s="478"/>
      <c r="AA33" s="479"/>
      <c r="AB33" s="466"/>
      <c r="AC33" s="325"/>
      <c r="AD33" s="467"/>
      <c r="AE33" s="466"/>
      <c r="AF33" s="325"/>
      <c r="AG33" s="467"/>
      <c r="AH33" s="462"/>
      <c r="AI33" s="463"/>
      <c r="AJ33" s="464"/>
      <c r="AK33" s="462"/>
      <c r="AL33" s="463"/>
      <c r="AM33" s="463"/>
      <c r="AN33" s="464"/>
      <c r="AO33" s="466"/>
      <c r="AP33" s="325"/>
      <c r="AQ33" s="325"/>
      <c r="AR33" s="325"/>
      <c r="AS33" s="325"/>
      <c r="AT33" s="325"/>
      <c r="AU33" s="325"/>
      <c r="AV33" s="325"/>
      <c r="AW33" s="325"/>
      <c r="AX33" s="325"/>
      <c r="AY33" s="325"/>
      <c r="AZ33" s="325"/>
      <c r="BA33" s="325"/>
      <c r="BB33" s="325"/>
      <c r="BC33" s="325"/>
      <c r="BD33" s="325"/>
      <c r="BE33" s="325"/>
      <c r="BF33" s="325"/>
      <c r="BG33" s="325"/>
      <c r="BH33" s="325"/>
      <c r="BI33" s="325"/>
      <c r="BJ33" s="325"/>
      <c r="BK33" s="467"/>
      <c r="BL33" s="466"/>
      <c r="BM33" s="325"/>
      <c r="BN33" s="325"/>
      <c r="BO33" s="325"/>
      <c r="BP33" s="325"/>
      <c r="BQ33" s="325"/>
      <c r="BR33" s="325"/>
      <c r="BS33" s="325"/>
      <c r="BT33" s="325"/>
      <c r="BU33" s="325"/>
      <c r="BV33" s="325"/>
      <c r="BW33" s="325"/>
      <c r="BX33" s="325"/>
      <c r="BY33" s="325"/>
      <c r="BZ33" s="325"/>
      <c r="CA33" s="325"/>
      <c r="CB33" s="467"/>
      <c r="CC33" s="466"/>
      <c r="CD33" s="325"/>
      <c r="CE33" s="325"/>
      <c r="CF33" s="325"/>
      <c r="CG33" s="325"/>
      <c r="CH33" s="325"/>
      <c r="CI33" s="325"/>
      <c r="CJ33" s="325"/>
      <c r="CK33" s="325"/>
      <c r="CL33" s="325"/>
      <c r="CM33" s="325"/>
      <c r="CN33" s="467"/>
      <c r="CO33" s="466"/>
      <c r="CP33" s="325"/>
      <c r="CQ33" s="325"/>
      <c r="CR33" s="325"/>
      <c r="CS33" s="325"/>
      <c r="CT33" s="325"/>
      <c r="CU33" s="325"/>
      <c r="CV33" s="325"/>
      <c r="CW33" s="325"/>
      <c r="CX33" s="325"/>
      <c r="CY33" s="325"/>
      <c r="CZ33" s="467"/>
      <c r="DA33" s="455" t="s">
        <v>357</v>
      </c>
      <c r="DB33" s="456"/>
      <c r="DC33" s="456"/>
      <c r="DD33" s="456"/>
      <c r="DE33" s="456"/>
      <c r="DF33" s="457"/>
      <c r="DG33" s="466"/>
      <c r="DH33" s="325"/>
      <c r="DI33" s="325"/>
      <c r="DJ33" s="325"/>
      <c r="DK33" s="325"/>
      <c r="DL33" s="325"/>
      <c r="DM33" s="325"/>
      <c r="DN33" s="325"/>
      <c r="DO33" s="325"/>
      <c r="DP33" s="325"/>
      <c r="DQ33" s="325"/>
      <c r="DR33" s="325"/>
      <c r="DS33" s="467"/>
      <c r="DT33" s="466"/>
      <c r="DU33" s="325"/>
      <c r="DV33" s="325"/>
      <c r="DW33" s="325"/>
      <c r="DX33" s="325"/>
      <c r="DY33" s="325"/>
      <c r="DZ33" s="325"/>
      <c r="EA33" s="325"/>
      <c r="EB33" s="325"/>
      <c r="EC33" s="325"/>
      <c r="ED33" s="325"/>
      <c r="EE33" s="325"/>
      <c r="EF33" s="326"/>
    </row>
    <row r="34" spans="1:136" ht="15" customHeight="1">
      <c r="A34" s="468"/>
      <c r="B34" s="469"/>
      <c r="C34" s="469"/>
      <c r="D34" s="469"/>
      <c r="E34" s="469"/>
      <c r="F34" s="469"/>
      <c r="G34" s="470"/>
      <c r="H34" s="438">
        <f t="shared" si="0"/>
        <v>27</v>
      </c>
      <c r="I34" s="439"/>
      <c r="J34" s="443"/>
      <c r="K34" s="351"/>
      <c r="L34" s="351"/>
      <c r="M34" s="351"/>
      <c r="N34" s="351"/>
      <c r="O34" s="351"/>
      <c r="P34" s="351"/>
      <c r="Q34" s="351"/>
      <c r="R34" s="444"/>
      <c r="S34" s="452"/>
      <c r="T34" s="452"/>
      <c r="U34" s="452"/>
      <c r="V34" s="466"/>
      <c r="W34" s="325"/>
      <c r="X34" s="325"/>
      <c r="Y34" s="325"/>
      <c r="Z34" s="325"/>
      <c r="AA34" s="467"/>
      <c r="AB34" s="466"/>
      <c r="AC34" s="325"/>
      <c r="AD34" s="467"/>
      <c r="AE34" s="466"/>
      <c r="AF34" s="325"/>
      <c r="AG34" s="467"/>
      <c r="AH34" s="462"/>
      <c r="AI34" s="463"/>
      <c r="AJ34" s="464"/>
      <c r="AK34" s="455"/>
      <c r="AL34" s="456"/>
      <c r="AM34" s="456"/>
      <c r="AN34" s="457"/>
      <c r="AO34" s="466"/>
      <c r="AP34" s="325"/>
      <c r="AQ34" s="325"/>
      <c r="AR34" s="325"/>
      <c r="AS34" s="325"/>
      <c r="AT34" s="325"/>
      <c r="AU34" s="325"/>
      <c r="AV34" s="325"/>
      <c r="AW34" s="325"/>
      <c r="AX34" s="325"/>
      <c r="AY34" s="325"/>
      <c r="AZ34" s="325"/>
      <c r="BA34" s="325"/>
      <c r="BB34" s="325"/>
      <c r="BC34" s="325"/>
      <c r="BD34" s="325"/>
      <c r="BE34" s="325"/>
      <c r="BF34" s="325"/>
      <c r="BG34" s="325"/>
      <c r="BH34" s="325"/>
      <c r="BI34" s="325"/>
      <c r="BJ34" s="325"/>
      <c r="BK34" s="467"/>
      <c r="BL34" s="466"/>
      <c r="BM34" s="325"/>
      <c r="BN34" s="325"/>
      <c r="BO34" s="325"/>
      <c r="BP34" s="325"/>
      <c r="BQ34" s="325"/>
      <c r="BR34" s="325"/>
      <c r="BS34" s="325"/>
      <c r="BT34" s="325"/>
      <c r="BU34" s="325"/>
      <c r="BV34" s="325"/>
      <c r="BW34" s="325"/>
      <c r="BX34" s="325"/>
      <c r="BY34" s="325"/>
      <c r="BZ34" s="325"/>
      <c r="CA34" s="325"/>
      <c r="CB34" s="467"/>
      <c r="CC34" s="466"/>
      <c r="CD34" s="325"/>
      <c r="CE34" s="325"/>
      <c r="CF34" s="325"/>
      <c r="CG34" s="325"/>
      <c r="CH34" s="325"/>
      <c r="CI34" s="325"/>
      <c r="CJ34" s="325"/>
      <c r="CK34" s="325"/>
      <c r="CL34" s="325"/>
      <c r="CM34" s="325"/>
      <c r="CN34" s="467"/>
      <c r="CO34" s="466"/>
      <c r="CP34" s="325"/>
      <c r="CQ34" s="325"/>
      <c r="CR34" s="325"/>
      <c r="CS34" s="325"/>
      <c r="CT34" s="325"/>
      <c r="CU34" s="325"/>
      <c r="CV34" s="325"/>
      <c r="CW34" s="325"/>
      <c r="CX34" s="325"/>
      <c r="CY34" s="325"/>
      <c r="CZ34" s="467"/>
      <c r="DA34" s="455" t="s">
        <v>357</v>
      </c>
      <c r="DB34" s="456"/>
      <c r="DC34" s="456"/>
      <c r="DD34" s="456"/>
      <c r="DE34" s="456"/>
      <c r="DF34" s="457"/>
      <c r="DG34" s="466"/>
      <c r="DH34" s="325"/>
      <c r="DI34" s="325"/>
      <c r="DJ34" s="325"/>
      <c r="DK34" s="325"/>
      <c r="DL34" s="325"/>
      <c r="DM34" s="325"/>
      <c r="DN34" s="325"/>
      <c r="DO34" s="325"/>
      <c r="DP34" s="325"/>
      <c r="DQ34" s="325"/>
      <c r="DR34" s="325"/>
      <c r="DS34" s="467"/>
      <c r="DT34" s="466"/>
      <c r="DU34" s="325"/>
      <c r="DV34" s="325"/>
      <c r="DW34" s="325"/>
      <c r="DX34" s="325"/>
      <c r="DY34" s="325"/>
      <c r="DZ34" s="325"/>
      <c r="EA34" s="325"/>
      <c r="EB34" s="325"/>
      <c r="EC34" s="325"/>
      <c r="ED34" s="325"/>
      <c r="EE34" s="325"/>
      <c r="EF34" s="326"/>
    </row>
    <row r="35" spans="1:136" ht="15" customHeight="1">
      <c r="A35" s="468"/>
      <c r="B35" s="469"/>
      <c r="C35" s="469"/>
      <c r="D35" s="469"/>
      <c r="E35" s="469"/>
      <c r="F35" s="469"/>
      <c r="G35" s="470"/>
      <c r="H35" s="438">
        <f t="shared" si="0"/>
        <v>28</v>
      </c>
      <c r="I35" s="439"/>
      <c r="J35" s="443"/>
      <c r="K35" s="351"/>
      <c r="L35" s="351"/>
      <c r="M35" s="351"/>
      <c r="N35" s="351"/>
      <c r="O35" s="351"/>
      <c r="P35" s="351"/>
      <c r="Q35" s="351"/>
      <c r="R35" s="444"/>
      <c r="S35" s="452"/>
      <c r="T35" s="452"/>
      <c r="U35" s="452"/>
      <c r="V35" s="477"/>
      <c r="W35" s="478"/>
      <c r="X35" s="478"/>
      <c r="Y35" s="478"/>
      <c r="Z35" s="478"/>
      <c r="AA35" s="479"/>
      <c r="AB35" s="466"/>
      <c r="AC35" s="325"/>
      <c r="AD35" s="467"/>
      <c r="AE35" s="466"/>
      <c r="AF35" s="325"/>
      <c r="AG35" s="467"/>
      <c r="AH35" s="462"/>
      <c r="AI35" s="463"/>
      <c r="AJ35" s="464"/>
      <c r="AK35" s="462"/>
      <c r="AL35" s="463"/>
      <c r="AM35" s="463"/>
      <c r="AN35" s="464"/>
      <c r="AO35" s="466"/>
      <c r="AP35" s="325"/>
      <c r="AQ35" s="325"/>
      <c r="AR35" s="325"/>
      <c r="AS35" s="325"/>
      <c r="AT35" s="325"/>
      <c r="AU35" s="325"/>
      <c r="AV35" s="325"/>
      <c r="AW35" s="325"/>
      <c r="AX35" s="325"/>
      <c r="AY35" s="325"/>
      <c r="AZ35" s="325"/>
      <c r="BA35" s="325"/>
      <c r="BB35" s="325"/>
      <c r="BC35" s="325"/>
      <c r="BD35" s="325"/>
      <c r="BE35" s="325"/>
      <c r="BF35" s="325"/>
      <c r="BG35" s="325"/>
      <c r="BH35" s="325"/>
      <c r="BI35" s="325"/>
      <c r="BJ35" s="325"/>
      <c r="BK35" s="467"/>
      <c r="BL35" s="466"/>
      <c r="BM35" s="325"/>
      <c r="BN35" s="325"/>
      <c r="BO35" s="325"/>
      <c r="BP35" s="325"/>
      <c r="BQ35" s="325"/>
      <c r="BR35" s="325"/>
      <c r="BS35" s="325"/>
      <c r="BT35" s="325"/>
      <c r="BU35" s="325"/>
      <c r="BV35" s="325"/>
      <c r="BW35" s="325"/>
      <c r="BX35" s="325"/>
      <c r="BY35" s="325"/>
      <c r="BZ35" s="325"/>
      <c r="CA35" s="325"/>
      <c r="CB35" s="467"/>
      <c r="CC35" s="466"/>
      <c r="CD35" s="325"/>
      <c r="CE35" s="325"/>
      <c r="CF35" s="325"/>
      <c r="CG35" s="325"/>
      <c r="CH35" s="325"/>
      <c r="CI35" s="325"/>
      <c r="CJ35" s="325"/>
      <c r="CK35" s="325"/>
      <c r="CL35" s="325"/>
      <c r="CM35" s="325"/>
      <c r="CN35" s="467"/>
      <c r="CO35" s="466"/>
      <c r="CP35" s="325"/>
      <c r="CQ35" s="325"/>
      <c r="CR35" s="325"/>
      <c r="CS35" s="325"/>
      <c r="CT35" s="325"/>
      <c r="CU35" s="325"/>
      <c r="CV35" s="325"/>
      <c r="CW35" s="325"/>
      <c r="CX35" s="325"/>
      <c r="CY35" s="325"/>
      <c r="CZ35" s="467"/>
      <c r="DA35" s="455" t="s">
        <v>357</v>
      </c>
      <c r="DB35" s="456"/>
      <c r="DC35" s="456"/>
      <c r="DD35" s="456"/>
      <c r="DE35" s="456"/>
      <c r="DF35" s="457"/>
      <c r="DG35" s="466"/>
      <c r="DH35" s="325"/>
      <c r="DI35" s="325"/>
      <c r="DJ35" s="325"/>
      <c r="DK35" s="325"/>
      <c r="DL35" s="325"/>
      <c r="DM35" s="325"/>
      <c r="DN35" s="325"/>
      <c r="DO35" s="325"/>
      <c r="DP35" s="325"/>
      <c r="DQ35" s="325"/>
      <c r="DR35" s="325"/>
      <c r="DS35" s="467"/>
      <c r="DT35" s="466"/>
      <c r="DU35" s="325"/>
      <c r="DV35" s="325"/>
      <c r="DW35" s="325"/>
      <c r="DX35" s="325"/>
      <c r="DY35" s="325"/>
      <c r="DZ35" s="325"/>
      <c r="EA35" s="325"/>
      <c r="EB35" s="325"/>
      <c r="EC35" s="325"/>
      <c r="ED35" s="325"/>
      <c r="EE35" s="325"/>
      <c r="EF35" s="326"/>
    </row>
    <row r="36" spans="1:136" ht="15" customHeight="1">
      <c r="A36" s="468"/>
      <c r="B36" s="469"/>
      <c r="C36" s="469"/>
      <c r="D36" s="469"/>
      <c r="E36" s="469"/>
      <c r="F36" s="469"/>
      <c r="G36" s="470"/>
      <c r="H36" s="438">
        <f t="shared" si="0"/>
        <v>29</v>
      </c>
      <c r="I36" s="439"/>
      <c r="J36" s="443"/>
      <c r="K36" s="351"/>
      <c r="L36" s="351"/>
      <c r="M36" s="351"/>
      <c r="N36" s="351"/>
      <c r="O36" s="351"/>
      <c r="P36" s="351"/>
      <c r="Q36" s="351"/>
      <c r="R36" s="444"/>
      <c r="S36" s="452"/>
      <c r="T36" s="452"/>
      <c r="U36" s="452"/>
      <c r="V36" s="477"/>
      <c r="W36" s="478"/>
      <c r="X36" s="478"/>
      <c r="Y36" s="478"/>
      <c r="Z36" s="478"/>
      <c r="AA36" s="479"/>
      <c r="AB36" s="466"/>
      <c r="AC36" s="325"/>
      <c r="AD36" s="467"/>
      <c r="AE36" s="466"/>
      <c r="AF36" s="325"/>
      <c r="AG36" s="467"/>
      <c r="AH36" s="462"/>
      <c r="AI36" s="463"/>
      <c r="AJ36" s="464"/>
      <c r="AK36" s="462"/>
      <c r="AL36" s="463"/>
      <c r="AM36" s="463"/>
      <c r="AN36" s="464"/>
      <c r="AO36" s="466"/>
      <c r="AP36" s="325"/>
      <c r="AQ36" s="325"/>
      <c r="AR36" s="325"/>
      <c r="AS36" s="325"/>
      <c r="AT36" s="325"/>
      <c r="AU36" s="325"/>
      <c r="AV36" s="325"/>
      <c r="AW36" s="325"/>
      <c r="AX36" s="325"/>
      <c r="AY36" s="325"/>
      <c r="AZ36" s="325"/>
      <c r="BA36" s="325"/>
      <c r="BB36" s="325"/>
      <c r="BC36" s="325"/>
      <c r="BD36" s="325"/>
      <c r="BE36" s="325"/>
      <c r="BF36" s="325"/>
      <c r="BG36" s="325"/>
      <c r="BH36" s="325"/>
      <c r="BI36" s="325"/>
      <c r="BJ36" s="325"/>
      <c r="BK36" s="467"/>
      <c r="BL36" s="466"/>
      <c r="BM36" s="325"/>
      <c r="BN36" s="325"/>
      <c r="BO36" s="325"/>
      <c r="BP36" s="325"/>
      <c r="BQ36" s="325"/>
      <c r="BR36" s="325"/>
      <c r="BS36" s="325"/>
      <c r="BT36" s="325"/>
      <c r="BU36" s="325"/>
      <c r="BV36" s="325"/>
      <c r="BW36" s="325"/>
      <c r="BX36" s="325"/>
      <c r="BY36" s="325"/>
      <c r="BZ36" s="325"/>
      <c r="CA36" s="325"/>
      <c r="CB36" s="467"/>
      <c r="CC36" s="466"/>
      <c r="CD36" s="325"/>
      <c r="CE36" s="325"/>
      <c r="CF36" s="325"/>
      <c r="CG36" s="325"/>
      <c r="CH36" s="325"/>
      <c r="CI36" s="325"/>
      <c r="CJ36" s="325"/>
      <c r="CK36" s="325"/>
      <c r="CL36" s="325"/>
      <c r="CM36" s="325"/>
      <c r="CN36" s="467"/>
      <c r="CO36" s="466"/>
      <c r="CP36" s="325"/>
      <c r="CQ36" s="325"/>
      <c r="CR36" s="325"/>
      <c r="CS36" s="325"/>
      <c r="CT36" s="325"/>
      <c r="CU36" s="325"/>
      <c r="CV36" s="325"/>
      <c r="CW36" s="325"/>
      <c r="CX36" s="325"/>
      <c r="CY36" s="325"/>
      <c r="CZ36" s="467"/>
      <c r="DA36" s="455" t="s">
        <v>357</v>
      </c>
      <c r="DB36" s="456"/>
      <c r="DC36" s="456"/>
      <c r="DD36" s="456"/>
      <c r="DE36" s="456"/>
      <c r="DF36" s="457"/>
      <c r="DG36" s="466"/>
      <c r="DH36" s="325"/>
      <c r="DI36" s="325"/>
      <c r="DJ36" s="325"/>
      <c r="DK36" s="325"/>
      <c r="DL36" s="325"/>
      <c r="DM36" s="325"/>
      <c r="DN36" s="325"/>
      <c r="DO36" s="325"/>
      <c r="DP36" s="325"/>
      <c r="DQ36" s="325"/>
      <c r="DR36" s="325"/>
      <c r="DS36" s="467"/>
      <c r="DT36" s="466"/>
      <c r="DU36" s="325"/>
      <c r="DV36" s="325"/>
      <c r="DW36" s="325"/>
      <c r="DX36" s="325"/>
      <c r="DY36" s="325"/>
      <c r="DZ36" s="325"/>
      <c r="EA36" s="325"/>
      <c r="EB36" s="325"/>
      <c r="EC36" s="325"/>
      <c r="ED36" s="325"/>
      <c r="EE36" s="325"/>
      <c r="EF36" s="326"/>
    </row>
    <row r="37" spans="1:136" ht="15" customHeight="1">
      <c r="A37" s="468"/>
      <c r="B37" s="469"/>
      <c r="C37" s="469"/>
      <c r="D37" s="469"/>
      <c r="E37" s="469"/>
      <c r="F37" s="469"/>
      <c r="G37" s="470"/>
      <c r="H37" s="438">
        <f t="shared" si="0"/>
        <v>30</v>
      </c>
      <c r="I37" s="439"/>
      <c r="J37" s="443"/>
      <c r="K37" s="351"/>
      <c r="L37" s="351"/>
      <c r="M37" s="351"/>
      <c r="N37" s="351"/>
      <c r="O37" s="351"/>
      <c r="P37" s="351"/>
      <c r="Q37" s="351"/>
      <c r="R37" s="444"/>
      <c r="S37" s="452"/>
      <c r="T37" s="452"/>
      <c r="U37" s="452"/>
      <c r="V37" s="477"/>
      <c r="W37" s="478"/>
      <c r="X37" s="478"/>
      <c r="Y37" s="478"/>
      <c r="Z37" s="478"/>
      <c r="AA37" s="479"/>
      <c r="AB37" s="466"/>
      <c r="AC37" s="325"/>
      <c r="AD37" s="467"/>
      <c r="AE37" s="466"/>
      <c r="AF37" s="325"/>
      <c r="AG37" s="467"/>
      <c r="AH37" s="462"/>
      <c r="AI37" s="463"/>
      <c r="AJ37" s="464"/>
      <c r="AK37" s="462"/>
      <c r="AL37" s="463"/>
      <c r="AM37" s="463"/>
      <c r="AN37" s="464"/>
      <c r="AO37" s="466"/>
      <c r="AP37" s="325"/>
      <c r="AQ37" s="325"/>
      <c r="AR37" s="325"/>
      <c r="AS37" s="325"/>
      <c r="AT37" s="325"/>
      <c r="AU37" s="325"/>
      <c r="AV37" s="325"/>
      <c r="AW37" s="325"/>
      <c r="AX37" s="325"/>
      <c r="AY37" s="325"/>
      <c r="AZ37" s="325"/>
      <c r="BA37" s="325"/>
      <c r="BB37" s="325"/>
      <c r="BC37" s="325"/>
      <c r="BD37" s="325"/>
      <c r="BE37" s="325"/>
      <c r="BF37" s="325"/>
      <c r="BG37" s="325"/>
      <c r="BH37" s="325"/>
      <c r="BI37" s="325"/>
      <c r="BJ37" s="325"/>
      <c r="BK37" s="467"/>
      <c r="BL37" s="466"/>
      <c r="BM37" s="325"/>
      <c r="BN37" s="325"/>
      <c r="BO37" s="325"/>
      <c r="BP37" s="325"/>
      <c r="BQ37" s="325"/>
      <c r="BR37" s="325"/>
      <c r="BS37" s="325"/>
      <c r="BT37" s="325"/>
      <c r="BU37" s="325"/>
      <c r="BV37" s="325"/>
      <c r="BW37" s="325"/>
      <c r="BX37" s="325"/>
      <c r="BY37" s="325"/>
      <c r="BZ37" s="325"/>
      <c r="CA37" s="325"/>
      <c r="CB37" s="467"/>
      <c r="CC37" s="466"/>
      <c r="CD37" s="325"/>
      <c r="CE37" s="325"/>
      <c r="CF37" s="325"/>
      <c r="CG37" s="325"/>
      <c r="CH37" s="325"/>
      <c r="CI37" s="325"/>
      <c r="CJ37" s="325"/>
      <c r="CK37" s="325"/>
      <c r="CL37" s="325"/>
      <c r="CM37" s="325"/>
      <c r="CN37" s="467"/>
      <c r="CO37" s="466"/>
      <c r="CP37" s="325"/>
      <c r="CQ37" s="325"/>
      <c r="CR37" s="325"/>
      <c r="CS37" s="325"/>
      <c r="CT37" s="325"/>
      <c r="CU37" s="325"/>
      <c r="CV37" s="325"/>
      <c r="CW37" s="325"/>
      <c r="CX37" s="325"/>
      <c r="CY37" s="325"/>
      <c r="CZ37" s="467"/>
      <c r="DA37" s="455" t="s">
        <v>357</v>
      </c>
      <c r="DB37" s="456"/>
      <c r="DC37" s="456"/>
      <c r="DD37" s="456"/>
      <c r="DE37" s="456"/>
      <c r="DF37" s="457"/>
      <c r="DG37" s="466"/>
      <c r="DH37" s="325"/>
      <c r="DI37" s="325"/>
      <c r="DJ37" s="325"/>
      <c r="DK37" s="325"/>
      <c r="DL37" s="325"/>
      <c r="DM37" s="325"/>
      <c r="DN37" s="325"/>
      <c r="DO37" s="325"/>
      <c r="DP37" s="325"/>
      <c r="DQ37" s="325"/>
      <c r="DR37" s="325"/>
      <c r="DS37" s="467"/>
      <c r="DT37" s="466"/>
      <c r="DU37" s="325"/>
      <c r="DV37" s="325"/>
      <c r="DW37" s="325"/>
      <c r="DX37" s="325"/>
      <c r="DY37" s="325"/>
      <c r="DZ37" s="325"/>
      <c r="EA37" s="325"/>
      <c r="EB37" s="325"/>
      <c r="EC37" s="325"/>
      <c r="ED37" s="325"/>
      <c r="EE37" s="325"/>
      <c r="EF37" s="326"/>
    </row>
    <row r="38" spans="1:136" ht="15" customHeight="1">
      <c r="A38" s="468"/>
      <c r="B38" s="469"/>
      <c r="C38" s="469"/>
      <c r="D38" s="469"/>
      <c r="E38" s="469"/>
      <c r="F38" s="469"/>
      <c r="G38" s="470"/>
      <c r="H38" s="438">
        <f t="shared" si="0"/>
        <v>31</v>
      </c>
      <c r="I38" s="439"/>
      <c r="J38" s="443"/>
      <c r="K38" s="351"/>
      <c r="L38" s="351"/>
      <c r="M38" s="351"/>
      <c r="N38" s="351"/>
      <c r="O38" s="351"/>
      <c r="P38" s="351"/>
      <c r="Q38" s="351"/>
      <c r="R38" s="444"/>
      <c r="S38" s="452"/>
      <c r="T38" s="452"/>
      <c r="U38" s="452"/>
      <c r="V38" s="477"/>
      <c r="W38" s="478"/>
      <c r="X38" s="478"/>
      <c r="Y38" s="478"/>
      <c r="Z38" s="478"/>
      <c r="AA38" s="479"/>
      <c r="AB38" s="466"/>
      <c r="AC38" s="325"/>
      <c r="AD38" s="467"/>
      <c r="AE38" s="466"/>
      <c r="AF38" s="325"/>
      <c r="AG38" s="467"/>
      <c r="AH38" s="462"/>
      <c r="AI38" s="463"/>
      <c r="AJ38" s="464"/>
      <c r="AK38" s="462"/>
      <c r="AL38" s="463"/>
      <c r="AM38" s="463"/>
      <c r="AN38" s="464"/>
      <c r="AO38" s="466"/>
      <c r="AP38" s="325"/>
      <c r="AQ38" s="325"/>
      <c r="AR38" s="325"/>
      <c r="AS38" s="325"/>
      <c r="AT38" s="325"/>
      <c r="AU38" s="325"/>
      <c r="AV38" s="325"/>
      <c r="AW38" s="325"/>
      <c r="AX38" s="325"/>
      <c r="AY38" s="325"/>
      <c r="AZ38" s="325"/>
      <c r="BA38" s="325"/>
      <c r="BB38" s="325"/>
      <c r="BC38" s="325"/>
      <c r="BD38" s="325"/>
      <c r="BE38" s="325"/>
      <c r="BF38" s="325"/>
      <c r="BG38" s="325"/>
      <c r="BH38" s="325"/>
      <c r="BI38" s="325"/>
      <c r="BJ38" s="325"/>
      <c r="BK38" s="467"/>
      <c r="BL38" s="466"/>
      <c r="BM38" s="325"/>
      <c r="BN38" s="325"/>
      <c r="BO38" s="325"/>
      <c r="BP38" s="325"/>
      <c r="BQ38" s="325"/>
      <c r="BR38" s="325"/>
      <c r="BS38" s="325"/>
      <c r="BT38" s="325"/>
      <c r="BU38" s="325"/>
      <c r="BV38" s="325"/>
      <c r="BW38" s="325"/>
      <c r="BX38" s="325"/>
      <c r="BY38" s="325"/>
      <c r="BZ38" s="325"/>
      <c r="CA38" s="325"/>
      <c r="CB38" s="467"/>
      <c r="CC38" s="466"/>
      <c r="CD38" s="325"/>
      <c r="CE38" s="325"/>
      <c r="CF38" s="325"/>
      <c r="CG38" s="325"/>
      <c r="CH38" s="325"/>
      <c r="CI38" s="325"/>
      <c r="CJ38" s="325"/>
      <c r="CK38" s="325"/>
      <c r="CL38" s="325"/>
      <c r="CM38" s="325"/>
      <c r="CN38" s="467"/>
      <c r="CO38" s="466"/>
      <c r="CP38" s="325"/>
      <c r="CQ38" s="325"/>
      <c r="CR38" s="325"/>
      <c r="CS38" s="325"/>
      <c r="CT38" s="325"/>
      <c r="CU38" s="325"/>
      <c r="CV38" s="325"/>
      <c r="CW38" s="325"/>
      <c r="CX38" s="325"/>
      <c r="CY38" s="325"/>
      <c r="CZ38" s="467"/>
      <c r="DA38" s="455" t="s">
        <v>357</v>
      </c>
      <c r="DB38" s="456"/>
      <c r="DC38" s="456"/>
      <c r="DD38" s="456"/>
      <c r="DE38" s="456"/>
      <c r="DF38" s="457"/>
      <c r="DG38" s="466"/>
      <c r="DH38" s="325"/>
      <c r="DI38" s="325"/>
      <c r="DJ38" s="325"/>
      <c r="DK38" s="325"/>
      <c r="DL38" s="325"/>
      <c r="DM38" s="325"/>
      <c r="DN38" s="325"/>
      <c r="DO38" s="325"/>
      <c r="DP38" s="325"/>
      <c r="DQ38" s="325"/>
      <c r="DR38" s="325"/>
      <c r="DS38" s="467"/>
      <c r="DT38" s="466"/>
      <c r="DU38" s="325"/>
      <c r="DV38" s="325"/>
      <c r="DW38" s="325"/>
      <c r="DX38" s="325"/>
      <c r="DY38" s="325"/>
      <c r="DZ38" s="325"/>
      <c r="EA38" s="325"/>
      <c r="EB38" s="325"/>
      <c r="EC38" s="325"/>
      <c r="ED38" s="325"/>
      <c r="EE38" s="325"/>
      <c r="EF38" s="326"/>
    </row>
    <row r="39" spans="1:136" ht="15" customHeight="1">
      <c r="A39" s="468"/>
      <c r="B39" s="469"/>
      <c r="C39" s="469"/>
      <c r="D39" s="469"/>
      <c r="E39" s="469"/>
      <c r="F39" s="469"/>
      <c r="G39" s="470"/>
      <c r="H39" s="438">
        <f t="shared" si="0"/>
        <v>32</v>
      </c>
      <c r="I39" s="439"/>
      <c r="J39" s="443"/>
      <c r="K39" s="351"/>
      <c r="L39" s="351"/>
      <c r="M39" s="351"/>
      <c r="N39" s="351"/>
      <c r="O39" s="351"/>
      <c r="P39" s="351"/>
      <c r="Q39" s="351"/>
      <c r="R39" s="444"/>
      <c r="S39" s="452"/>
      <c r="T39" s="452"/>
      <c r="U39" s="452"/>
      <c r="V39" s="477"/>
      <c r="W39" s="478"/>
      <c r="X39" s="478"/>
      <c r="Y39" s="478"/>
      <c r="Z39" s="478"/>
      <c r="AA39" s="479"/>
      <c r="AB39" s="466"/>
      <c r="AC39" s="325"/>
      <c r="AD39" s="467"/>
      <c r="AE39" s="466"/>
      <c r="AF39" s="325"/>
      <c r="AG39" s="467"/>
      <c r="AH39" s="462"/>
      <c r="AI39" s="463"/>
      <c r="AJ39" s="464"/>
      <c r="AK39" s="462"/>
      <c r="AL39" s="463"/>
      <c r="AM39" s="463"/>
      <c r="AN39" s="464"/>
      <c r="AO39" s="466"/>
      <c r="AP39" s="325"/>
      <c r="AQ39" s="325"/>
      <c r="AR39" s="325"/>
      <c r="AS39" s="325"/>
      <c r="AT39" s="325"/>
      <c r="AU39" s="325"/>
      <c r="AV39" s="325"/>
      <c r="AW39" s="325"/>
      <c r="AX39" s="325"/>
      <c r="AY39" s="325"/>
      <c r="AZ39" s="325"/>
      <c r="BA39" s="325"/>
      <c r="BB39" s="325"/>
      <c r="BC39" s="325"/>
      <c r="BD39" s="325"/>
      <c r="BE39" s="325"/>
      <c r="BF39" s="325"/>
      <c r="BG39" s="325"/>
      <c r="BH39" s="325"/>
      <c r="BI39" s="325"/>
      <c r="BJ39" s="325"/>
      <c r="BK39" s="467"/>
      <c r="BL39" s="466"/>
      <c r="BM39" s="325"/>
      <c r="BN39" s="325"/>
      <c r="BO39" s="325"/>
      <c r="BP39" s="325"/>
      <c r="BQ39" s="325"/>
      <c r="BR39" s="325"/>
      <c r="BS39" s="325"/>
      <c r="BT39" s="325"/>
      <c r="BU39" s="325"/>
      <c r="BV39" s="325"/>
      <c r="BW39" s="325"/>
      <c r="BX39" s="325"/>
      <c r="BY39" s="325"/>
      <c r="BZ39" s="325"/>
      <c r="CA39" s="325"/>
      <c r="CB39" s="467"/>
      <c r="CC39" s="466"/>
      <c r="CD39" s="325"/>
      <c r="CE39" s="325"/>
      <c r="CF39" s="325"/>
      <c r="CG39" s="325"/>
      <c r="CH39" s="325"/>
      <c r="CI39" s="325"/>
      <c r="CJ39" s="325"/>
      <c r="CK39" s="325"/>
      <c r="CL39" s="325"/>
      <c r="CM39" s="325"/>
      <c r="CN39" s="467"/>
      <c r="CO39" s="466"/>
      <c r="CP39" s="325"/>
      <c r="CQ39" s="325"/>
      <c r="CR39" s="325"/>
      <c r="CS39" s="325"/>
      <c r="CT39" s="325"/>
      <c r="CU39" s="325"/>
      <c r="CV39" s="325"/>
      <c r="CW39" s="325"/>
      <c r="CX39" s="325"/>
      <c r="CY39" s="325"/>
      <c r="CZ39" s="467"/>
      <c r="DA39" s="455" t="s">
        <v>357</v>
      </c>
      <c r="DB39" s="456"/>
      <c r="DC39" s="456"/>
      <c r="DD39" s="456"/>
      <c r="DE39" s="456"/>
      <c r="DF39" s="457"/>
      <c r="DG39" s="466"/>
      <c r="DH39" s="325"/>
      <c r="DI39" s="325"/>
      <c r="DJ39" s="325"/>
      <c r="DK39" s="325"/>
      <c r="DL39" s="325"/>
      <c r="DM39" s="325"/>
      <c r="DN39" s="325"/>
      <c r="DO39" s="325"/>
      <c r="DP39" s="325"/>
      <c r="DQ39" s="325"/>
      <c r="DR39" s="325"/>
      <c r="DS39" s="467"/>
      <c r="DT39" s="466"/>
      <c r="DU39" s="325"/>
      <c r="DV39" s="325"/>
      <c r="DW39" s="325"/>
      <c r="DX39" s="325"/>
      <c r="DY39" s="325"/>
      <c r="DZ39" s="325"/>
      <c r="EA39" s="325"/>
      <c r="EB39" s="325"/>
      <c r="EC39" s="325"/>
      <c r="ED39" s="325"/>
      <c r="EE39" s="325"/>
      <c r="EF39" s="326"/>
    </row>
    <row r="40" spans="1:136" ht="15" customHeight="1">
      <c r="A40" s="468"/>
      <c r="B40" s="469"/>
      <c r="C40" s="469"/>
      <c r="D40" s="469"/>
      <c r="E40" s="469"/>
      <c r="F40" s="469"/>
      <c r="G40" s="470"/>
      <c r="H40" s="438">
        <f t="shared" si="0"/>
        <v>33</v>
      </c>
      <c r="I40" s="439"/>
      <c r="J40" s="443"/>
      <c r="K40" s="351"/>
      <c r="L40" s="351"/>
      <c r="M40" s="351"/>
      <c r="N40" s="351"/>
      <c r="O40" s="351"/>
      <c r="P40" s="351"/>
      <c r="Q40" s="351"/>
      <c r="R40" s="444"/>
      <c r="S40" s="452"/>
      <c r="T40" s="452"/>
      <c r="U40" s="452"/>
      <c r="V40" s="477"/>
      <c r="W40" s="478"/>
      <c r="X40" s="478"/>
      <c r="Y40" s="478"/>
      <c r="Z40" s="478"/>
      <c r="AA40" s="479"/>
      <c r="AB40" s="466"/>
      <c r="AC40" s="325"/>
      <c r="AD40" s="467"/>
      <c r="AE40" s="466"/>
      <c r="AF40" s="325"/>
      <c r="AG40" s="467"/>
      <c r="AH40" s="462"/>
      <c r="AI40" s="463"/>
      <c r="AJ40" s="464"/>
      <c r="AK40" s="462"/>
      <c r="AL40" s="463"/>
      <c r="AM40" s="463"/>
      <c r="AN40" s="464"/>
      <c r="AO40" s="466"/>
      <c r="AP40" s="325"/>
      <c r="AQ40" s="325"/>
      <c r="AR40" s="325"/>
      <c r="AS40" s="325"/>
      <c r="AT40" s="325"/>
      <c r="AU40" s="325"/>
      <c r="AV40" s="325"/>
      <c r="AW40" s="325"/>
      <c r="AX40" s="325"/>
      <c r="AY40" s="325"/>
      <c r="AZ40" s="325"/>
      <c r="BA40" s="325"/>
      <c r="BB40" s="325"/>
      <c r="BC40" s="325"/>
      <c r="BD40" s="325"/>
      <c r="BE40" s="325"/>
      <c r="BF40" s="325"/>
      <c r="BG40" s="325"/>
      <c r="BH40" s="325"/>
      <c r="BI40" s="325"/>
      <c r="BJ40" s="325"/>
      <c r="BK40" s="467"/>
      <c r="BL40" s="466"/>
      <c r="BM40" s="325"/>
      <c r="BN40" s="325"/>
      <c r="BO40" s="325"/>
      <c r="BP40" s="325"/>
      <c r="BQ40" s="325"/>
      <c r="BR40" s="325"/>
      <c r="BS40" s="325"/>
      <c r="BT40" s="325"/>
      <c r="BU40" s="325"/>
      <c r="BV40" s="325"/>
      <c r="BW40" s="325"/>
      <c r="BX40" s="325"/>
      <c r="BY40" s="325"/>
      <c r="BZ40" s="325"/>
      <c r="CA40" s="325"/>
      <c r="CB40" s="467"/>
      <c r="CC40" s="466"/>
      <c r="CD40" s="325"/>
      <c r="CE40" s="325"/>
      <c r="CF40" s="325"/>
      <c r="CG40" s="325"/>
      <c r="CH40" s="325"/>
      <c r="CI40" s="325"/>
      <c r="CJ40" s="325"/>
      <c r="CK40" s="325"/>
      <c r="CL40" s="325"/>
      <c r="CM40" s="325"/>
      <c r="CN40" s="467"/>
      <c r="CO40" s="466"/>
      <c r="CP40" s="325"/>
      <c r="CQ40" s="325"/>
      <c r="CR40" s="325"/>
      <c r="CS40" s="325"/>
      <c r="CT40" s="325"/>
      <c r="CU40" s="325"/>
      <c r="CV40" s="325"/>
      <c r="CW40" s="325"/>
      <c r="CX40" s="325"/>
      <c r="CY40" s="325"/>
      <c r="CZ40" s="467"/>
      <c r="DA40" s="455" t="s">
        <v>357</v>
      </c>
      <c r="DB40" s="456"/>
      <c r="DC40" s="456"/>
      <c r="DD40" s="456"/>
      <c r="DE40" s="456"/>
      <c r="DF40" s="457"/>
      <c r="DG40" s="466"/>
      <c r="DH40" s="325"/>
      <c r="DI40" s="325"/>
      <c r="DJ40" s="325"/>
      <c r="DK40" s="325"/>
      <c r="DL40" s="325"/>
      <c r="DM40" s="325"/>
      <c r="DN40" s="325"/>
      <c r="DO40" s="325"/>
      <c r="DP40" s="325"/>
      <c r="DQ40" s="325"/>
      <c r="DR40" s="325"/>
      <c r="DS40" s="467"/>
      <c r="DT40" s="466"/>
      <c r="DU40" s="325"/>
      <c r="DV40" s="325"/>
      <c r="DW40" s="325"/>
      <c r="DX40" s="325"/>
      <c r="DY40" s="325"/>
      <c r="DZ40" s="325"/>
      <c r="EA40" s="325"/>
      <c r="EB40" s="325"/>
      <c r="EC40" s="325"/>
      <c r="ED40" s="325"/>
      <c r="EE40" s="325"/>
      <c r="EF40" s="326"/>
    </row>
    <row r="41" spans="1:136" ht="15" customHeight="1">
      <c r="A41" s="468"/>
      <c r="B41" s="469"/>
      <c r="C41" s="469"/>
      <c r="D41" s="469"/>
      <c r="E41" s="469"/>
      <c r="F41" s="469"/>
      <c r="G41" s="470"/>
      <c r="H41" s="438">
        <f t="shared" si="0"/>
        <v>34</v>
      </c>
      <c r="I41" s="439"/>
      <c r="J41" s="443"/>
      <c r="K41" s="351"/>
      <c r="L41" s="351"/>
      <c r="M41" s="351"/>
      <c r="N41" s="351"/>
      <c r="O41" s="351"/>
      <c r="P41" s="351"/>
      <c r="Q41" s="351"/>
      <c r="R41" s="444"/>
      <c r="S41" s="452"/>
      <c r="T41" s="452"/>
      <c r="U41" s="452"/>
      <c r="V41" s="477"/>
      <c r="W41" s="478"/>
      <c r="X41" s="478"/>
      <c r="Y41" s="478"/>
      <c r="Z41" s="478"/>
      <c r="AA41" s="479"/>
      <c r="AB41" s="466"/>
      <c r="AC41" s="325"/>
      <c r="AD41" s="467"/>
      <c r="AE41" s="466"/>
      <c r="AF41" s="325"/>
      <c r="AG41" s="467"/>
      <c r="AH41" s="462"/>
      <c r="AI41" s="463"/>
      <c r="AJ41" s="464"/>
      <c r="AK41" s="462"/>
      <c r="AL41" s="463"/>
      <c r="AM41" s="463"/>
      <c r="AN41" s="464"/>
      <c r="AO41" s="466"/>
      <c r="AP41" s="325"/>
      <c r="AQ41" s="325"/>
      <c r="AR41" s="325"/>
      <c r="AS41" s="325"/>
      <c r="AT41" s="325"/>
      <c r="AU41" s="325"/>
      <c r="AV41" s="325"/>
      <c r="AW41" s="325"/>
      <c r="AX41" s="325"/>
      <c r="AY41" s="325"/>
      <c r="AZ41" s="325"/>
      <c r="BA41" s="325"/>
      <c r="BB41" s="325"/>
      <c r="BC41" s="325"/>
      <c r="BD41" s="325"/>
      <c r="BE41" s="325"/>
      <c r="BF41" s="325"/>
      <c r="BG41" s="325"/>
      <c r="BH41" s="325"/>
      <c r="BI41" s="325"/>
      <c r="BJ41" s="325"/>
      <c r="BK41" s="467"/>
      <c r="BL41" s="466"/>
      <c r="BM41" s="325"/>
      <c r="BN41" s="325"/>
      <c r="BO41" s="325"/>
      <c r="BP41" s="325"/>
      <c r="BQ41" s="325"/>
      <c r="BR41" s="325"/>
      <c r="BS41" s="325"/>
      <c r="BT41" s="325"/>
      <c r="BU41" s="325"/>
      <c r="BV41" s="325"/>
      <c r="BW41" s="325"/>
      <c r="BX41" s="325"/>
      <c r="BY41" s="325"/>
      <c r="BZ41" s="325"/>
      <c r="CA41" s="325"/>
      <c r="CB41" s="467"/>
      <c r="CC41" s="466"/>
      <c r="CD41" s="325"/>
      <c r="CE41" s="325"/>
      <c r="CF41" s="325"/>
      <c r="CG41" s="325"/>
      <c r="CH41" s="325"/>
      <c r="CI41" s="325"/>
      <c r="CJ41" s="325"/>
      <c r="CK41" s="325"/>
      <c r="CL41" s="325"/>
      <c r="CM41" s="325"/>
      <c r="CN41" s="467"/>
      <c r="CO41" s="466"/>
      <c r="CP41" s="325"/>
      <c r="CQ41" s="325"/>
      <c r="CR41" s="325"/>
      <c r="CS41" s="325"/>
      <c r="CT41" s="325"/>
      <c r="CU41" s="325"/>
      <c r="CV41" s="325"/>
      <c r="CW41" s="325"/>
      <c r="CX41" s="325"/>
      <c r="CY41" s="325"/>
      <c r="CZ41" s="467"/>
      <c r="DA41" s="455" t="s">
        <v>357</v>
      </c>
      <c r="DB41" s="456"/>
      <c r="DC41" s="456"/>
      <c r="DD41" s="456"/>
      <c r="DE41" s="456"/>
      <c r="DF41" s="457"/>
      <c r="DG41" s="466"/>
      <c r="DH41" s="325"/>
      <c r="DI41" s="325"/>
      <c r="DJ41" s="325"/>
      <c r="DK41" s="325"/>
      <c r="DL41" s="325"/>
      <c r="DM41" s="325"/>
      <c r="DN41" s="325"/>
      <c r="DO41" s="325"/>
      <c r="DP41" s="325"/>
      <c r="DQ41" s="325"/>
      <c r="DR41" s="325"/>
      <c r="DS41" s="467"/>
      <c r="DT41" s="466"/>
      <c r="DU41" s="325"/>
      <c r="DV41" s="325"/>
      <c r="DW41" s="325"/>
      <c r="DX41" s="325"/>
      <c r="DY41" s="325"/>
      <c r="DZ41" s="325"/>
      <c r="EA41" s="325"/>
      <c r="EB41" s="325"/>
      <c r="EC41" s="325"/>
      <c r="ED41" s="325"/>
      <c r="EE41" s="325"/>
      <c r="EF41" s="326"/>
    </row>
    <row r="42" spans="1:136" ht="15" customHeight="1">
      <c r="A42" s="468"/>
      <c r="B42" s="469"/>
      <c r="C42" s="469"/>
      <c r="D42" s="469"/>
      <c r="E42" s="469"/>
      <c r="F42" s="469"/>
      <c r="G42" s="470"/>
      <c r="H42" s="438">
        <f t="shared" si="0"/>
        <v>35</v>
      </c>
      <c r="I42" s="439"/>
      <c r="J42" s="443"/>
      <c r="K42" s="351"/>
      <c r="L42" s="351"/>
      <c r="M42" s="351"/>
      <c r="N42" s="351"/>
      <c r="O42" s="351"/>
      <c r="P42" s="351"/>
      <c r="Q42" s="351"/>
      <c r="R42" s="444"/>
      <c r="S42" s="452"/>
      <c r="T42" s="452"/>
      <c r="U42" s="452"/>
      <c r="V42" s="477"/>
      <c r="W42" s="478"/>
      <c r="X42" s="478"/>
      <c r="Y42" s="478"/>
      <c r="Z42" s="478"/>
      <c r="AA42" s="479"/>
      <c r="AB42" s="466"/>
      <c r="AC42" s="325"/>
      <c r="AD42" s="467"/>
      <c r="AE42" s="466"/>
      <c r="AF42" s="325"/>
      <c r="AG42" s="467"/>
      <c r="AH42" s="462"/>
      <c r="AI42" s="463"/>
      <c r="AJ42" s="464"/>
      <c r="AK42" s="462"/>
      <c r="AL42" s="463"/>
      <c r="AM42" s="463"/>
      <c r="AN42" s="464"/>
      <c r="AO42" s="466"/>
      <c r="AP42" s="325"/>
      <c r="AQ42" s="325"/>
      <c r="AR42" s="325"/>
      <c r="AS42" s="325"/>
      <c r="AT42" s="325"/>
      <c r="AU42" s="325"/>
      <c r="AV42" s="325"/>
      <c r="AW42" s="325"/>
      <c r="AX42" s="325"/>
      <c r="AY42" s="325"/>
      <c r="AZ42" s="325"/>
      <c r="BA42" s="325"/>
      <c r="BB42" s="325"/>
      <c r="BC42" s="325"/>
      <c r="BD42" s="325"/>
      <c r="BE42" s="325"/>
      <c r="BF42" s="325"/>
      <c r="BG42" s="325"/>
      <c r="BH42" s="325"/>
      <c r="BI42" s="325"/>
      <c r="BJ42" s="325"/>
      <c r="BK42" s="467"/>
      <c r="BL42" s="466"/>
      <c r="BM42" s="325"/>
      <c r="BN42" s="325"/>
      <c r="BO42" s="325"/>
      <c r="BP42" s="325"/>
      <c r="BQ42" s="325"/>
      <c r="BR42" s="325"/>
      <c r="BS42" s="325"/>
      <c r="BT42" s="325"/>
      <c r="BU42" s="325"/>
      <c r="BV42" s="325"/>
      <c r="BW42" s="325"/>
      <c r="BX42" s="325"/>
      <c r="BY42" s="325"/>
      <c r="BZ42" s="325"/>
      <c r="CA42" s="325"/>
      <c r="CB42" s="467"/>
      <c r="CC42" s="466"/>
      <c r="CD42" s="325"/>
      <c r="CE42" s="325"/>
      <c r="CF42" s="325"/>
      <c r="CG42" s="325"/>
      <c r="CH42" s="325"/>
      <c r="CI42" s="325"/>
      <c r="CJ42" s="325"/>
      <c r="CK42" s="325"/>
      <c r="CL42" s="325"/>
      <c r="CM42" s="325"/>
      <c r="CN42" s="467"/>
      <c r="CO42" s="466"/>
      <c r="CP42" s="325"/>
      <c r="CQ42" s="325"/>
      <c r="CR42" s="325"/>
      <c r="CS42" s="325"/>
      <c r="CT42" s="325"/>
      <c r="CU42" s="325"/>
      <c r="CV42" s="325"/>
      <c r="CW42" s="325"/>
      <c r="CX42" s="325"/>
      <c r="CY42" s="325"/>
      <c r="CZ42" s="467"/>
      <c r="DA42" s="455" t="s">
        <v>357</v>
      </c>
      <c r="DB42" s="456"/>
      <c r="DC42" s="456"/>
      <c r="DD42" s="456"/>
      <c r="DE42" s="456"/>
      <c r="DF42" s="457"/>
      <c r="DG42" s="466"/>
      <c r="DH42" s="325"/>
      <c r="DI42" s="325"/>
      <c r="DJ42" s="325"/>
      <c r="DK42" s="325"/>
      <c r="DL42" s="325"/>
      <c r="DM42" s="325"/>
      <c r="DN42" s="325"/>
      <c r="DO42" s="325"/>
      <c r="DP42" s="325"/>
      <c r="DQ42" s="325"/>
      <c r="DR42" s="325"/>
      <c r="DS42" s="467"/>
      <c r="DT42" s="466"/>
      <c r="DU42" s="325"/>
      <c r="DV42" s="325"/>
      <c r="DW42" s="325"/>
      <c r="DX42" s="325"/>
      <c r="DY42" s="325"/>
      <c r="DZ42" s="325"/>
      <c r="EA42" s="325"/>
      <c r="EB42" s="325"/>
      <c r="EC42" s="325"/>
      <c r="ED42" s="325"/>
      <c r="EE42" s="325"/>
      <c r="EF42" s="326"/>
    </row>
    <row r="43" spans="1:136" ht="15" customHeight="1">
      <c r="A43" s="468"/>
      <c r="B43" s="469"/>
      <c r="C43" s="469"/>
      <c r="D43" s="469"/>
      <c r="E43" s="469"/>
      <c r="F43" s="469"/>
      <c r="G43" s="470"/>
      <c r="H43" s="438">
        <f t="shared" si="0"/>
        <v>36</v>
      </c>
      <c r="I43" s="439"/>
      <c r="J43" s="443"/>
      <c r="K43" s="351"/>
      <c r="L43" s="351"/>
      <c r="M43" s="351"/>
      <c r="N43" s="351"/>
      <c r="O43" s="351"/>
      <c r="P43" s="351"/>
      <c r="Q43" s="351"/>
      <c r="R43" s="444"/>
      <c r="S43" s="452"/>
      <c r="T43" s="452"/>
      <c r="U43" s="452"/>
      <c r="V43" s="477"/>
      <c r="W43" s="478"/>
      <c r="X43" s="478"/>
      <c r="Y43" s="478"/>
      <c r="Z43" s="478"/>
      <c r="AA43" s="479"/>
      <c r="AB43" s="466"/>
      <c r="AC43" s="325"/>
      <c r="AD43" s="467"/>
      <c r="AE43" s="466"/>
      <c r="AF43" s="325"/>
      <c r="AG43" s="467"/>
      <c r="AH43" s="462"/>
      <c r="AI43" s="463"/>
      <c r="AJ43" s="464"/>
      <c r="AK43" s="462"/>
      <c r="AL43" s="463"/>
      <c r="AM43" s="463"/>
      <c r="AN43" s="464"/>
      <c r="AO43" s="466"/>
      <c r="AP43" s="325"/>
      <c r="AQ43" s="325"/>
      <c r="AR43" s="325"/>
      <c r="AS43" s="325"/>
      <c r="AT43" s="325"/>
      <c r="AU43" s="325"/>
      <c r="AV43" s="325"/>
      <c r="AW43" s="325"/>
      <c r="AX43" s="325"/>
      <c r="AY43" s="325"/>
      <c r="AZ43" s="325"/>
      <c r="BA43" s="325"/>
      <c r="BB43" s="325"/>
      <c r="BC43" s="325"/>
      <c r="BD43" s="325"/>
      <c r="BE43" s="325"/>
      <c r="BF43" s="325"/>
      <c r="BG43" s="325"/>
      <c r="BH43" s="325"/>
      <c r="BI43" s="325"/>
      <c r="BJ43" s="325"/>
      <c r="BK43" s="467"/>
      <c r="BL43" s="466"/>
      <c r="BM43" s="325"/>
      <c r="BN43" s="325"/>
      <c r="BO43" s="325"/>
      <c r="BP43" s="325"/>
      <c r="BQ43" s="325"/>
      <c r="BR43" s="325"/>
      <c r="BS43" s="325"/>
      <c r="BT43" s="325"/>
      <c r="BU43" s="325"/>
      <c r="BV43" s="325"/>
      <c r="BW43" s="325"/>
      <c r="BX43" s="325"/>
      <c r="BY43" s="325"/>
      <c r="BZ43" s="325"/>
      <c r="CA43" s="325"/>
      <c r="CB43" s="467"/>
      <c r="CC43" s="466"/>
      <c r="CD43" s="325"/>
      <c r="CE43" s="325"/>
      <c r="CF43" s="325"/>
      <c r="CG43" s="325"/>
      <c r="CH43" s="325"/>
      <c r="CI43" s="325"/>
      <c r="CJ43" s="325"/>
      <c r="CK43" s="325"/>
      <c r="CL43" s="325"/>
      <c r="CM43" s="325"/>
      <c r="CN43" s="467"/>
      <c r="CO43" s="466"/>
      <c r="CP43" s="325"/>
      <c r="CQ43" s="325"/>
      <c r="CR43" s="325"/>
      <c r="CS43" s="325"/>
      <c r="CT43" s="325"/>
      <c r="CU43" s="325"/>
      <c r="CV43" s="325"/>
      <c r="CW43" s="325"/>
      <c r="CX43" s="325"/>
      <c r="CY43" s="325"/>
      <c r="CZ43" s="467"/>
      <c r="DA43" s="455" t="s">
        <v>357</v>
      </c>
      <c r="DB43" s="456"/>
      <c r="DC43" s="456"/>
      <c r="DD43" s="456"/>
      <c r="DE43" s="456"/>
      <c r="DF43" s="457"/>
      <c r="DG43" s="466"/>
      <c r="DH43" s="325"/>
      <c r="DI43" s="325"/>
      <c r="DJ43" s="325"/>
      <c r="DK43" s="325"/>
      <c r="DL43" s="325"/>
      <c r="DM43" s="325"/>
      <c r="DN43" s="325"/>
      <c r="DO43" s="325"/>
      <c r="DP43" s="325"/>
      <c r="DQ43" s="325"/>
      <c r="DR43" s="325"/>
      <c r="DS43" s="467"/>
      <c r="DT43" s="466"/>
      <c r="DU43" s="325"/>
      <c r="DV43" s="325"/>
      <c r="DW43" s="325"/>
      <c r="DX43" s="325"/>
      <c r="DY43" s="325"/>
      <c r="DZ43" s="325"/>
      <c r="EA43" s="325"/>
      <c r="EB43" s="325"/>
      <c r="EC43" s="325"/>
      <c r="ED43" s="325"/>
      <c r="EE43" s="325"/>
      <c r="EF43" s="326"/>
    </row>
    <row r="44" spans="1:136" ht="15" customHeight="1">
      <c r="A44" s="468"/>
      <c r="B44" s="469"/>
      <c r="C44" s="469"/>
      <c r="D44" s="469"/>
      <c r="E44" s="469"/>
      <c r="F44" s="469"/>
      <c r="G44" s="470"/>
      <c r="H44" s="438">
        <f t="shared" si="0"/>
        <v>37</v>
      </c>
      <c r="I44" s="439"/>
      <c r="J44" s="443"/>
      <c r="K44" s="351"/>
      <c r="L44" s="351"/>
      <c r="M44" s="351"/>
      <c r="N44" s="351"/>
      <c r="O44" s="351"/>
      <c r="P44" s="351"/>
      <c r="Q44" s="351"/>
      <c r="R44" s="444"/>
      <c r="S44" s="452"/>
      <c r="T44" s="452"/>
      <c r="U44" s="452"/>
      <c r="V44" s="477"/>
      <c r="W44" s="478"/>
      <c r="X44" s="478"/>
      <c r="Y44" s="478"/>
      <c r="Z44" s="478"/>
      <c r="AA44" s="479"/>
      <c r="AB44" s="466"/>
      <c r="AC44" s="325"/>
      <c r="AD44" s="467"/>
      <c r="AE44" s="466"/>
      <c r="AF44" s="325"/>
      <c r="AG44" s="467"/>
      <c r="AH44" s="462"/>
      <c r="AI44" s="463"/>
      <c r="AJ44" s="464"/>
      <c r="AK44" s="462"/>
      <c r="AL44" s="463"/>
      <c r="AM44" s="463"/>
      <c r="AN44" s="464"/>
      <c r="AO44" s="466"/>
      <c r="AP44" s="325"/>
      <c r="AQ44" s="325"/>
      <c r="AR44" s="325"/>
      <c r="AS44" s="325"/>
      <c r="AT44" s="325"/>
      <c r="AU44" s="325"/>
      <c r="AV44" s="325"/>
      <c r="AW44" s="325"/>
      <c r="AX44" s="325"/>
      <c r="AY44" s="325"/>
      <c r="AZ44" s="325"/>
      <c r="BA44" s="325"/>
      <c r="BB44" s="325"/>
      <c r="BC44" s="325"/>
      <c r="BD44" s="325"/>
      <c r="BE44" s="325"/>
      <c r="BF44" s="325"/>
      <c r="BG44" s="325"/>
      <c r="BH44" s="325"/>
      <c r="BI44" s="325"/>
      <c r="BJ44" s="325"/>
      <c r="BK44" s="467"/>
      <c r="BL44" s="466"/>
      <c r="BM44" s="325"/>
      <c r="BN44" s="325"/>
      <c r="BO44" s="325"/>
      <c r="BP44" s="325"/>
      <c r="BQ44" s="325"/>
      <c r="BR44" s="325"/>
      <c r="BS44" s="325"/>
      <c r="BT44" s="325"/>
      <c r="BU44" s="325"/>
      <c r="BV44" s="325"/>
      <c r="BW44" s="325"/>
      <c r="BX44" s="325"/>
      <c r="BY44" s="325"/>
      <c r="BZ44" s="325"/>
      <c r="CA44" s="325"/>
      <c r="CB44" s="467"/>
      <c r="CC44" s="466"/>
      <c r="CD44" s="325"/>
      <c r="CE44" s="325"/>
      <c r="CF44" s="325"/>
      <c r="CG44" s="325"/>
      <c r="CH44" s="325"/>
      <c r="CI44" s="325"/>
      <c r="CJ44" s="325"/>
      <c r="CK44" s="325"/>
      <c r="CL44" s="325"/>
      <c r="CM44" s="325"/>
      <c r="CN44" s="467"/>
      <c r="CO44" s="466"/>
      <c r="CP44" s="325"/>
      <c r="CQ44" s="325"/>
      <c r="CR44" s="325"/>
      <c r="CS44" s="325"/>
      <c r="CT44" s="325"/>
      <c r="CU44" s="325"/>
      <c r="CV44" s="325"/>
      <c r="CW44" s="325"/>
      <c r="CX44" s="325"/>
      <c r="CY44" s="325"/>
      <c r="CZ44" s="467"/>
      <c r="DA44" s="455" t="s">
        <v>357</v>
      </c>
      <c r="DB44" s="456"/>
      <c r="DC44" s="456"/>
      <c r="DD44" s="456"/>
      <c r="DE44" s="456"/>
      <c r="DF44" s="457"/>
      <c r="DG44" s="466"/>
      <c r="DH44" s="325"/>
      <c r="DI44" s="325"/>
      <c r="DJ44" s="325"/>
      <c r="DK44" s="325"/>
      <c r="DL44" s="325"/>
      <c r="DM44" s="325"/>
      <c r="DN44" s="325"/>
      <c r="DO44" s="325"/>
      <c r="DP44" s="325"/>
      <c r="DQ44" s="325"/>
      <c r="DR44" s="325"/>
      <c r="DS44" s="467"/>
      <c r="DT44" s="466"/>
      <c r="DU44" s="325"/>
      <c r="DV44" s="325"/>
      <c r="DW44" s="325"/>
      <c r="DX44" s="325"/>
      <c r="DY44" s="325"/>
      <c r="DZ44" s="325"/>
      <c r="EA44" s="325"/>
      <c r="EB44" s="325"/>
      <c r="EC44" s="325"/>
      <c r="ED44" s="325"/>
      <c r="EE44" s="325"/>
      <c r="EF44" s="326"/>
    </row>
    <row r="45" spans="1:136" ht="15" customHeight="1">
      <c r="A45" s="471"/>
      <c r="B45" s="472"/>
      <c r="C45" s="472"/>
      <c r="D45" s="472"/>
      <c r="E45" s="472"/>
      <c r="F45" s="472"/>
      <c r="G45" s="473"/>
      <c r="H45" s="438">
        <f t="shared" si="0"/>
        <v>38</v>
      </c>
      <c r="I45" s="439"/>
      <c r="J45" s="443"/>
      <c r="K45" s="351"/>
      <c r="L45" s="351"/>
      <c r="M45" s="351"/>
      <c r="N45" s="351"/>
      <c r="O45" s="351"/>
      <c r="P45" s="351"/>
      <c r="Q45" s="351"/>
      <c r="R45" s="444"/>
      <c r="S45" s="452"/>
      <c r="T45" s="452"/>
      <c r="U45" s="452"/>
      <c r="V45" s="477"/>
      <c r="W45" s="478"/>
      <c r="X45" s="478"/>
      <c r="Y45" s="478"/>
      <c r="Z45" s="478"/>
      <c r="AA45" s="479"/>
      <c r="AB45" s="466"/>
      <c r="AC45" s="325"/>
      <c r="AD45" s="467"/>
      <c r="AE45" s="466"/>
      <c r="AF45" s="325"/>
      <c r="AG45" s="467"/>
      <c r="AH45" s="462"/>
      <c r="AI45" s="463"/>
      <c r="AJ45" s="464"/>
      <c r="AK45" s="462"/>
      <c r="AL45" s="463"/>
      <c r="AM45" s="463"/>
      <c r="AN45" s="464"/>
      <c r="AO45" s="466"/>
      <c r="AP45" s="325"/>
      <c r="AQ45" s="325"/>
      <c r="AR45" s="325"/>
      <c r="AS45" s="325"/>
      <c r="AT45" s="325"/>
      <c r="AU45" s="325"/>
      <c r="AV45" s="325"/>
      <c r="AW45" s="325"/>
      <c r="AX45" s="325"/>
      <c r="AY45" s="325"/>
      <c r="AZ45" s="325"/>
      <c r="BA45" s="325"/>
      <c r="BB45" s="325"/>
      <c r="BC45" s="325"/>
      <c r="BD45" s="325"/>
      <c r="BE45" s="325"/>
      <c r="BF45" s="325"/>
      <c r="BG45" s="325"/>
      <c r="BH45" s="325"/>
      <c r="BI45" s="325"/>
      <c r="BJ45" s="325"/>
      <c r="BK45" s="467"/>
      <c r="BL45" s="466"/>
      <c r="BM45" s="325"/>
      <c r="BN45" s="325"/>
      <c r="BO45" s="325"/>
      <c r="BP45" s="325"/>
      <c r="BQ45" s="325"/>
      <c r="BR45" s="325"/>
      <c r="BS45" s="325"/>
      <c r="BT45" s="325"/>
      <c r="BU45" s="325"/>
      <c r="BV45" s="325"/>
      <c r="BW45" s="325"/>
      <c r="BX45" s="325"/>
      <c r="BY45" s="325"/>
      <c r="BZ45" s="325"/>
      <c r="CA45" s="325"/>
      <c r="CB45" s="467"/>
      <c r="CC45" s="466"/>
      <c r="CD45" s="325"/>
      <c r="CE45" s="325"/>
      <c r="CF45" s="325"/>
      <c r="CG45" s="325"/>
      <c r="CH45" s="325"/>
      <c r="CI45" s="325"/>
      <c r="CJ45" s="325"/>
      <c r="CK45" s="325"/>
      <c r="CL45" s="325"/>
      <c r="CM45" s="325"/>
      <c r="CN45" s="467"/>
      <c r="CO45" s="466"/>
      <c r="CP45" s="325"/>
      <c r="CQ45" s="325"/>
      <c r="CR45" s="325"/>
      <c r="CS45" s="325"/>
      <c r="CT45" s="325"/>
      <c r="CU45" s="325"/>
      <c r="CV45" s="325"/>
      <c r="CW45" s="325"/>
      <c r="CX45" s="325"/>
      <c r="CY45" s="325"/>
      <c r="CZ45" s="467"/>
      <c r="DA45" s="455" t="s">
        <v>357</v>
      </c>
      <c r="DB45" s="456"/>
      <c r="DC45" s="456"/>
      <c r="DD45" s="456"/>
      <c r="DE45" s="456"/>
      <c r="DF45" s="457"/>
      <c r="DG45" s="466"/>
      <c r="DH45" s="325"/>
      <c r="DI45" s="325"/>
      <c r="DJ45" s="325"/>
      <c r="DK45" s="325"/>
      <c r="DL45" s="325"/>
      <c r="DM45" s="325"/>
      <c r="DN45" s="325"/>
      <c r="DO45" s="325"/>
      <c r="DP45" s="325"/>
      <c r="DQ45" s="325"/>
      <c r="DR45" s="325"/>
      <c r="DS45" s="467"/>
      <c r="DT45" s="466"/>
      <c r="DU45" s="325"/>
      <c r="DV45" s="325"/>
      <c r="DW45" s="325"/>
      <c r="DX45" s="325"/>
      <c r="DY45" s="325"/>
      <c r="DZ45" s="325"/>
      <c r="EA45" s="325"/>
      <c r="EB45" s="325"/>
      <c r="EC45" s="325"/>
      <c r="ED45" s="325"/>
      <c r="EE45" s="325"/>
      <c r="EF45" s="326"/>
    </row>
    <row r="46" spans="1:136" ht="15" customHeight="1">
      <c r="A46" s="480" t="s">
        <v>359</v>
      </c>
      <c r="B46" s="366"/>
      <c r="C46" s="366"/>
      <c r="D46" s="366"/>
      <c r="E46" s="366"/>
      <c r="F46" s="366"/>
      <c r="G46" s="367"/>
      <c r="H46" s="462">
        <f t="shared" si="0"/>
        <v>39</v>
      </c>
      <c r="I46" s="464"/>
      <c r="J46" s="443"/>
      <c r="K46" s="351"/>
      <c r="L46" s="351"/>
      <c r="M46" s="351"/>
      <c r="N46" s="351"/>
      <c r="O46" s="351"/>
      <c r="P46" s="351"/>
      <c r="Q46" s="351"/>
      <c r="R46" s="444"/>
      <c r="S46" s="452"/>
      <c r="T46" s="452"/>
      <c r="U46" s="452"/>
      <c r="V46" s="466"/>
      <c r="W46" s="325"/>
      <c r="X46" s="325"/>
      <c r="Y46" s="325"/>
      <c r="Z46" s="325"/>
      <c r="AA46" s="467"/>
      <c r="AB46" s="466"/>
      <c r="AC46" s="325"/>
      <c r="AD46" s="467"/>
      <c r="AE46" s="466"/>
      <c r="AF46" s="325"/>
      <c r="AG46" s="467"/>
      <c r="AH46" s="462"/>
      <c r="AI46" s="463"/>
      <c r="AJ46" s="464"/>
      <c r="AK46" s="455"/>
      <c r="AL46" s="456"/>
      <c r="AM46" s="456"/>
      <c r="AN46" s="457"/>
      <c r="AO46" s="466"/>
      <c r="AP46" s="325"/>
      <c r="AQ46" s="325"/>
      <c r="AR46" s="325"/>
      <c r="AS46" s="325"/>
      <c r="AT46" s="325"/>
      <c r="AU46" s="325"/>
      <c r="AV46" s="325"/>
      <c r="AW46" s="325"/>
      <c r="AX46" s="325"/>
      <c r="AY46" s="325"/>
      <c r="AZ46" s="325"/>
      <c r="BA46" s="325"/>
      <c r="BB46" s="325"/>
      <c r="BC46" s="325"/>
      <c r="BD46" s="325"/>
      <c r="BE46" s="325"/>
      <c r="BF46" s="325"/>
      <c r="BG46" s="325"/>
      <c r="BH46" s="325"/>
      <c r="BI46" s="325"/>
      <c r="BJ46" s="325"/>
      <c r="BK46" s="467"/>
      <c r="BL46" s="466"/>
      <c r="BM46" s="325"/>
      <c r="BN46" s="325"/>
      <c r="BO46" s="325"/>
      <c r="BP46" s="325"/>
      <c r="BQ46" s="325"/>
      <c r="BR46" s="325"/>
      <c r="BS46" s="325"/>
      <c r="BT46" s="325"/>
      <c r="BU46" s="325"/>
      <c r="BV46" s="325"/>
      <c r="BW46" s="325"/>
      <c r="BX46" s="325"/>
      <c r="BY46" s="325"/>
      <c r="BZ46" s="325"/>
      <c r="CA46" s="325"/>
      <c r="CB46" s="467"/>
      <c r="CC46" s="458"/>
      <c r="CD46" s="459"/>
      <c r="CE46" s="459"/>
      <c r="CF46" s="459"/>
      <c r="CG46" s="459"/>
      <c r="CH46" s="459"/>
      <c r="CI46" s="459"/>
      <c r="CJ46" s="459"/>
      <c r="CK46" s="459"/>
      <c r="CL46" s="459"/>
      <c r="CM46" s="459"/>
      <c r="CN46" s="460"/>
      <c r="CO46" s="458"/>
      <c r="CP46" s="459"/>
      <c r="CQ46" s="459"/>
      <c r="CR46" s="459"/>
      <c r="CS46" s="459"/>
      <c r="CT46" s="459"/>
      <c r="CU46" s="459"/>
      <c r="CV46" s="459"/>
      <c r="CW46" s="459"/>
      <c r="CX46" s="459"/>
      <c r="CY46" s="459"/>
      <c r="CZ46" s="460"/>
      <c r="DA46" s="455" t="s">
        <v>357</v>
      </c>
      <c r="DB46" s="456"/>
      <c r="DC46" s="456"/>
      <c r="DD46" s="456"/>
      <c r="DE46" s="456"/>
      <c r="DF46" s="457"/>
      <c r="DG46" s="458"/>
      <c r="DH46" s="459"/>
      <c r="DI46" s="459"/>
      <c r="DJ46" s="459"/>
      <c r="DK46" s="459"/>
      <c r="DL46" s="459"/>
      <c r="DM46" s="459"/>
      <c r="DN46" s="459"/>
      <c r="DO46" s="459"/>
      <c r="DP46" s="459"/>
      <c r="DQ46" s="459"/>
      <c r="DR46" s="459"/>
      <c r="DS46" s="460"/>
      <c r="DT46" s="458"/>
      <c r="DU46" s="459"/>
      <c r="DV46" s="459"/>
      <c r="DW46" s="459"/>
      <c r="DX46" s="459"/>
      <c r="DY46" s="459"/>
      <c r="DZ46" s="459"/>
      <c r="EA46" s="459"/>
      <c r="EB46" s="459"/>
      <c r="EC46" s="459"/>
      <c r="ED46" s="459"/>
      <c r="EE46" s="459"/>
      <c r="EF46" s="461"/>
    </row>
    <row r="47" spans="1:136" ht="15" customHeight="1">
      <c r="A47" s="437"/>
      <c r="B47" s="369"/>
      <c r="C47" s="369"/>
      <c r="D47" s="369"/>
      <c r="E47" s="369"/>
      <c r="F47" s="369"/>
      <c r="G47" s="370"/>
      <c r="H47" s="438">
        <f t="shared" si="0"/>
        <v>40</v>
      </c>
      <c r="I47" s="439"/>
      <c r="J47" s="443"/>
      <c r="K47" s="351"/>
      <c r="L47" s="351"/>
      <c r="M47" s="351"/>
      <c r="N47" s="351"/>
      <c r="O47" s="351"/>
      <c r="P47" s="351"/>
      <c r="Q47" s="351"/>
      <c r="R47" s="444"/>
      <c r="S47" s="452"/>
      <c r="T47" s="452"/>
      <c r="U47" s="452"/>
      <c r="V47" s="466"/>
      <c r="W47" s="325"/>
      <c r="X47" s="325"/>
      <c r="Y47" s="325"/>
      <c r="Z47" s="325"/>
      <c r="AA47" s="467"/>
      <c r="AB47" s="466"/>
      <c r="AC47" s="325"/>
      <c r="AD47" s="467"/>
      <c r="AE47" s="466"/>
      <c r="AF47" s="325"/>
      <c r="AG47" s="467"/>
      <c r="AH47" s="462"/>
      <c r="AI47" s="463"/>
      <c r="AJ47" s="464"/>
      <c r="AK47" s="455"/>
      <c r="AL47" s="456"/>
      <c r="AM47" s="456"/>
      <c r="AN47" s="457"/>
      <c r="AO47" s="466"/>
      <c r="AP47" s="325"/>
      <c r="AQ47" s="325"/>
      <c r="AR47" s="325"/>
      <c r="AS47" s="325"/>
      <c r="AT47" s="325"/>
      <c r="AU47" s="325"/>
      <c r="AV47" s="325"/>
      <c r="AW47" s="325"/>
      <c r="AX47" s="325"/>
      <c r="AY47" s="325"/>
      <c r="AZ47" s="325"/>
      <c r="BA47" s="325"/>
      <c r="BB47" s="325"/>
      <c r="BC47" s="325"/>
      <c r="BD47" s="325"/>
      <c r="BE47" s="325"/>
      <c r="BF47" s="325"/>
      <c r="BG47" s="325"/>
      <c r="BH47" s="325"/>
      <c r="BI47" s="325"/>
      <c r="BJ47" s="325"/>
      <c r="BK47" s="467"/>
      <c r="BL47" s="466"/>
      <c r="BM47" s="325"/>
      <c r="BN47" s="325"/>
      <c r="BO47" s="325"/>
      <c r="BP47" s="325"/>
      <c r="BQ47" s="325"/>
      <c r="BR47" s="325"/>
      <c r="BS47" s="325"/>
      <c r="BT47" s="325"/>
      <c r="BU47" s="325"/>
      <c r="BV47" s="325"/>
      <c r="BW47" s="325"/>
      <c r="BX47" s="325"/>
      <c r="BY47" s="325"/>
      <c r="BZ47" s="325"/>
      <c r="CA47" s="325"/>
      <c r="CB47" s="467"/>
      <c r="CC47" s="458"/>
      <c r="CD47" s="459"/>
      <c r="CE47" s="459"/>
      <c r="CF47" s="459"/>
      <c r="CG47" s="459"/>
      <c r="CH47" s="459"/>
      <c r="CI47" s="459"/>
      <c r="CJ47" s="459"/>
      <c r="CK47" s="459"/>
      <c r="CL47" s="459"/>
      <c r="CM47" s="459"/>
      <c r="CN47" s="460"/>
      <c r="CO47" s="458"/>
      <c r="CP47" s="459"/>
      <c r="CQ47" s="459"/>
      <c r="CR47" s="459"/>
      <c r="CS47" s="459"/>
      <c r="CT47" s="459"/>
      <c r="CU47" s="459"/>
      <c r="CV47" s="459"/>
      <c r="CW47" s="459"/>
      <c r="CX47" s="459"/>
      <c r="CY47" s="459"/>
      <c r="CZ47" s="460"/>
      <c r="DA47" s="455" t="s">
        <v>357</v>
      </c>
      <c r="DB47" s="456"/>
      <c r="DC47" s="456"/>
      <c r="DD47" s="456"/>
      <c r="DE47" s="456"/>
      <c r="DF47" s="457"/>
      <c r="DG47" s="458"/>
      <c r="DH47" s="459"/>
      <c r="DI47" s="459"/>
      <c r="DJ47" s="459"/>
      <c r="DK47" s="459"/>
      <c r="DL47" s="459"/>
      <c r="DM47" s="459"/>
      <c r="DN47" s="459"/>
      <c r="DO47" s="459"/>
      <c r="DP47" s="459"/>
      <c r="DQ47" s="459"/>
      <c r="DR47" s="459"/>
      <c r="DS47" s="460"/>
      <c r="DT47" s="458"/>
      <c r="DU47" s="459"/>
      <c r="DV47" s="459"/>
      <c r="DW47" s="459"/>
      <c r="DX47" s="459"/>
      <c r="DY47" s="459"/>
      <c r="DZ47" s="459"/>
      <c r="EA47" s="459"/>
      <c r="EB47" s="459"/>
      <c r="EC47" s="459"/>
      <c r="ED47" s="459"/>
      <c r="EE47" s="459"/>
      <c r="EF47" s="461"/>
    </row>
    <row r="48" spans="1:136" ht="15" customHeight="1">
      <c r="A48" s="437"/>
      <c r="B48" s="369"/>
      <c r="C48" s="369"/>
      <c r="D48" s="369"/>
      <c r="E48" s="369"/>
      <c r="F48" s="369"/>
      <c r="G48" s="370"/>
      <c r="H48" s="438">
        <f t="shared" si="0"/>
        <v>41</v>
      </c>
      <c r="I48" s="439"/>
      <c r="J48" s="443"/>
      <c r="K48" s="351"/>
      <c r="L48" s="351"/>
      <c r="M48" s="351"/>
      <c r="N48" s="351"/>
      <c r="O48" s="351"/>
      <c r="P48" s="351"/>
      <c r="Q48" s="351"/>
      <c r="R48" s="444"/>
      <c r="S48" s="452"/>
      <c r="T48" s="452"/>
      <c r="U48" s="452"/>
      <c r="V48" s="466"/>
      <c r="W48" s="325"/>
      <c r="X48" s="325"/>
      <c r="Y48" s="325"/>
      <c r="Z48" s="325"/>
      <c r="AA48" s="467"/>
      <c r="AB48" s="466"/>
      <c r="AC48" s="325"/>
      <c r="AD48" s="467"/>
      <c r="AE48" s="466"/>
      <c r="AF48" s="325"/>
      <c r="AG48" s="467"/>
      <c r="AH48" s="462"/>
      <c r="AI48" s="463"/>
      <c r="AJ48" s="464"/>
      <c r="AK48" s="455"/>
      <c r="AL48" s="456"/>
      <c r="AM48" s="456"/>
      <c r="AN48" s="457"/>
      <c r="AO48" s="466"/>
      <c r="AP48" s="325"/>
      <c r="AQ48" s="325"/>
      <c r="AR48" s="325"/>
      <c r="AS48" s="325"/>
      <c r="AT48" s="325"/>
      <c r="AU48" s="325"/>
      <c r="AV48" s="325"/>
      <c r="AW48" s="325"/>
      <c r="AX48" s="325"/>
      <c r="AY48" s="325"/>
      <c r="AZ48" s="325"/>
      <c r="BA48" s="325"/>
      <c r="BB48" s="325"/>
      <c r="BC48" s="325"/>
      <c r="BD48" s="325"/>
      <c r="BE48" s="325"/>
      <c r="BF48" s="325"/>
      <c r="BG48" s="325"/>
      <c r="BH48" s="325"/>
      <c r="BI48" s="325"/>
      <c r="BJ48" s="325"/>
      <c r="BK48" s="467"/>
      <c r="BL48" s="466"/>
      <c r="BM48" s="325"/>
      <c r="BN48" s="325"/>
      <c r="BO48" s="325"/>
      <c r="BP48" s="325"/>
      <c r="BQ48" s="325"/>
      <c r="BR48" s="325"/>
      <c r="BS48" s="325"/>
      <c r="BT48" s="325"/>
      <c r="BU48" s="325"/>
      <c r="BV48" s="325"/>
      <c r="BW48" s="325"/>
      <c r="BX48" s="325"/>
      <c r="BY48" s="325"/>
      <c r="BZ48" s="325"/>
      <c r="CA48" s="325"/>
      <c r="CB48" s="467"/>
      <c r="CC48" s="458"/>
      <c r="CD48" s="459"/>
      <c r="CE48" s="459"/>
      <c r="CF48" s="459"/>
      <c r="CG48" s="459"/>
      <c r="CH48" s="459"/>
      <c r="CI48" s="459"/>
      <c r="CJ48" s="459"/>
      <c r="CK48" s="459"/>
      <c r="CL48" s="459"/>
      <c r="CM48" s="459"/>
      <c r="CN48" s="460"/>
      <c r="CO48" s="458"/>
      <c r="CP48" s="459"/>
      <c r="CQ48" s="459"/>
      <c r="CR48" s="459"/>
      <c r="CS48" s="459"/>
      <c r="CT48" s="459"/>
      <c r="CU48" s="459"/>
      <c r="CV48" s="459"/>
      <c r="CW48" s="459"/>
      <c r="CX48" s="459"/>
      <c r="CY48" s="459"/>
      <c r="CZ48" s="460"/>
      <c r="DA48" s="455" t="s">
        <v>357</v>
      </c>
      <c r="DB48" s="456"/>
      <c r="DC48" s="456"/>
      <c r="DD48" s="456"/>
      <c r="DE48" s="456"/>
      <c r="DF48" s="457"/>
      <c r="DG48" s="458"/>
      <c r="DH48" s="459"/>
      <c r="DI48" s="459"/>
      <c r="DJ48" s="459"/>
      <c r="DK48" s="459"/>
      <c r="DL48" s="459"/>
      <c r="DM48" s="459"/>
      <c r="DN48" s="459"/>
      <c r="DO48" s="459"/>
      <c r="DP48" s="459"/>
      <c r="DQ48" s="459"/>
      <c r="DR48" s="459"/>
      <c r="DS48" s="460"/>
      <c r="DT48" s="458"/>
      <c r="DU48" s="459"/>
      <c r="DV48" s="459"/>
      <c r="DW48" s="459"/>
      <c r="DX48" s="459"/>
      <c r="DY48" s="459"/>
      <c r="DZ48" s="459"/>
      <c r="EA48" s="459"/>
      <c r="EB48" s="459"/>
      <c r="EC48" s="459"/>
      <c r="ED48" s="459"/>
      <c r="EE48" s="459"/>
      <c r="EF48" s="461"/>
    </row>
    <row r="49" spans="1:136" ht="15" customHeight="1">
      <c r="A49" s="437"/>
      <c r="B49" s="369"/>
      <c r="C49" s="369"/>
      <c r="D49" s="369"/>
      <c r="E49" s="369"/>
      <c r="F49" s="369"/>
      <c r="G49" s="370"/>
      <c r="H49" s="438">
        <f t="shared" si="0"/>
        <v>42</v>
      </c>
      <c r="I49" s="439"/>
      <c r="J49" s="443"/>
      <c r="K49" s="351"/>
      <c r="L49" s="351"/>
      <c r="M49" s="351"/>
      <c r="N49" s="351"/>
      <c r="O49" s="351"/>
      <c r="P49" s="351"/>
      <c r="Q49" s="351"/>
      <c r="R49" s="444"/>
      <c r="S49" s="452"/>
      <c r="T49" s="452"/>
      <c r="U49" s="452"/>
      <c r="V49" s="466"/>
      <c r="W49" s="325"/>
      <c r="X49" s="325"/>
      <c r="Y49" s="325"/>
      <c r="Z49" s="325"/>
      <c r="AA49" s="467"/>
      <c r="AB49" s="466"/>
      <c r="AC49" s="325"/>
      <c r="AD49" s="467"/>
      <c r="AE49" s="466"/>
      <c r="AF49" s="325"/>
      <c r="AG49" s="467"/>
      <c r="AH49" s="462"/>
      <c r="AI49" s="463"/>
      <c r="AJ49" s="464"/>
      <c r="AK49" s="455"/>
      <c r="AL49" s="456"/>
      <c r="AM49" s="456"/>
      <c r="AN49" s="457"/>
      <c r="AO49" s="466"/>
      <c r="AP49" s="325"/>
      <c r="AQ49" s="325"/>
      <c r="AR49" s="325"/>
      <c r="AS49" s="325"/>
      <c r="AT49" s="325"/>
      <c r="AU49" s="325"/>
      <c r="AV49" s="325"/>
      <c r="AW49" s="325"/>
      <c r="AX49" s="325"/>
      <c r="AY49" s="325"/>
      <c r="AZ49" s="325"/>
      <c r="BA49" s="325"/>
      <c r="BB49" s="325"/>
      <c r="BC49" s="325"/>
      <c r="BD49" s="325"/>
      <c r="BE49" s="325"/>
      <c r="BF49" s="325"/>
      <c r="BG49" s="325"/>
      <c r="BH49" s="325"/>
      <c r="BI49" s="325"/>
      <c r="BJ49" s="325"/>
      <c r="BK49" s="467"/>
      <c r="BL49" s="466"/>
      <c r="BM49" s="325"/>
      <c r="BN49" s="325"/>
      <c r="BO49" s="325"/>
      <c r="BP49" s="325"/>
      <c r="BQ49" s="325"/>
      <c r="BR49" s="325"/>
      <c r="BS49" s="325"/>
      <c r="BT49" s="325"/>
      <c r="BU49" s="325"/>
      <c r="BV49" s="325"/>
      <c r="BW49" s="325"/>
      <c r="BX49" s="325"/>
      <c r="BY49" s="325"/>
      <c r="BZ49" s="325"/>
      <c r="CA49" s="325"/>
      <c r="CB49" s="467"/>
      <c r="CC49" s="458"/>
      <c r="CD49" s="459"/>
      <c r="CE49" s="459"/>
      <c r="CF49" s="459"/>
      <c r="CG49" s="459"/>
      <c r="CH49" s="459"/>
      <c r="CI49" s="459"/>
      <c r="CJ49" s="459"/>
      <c r="CK49" s="459"/>
      <c r="CL49" s="459"/>
      <c r="CM49" s="459"/>
      <c r="CN49" s="460"/>
      <c r="CO49" s="458"/>
      <c r="CP49" s="459"/>
      <c r="CQ49" s="459"/>
      <c r="CR49" s="459"/>
      <c r="CS49" s="459"/>
      <c r="CT49" s="459"/>
      <c r="CU49" s="459"/>
      <c r="CV49" s="459"/>
      <c r="CW49" s="459"/>
      <c r="CX49" s="459"/>
      <c r="CY49" s="459"/>
      <c r="CZ49" s="460"/>
      <c r="DA49" s="455" t="s">
        <v>357</v>
      </c>
      <c r="DB49" s="456"/>
      <c r="DC49" s="456"/>
      <c r="DD49" s="456"/>
      <c r="DE49" s="456"/>
      <c r="DF49" s="457"/>
      <c r="DG49" s="458"/>
      <c r="DH49" s="459"/>
      <c r="DI49" s="459"/>
      <c r="DJ49" s="459"/>
      <c r="DK49" s="459"/>
      <c r="DL49" s="459"/>
      <c r="DM49" s="459"/>
      <c r="DN49" s="459"/>
      <c r="DO49" s="459"/>
      <c r="DP49" s="459"/>
      <c r="DQ49" s="459"/>
      <c r="DR49" s="459"/>
      <c r="DS49" s="460"/>
      <c r="DT49" s="458"/>
      <c r="DU49" s="459"/>
      <c r="DV49" s="459"/>
      <c r="DW49" s="459"/>
      <c r="DX49" s="459"/>
      <c r="DY49" s="459"/>
      <c r="DZ49" s="459"/>
      <c r="EA49" s="459"/>
      <c r="EB49" s="459"/>
      <c r="EC49" s="459"/>
      <c r="ED49" s="459"/>
      <c r="EE49" s="459"/>
      <c r="EF49" s="461"/>
    </row>
    <row r="50" spans="1:136" ht="15" customHeight="1">
      <c r="A50" s="437"/>
      <c r="B50" s="369"/>
      <c r="C50" s="369"/>
      <c r="D50" s="369"/>
      <c r="E50" s="369"/>
      <c r="F50" s="369"/>
      <c r="G50" s="370"/>
      <c r="H50" s="438">
        <f t="shared" si="0"/>
        <v>43</v>
      </c>
      <c r="I50" s="439"/>
      <c r="J50" s="443"/>
      <c r="K50" s="351"/>
      <c r="L50" s="351"/>
      <c r="M50" s="351"/>
      <c r="N50" s="351"/>
      <c r="O50" s="351"/>
      <c r="P50" s="351"/>
      <c r="Q50" s="351"/>
      <c r="R50" s="444"/>
      <c r="S50" s="452"/>
      <c r="T50" s="452"/>
      <c r="U50" s="452"/>
      <c r="V50" s="466"/>
      <c r="W50" s="325"/>
      <c r="X50" s="325"/>
      <c r="Y50" s="325"/>
      <c r="Z50" s="325"/>
      <c r="AA50" s="467"/>
      <c r="AB50" s="466"/>
      <c r="AC50" s="325"/>
      <c r="AD50" s="467"/>
      <c r="AE50" s="466"/>
      <c r="AF50" s="325"/>
      <c r="AG50" s="467"/>
      <c r="AH50" s="462"/>
      <c r="AI50" s="463"/>
      <c r="AJ50" s="464"/>
      <c r="AK50" s="455"/>
      <c r="AL50" s="456"/>
      <c r="AM50" s="456"/>
      <c r="AN50" s="457"/>
      <c r="AO50" s="466"/>
      <c r="AP50" s="325"/>
      <c r="AQ50" s="325"/>
      <c r="AR50" s="325"/>
      <c r="AS50" s="325"/>
      <c r="AT50" s="325"/>
      <c r="AU50" s="325"/>
      <c r="AV50" s="325"/>
      <c r="AW50" s="325"/>
      <c r="AX50" s="325"/>
      <c r="AY50" s="325"/>
      <c r="AZ50" s="325"/>
      <c r="BA50" s="325"/>
      <c r="BB50" s="325"/>
      <c r="BC50" s="325"/>
      <c r="BD50" s="325"/>
      <c r="BE50" s="325"/>
      <c r="BF50" s="325"/>
      <c r="BG50" s="325"/>
      <c r="BH50" s="325"/>
      <c r="BI50" s="325"/>
      <c r="BJ50" s="325"/>
      <c r="BK50" s="467"/>
      <c r="BL50" s="466"/>
      <c r="BM50" s="325"/>
      <c r="BN50" s="325"/>
      <c r="BO50" s="325"/>
      <c r="BP50" s="325"/>
      <c r="BQ50" s="325"/>
      <c r="BR50" s="325"/>
      <c r="BS50" s="325"/>
      <c r="BT50" s="325"/>
      <c r="BU50" s="325"/>
      <c r="BV50" s="325"/>
      <c r="BW50" s="325"/>
      <c r="BX50" s="325"/>
      <c r="BY50" s="325"/>
      <c r="BZ50" s="325"/>
      <c r="CA50" s="325"/>
      <c r="CB50" s="467"/>
      <c r="CC50" s="458"/>
      <c r="CD50" s="459"/>
      <c r="CE50" s="459"/>
      <c r="CF50" s="459"/>
      <c r="CG50" s="459"/>
      <c r="CH50" s="459"/>
      <c r="CI50" s="459"/>
      <c r="CJ50" s="459"/>
      <c r="CK50" s="459"/>
      <c r="CL50" s="459"/>
      <c r="CM50" s="459"/>
      <c r="CN50" s="460"/>
      <c r="CO50" s="458"/>
      <c r="CP50" s="459"/>
      <c r="CQ50" s="459"/>
      <c r="CR50" s="459"/>
      <c r="CS50" s="459"/>
      <c r="CT50" s="459"/>
      <c r="CU50" s="459"/>
      <c r="CV50" s="459"/>
      <c r="CW50" s="459"/>
      <c r="CX50" s="459"/>
      <c r="CY50" s="459"/>
      <c r="CZ50" s="460"/>
      <c r="DA50" s="455" t="s">
        <v>357</v>
      </c>
      <c r="DB50" s="456"/>
      <c r="DC50" s="456"/>
      <c r="DD50" s="456"/>
      <c r="DE50" s="456"/>
      <c r="DF50" s="457"/>
      <c r="DG50" s="458"/>
      <c r="DH50" s="459"/>
      <c r="DI50" s="459"/>
      <c r="DJ50" s="459"/>
      <c r="DK50" s="459"/>
      <c r="DL50" s="459"/>
      <c r="DM50" s="459"/>
      <c r="DN50" s="459"/>
      <c r="DO50" s="459"/>
      <c r="DP50" s="459"/>
      <c r="DQ50" s="459"/>
      <c r="DR50" s="459"/>
      <c r="DS50" s="460"/>
      <c r="DT50" s="458"/>
      <c r="DU50" s="459"/>
      <c r="DV50" s="459"/>
      <c r="DW50" s="459"/>
      <c r="DX50" s="459"/>
      <c r="DY50" s="459"/>
      <c r="DZ50" s="459"/>
      <c r="EA50" s="459"/>
      <c r="EB50" s="459"/>
      <c r="EC50" s="459"/>
      <c r="ED50" s="459"/>
      <c r="EE50" s="459"/>
      <c r="EF50" s="461"/>
    </row>
    <row r="51" spans="1:136" ht="15" customHeight="1">
      <c r="A51" s="437"/>
      <c r="B51" s="369"/>
      <c r="C51" s="369"/>
      <c r="D51" s="369"/>
      <c r="E51" s="369"/>
      <c r="F51" s="369"/>
      <c r="G51" s="370"/>
      <c r="H51" s="438">
        <f t="shared" si="0"/>
        <v>44</v>
      </c>
      <c r="I51" s="439"/>
      <c r="J51" s="443"/>
      <c r="K51" s="351"/>
      <c r="L51" s="351"/>
      <c r="M51" s="351"/>
      <c r="N51" s="351"/>
      <c r="O51" s="351"/>
      <c r="P51" s="351"/>
      <c r="Q51" s="351"/>
      <c r="R51" s="444"/>
      <c r="S51" s="452"/>
      <c r="T51" s="452"/>
      <c r="U51" s="452"/>
      <c r="V51" s="466"/>
      <c r="W51" s="325"/>
      <c r="X51" s="325"/>
      <c r="Y51" s="325"/>
      <c r="Z51" s="325"/>
      <c r="AA51" s="467"/>
      <c r="AB51" s="466"/>
      <c r="AC51" s="325"/>
      <c r="AD51" s="467"/>
      <c r="AE51" s="466"/>
      <c r="AF51" s="325"/>
      <c r="AG51" s="467"/>
      <c r="AH51" s="462"/>
      <c r="AI51" s="463"/>
      <c r="AJ51" s="464"/>
      <c r="AK51" s="462"/>
      <c r="AL51" s="463"/>
      <c r="AM51" s="463"/>
      <c r="AN51" s="464"/>
      <c r="AO51" s="466"/>
      <c r="AP51" s="325"/>
      <c r="AQ51" s="325"/>
      <c r="AR51" s="325"/>
      <c r="AS51" s="325"/>
      <c r="AT51" s="325"/>
      <c r="AU51" s="325"/>
      <c r="AV51" s="325"/>
      <c r="AW51" s="325"/>
      <c r="AX51" s="325"/>
      <c r="AY51" s="325"/>
      <c r="AZ51" s="325"/>
      <c r="BA51" s="325"/>
      <c r="BB51" s="325"/>
      <c r="BC51" s="325"/>
      <c r="BD51" s="325"/>
      <c r="BE51" s="325"/>
      <c r="BF51" s="325"/>
      <c r="BG51" s="325"/>
      <c r="BH51" s="325"/>
      <c r="BI51" s="325"/>
      <c r="BJ51" s="325"/>
      <c r="BK51" s="467"/>
      <c r="BL51" s="466"/>
      <c r="BM51" s="325"/>
      <c r="BN51" s="325"/>
      <c r="BO51" s="325"/>
      <c r="BP51" s="325"/>
      <c r="BQ51" s="325"/>
      <c r="BR51" s="325"/>
      <c r="BS51" s="325"/>
      <c r="BT51" s="325"/>
      <c r="BU51" s="325"/>
      <c r="BV51" s="325"/>
      <c r="BW51" s="325"/>
      <c r="BX51" s="325"/>
      <c r="BY51" s="325"/>
      <c r="BZ51" s="325"/>
      <c r="CA51" s="325"/>
      <c r="CB51" s="467"/>
      <c r="CC51" s="458"/>
      <c r="CD51" s="459"/>
      <c r="CE51" s="459"/>
      <c r="CF51" s="459"/>
      <c r="CG51" s="459"/>
      <c r="CH51" s="459"/>
      <c r="CI51" s="459"/>
      <c r="CJ51" s="459"/>
      <c r="CK51" s="459"/>
      <c r="CL51" s="459"/>
      <c r="CM51" s="459"/>
      <c r="CN51" s="460"/>
      <c r="CO51" s="458"/>
      <c r="CP51" s="459"/>
      <c r="CQ51" s="459"/>
      <c r="CR51" s="459"/>
      <c r="CS51" s="459"/>
      <c r="CT51" s="459"/>
      <c r="CU51" s="459"/>
      <c r="CV51" s="459"/>
      <c r="CW51" s="459"/>
      <c r="CX51" s="459"/>
      <c r="CY51" s="459"/>
      <c r="CZ51" s="460"/>
      <c r="DA51" s="455" t="s">
        <v>357</v>
      </c>
      <c r="DB51" s="456"/>
      <c r="DC51" s="456"/>
      <c r="DD51" s="456"/>
      <c r="DE51" s="456"/>
      <c r="DF51" s="457"/>
      <c r="DG51" s="458"/>
      <c r="DH51" s="459"/>
      <c r="DI51" s="459"/>
      <c r="DJ51" s="459"/>
      <c r="DK51" s="459"/>
      <c r="DL51" s="459"/>
      <c r="DM51" s="459"/>
      <c r="DN51" s="459"/>
      <c r="DO51" s="459"/>
      <c r="DP51" s="459"/>
      <c r="DQ51" s="459"/>
      <c r="DR51" s="459"/>
      <c r="DS51" s="460"/>
      <c r="DT51" s="458"/>
      <c r="DU51" s="459"/>
      <c r="DV51" s="459"/>
      <c r="DW51" s="459"/>
      <c r="DX51" s="459"/>
      <c r="DY51" s="459"/>
      <c r="DZ51" s="459"/>
      <c r="EA51" s="459"/>
      <c r="EB51" s="459"/>
      <c r="EC51" s="459"/>
      <c r="ED51" s="459"/>
      <c r="EE51" s="459"/>
      <c r="EF51" s="461"/>
    </row>
    <row r="52" spans="1:136" ht="15" customHeight="1" thickBot="1">
      <c r="A52" s="481"/>
      <c r="B52" s="482"/>
      <c r="C52" s="482"/>
      <c r="D52" s="482"/>
      <c r="E52" s="482"/>
      <c r="F52" s="482"/>
      <c r="G52" s="483"/>
      <c r="H52" s="484">
        <f>ROW()-7</f>
        <v>45</v>
      </c>
      <c r="I52" s="485"/>
      <c r="J52" s="486"/>
      <c r="K52" s="354"/>
      <c r="L52" s="354"/>
      <c r="M52" s="354"/>
      <c r="N52" s="354"/>
      <c r="O52" s="354"/>
      <c r="P52" s="354"/>
      <c r="Q52" s="354"/>
      <c r="R52" s="487"/>
      <c r="S52" s="488"/>
      <c r="T52" s="488"/>
      <c r="U52" s="488"/>
      <c r="V52" s="489"/>
      <c r="W52" s="344"/>
      <c r="X52" s="344"/>
      <c r="Y52" s="344"/>
      <c r="Z52" s="344"/>
      <c r="AA52" s="490"/>
      <c r="AB52" s="489"/>
      <c r="AC52" s="344"/>
      <c r="AD52" s="490"/>
      <c r="AE52" s="489"/>
      <c r="AF52" s="344"/>
      <c r="AG52" s="490"/>
      <c r="AH52" s="484"/>
      <c r="AI52" s="491"/>
      <c r="AJ52" s="485"/>
      <c r="AK52" s="492"/>
      <c r="AL52" s="493"/>
      <c r="AM52" s="493"/>
      <c r="AN52" s="494"/>
      <c r="AO52" s="489"/>
      <c r="AP52" s="344"/>
      <c r="AQ52" s="344"/>
      <c r="AR52" s="344"/>
      <c r="AS52" s="344"/>
      <c r="AT52" s="344"/>
      <c r="AU52" s="344"/>
      <c r="AV52" s="344"/>
      <c r="AW52" s="344"/>
      <c r="AX52" s="344"/>
      <c r="AY52" s="344"/>
      <c r="AZ52" s="344"/>
      <c r="BA52" s="344"/>
      <c r="BB52" s="344"/>
      <c r="BC52" s="344"/>
      <c r="BD52" s="344"/>
      <c r="BE52" s="344"/>
      <c r="BF52" s="344"/>
      <c r="BG52" s="344"/>
      <c r="BH52" s="344"/>
      <c r="BI52" s="344"/>
      <c r="BJ52" s="344"/>
      <c r="BK52" s="490"/>
      <c r="BL52" s="489"/>
      <c r="BM52" s="344"/>
      <c r="BN52" s="344"/>
      <c r="BO52" s="344"/>
      <c r="BP52" s="344"/>
      <c r="BQ52" s="344"/>
      <c r="BR52" s="344"/>
      <c r="BS52" s="344"/>
      <c r="BT52" s="344"/>
      <c r="BU52" s="344"/>
      <c r="BV52" s="344"/>
      <c r="BW52" s="344"/>
      <c r="BX52" s="344"/>
      <c r="BY52" s="344"/>
      <c r="BZ52" s="344"/>
      <c r="CA52" s="344"/>
      <c r="CB52" s="490"/>
      <c r="CC52" s="495"/>
      <c r="CD52" s="496"/>
      <c r="CE52" s="496"/>
      <c r="CF52" s="496"/>
      <c r="CG52" s="496"/>
      <c r="CH52" s="496"/>
      <c r="CI52" s="496"/>
      <c r="CJ52" s="496"/>
      <c r="CK52" s="496"/>
      <c r="CL52" s="496"/>
      <c r="CM52" s="496"/>
      <c r="CN52" s="497"/>
      <c r="CO52" s="495"/>
      <c r="CP52" s="496"/>
      <c r="CQ52" s="496"/>
      <c r="CR52" s="496"/>
      <c r="CS52" s="496"/>
      <c r="CT52" s="496"/>
      <c r="CU52" s="496"/>
      <c r="CV52" s="496"/>
      <c r="CW52" s="496"/>
      <c r="CX52" s="496"/>
      <c r="CY52" s="496"/>
      <c r="CZ52" s="497"/>
      <c r="DA52" s="492" t="s">
        <v>357</v>
      </c>
      <c r="DB52" s="493"/>
      <c r="DC52" s="493"/>
      <c r="DD52" s="493"/>
      <c r="DE52" s="493"/>
      <c r="DF52" s="494"/>
      <c r="DG52" s="489"/>
      <c r="DH52" s="344"/>
      <c r="DI52" s="344"/>
      <c r="DJ52" s="344"/>
      <c r="DK52" s="344"/>
      <c r="DL52" s="344"/>
      <c r="DM52" s="344"/>
      <c r="DN52" s="344"/>
      <c r="DO52" s="344"/>
      <c r="DP52" s="344"/>
      <c r="DQ52" s="344"/>
      <c r="DR52" s="344"/>
      <c r="DS52" s="490"/>
      <c r="DT52" s="489"/>
      <c r="DU52" s="344"/>
      <c r="DV52" s="344"/>
      <c r="DW52" s="344"/>
      <c r="DX52" s="344"/>
      <c r="DY52" s="344"/>
      <c r="DZ52" s="344"/>
      <c r="EA52" s="344"/>
      <c r="EB52" s="344"/>
      <c r="EC52" s="344"/>
      <c r="ED52" s="344"/>
      <c r="EE52" s="344"/>
      <c r="EF52" s="345"/>
    </row>
  </sheetData>
  <mergeCells count="717">
    <mergeCell ref="DT52:EF52"/>
    <mergeCell ref="BB1:BI1"/>
    <mergeCell ref="BB2:BI2"/>
    <mergeCell ref="BB3:BI3"/>
    <mergeCell ref="AO52:BK52"/>
    <mergeCell ref="BL52:CB52"/>
    <mergeCell ref="CC52:CN52"/>
    <mergeCell ref="CO52:CZ52"/>
    <mergeCell ref="DA52:DF52"/>
    <mergeCell ref="DG52:DS52"/>
    <mergeCell ref="DG51:DS51"/>
    <mergeCell ref="DT51:EF51"/>
    <mergeCell ref="AO51:BK51"/>
    <mergeCell ref="BL51:CB51"/>
    <mergeCell ref="CC51:CN51"/>
    <mergeCell ref="CO51:CZ51"/>
    <mergeCell ref="DA51:DF51"/>
    <mergeCell ref="DA50:DF50"/>
    <mergeCell ref="DG50:DS50"/>
    <mergeCell ref="DT50:EF50"/>
    <mergeCell ref="BL49:CB49"/>
    <mergeCell ref="CC49:CN49"/>
    <mergeCell ref="CO49:CZ49"/>
    <mergeCell ref="DA49:DF49"/>
    <mergeCell ref="CO50:CZ50"/>
    <mergeCell ref="H50:I50"/>
    <mergeCell ref="J50:R50"/>
    <mergeCell ref="S50:U50"/>
    <mergeCell ref="V50:AA50"/>
    <mergeCell ref="AB50:AD50"/>
    <mergeCell ref="AE50:AG50"/>
    <mergeCell ref="H52:I52"/>
    <mergeCell ref="J52:R52"/>
    <mergeCell ref="S52:U52"/>
    <mergeCell ref="V52:AA52"/>
    <mergeCell ref="AB52:AD52"/>
    <mergeCell ref="AE52:AG52"/>
    <mergeCell ref="AH52:AJ52"/>
    <mergeCell ref="AK52:AN52"/>
    <mergeCell ref="AK51:AN51"/>
    <mergeCell ref="H51:I51"/>
    <mergeCell ref="J51:R51"/>
    <mergeCell ref="S51:U51"/>
    <mergeCell ref="V51:AA51"/>
    <mergeCell ref="AB51:AD51"/>
    <mergeCell ref="AE51:AG51"/>
    <mergeCell ref="AH51:AJ51"/>
    <mergeCell ref="S48:U48"/>
    <mergeCell ref="V48:AA48"/>
    <mergeCell ref="AB48:AD48"/>
    <mergeCell ref="AE48:AG48"/>
    <mergeCell ref="AH50:AJ50"/>
    <mergeCell ref="AK50:AN50"/>
    <mergeCell ref="AO50:BK50"/>
    <mergeCell ref="BL50:CB50"/>
    <mergeCell ref="CC50:CN50"/>
    <mergeCell ref="BL47:CB47"/>
    <mergeCell ref="CC47:CN47"/>
    <mergeCell ref="CO47:CZ47"/>
    <mergeCell ref="DA47:DF47"/>
    <mergeCell ref="DG49:DS49"/>
    <mergeCell ref="DT49:EF49"/>
    <mergeCell ref="DT48:EF48"/>
    <mergeCell ref="H49:I49"/>
    <mergeCell ref="J49:R49"/>
    <mergeCell ref="S49:U49"/>
    <mergeCell ref="V49:AA49"/>
    <mergeCell ref="AB49:AD49"/>
    <mergeCell ref="AE49:AG49"/>
    <mergeCell ref="AH49:AJ49"/>
    <mergeCell ref="AK49:AN49"/>
    <mergeCell ref="AO49:BK49"/>
    <mergeCell ref="AO48:BK48"/>
    <mergeCell ref="BL48:CB48"/>
    <mergeCell ref="CC48:CN48"/>
    <mergeCell ref="CO48:CZ48"/>
    <mergeCell ref="DA48:DF48"/>
    <mergeCell ref="DG48:DS48"/>
    <mergeCell ref="H48:I48"/>
    <mergeCell ref="J48:R48"/>
    <mergeCell ref="AB45:AD45"/>
    <mergeCell ref="AE45:AG45"/>
    <mergeCell ref="DA46:DF46"/>
    <mergeCell ref="DG46:DS46"/>
    <mergeCell ref="AH48:AJ48"/>
    <mergeCell ref="AK48:AN48"/>
    <mergeCell ref="AK47:AN47"/>
    <mergeCell ref="DT46:EF46"/>
    <mergeCell ref="H47:I47"/>
    <mergeCell ref="J47:R47"/>
    <mergeCell ref="S47:U47"/>
    <mergeCell ref="V47:AA47"/>
    <mergeCell ref="AB47:AD47"/>
    <mergeCell ref="AE47:AG47"/>
    <mergeCell ref="AH47:AJ47"/>
    <mergeCell ref="AH46:AJ46"/>
    <mergeCell ref="AK46:AN46"/>
    <mergeCell ref="AO46:BK46"/>
    <mergeCell ref="BL46:CB46"/>
    <mergeCell ref="CC46:CN46"/>
    <mergeCell ref="CO46:CZ46"/>
    <mergeCell ref="DG47:DS47"/>
    <mergeCell ref="DT47:EF47"/>
    <mergeCell ref="AO47:BK47"/>
    <mergeCell ref="S43:U43"/>
    <mergeCell ref="V43:AA43"/>
    <mergeCell ref="AB43:AD43"/>
    <mergeCell ref="AE43:AG43"/>
    <mergeCell ref="DA45:DF45"/>
    <mergeCell ref="DG45:DS45"/>
    <mergeCell ref="DT45:EF45"/>
    <mergeCell ref="A46:G52"/>
    <mergeCell ref="H46:I46"/>
    <mergeCell ref="J46:R46"/>
    <mergeCell ref="S46:U46"/>
    <mergeCell ref="V46:AA46"/>
    <mergeCell ref="AB46:AD46"/>
    <mergeCell ref="AE46:AG46"/>
    <mergeCell ref="AH45:AJ45"/>
    <mergeCell ref="AK45:AN45"/>
    <mergeCell ref="AO45:BK45"/>
    <mergeCell ref="BL45:CB45"/>
    <mergeCell ref="CC45:CN45"/>
    <mergeCell ref="CO45:CZ45"/>
    <mergeCell ref="H45:I45"/>
    <mergeCell ref="J45:R45"/>
    <mergeCell ref="S45:U45"/>
    <mergeCell ref="V45:AA45"/>
    <mergeCell ref="BL44:CB44"/>
    <mergeCell ref="CC44:CN44"/>
    <mergeCell ref="CO44:CZ44"/>
    <mergeCell ref="DA44:DF44"/>
    <mergeCell ref="DG44:DS44"/>
    <mergeCell ref="DT44:EF44"/>
    <mergeCell ref="DT43:EF43"/>
    <mergeCell ref="H44:I44"/>
    <mergeCell ref="J44:R44"/>
    <mergeCell ref="S44:U44"/>
    <mergeCell ref="V44:AA44"/>
    <mergeCell ref="AB44:AD44"/>
    <mergeCell ref="AE44:AG44"/>
    <mergeCell ref="AH44:AJ44"/>
    <mergeCell ref="AK44:AN44"/>
    <mergeCell ref="AO44:BK44"/>
    <mergeCell ref="AO43:BK43"/>
    <mergeCell ref="BL43:CB43"/>
    <mergeCell ref="CC43:CN43"/>
    <mergeCell ref="CO43:CZ43"/>
    <mergeCell ref="DA43:DF43"/>
    <mergeCell ref="DG43:DS43"/>
    <mergeCell ref="H43:I43"/>
    <mergeCell ref="J43:R43"/>
    <mergeCell ref="H41:I41"/>
    <mergeCell ref="J41:R41"/>
    <mergeCell ref="S41:U41"/>
    <mergeCell ref="V41:AA41"/>
    <mergeCell ref="AB41:AD41"/>
    <mergeCell ref="AO42:BK42"/>
    <mergeCell ref="BL42:CB42"/>
    <mergeCell ref="CC42:CN42"/>
    <mergeCell ref="CO42:CZ42"/>
    <mergeCell ref="CO39:CZ39"/>
    <mergeCell ref="DA39:DF39"/>
    <mergeCell ref="DG39:DS39"/>
    <mergeCell ref="H39:I39"/>
    <mergeCell ref="J39:R39"/>
    <mergeCell ref="S39:U39"/>
    <mergeCell ref="AH43:AJ43"/>
    <mergeCell ref="AK43:AN43"/>
    <mergeCell ref="AK42:AN42"/>
    <mergeCell ref="DA41:DF41"/>
    <mergeCell ref="DG41:DS41"/>
    <mergeCell ref="H42:I42"/>
    <mergeCell ref="J42:R42"/>
    <mergeCell ref="S42:U42"/>
    <mergeCell ref="V42:AA42"/>
    <mergeCell ref="AB42:AD42"/>
    <mergeCell ref="AE42:AG42"/>
    <mergeCell ref="AH42:AJ42"/>
    <mergeCell ref="AH41:AJ41"/>
    <mergeCell ref="AK41:AN41"/>
    <mergeCell ref="AO41:BK41"/>
    <mergeCell ref="BL41:CB41"/>
    <mergeCell ref="CC41:CN41"/>
    <mergeCell ref="CO41:CZ41"/>
    <mergeCell ref="H40:I40"/>
    <mergeCell ref="J40:R40"/>
    <mergeCell ref="S40:U40"/>
    <mergeCell ref="V40:AA40"/>
    <mergeCell ref="AB40:AD40"/>
    <mergeCell ref="AE40:AG40"/>
    <mergeCell ref="AH40:AJ40"/>
    <mergeCell ref="AK40:AN40"/>
    <mergeCell ref="AO40:BK40"/>
    <mergeCell ref="BL40:CB40"/>
    <mergeCell ref="CC40:CN40"/>
    <mergeCell ref="CO40:CZ40"/>
    <mergeCell ref="DA40:DF40"/>
    <mergeCell ref="AE41:AG41"/>
    <mergeCell ref="DG42:DS42"/>
    <mergeCell ref="DT42:EF42"/>
    <mergeCell ref="DG40:DS40"/>
    <mergeCell ref="DT40:EF40"/>
    <mergeCell ref="DT41:EF41"/>
    <mergeCell ref="DA42:DF42"/>
    <mergeCell ref="V39:AA39"/>
    <mergeCell ref="AB39:AD39"/>
    <mergeCell ref="AE39:AG39"/>
    <mergeCell ref="AH39:AJ39"/>
    <mergeCell ref="AK39:AN39"/>
    <mergeCell ref="AK38:AN38"/>
    <mergeCell ref="DA37:DF37"/>
    <mergeCell ref="DG37:DS37"/>
    <mergeCell ref="DT37:EF37"/>
    <mergeCell ref="AO37:BK37"/>
    <mergeCell ref="BL37:CB37"/>
    <mergeCell ref="CC37:CN37"/>
    <mergeCell ref="CO37:CZ37"/>
    <mergeCell ref="DG38:DS38"/>
    <mergeCell ref="DT38:EF38"/>
    <mergeCell ref="AO38:BK38"/>
    <mergeCell ref="BL38:CB38"/>
    <mergeCell ref="CC38:CN38"/>
    <mergeCell ref="CO38:CZ38"/>
    <mergeCell ref="DA38:DF38"/>
    <mergeCell ref="DT39:EF39"/>
    <mergeCell ref="AO39:BK39"/>
    <mergeCell ref="BL39:CB39"/>
    <mergeCell ref="CC39:CN39"/>
    <mergeCell ref="H38:I38"/>
    <mergeCell ref="J38:R38"/>
    <mergeCell ref="S38:U38"/>
    <mergeCell ref="V38:AA38"/>
    <mergeCell ref="AB38:AD38"/>
    <mergeCell ref="AE38:AG38"/>
    <mergeCell ref="AH38:AJ38"/>
    <mergeCell ref="AH37:AJ37"/>
    <mergeCell ref="AK37:AN37"/>
    <mergeCell ref="H37:I37"/>
    <mergeCell ref="J37:R37"/>
    <mergeCell ref="S37:U37"/>
    <mergeCell ref="V37:AA37"/>
    <mergeCell ref="AB37:AD37"/>
    <mergeCell ref="AE37:AG37"/>
    <mergeCell ref="H36:I36"/>
    <mergeCell ref="J36:R36"/>
    <mergeCell ref="S36:U36"/>
    <mergeCell ref="V36:AA36"/>
    <mergeCell ref="AB36:AD36"/>
    <mergeCell ref="AE36:AG36"/>
    <mergeCell ref="AH36:AJ36"/>
    <mergeCell ref="AK36:AN36"/>
    <mergeCell ref="AO36:BK36"/>
    <mergeCell ref="AE34:AG34"/>
    <mergeCell ref="AH34:AJ34"/>
    <mergeCell ref="BL36:CB36"/>
    <mergeCell ref="CC36:CN36"/>
    <mergeCell ref="CO36:CZ36"/>
    <mergeCell ref="DA36:DF36"/>
    <mergeCell ref="DG36:DS36"/>
    <mergeCell ref="DT36:EF36"/>
    <mergeCell ref="DT35:EF35"/>
    <mergeCell ref="AO35:BK35"/>
    <mergeCell ref="BL35:CB35"/>
    <mergeCell ref="CC35:CN35"/>
    <mergeCell ref="CO35:CZ35"/>
    <mergeCell ref="DA35:DF35"/>
    <mergeCell ref="DG35:DS35"/>
    <mergeCell ref="BL33:CB33"/>
    <mergeCell ref="CC33:CN33"/>
    <mergeCell ref="CO33:CZ33"/>
    <mergeCell ref="DG34:DS34"/>
    <mergeCell ref="DT34:EF34"/>
    <mergeCell ref="H35:I35"/>
    <mergeCell ref="J35:R35"/>
    <mergeCell ref="S35:U35"/>
    <mergeCell ref="V35:AA35"/>
    <mergeCell ref="AB35:AD35"/>
    <mergeCell ref="AE35:AG35"/>
    <mergeCell ref="AH35:AJ35"/>
    <mergeCell ref="AK35:AN35"/>
    <mergeCell ref="AK34:AN34"/>
    <mergeCell ref="AO34:BK34"/>
    <mergeCell ref="BL34:CB34"/>
    <mergeCell ref="CC34:CN34"/>
    <mergeCell ref="CO34:CZ34"/>
    <mergeCell ref="DA34:DF34"/>
    <mergeCell ref="H34:I34"/>
    <mergeCell ref="J34:R34"/>
    <mergeCell ref="S34:U34"/>
    <mergeCell ref="V34:AA34"/>
    <mergeCell ref="AB34:AD34"/>
    <mergeCell ref="V31:AA31"/>
    <mergeCell ref="AB31:AD31"/>
    <mergeCell ref="CO32:CZ32"/>
    <mergeCell ref="DA32:DF32"/>
    <mergeCell ref="AH33:AJ33"/>
    <mergeCell ref="AK33:AN33"/>
    <mergeCell ref="DG32:DS32"/>
    <mergeCell ref="DT32:EF32"/>
    <mergeCell ref="H33:I33"/>
    <mergeCell ref="J33:R33"/>
    <mergeCell ref="S33:U33"/>
    <mergeCell ref="V33:AA33"/>
    <mergeCell ref="AB33:AD33"/>
    <mergeCell ref="AE33:AG33"/>
    <mergeCell ref="AE32:AG32"/>
    <mergeCell ref="AH32:AJ32"/>
    <mergeCell ref="AK32:AN32"/>
    <mergeCell ref="AO32:BK32"/>
    <mergeCell ref="BL32:CB32"/>
    <mergeCell ref="CC32:CN32"/>
    <mergeCell ref="DA33:DF33"/>
    <mergeCell ref="DG33:DS33"/>
    <mergeCell ref="DT33:EF33"/>
    <mergeCell ref="AO33:BK33"/>
    <mergeCell ref="S29:U29"/>
    <mergeCell ref="V29:AA29"/>
    <mergeCell ref="AB29:AD29"/>
    <mergeCell ref="AE29:AG29"/>
    <mergeCell ref="CO31:CZ31"/>
    <mergeCell ref="DA31:DF31"/>
    <mergeCell ref="DG31:DS31"/>
    <mergeCell ref="DT31:EF31"/>
    <mergeCell ref="A32:G45"/>
    <mergeCell ref="H32:I32"/>
    <mergeCell ref="J32:R32"/>
    <mergeCell ref="S32:U32"/>
    <mergeCell ref="V32:AA32"/>
    <mergeCell ref="AB32:AD32"/>
    <mergeCell ref="AE31:AG31"/>
    <mergeCell ref="AH31:AJ31"/>
    <mergeCell ref="AK31:AN31"/>
    <mergeCell ref="AO31:BK31"/>
    <mergeCell ref="BL31:CB31"/>
    <mergeCell ref="CC31:CN31"/>
    <mergeCell ref="A31:G31"/>
    <mergeCell ref="H31:I31"/>
    <mergeCell ref="J31:R31"/>
    <mergeCell ref="S31:U31"/>
    <mergeCell ref="BL30:CB30"/>
    <mergeCell ref="CC30:CN30"/>
    <mergeCell ref="CO30:CZ30"/>
    <mergeCell ref="DA30:DF30"/>
    <mergeCell ref="DG30:DS30"/>
    <mergeCell ref="DT30:EF30"/>
    <mergeCell ref="DT29:EF29"/>
    <mergeCell ref="H30:I30"/>
    <mergeCell ref="J30:R30"/>
    <mergeCell ref="S30:U30"/>
    <mergeCell ref="V30:AA30"/>
    <mergeCell ref="AB30:AD30"/>
    <mergeCell ref="AE30:AG30"/>
    <mergeCell ref="AH30:AJ30"/>
    <mergeCell ref="AK30:AN30"/>
    <mergeCell ref="AO30:BK30"/>
    <mergeCell ref="AO29:BK29"/>
    <mergeCell ref="BL29:CB29"/>
    <mergeCell ref="CC29:CN29"/>
    <mergeCell ref="CO29:CZ29"/>
    <mergeCell ref="DA29:DF29"/>
    <mergeCell ref="DG29:DS29"/>
    <mergeCell ref="H29:I29"/>
    <mergeCell ref="J29:R29"/>
    <mergeCell ref="H27:I27"/>
    <mergeCell ref="J27:R27"/>
    <mergeCell ref="S27:U27"/>
    <mergeCell ref="V27:AA27"/>
    <mergeCell ref="AB27:AD27"/>
    <mergeCell ref="AO28:BK28"/>
    <mergeCell ref="BL28:CB28"/>
    <mergeCell ref="CC28:CN28"/>
    <mergeCell ref="CO28:CZ28"/>
    <mergeCell ref="CO25:CZ25"/>
    <mergeCell ref="DA25:DF25"/>
    <mergeCell ref="DG25:DS25"/>
    <mergeCell ref="H25:I25"/>
    <mergeCell ref="J25:R25"/>
    <mergeCell ref="S25:U25"/>
    <mergeCell ref="AH29:AJ29"/>
    <mergeCell ref="AK29:AN29"/>
    <mergeCell ref="AK28:AN28"/>
    <mergeCell ref="DA27:DF27"/>
    <mergeCell ref="DG27:DS27"/>
    <mergeCell ref="H28:I28"/>
    <mergeCell ref="J28:R28"/>
    <mergeCell ref="S28:U28"/>
    <mergeCell ref="V28:AA28"/>
    <mergeCell ref="AB28:AD28"/>
    <mergeCell ref="AE28:AG28"/>
    <mergeCell ref="AH28:AJ28"/>
    <mergeCell ref="AH27:AJ27"/>
    <mergeCell ref="AK27:AN27"/>
    <mergeCell ref="AO27:BK27"/>
    <mergeCell ref="BL27:CB27"/>
    <mergeCell ref="CC27:CN27"/>
    <mergeCell ref="CO27:CZ27"/>
    <mergeCell ref="H26:I26"/>
    <mergeCell ref="J26:R26"/>
    <mergeCell ref="S26:U26"/>
    <mergeCell ref="V26:AA26"/>
    <mergeCell ref="AB26:AD26"/>
    <mergeCell ref="AE26:AG26"/>
    <mergeCell ref="AH26:AJ26"/>
    <mergeCell ref="AK26:AN26"/>
    <mergeCell ref="AO26:BK26"/>
    <mergeCell ref="BL26:CB26"/>
    <mergeCell ref="CC26:CN26"/>
    <mergeCell ref="CO26:CZ26"/>
    <mergeCell ref="DA26:DF26"/>
    <mergeCell ref="AE27:AG27"/>
    <mergeCell ref="DG28:DS28"/>
    <mergeCell ref="DT28:EF28"/>
    <mergeCell ref="DG26:DS26"/>
    <mergeCell ref="DT26:EF26"/>
    <mergeCell ref="DT27:EF27"/>
    <mergeCell ref="DA28:DF28"/>
    <mergeCell ref="V25:AA25"/>
    <mergeCell ref="AB25:AD25"/>
    <mergeCell ref="AE25:AG25"/>
    <mergeCell ref="AH25:AJ25"/>
    <mergeCell ref="AK25:AN25"/>
    <mergeCell ref="AK24:AN24"/>
    <mergeCell ref="DA23:DF23"/>
    <mergeCell ref="DG23:DS23"/>
    <mergeCell ref="DT23:EF23"/>
    <mergeCell ref="AO23:BK23"/>
    <mergeCell ref="BL23:CB23"/>
    <mergeCell ref="CC23:CN23"/>
    <mergeCell ref="CO23:CZ23"/>
    <mergeCell ref="DG24:DS24"/>
    <mergeCell ref="DT24:EF24"/>
    <mergeCell ref="AO24:BK24"/>
    <mergeCell ref="BL24:CB24"/>
    <mergeCell ref="CC24:CN24"/>
    <mergeCell ref="CO24:CZ24"/>
    <mergeCell ref="DA24:DF24"/>
    <mergeCell ref="DT25:EF25"/>
    <mergeCell ref="AO25:BK25"/>
    <mergeCell ref="BL25:CB25"/>
    <mergeCell ref="CC25:CN25"/>
    <mergeCell ref="H24:I24"/>
    <mergeCell ref="J24:R24"/>
    <mergeCell ref="S24:U24"/>
    <mergeCell ref="V24:AA24"/>
    <mergeCell ref="AB24:AD24"/>
    <mergeCell ref="AE24:AG24"/>
    <mergeCell ref="AH24:AJ24"/>
    <mergeCell ref="AH23:AJ23"/>
    <mergeCell ref="AK23:AN23"/>
    <mergeCell ref="H23:I23"/>
    <mergeCell ref="J23:R23"/>
    <mergeCell ref="S23:U23"/>
    <mergeCell ref="V23:AA23"/>
    <mergeCell ref="AB23:AD23"/>
    <mergeCell ref="AE23:AG23"/>
    <mergeCell ref="H22:I22"/>
    <mergeCell ref="J22:R22"/>
    <mergeCell ref="S22:U22"/>
    <mergeCell ref="V22:AA22"/>
    <mergeCell ref="AB22:AD22"/>
    <mergeCell ref="AE22:AG22"/>
    <mergeCell ref="AH22:AJ22"/>
    <mergeCell ref="AK22:AN22"/>
    <mergeCell ref="AO22:BK22"/>
    <mergeCell ref="AE20:AG20"/>
    <mergeCell ref="AH20:AJ20"/>
    <mergeCell ref="BL22:CB22"/>
    <mergeCell ref="CC22:CN22"/>
    <mergeCell ref="CO22:CZ22"/>
    <mergeCell ref="DA22:DF22"/>
    <mergeCell ref="DG22:DS22"/>
    <mergeCell ref="DT22:EF22"/>
    <mergeCell ref="DT21:EF21"/>
    <mergeCell ref="AO21:BK21"/>
    <mergeCell ref="BL21:CB21"/>
    <mergeCell ref="CC21:CN21"/>
    <mergeCell ref="CO21:CZ21"/>
    <mergeCell ref="DA21:DF21"/>
    <mergeCell ref="DG21:DS21"/>
    <mergeCell ref="BL19:CB19"/>
    <mergeCell ref="CC19:CN19"/>
    <mergeCell ref="CO19:CZ19"/>
    <mergeCell ref="DG20:DS20"/>
    <mergeCell ref="DT20:EF20"/>
    <mergeCell ref="H21:I21"/>
    <mergeCell ref="J21:R21"/>
    <mergeCell ref="S21:U21"/>
    <mergeCell ref="V21:AA21"/>
    <mergeCell ref="AB21:AD21"/>
    <mergeCell ref="AE21:AG21"/>
    <mergeCell ref="AH21:AJ21"/>
    <mergeCell ref="AK21:AN21"/>
    <mergeCell ref="AK20:AN20"/>
    <mergeCell ref="AO20:BK20"/>
    <mergeCell ref="BL20:CB20"/>
    <mergeCell ref="CC20:CN20"/>
    <mergeCell ref="CO20:CZ20"/>
    <mergeCell ref="DA20:DF20"/>
    <mergeCell ref="H20:I20"/>
    <mergeCell ref="J20:R20"/>
    <mergeCell ref="S20:U20"/>
    <mergeCell ref="V20:AA20"/>
    <mergeCell ref="AB20:AD20"/>
    <mergeCell ref="V17:AA17"/>
    <mergeCell ref="AB17:AD17"/>
    <mergeCell ref="CO18:CZ18"/>
    <mergeCell ref="DA18:DF18"/>
    <mergeCell ref="AH19:AJ19"/>
    <mergeCell ref="AK19:AN19"/>
    <mergeCell ref="DG18:DS18"/>
    <mergeCell ref="DT18:EF18"/>
    <mergeCell ref="H19:I19"/>
    <mergeCell ref="J19:R19"/>
    <mergeCell ref="S19:U19"/>
    <mergeCell ref="V19:AA19"/>
    <mergeCell ref="AB19:AD19"/>
    <mergeCell ref="AE19:AG19"/>
    <mergeCell ref="AE18:AG18"/>
    <mergeCell ref="AH18:AJ18"/>
    <mergeCell ref="AK18:AN18"/>
    <mergeCell ref="AO18:BK18"/>
    <mergeCell ref="BL18:CB18"/>
    <mergeCell ref="CC18:CN18"/>
    <mergeCell ref="DA19:DF19"/>
    <mergeCell ref="DG19:DS19"/>
    <mergeCell ref="DT19:EF19"/>
    <mergeCell ref="AO19:BK19"/>
    <mergeCell ref="S15:U15"/>
    <mergeCell ref="V15:AA15"/>
    <mergeCell ref="AB15:AD15"/>
    <mergeCell ref="AE15:AG15"/>
    <mergeCell ref="CO17:CZ17"/>
    <mergeCell ref="DA17:DF17"/>
    <mergeCell ref="DG17:DS17"/>
    <mergeCell ref="DT17:EF17"/>
    <mergeCell ref="A18:G30"/>
    <mergeCell ref="H18:I18"/>
    <mergeCell ref="J18:R18"/>
    <mergeCell ref="S18:U18"/>
    <mergeCell ref="V18:AA18"/>
    <mergeCell ref="AB18:AD18"/>
    <mergeCell ref="AE17:AG17"/>
    <mergeCell ref="AH17:AJ17"/>
    <mergeCell ref="AK17:AN17"/>
    <mergeCell ref="AO17:BK17"/>
    <mergeCell ref="BL17:CB17"/>
    <mergeCell ref="CC17:CN17"/>
    <mergeCell ref="A17:G17"/>
    <mergeCell ref="H17:I17"/>
    <mergeCell ref="J17:R17"/>
    <mergeCell ref="S17:U17"/>
    <mergeCell ref="BL16:CB16"/>
    <mergeCell ref="CC16:CN16"/>
    <mergeCell ref="CO16:CZ16"/>
    <mergeCell ref="DA16:DF16"/>
    <mergeCell ref="DG16:DS16"/>
    <mergeCell ref="DT16:EF16"/>
    <mergeCell ref="DT15:EF15"/>
    <mergeCell ref="H16:I16"/>
    <mergeCell ref="J16:R16"/>
    <mergeCell ref="S16:U16"/>
    <mergeCell ref="V16:AA16"/>
    <mergeCell ref="AB16:AD16"/>
    <mergeCell ref="AE16:AG16"/>
    <mergeCell ref="AH16:AJ16"/>
    <mergeCell ref="AK16:AN16"/>
    <mergeCell ref="AO16:BK16"/>
    <mergeCell ref="AO15:BK15"/>
    <mergeCell ref="BL15:CB15"/>
    <mergeCell ref="CC15:CN15"/>
    <mergeCell ref="CO15:CZ15"/>
    <mergeCell ref="DA15:DF15"/>
    <mergeCell ref="DG15:DS15"/>
    <mergeCell ref="H15:I15"/>
    <mergeCell ref="J15:R15"/>
    <mergeCell ref="AH15:AJ15"/>
    <mergeCell ref="AK15:AN15"/>
    <mergeCell ref="AK14:AN14"/>
    <mergeCell ref="DA13:DF13"/>
    <mergeCell ref="DG13:DS13"/>
    <mergeCell ref="DT13:EF13"/>
    <mergeCell ref="H14:I14"/>
    <mergeCell ref="J14:R14"/>
    <mergeCell ref="S14:U14"/>
    <mergeCell ref="V14:AA14"/>
    <mergeCell ref="AB14:AD14"/>
    <mergeCell ref="AE14:AG14"/>
    <mergeCell ref="AH14:AJ14"/>
    <mergeCell ref="AH13:AJ13"/>
    <mergeCell ref="AK13:AN13"/>
    <mergeCell ref="AO13:BK13"/>
    <mergeCell ref="BL13:CB13"/>
    <mergeCell ref="CC13:CN13"/>
    <mergeCell ref="CO13:CZ13"/>
    <mergeCell ref="H13:I13"/>
    <mergeCell ref="J13:R13"/>
    <mergeCell ref="S13:U13"/>
    <mergeCell ref="V13:AA13"/>
    <mergeCell ref="AB13:AD13"/>
    <mergeCell ref="AE13:AG13"/>
    <mergeCell ref="DG14:DS14"/>
    <mergeCell ref="DT14:EF14"/>
    <mergeCell ref="BL12:CB12"/>
    <mergeCell ref="CC12:CN12"/>
    <mergeCell ref="CO12:CZ12"/>
    <mergeCell ref="DA12:DF12"/>
    <mergeCell ref="DG12:DS12"/>
    <mergeCell ref="DT12:EF12"/>
    <mergeCell ref="AO14:BK14"/>
    <mergeCell ref="BL14:CB14"/>
    <mergeCell ref="CC14:CN14"/>
    <mergeCell ref="CO14:CZ14"/>
    <mergeCell ref="DA14:DF14"/>
    <mergeCell ref="DT11:EF11"/>
    <mergeCell ref="H12:I12"/>
    <mergeCell ref="J12:R12"/>
    <mergeCell ref="S12:U12"/>
    <mergeCell ref="V12:AA12"/>
    <mergeCell ref="AB12:AD12"/>
    <mergeCell ref="AE12:AG12"/>
    <mergeCell ref="AH12:AJ12"/>
    <mergeCell ref="AK12:AN12"/>
    <mergeCell ref="AO12:BK12"/>
    <mergeCell ref="AO11:BK11"/>
    <mergeCell ref="BL11:CB11"/>
    <mergeCell ref="CC11:CN11"/>
    <mergeCell ref="CO11:CZ11"/>
    <mergeCell ref="DA11:DF11"/>
    <mergeCell ref="DG11:DS11"/>
    <mergeCell ref="H11:I11"/>
    <mergeCell ref="J11:R11"/>
    <mergeCell ref="S11:U11"/>
    <mergeCell ref="V11:AA11"/>
    <mergeCell ref="AB11:AD11"/>
    <mergeCell ref="AE11:AG11"/>
    <mergeCell ref="AH11:AJ11"/>
    <mergeCell ref="AK11:AN11"/>
    <mergeCell ref="DG9:DS9"/>
    <mergeCell ref="DT9:EF9"/>
    <mergeCell ref="H10:I10"/>
    <mergeCell ref="J10:R10"/>
    <mergeCell ref="S10:U10"/>
    <mergeCell ref="V10:AA10"/>
    <mergeCell ref="AB10:AD10"/>
    <mergeCell ref="AE10:AG10"/>
    <mergeCell ref="AH10:AJ10"/>
    <mergeCell ref="AH9:AJ9"/>
    <mergeCell ref="AK9:AN9"/>
    <mergeCell ref="AO9:BK9"/>
    <mergeCell ref="BL9:CB9"/>
    <mergeCell ref="CC9:CN9"/>
    <mergeCell ref="CO9:CZ9"/>
    <mergeCell ref="DG10:DS10"/>
    <mergeCell ref="DT10:EF10"/>
    <mergeCell ref="AO10:BK10"/>
    <mergeCell ref="BL10:CB10"/>
    <mergeCell ref="CC10:CN10"/>
    <mergeCell ref="CO10:CZ10"/>
    <mergeCell ref="DA10:DF10"/>
    <mergeCell ref="AB9:AD9"/>
    <mergeCell ref="AH8:AJ8"/>
    <mergeCell ref="AK8:AN8"/>
    <mergeCell ref="AO8:BK8"/>
    <mergeCell ref="BL8:CB8"/>
    <mergeCell ref="CC8:CN8"/>
    <mergeCell ref="DA9:DF9"/>
    <mergeCell ref="CO6:CZ7"/>
    <mergeCell ref="DA6:DF7"/>
    <mergeCell ref="AK10:AN10"/>
    <mergeCell ref="DG6:DS7"/>
    <mergeCell ref="DT6:EF7"/>
    <mergeCell ref="A8:G16"/>
    <mergeCell ref="H8:I8"/>
    <mergeCell ref="J8:R8"/>
    <mergeCell ref="S8:U8"/>
    <mergeCell ref="V8:AA8"/>
    <mergeCell ref="AB8:AD8"/>
    <mergeCell ref="AE6:AG7"/>
    <mergeCell ref="AH6:AJ7"/>
    <mergeCell ref="AK6:AN7"/>
    <mergeCell ref="AO6:BK7"/>
    <mergeCell ref="BL6:CB7"/>
    <mergeCell ref="CC6:CN7"/>
    <mergeCell ref="CO8:CZ8"/>
    <mergeCell ref="DA8:DF8"/>
    <mergeCell ref="DG8:DS8"/>
    <mergeCell ref="DT8:EF8"/>
    <mergeCell ref="H9:I9"/>
    <mergeCell ref="J9:R9"/>
    <mergeCell ref="S9:U9"/>
    <mergeCell ref="V9:AA9"/>
    <mergeCell ref="AE9:AG9"/>
    <mergeCell ref="AE8:AG8"/>
    <mergeCell ref="S5:AA5"/>
    <mergeCell ref="AB5:AG5"/>
    <mergeCell ref="AH5:AJ5"/>
    <mergeCell ref="A6:G7"/>
    <mergeCell ref="H6:I7"/>
    <mergeCell ref="J6:R7"/>
    <mergeCell ref="S6:U7"/>
    <mergeCell ref="V6:AA7"/>
    <mergeCell ref="AB6:AD7"/>
    <mergeCell ref="F2:P3"/>
    <mergeCell ref="Q2:V3"/>
    <mergeCell ref="W2:AD3"/>
    <mergeCell ref="AE2:AS3"/>
    <mergeCell ref="AT2:AU2"/>
    <mergeCell ref="AV2:BA2"/>
    <mergeCell ref="AT3:AU3"/>
    <mergeCell ref="AV3:BA3"/>
    <mergeCell ref="A1:E3"/>
    <mergeCell ref="F1:P1"/>
    <mergeCell ref="Q1:V1"/>
    <mergeCell ref="W1:AD1"/>
    <mergeCell ref="AE1:AS1"/>
    <mergeCell ref="AT1:BA1"/>
  </mergeCells>
  <phoneticPr fontId="2"/>
  <dataValidations count="4">
    <dataValidation type="list" allowBlank="1" showInputMessage="1" showErrorMessage="1" sqref="AE8:AG52" xr:uid="{A267838C-8EA3-4348-8987-E9B3DD6C7001}">
      <formula1>縦位置</formula1>
    </dataValidation>
    <dataValidation type="list" allowBlank="1" showInputMessage="1" showErrorMessage="1" sqref="AB8:AD52" xr:uid="{5632503E-9F06-4FD9-BAB9-532302DB35CD}">
      <formula1>横位置</formula1>
    </dataValidation>
    <dataValidation type="list" allowBlank="1" showInputMessage="1" showErrorMessage="1" sqref="DA8:DF52" xr:uid="{406EF784-C32E-40D9-B134-129E10ADC932}">
      <formula1>折り返して全体を表示する</formula1>
    </dataValidation>
    <dataValidation type="list" allowBlank="1" showInputMessage="1" showErrorMessage="1" sqref="S8:U8" xr:uid="{0A89A789-123B-4B8C-AEAF-F4D028CDE481}">
      <formula1>書式</formula1>
    </dataValidation>
  </dataValidations>
  <pageMargins left="0.23622047244094491" right="0.23622047244094491" top="0.74803149606299213" bottom="0.74803149606299213" header="0.31496062992125984" footer="0.31496062992125984"/>
  <pageSetup paperSize="9" scale="63" orientation="landscape" r:id="rId1"/>
  <colBreaks count="1" manualBreakCount="1">
    <brk id="80" max="1048575" man="1"/>
  </colBreaks>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154D5-2841-4175-B78A-F422ACBE0BE8}">
  <sheetPr>
    <tabColor theme="0" tint="-0.499984740745262"/>
  </sheetPr>
  <dimension ref="A1:CC38"/>
  <sheetViews>
    <sheetView showGridLines="0" zoomScaleNormal="100" workbookViewId="0">
      <pane ySplit="8" topLeftCell="A9" activePane="bottomLeft" state="frozen"/>
      <selection activeCell="AO27" sqref="AO27:BK27"/>
      <selection pane="bottomLeft" activeCell="A9" sqref="A9:B9"/>
    </sheetView>
  </sheetViews>
  <sheetFormatPr defaultColWidth="2.5" defaultRowHeight="15" customHeight="1"/>
  <cols>
    <col min="1" max="79" width="2.5" style="101"/>
    <col min="80" max="80" width="3.09765625" style="102" bestFit="1" customWidth="1"/>
    <col min="81" max="81" width="2.5" style="102"/>
    <col min="82" max="16384" width="2.5" style="101"/>
  </cols>
  <sheetData>
    <row r="1" spans="1:81" s="1" customFormat="1" ht="15" customHeight="1" thickBot="1">
      <c r="A1" s="294" t="s">
        <v>32</v>
      </c>
      <c r="B1" s="295"/>
      <c r="C1" s="295"/>
      <c r="D1" s="295"/>
      <c r="E1" s="296"/>
      <c r="F1" s="303" t="str">
        <f>変更履歴!F1</f>
        <v>システム名</v>
      </c>
      <c r="G1" s="304"/>
      <c r="H1" s="304"/>
      <c r="I1" s="304"/>
      <c r="J1" s="304"/>
      <c r="K1" s="304"/>
      <c r="L1" s="304"/>
      <c r="M1" s="304"/>
      <c r="N1" s="304"/>
      <c r="O1" s="304"/>
      <c r="P1" s="305"/>
      <c r="Q1" s="306" t="str">
        <f>変更履歴!Q1</f>
        <v>機能分類</v>
      </c>
      <c r="R1" s="307"/>
      <c r="S1" s="307"/>
      <c r="T1" s="307"/>
      <c r="U1" s="307"/>
      <c r="V1" s="308"/>
      <c r="W1" s="303" t="str">
        <f>変更履歴!W1</f>
        <v>機能ＩＤ</v>
      </c>
      <c r="X1" s="304"/>
      <c r="Y1" s="304"/>
      <c r="Z1" s="304"/>
      <c r="AA1" s="304"/>
      <c r="AB1" s="304"/>
      <c r="AC1" s="304"/>
      <c r="AD1" s="305"/>
      <c r="AE1" s="303" t="str">
        <f>変更履歴!AE1</f>
        <v>機能名称</v>
      </c>
      <c r="AF1" s="304"/>
      <c r="AG1" s="304"/>
      <c r="AH1" s="304"/>
      <c r="AI1" s="304"/>
      <c r="AJ1" s="304"/>
      <c r="AK1" s="304"/>
      <c r="AL1" s="304"/>
      <c r="AM1" s="304"/>
      <c r="AN1" s="304"/>
      <c r="AO1" s="304"/>
      <c r="AP1" s="304"/>
      <c r="AQ1" s="304"/>
      <c r="AR1" s="304"/>
      <c r="AS1" s="305"/>
      <c r="AT1" s="309" t="str">
        <f>変更履歴!AT1</f>
        <v>日付</v>
      </c>
      <c r="AU1" s="310"/>
      <c r="AV1" s="310"/>
      <c r="AW1" s="310"/>
      <c r="AX1" s="310"/>
      <c r="AY1" s="310"/>
      <c r="AZ1" s="310"/>
      <c r="BA1" s="311"/>
      <c r="BB1" s="266" t="str">
        <f>変更履歴!BB1</f>
        <v>更新者</v>
      </c>
      <c r="BC1" s="268"/>
      <c r="BD1" s="268"/>
      <c r="BE1" s="268"/>
      <c r="BF1" s="268"/>
      <c r="BG1" s="268"/>
      <c r="BH1" s="268"/>
      <c r="BI1" s="269"/>
    </row>
    <row r="2" spans="1:81" s="1" customFormat="1" ht="15" customHeight="1">
      <c r="A2" s="297"/>
      <c r="B2" s="298"/>
      <c r="C2" s="298"/>
      <c r="D2" s="298"/>
      <c r="E2" s="299"/>
      <c r="F2" s="270" t="str">
        <f>変更履歴!F2</f>
        <v>Dynamics365 for Finance and Operations</v>
      </c>
      <c r="G2" s="271"/>
      <c r="H2" s="271"/>
      <c r="I2" s="271"/>
      <c r="J2" s="271"/>
      <c r="K2" s="271"/>
      <c r="L2" s="271"/>
      <c r="M2" s="271"/>
      <c r="N2" s="271"/>
      <c r="O2" s="271"/>
      <c r="P2" s="272"/>
      <c r="Q2" s="270" t="str">
        <f>変更履歴!Q2</f>
        <v>システム共通</v>
      </c>
      <c r="R2" s="271"/>
      <c r="S2" s="271"/>
      <c r="T2" s="271"/>
      <c r="U2" s="271"/>
      <c r="V2" s="272"/>
      <c r="W2" s="276" t="str">
        <f>変更履歴!W2</f>
        <v>FO-088</v>
      </c>
      <c r="X2" s="277"/>
      <c r="Y2" s="277"/>
      <c r="Z2" s="277"/>
      <c r="AA2" s="277"/>
      <c r="AB2" s="277"/>
      <c r="AC2" s="277"/>
      <c r="AD2" s="278"/>
      <c r="AE2" s="270" t="str">
        <f>変更履歴!AE2</f>
        <v>AzureFiles連携共通インターフェース</v>
      </c>
      <c r="AF2" s="271"/>
      <c r="AG2" s="271"/>
      <c r="AH2" s="271"/>
      <c r="AI2" s="271"/>
      <c r="AJ2" s="271"/>
      <c r="AK2" s="271"/>
      <c r="AL2" s="271"/>
      <c r="AM2" s="271"/>
      <c r="AN2" s="271"/>
      <c r="AO2" s="271"/>
      <c r="AP2" s="271"/>
      <c r="AQ2" s="271"/>
      <c r="AR2" s="271"/>
      <c r="AS2" s="272"/>
      <c r="AT2" s="282" t="str">
        <f>変更履歴!AT2</f>
        <v>作成</v>
      </c>
      <c r="AU2" s="283"/>
      <c r="AV2" s="284">
        <f>変更履歴!AV2</f>
        <v>45453</v>
      </c>
      <c r="AW2" s="284"/>
      <c r="AX2" s="284"/>
      <c r="AY2" s="284"/>
      <c r="AZ2" s="284"/>
      <c r="BA2" s="285"/>
      <c r="BB2" s="286" t="str">
        <f>変更履歴!BB2</f>
        <v>JBS石岡</v>
      </c>
      <c r="BC2" s="288"/>
      <c r="BD2" s="288"/>
      <c r="BE2" s="288"/>
      <c r="BF2" s="288"/>
      <c r="BG2" s="288"/>
      <c r="BH2" s="288"/>
      <c r="BI2" s="289"/>
    </row>
    <row r="3" spans="1:81" s="1" customFormat="1" ht="15" customHeight="1" thickBot="1">
      <c r="A3" s="300"/>
      <c r="B3" s="301"/>
      <c r="C3" s="301"/>
      <c r="D3" s="301"/>
      <c r="E3" s="302"/>
      <c r="F3" s="273"/>
      <c r="G3" s="274"/>
      <c r="H3" s="274"/>
      <c r="I3" s="274"/>
      <c r="J3" s="274"/>
      <c r="K3" s="274"/>
      <c r="L3" s="274"/>
      <c r="M3" s="274"/>
      <c r="N3" s="274"/>
      <c r="O3" s="274"/>
      <c r="P3" s="275"/>
      <c r="Q3" s="273"/>
      <c r="R3" s="274"/>
      <c r="S3" s="274"/>
      <c r="T3" s="274"/>
      <c r="U3" s="274"/>
      <c r="V3" s="275"/>
      <c r="W3" s="279"/>
      <c r="X3" s="280"/>
      <c r="Y3" s="280"/>
      <c r="Z3" s="280"/>
      <c r="AA3" s="280"/>
      <c r="AB3" s="280"/>
      <c r="AC3" s="280"/>
      <c r="AD3" s="281"/>
      <c r="AE3" s="273"/>
      <c r="AF3" s="274"/>
      <c r="AG3" s="274"/>
      <c r="AH3" s="274"/>
      <c r="AI3" s="274"/>
      <c r="AJ3" s="274"/>
      <c r="AK3" s="274"/>
      <c r="AL3" s="274"/>
      <c r="AM3" s="274"/>
      <c r="AN3" s="274"/>
      <c r="AO3" s="274"/>
      <c r="AP3" s="274"/>
      <c r="AQ3" s="274"/>
      <c r="AR3" s="274"/>
      <c r="AS3" s="275"/>
      <c r="AT3" s="290" t="str">
        <f>変更履歴!AT3</f>
        <v>更新</v>
      </c>
      <c r="AU3" s="291"/>
      <c r="AV3" s="316">
        <f ca="1">変更履歴!AV3</f>
        <v>45726</v>
      </c>
      <c r="AW3" s="317"/>
      <c r="AX3" s="317"/>
      <c r="AY3" s="317"/>
      <c r="AZ3" s="317"/>
      <c r="BA3" s="318"/>
      <c r="BB3" s="313" t="str">
        <f ca="1">変更履歴!BB3</f>
        <v>JBS石岡</v>
      </c>
      <c r="BC3" s="314"/>
      <c r="BD3" s="314"/>
      <c r="BE3" s="314"/>
      <c r="BF3" s="314"/>
      <c r="BG3" s="314"/>
      <c r="BH3" s="314"/>
      <c r="BI3" s="315"/>
    </row>
    <row r="4" spans="1:81" s="122" customFormat="1" ht="15" customHeight="1" thickBot="1">
      <c r="CB4" s="128"/>
      <c r="CC4" s="128"/>
    </row>
    <row r="5" spans="1:81" s="122" customFormat="1" ht="15" customHeight="1">
      <c r="A5" s="140" t="s">
        <v>360</v>
      </c>
      <c r="B5" s="139"/>
      <c r="C5" s="139"/>
      <c r="D5" s="139"/>
      <c r="E5" s="139"/>
      <c r="F5" s="139"/>
      <c r="G5" s="139"/>
      <c r="H5" s="139"/>
      <c r="I5" s="138" t="s">
        <v>361</v>
      </c>
      <c r="J5" s="137"/>
      <c r="K5" s="137"/>
      <c r="L5" s="137"/>
      <c r="M5" s="137"/>
      <c r="N5" s="137"/>
      <c r="O5" s="137"/>
      <c r="P5" s="137"/>
      <c r="Q5" s="137"/>
      <c r="R5" s="137"/>
      <c r="S5" s="137"/>
      <c r="T5" s="137"/>
      <c r="U5" s="137"/>
      <c r="V5" s="137"/>
      <c r="W5" s="137"/>
      <c r="X5" s="137"/>
      <c r="Y5" s="137"/>
      <c r="Z5" s="137"/>
      <c r="AA5" s="137"/>
      <c r="AB5" s="137"/>
      <c r="AC5" s="137"/>
      <c r="AD5" s="137"/>
      <c r="AE5" s="137"/>
      <c r="AF5" s="137"/>
      <c r="AG5" s="137"/>
      <c r="AH5" s="137"/>
      <c r="AI5" s="137"/>
      <c r="AJ5" s="137"/>
      <c r="AK5" s="137"/>
      <c r="AL5" s="137"/>
      <c r="AM5" s="137"/>
      <c r="AN5" s="137"/>
      <c r="AO5" s="137"/>
      <c r="AP5" s="137"/>
      <c r="AQ5" s="137"/>
      <c r="AR5" s="137"/>
      <c r="AS5" s="136"/>
      <c r="AX5" s="128"/>
      <c r="AY5" s="128"/>
    </row>
    <row r="6" spans="1:81" s="122" customFormat="1" ht="15" customHeight="1" thickBot="1">
      <c r="A6" s="135" t="s">
        <v>362</v>
      </c>
      <c r="B6" s="134"/>
      <c r="C6" s="134"/>
      <c r="D6" s="134"/>
      <c r="E6" s="134"/>
      <c r="F6" s="134"/>
      <c r="G6" s="134"/>
      <c r="H6" s="134"/>
      <c r="I6" s="133" t="s">
        <v>363</v>
      </c>
      <c r="J6" s="132"/>
      <c r="K6" s="132"/>
      <c r="L6" s="132"/>
      <c r="M6" s="132"/>
      <c r="N6" s="132"/>
      <c r="O6" s="132"/>
      <c r="P6" s="132"/>
      <c r="Q6" s="132"/>
      <c r="R6" s="132"/>
      <c r="S6" s="132"/>
      <c r="T6" s="132"/>
      <c r="U6" s="132"/>
      <c r="V6" s="132"/>
      <c r="W6" s="132"/>
      <c r="X6" s="132"/>
      <c r="Y6" s="132"/>
      <c r="Z6" s="132"/>
      <c r="AA6" s="132"/>
      <c r="AB6" s="132"/>
      <c r="AC6" s="132"/>
      <c r="AD6" s="132"/>
      <c r="AE6" s="132"/>
      <c r="AF6" s="132"/>
      <c r="AG6" s="132"/>
      <c r="AH6" s="132"/>
      <c r="AI6" s="132"/>
      <c r="AJ6" s="132"/>
      <c r="AK6" s="132"/>
      <c r="AL6" s="132"/>
      <c r="AM6" s="132"/>
      <c r="AN6" s="132"/>
      <c r="AO6" s="132"/>
      <c r="AP6" s="132"/>
      <c r="AQ6" s="132"/>
      <c r="AR6" s="132"/>
      <c r="AS6" s="131"/>
      <c r="AT6" s="130"/>
      <c r="AU6" s="129"/>
      <c r="AV6" s="129"/>
      <c r="AW6" s="129"/>
      <c r="AX6" s="128"/>
      <c r="AY6" s="128"/>
    </row>
    <row r="7" spans="1:81" s="122" customFormat="1" ht="15" customHeight="1" thickBot="1">
      <c r="A7" s="127" t="s">
        <v>364</v>
      </c>
      <c r="B7" s="126"/>
      <c r="C7" s="126"/>
      <c r="D7" s="126"/>
      <c r="E7" s="126"/>
      <c r="F7" s="126"/>
      <c r="G7" s="126"/>
      <c r="H7" s="126"/>
      <c r="I7" s="125" t="s">
        <v>365</v>
      </c>
      <c r="J7" s="124"/>
      <c r="K7" s="124"/>
      <c r="L7" s="124"/>
      <c r="M7" s="124"/>
      <c r="N7" s="124"/>
      <c r="O7" s="124"/>
      <c r="P7" s="124"/>
      <c r="Q7" s="124"/>
      <c r="R7" s="124"/>
      <c r="S7" s="124"/>
      <c r="T7" s="124"/>
      <c r="U7" s="124"/>
      <c r="V7" s="124"/>
      <c r="W7" s="124"/>
      <c r="X7" s="124"/>
      <c r="Y7" s="124"/>
      <c r="Z7" s="124"/>
      <c r="AA7" s="124"/>
      <c r="AB7" s="124"/>
      <c r="AC7" s="124"/>
      <c r="AD7" s="124"/>
      <c r="AE7" s="124"/>
      <c r="AF7" s="124"/>
      <c r="AG7" s="124"/>
      <c r="AH7" s="124"/>
      <c r="AI7" s="124"/>
      <c r="AJ7" s="124"/>
      <c r="AK7" s="124"/>
      <c r="AL7" s="124"/>
      <c r="AM7" s="124"/>
      <c r="AN7" s="124"/>
      <c r="AO7" s="124"/>
      <c r="AP7" s="124"/>
      <c r="AQ7" s="124"/>
      <c r="AR7" s="124"/>
      <c r="AS7" s="123"/>
      <c r="AT7" s="529" t="s">
        <v>366</v>
      </c>
      <c r="AU7" s="529"/>
      <c r="AV7" s="529"/>
      <c r="AW7" s="529"/>
      <c r="AX7" s="529"/>
      <c r="AY7" s="529"/>
      <c r="AZ7" s="529"/>
      <c r="BA7" s="529"/>
      <c r="BB7" s="529"/>
      <c r="BC7" s="529"/>
      <c r="BD7" s="529"/>
      <c r="BE7" s="529"/>
      <c r="BF7" s="529"/>
      <c r="BG7" s="529"/>
      <c r="BH7" s="529"/>
      <c r="BI7" s="530"/>
    </row>
    <row r="8" spans="1:81" s="103" customFormat="1" ht="15" customHeight="1" thickBot="1">
      <c r="A8" s="531" t="s">
        <v>56</v>
      </c>
      <c r="B8" s="532"/>
      <c r="C8" s="518" t="s">
        <v>367</v>
      </c>
      <c r="D8" s="519"/>
      <c r="E8" s="519"/>
      <c r="F8" s="519"/>
      <c r="G8" s="519"/>
      <c r="H8" s="519"/>
      <c r="I8" s="519"/>
      <c r="J8" s="519"/>
      <c r="K8" s="519"/>
      <c r="L8" s="519"/>
      <c r="M8" s="519"/>
      <c r="N8" s="519"/>
      <c r="O8" s="519"/>
      <c r="P8" s="520"/>
      <c r="Q8" s="518" t="s">
        <v>368</v>
      </c>
      <c r="R8" s="519"/>
      <c r="S8" s="519"/>
      <c r="T8" s="519"/>
      <c r="U8" s="519"/>
      <c r="V8" s="519"/>
      <c r="W8" s="519"/>
      <c r="X8" s="519"/>
      <c r="Y8" s="519"/>
      <c r="Z8" s="519"/>
      <c r="AA8" s="519"/>
      <c r="AB8" s="519"/>
      <c r="AC8" s="519"/>
      <c r="AD8" s="519"/>
      <c r="AE8" s="519"/>
      <c r="AF8" s="519"/>
      <c r="AG8" s="519"/>
      <c r="AH8" s="519"/>
      <c r="AI8" s="519"/>
      <c r="AJ8" s="519"/>
      <c r="AK8" s="519"/>
      <c r="AL8" s="519"/>
      <c r="AM8" s="519"/>
      <c r="AN8" s="519"/>
      <c r="AO8" s="519"/>
      <c r="AP8" s="519"/>
      <c r="AQ8" s="519"/>
      <c r="AR8" s="519"/>
      <c r="AS8" s="520"/>
      <c r="AT8" s="518" t="s">
        <v>369</v>
      </c>
      <c r="AU8" s="519"/>
      <c r="AV8" s="519"/>
      <c r="AW8" s="520"/>
      <c r="AX8" s="519" t="s">
        <v>370</v>
      </c>
      <c r="AY8" s="519"/>
      <c r="AZ8" s="518" t="s">
        <v>61</v>
      </c>
      <c r="BA8" s="519"/>
      <c r="BB8" s="519"/>
      <c r="BC8" s="519"/>
      <c r="BD8" s="519"/>
      <c r="BE8" s="519"/>
      <c r="BF8" s="519"/>
      <c r="BG8" s="519"/>
      <c r="BH8" s="519"/>
      <c r="BI8" s="520"/>
    </row>
    <row r="9" spans="1:81" s="103" customFormat="1" ht="15" customHeight="1">
      <c r="A9" s="498">
        <f t="shared" ref="A9:A38" si="0">ROW()-8</f>
        <v>1</v>
      </c>
      <c r="B9" s="499"/>
      <c r="C9" s="121"/>
      <c r="D9" s="120"/>
      <c r="E9" s="120"/>
      <c r="F9" s="120"/>
      <c r="G9" s="120"/>
      <c r="H9" s="120"/>
      <c r="I9" s="120"/>
      <c r="J9" s="120"/>
      <c r="K9" s="120"/>
      <c r="L9" s="120"/>
      <c r="M9" s="120"/>
      <c r="N9" s="120"/>
      <c r="O9" s="120"/>
      <c r="P9" s="119"/>
      <c r="Q9" s="118"/>
      <c r="R9" s="117"/>
      <c r="S9" s="117"/>
      <c r="T9" s="117"/>
      <c r="U9" s="117"/>
      <c r="V9" s="117"/>
      <c r="W9" s="117"/>
      <c r="X9" s="117"/>
      <c r="Y9" s="117"/>
      <c r="Z9" s="117"/>
      <c r="AA9" s="117"/>
      <c r="AB9" s="117"/>
      <c r="AC9" s="117"/>
      <c r="AD9" s="117"/>
      <c r="AE9" s="117"/>
      <c r="AF9" s="117"/>
      <c r="AG9" s="117"/>
      <c r="AH9" s="117"/>
      <c r="AI9" s="117"/>
      <c r="AJ9" s="117"/>
      <c r="AK9" s="117"/>
      <c r="AL9" s="117"/>
      <c r="AM9" s="117"/>
      <c r="AN9" s="117"/>
      <c r="AO9" s="117"/>
      <c r="AP9" s="117"/>
      <c r="AQ9" s="117"/>
      <c r="AR9" s="117"/>
      <c r="AS9" s="117"/>
      <c r="AT9" s="521"/>
      <c r="AU9" s="522"/>
      <c r="AV9" s="522"/>
      <c r="AW9" s="523"/>
      <c r="AX9" s="524"/>
      <c r="AY9" s="525"/>
      <c r="AZ9" s="526"/>
      <c r="BA9" s="527"/>
      <c r="BB9" s="527"/>
      <c r="BC9" s="527"/>
      <c r="BD9" s="527"/>
      <c r="BE9" s="527"/>
      <c r="BF9" s="527"/>
      <c r="BG9" s="527"/>
      <c r="BH9" s="527"/>
      <c r="BI9" s="528"/>
      <c r="BL9" s="104"/>
    </row>
    <row r="10" spans="1:81" s="103" customFormat="1" ht="15" customHeight="1">
      <c r="A10" s="498">
        <f t="shared" si="0"/>
        <v>2</v>
      </c>
      <c r="B10" s="499"/>
      <c r="C10" s="116"/>
      <c r="D10" s="115"/>
      <c r="E10" s="115"/>
      <c r="F10" s="115"/>
      <c r="G10" s="115"/>
      <c r="H10" s="115"/>
      <c r="I10" s="115"/>
      <c r="J10" s="115"/>
      <c r="K10" s="115"/>
      <c r="L10" s="115"/>
      <c r="M10" s="115"/>
      <c r="N10" s="115"/>
      <c r="O10" s="115"/>
      <c r="P10" s="114"/>
      <c r="Q10" s="113"/>
      <c r="R10" s="111"/>
      <c r="S10" s="111"/>
      <c r="T10" s="111"/>
      <c r="U10" s="111"/>
      <c r="V10" s="111"/>
      <c r="W10" s="111"/>
      <c r="X10" s="111"/>
      <c r="Y10" s="112"/>
      <c r="Z10" s="111"/>
      <c r="AA10" s="111"/>
      <c r="AB10" s="111"/>
      <c r="AC10" s="112"/>
      <c r="AD10" s="111"/>
      <c r="AE10" s="111"/>
      <c r="AF10" s="111"/>
      <c r="AG10" s="111"/>
      <c r="AH10" s="111"/>
      <c r="AI10" s="111"/>
      <c r="AJ10" s="111"/>
      <c r="AK10" s="111"/>
      <c r="AL10" s="111"/>
      <c r="AM10" s="111"/>
      <c r="AN10" s="111"/>
      <c r="AO10" s="111"/>
      <c r="AP10" s="111"/>
      <c r="AQ10" s="111"/>
      <c r="AR10" s="111"/>
      <c r="AS10" s="111"/>
      <c r="AT10" s="500"/>
      <c r="AU10" s="501"/>
      <c r="AV10" s="501"/>
      <c r="AW10" s="502"/>
      <c r="AX10" s="503"/>
      <c r="AY10" s="504"/>
      <c r="AZ10" s="505"/>
      <c r="BA10" s="506"/>
      <c r="BB10" s="506"/>
      <c r="BC10" s="506"/>
      <c r="BD10" s="506"/>
      <c r="BE10" s="506"/>
      <c r="BF10" s="506"/>
      <c r="BG10" s="506"/>
      <c r="BH10" s="506"/>
      <c r="BI10" s="507"/>
      <c r="BL10" s="104"/>
    </row>
    <row r="11" spans="1:81" s="103" customFormat="1" ht="15" customHeight="1">
      <c r="A11" s="498">
        <f t="shared" si="0"/>
        <v>3</v>
      </c>
      <c r="B11" s="499"/>
      <c r="C11" s="116"/>
      <c r="D11" s="115"/>
      <c r="E11" s="115"/>
      <c r="F11" s="115"/>
      <c r="G11" s="115"/>
      <c r="H11" s="115"/>
      <c r="I11" s="115"/>
      <c r="J11" s="115"/>
      <c r="K11" s="115"/>
      <c r="L11" s="115"/>
      <c r="M11" s="115"/>
      <c r="N11" s="115"/>
      <c r="O11" s="115"/>
      <c r="P11" s="114"/>
      <c r="Q11" s="113"/>
      <c r="R11" s="111"/>
      <c r="S11" s="111"/>
      <c r="T11" s="111"/>
      <c r="U11" s="111"/>
      <c r="V11" s="111"/>
      <c r="W11" s="111"/>
      <c r="X11" s="111"/>
      <c r="Y11" s="112"/>
      <c r="Z11" s="111"/>
      <c r="AA11" s="111"/>
      <c r="AB11" s="111"/>
      <c r="AC11" s="112"/>
      <c r="AD11" s="111"/>
      <c r="AE11" s="111"/>
      <c r="AF11" s="111"/>
      <c r="AG11" s="111"/>
      <c r="AH11" s="111"/>
      <c r="AI11" s="111"/>
      <c r="AJ11" s="111"/>
      <c r="AK11" s="111"/>
      <c r="AL11" s="111"/>
      <c r="AM11" s="111"/>
      <c r="AN11" s="111"/>
      <c r="AO11" s="111"/>
      <c r="AP11" s="111"/>
      <c r="AQ11" s="111"/>
      <c r="AR11" s="111"/>
      <c r="AS11" s="111"/>
      <c r="AT11" s="500"/>
      <c r="AU11" s="501"/>
      <c r="AV11" s="501"/>
      <c r="AW11" s="502"/>
      <c r="AX11" s="503"/>
      <c r="AY11" s="504"/>
      <c r="AZ11" s="505"/>
      <c r="BA11" s="506"/>
      <c r="BB11" s="506"/>
      <c r="BC11" s="506"/>
      <c r="BD11" s="506"/>
      <c r="BE11" s="506"/>
      <c r="BF11" s="506"/>
      <c r="BG11" s="506"/>
      <c r="BH11" s="506"/>
      <c r="BI11" s="507"/>
      <c r="BL11" s="104"/>
    </row>
    <row r="12" spans="1:81" s="103" customFormat="1" ht="15" customHeight="1">
      <c r="A12" s="498">
        <f t="shared" si="0"/>
        <v>4</v>
      </c>
      <c r="B12" s="499"/>
      <c r="C12" s="116"/>
      <c r="D12" s="115"/>
      <c r="E12" s="115"/>
      <c r="F12" s="115"/>
      <c r="G12" s="115"/>
      <c r="H12" s="115"/>
      <c r="I12" s="115"/>
      <c r="J12" s="115"/>
      <c r="K12" s="115"/>
      <c r="L12" s="115"/>
      <c r="M12" s="115"/>
      <c r="N12" s="115"/>
      <c r="O12" s="115"/>
      <c r="P12" s="114"/>
      <c r="Q12" s="113"/>
      <c r="R12" s="111"/>
      <c r="S12" s="111"/>
      <c r="T12" s="111"/>
      <c r="U12" s="111"/>
      <c r="V12" s="111"/>
      <c r="W12" s="111"/>
      <c r="X12" s="111"/>
      <c r="Y12" s="112"/>
      <c r="Z12" s="111"/>
      <c r="AA12" s="111"/>
      <c r="AB12" s="111"/>
      <c r="AC12" s="112"/>
      <c r="AD12" s="111"/>
      <c r="AE12" s="111"/>
      <c r="AF12" s="111"/>
      <c r="AG12" s="111"/>
      <c r="AH12" s="111"/>
      <c r="AI12" s="111"/>
      <c r="AJ12" s="111"/>
      <c r="AK12" s="111"/>
      <c r="AL12" s="111"/>
      <c r="AM12" s="111"/>
      <c r="AN12" s="111"/>
      <c r="AO12" s="111"/>
      <c r="AP12" s="111"/>
      <c r="AQ12" s="111"/>
      <c r="AR12" s="111"/>
      <c r="AS12" s="111"/>
      <c r="AT12" s="500"/>
      <c r="AU12" s="501"/>
      <c r="AV12" s="501"/>
      <c r="AW12" s="502"/>
      <c r="AX12" s="503"/>
      <c r="AY12" s="504"/>
      <c r="AZ12" s="505"/>
      <c r="BA12" s="506"/>
      <c r="BB12" s="506"/>
      <c r="BC12" s="506"/>
      <c r="BD12" s="506"/>
      <c r="BE12" s="506"/>
      <c r="BF12" s="506"/>
      <c r="BG12" s="506"/>
      <c r="BH12" s="506"/>
      <c r="BI12" s="507"/>
      <c r="BL12" s="104"/>
    </row>
    <row r="13" spans="1:81" s="103" customFormat="1" ht="15" customHeight="1">
      <c r="A13" s="498">
        <f t="shared" si="0"/>
        <v>5</v>
      </c>
      <c r="B13" s="499"/>
      <c r="C13" s="116"/>
      <c r="D13" s="115"/>
      <c r="E13" s="115"/>
      <c r="F13" s="115"/>
      <c r="G13" s="115"/>
      <c r="H13" s="115"/>
      <c r="I13" s="115"/>
      <c r="J13" s="115"/>
      <c r="K13" s="115"/>
      <c r="L13" s="115"/>
      <c r="M13" s="115"/>
      <c r="N13" s="115"/>
      <c r="O13" s="115"/>
      <c r="P13" s="114"/>
      <c r="Q13" s="113"/>
      <c r="R13" s="111"/>
      <c r="S13" s="111"/>
      <c r="T13" s="111"/>
      <c r="U13" s="111"/>
      <c r="V13" s="111"/>
      <c r="W13" s="111"/>
      <c r="X13" s="111"/>
      <c r="Y13" s="112"/>
      <c r="Z13" s="111"/>
      <c r="AA13" s="111"/>
      <c r="AB13" s="111"/>
      <c r="AC13" s="112"/>
      <c r="AD13" s="111"/>
      <c r="AE13" s="111"/>
      <c r="AF13" s="111"/>
      <c r="AG13" s="111"/>
      <c r="AH13" s="111"/>
      <c r="AI13" s="111"/>
      <c r="AJ13" s="111"/>
      <c r="AK13" s="111"/>
      <c r="AL13" s="111"/>
      <c r="AM13" s="111"/>
      <c r="AN13" s="111"/>
      <c r="AO13" s="111"/>
      <c r="AP13" s="111"/>
      <c r="AQ13" s="111"/>
      <c r="AR13" s="111"/>
      <c r="AS13" s="111"/>
      <c r="AT13" s="500"/>
      <c r="AU13" s="501"/>
      <c r="AV13" s="501"/>
      <c r="AW13" s="502"/>
      <c r="AX13" s="503"/>
      <c r="AY13" s="504"/>
      <c r="AZ13" s="505"/>
      <c r="BA13" s="506"/>
      <c r="BB13" s="506"/>
      <c r="BC13" s="506"/>
      <c r="BD13" s="506"/>
      <c r="BE13" s="506"/>
      <c r="BF13" s="506"/>
      <c r="BG13" s="506"/>
      <c r="BH13" s="506"/>
      <c r="BI13" s="507"/>
      <c r="BL13" s="104"/>
    </row>
    <row r="14" spans="1:81" s="103" customFormat="1" ht="15" customHeight="1">
      <c r="A14" s="498">
        <f t="shared" si="0"/>
        <v>6</v>
      </c>
      <c r="B14" s="499"/>
      <c r="C14" s="116"/>
      <c r="D14" s="115"/>
      <c r="E14" s="115"/>
      <c r="F14" s="115"/>
      <c r="G14" s="115"/>
      <c r="H14" s="115"/>
      <c r="I14" s="115"/>
      <c r="J14" s="115"/>
      <c r="K14" s="115"/>
      <c r="L14" s="115"/>
      <c r="M14" s="115"/>
      <c r="N14" s="115"/>
      <c r="O14" s="115"/>
      <c r="P14" s="114"/>
      <c r="Q14" s="113"/>
      <c r="R14" s="111"/>
      <c r="S14" s="111"/>
      <c r="T14" s="111"/>
      <c r="U14" s="111"/>
      <c r="V14" s="111"/>
      <c r="W14" s="111"/>
      <c r="X14" s="111"/>
      <c r="Y14" s="112"/>
      <c r="Z14" s="111"/>
      <c r="AA14" s="111"/>
      <c r="AB14" s="111"/>
      <c r="AC14" s="112"/>
      <c r="AD14" s="111"/>
      <c r="AE14" s="111"/>
      <c r="AF14" s="111"/>
      <c r="AG14" s="111"/>
      <c r="AH14" s="111"/>
      <c r="AI14" s="111"/>
      <c r="AJ14" s="111"/>
      <c r="AK14" s="111"/>
      <c r="AL14" s="111"/>
      <c r="AM14" s="111"/>
      <c r="AN14" s="111"/>
      <c r="AO14" s="111"/>
      <c r="AP14" s="111"/>
      <c r="AQ14" s="111"/>
      <c r="AR14" s="111"/>
      <c r="AS14" s="111"/>
      <c r="AT14" s="500"/>
      <c r="AU14" s="501"/>
      <c r="AV14" s="501"/>
      <c r="AW14" s="502"/>
      <c r="AX14" s="503"/>
      <c r="AY14" s="504"/>
      <c r="AZ14" s="505"/>
      <c r="BA14" s="506"/>
      <c r="BB14" s="506"/>
      <c r="BC14" s="506"/>
      <c r="BD14" s="506"/>
      <c r="BE14" s="506"/>
      <c r="BF14" s="506"/>
      <c r="BG14" s="506"/>
      <c r="BH14" s="506"/>
      <c r="BI14" s="507"/>
      <c r="BL14" s="104"/>
    </row>
    <row r="15" spans="1:81" s="103" customFormat="1" ht="15" customHeight="1">
      <c r="A15" s="498">
        <f t="shared" si="0"/>
        <v>7</v>
      </c>
      <c r="B15" s="499"/>
      <c r="C15" s="116"/>
      <c r="D15" s="115"/>
      <c r="E15" s="115"/>
      <c r="F15" s="115"/>
      <c r="G15" s="115"/>
      <c r="H15" s="115"/>
      <c r="I15" s="115"/>
      <c r="J15" s="115"/>
      <c r="K15" s="115"/>
      <c r="L15" s="115"/>
      <c r="M15" s="115"/>
      <c r="N15" s="115"/>
      <c r="O15" s="115"/>
      <c r="P15" s="114"/>
      <c r="Q15" s="113"/>
      <c r="R15" s="111"/>
      <c r="S15" s="111"/>
      <c r="T15" s="111"/>
      <c r="U15" s="111"/>
      <c r="V15" s="111"/>
      <c r="W15" s="111"/>
      <c r="X15" s="111"/>
      <c r="Y15" s="112"/>
      <c r="Z15" s="111"/>
      <c r="AA15" s="111"/>
      <c r="AB15" s="111"/>
      <c r="AC15" s="112"/>
      <c r="AD15" s="111"/>
      <c r="AE15" s="111"/>
      <c r="AF15" s="111"/>
      <c r="AG15" s="111"/>
      <c r="AH15" s="111"/>
      <c r="AI15" s="111"/>
      <c r="AJ15" s="111"/>
      <c r="AK15" s="111"/>
      <c r="AL15" s="111"/>
      <c r="AM15" s="111"/>
      <c r="AN15" s="111"/>
      <c r="AO15" s="111"/>
      <c r="AP15" s="111"/>
      <c r="AQ15" s="111"/>
      <c r="AR15" s="111"/>
      <c r="AS15" s="111"/>
      <c r="AT15" s="500"/>
      <c r="AU15" s="501"/>
      <c r="AV15" s="501"/>
      <c r="AW15" s="502"/>
      <c r="AX15" s="503"/>
      <c r="AY15" s="504"/>
      <c r="AZ15" s="505"/>
      <c r="BA15" s="506"/>
      <c r="BB15" s="506"/>
      <c r="BC15" s="506"/>
      <c r="BD15" s="506"/>
      <c r="BE15" s="506"/>
      <c r="BF15" s="506"/>
      <c r="BG15" s="506"/>
      <c r="BH15" s="506"/>
      <c r="BI15" s="507"/>
      <c r="BL15" s="104"/>
    </row>
    <row r="16" spans="1:81" s="103" customFormat="1" ht="15" customHeight="1">
      <c r="A16" s="498">
        <f t="shared" si="0"/>
        <v>8</v>
      </c>
      <c r="B16" s="499"/>
      <c r="C16" s="116"/>
      <c r="D16" s="115"/>
      <c r="E16" s="115"/>
      <c r="F16" s="115"/>
      <c r="G16" s="115"/>
      <c r="H16" s="115"/>
      <c r="I16" s="115"/>
      <c r="J16" s="115"/>
      <c r="K16" s="115"/>
      <c r="L16" s="115"/>
      <c r="M16" s="115"/>
      <c r="N16" s="115"/>
      <c r="O16" s="115"/>
      <c r="P16" s="114"/>
      <c r="Q16" s="113"/>
      <c r="R16" s="111"/>
      <c r="S16" s="111"/>
      <c r="T16" s="111"/>
      <c r="U16" s="111"/>
      <c r="V16" s="111"/>
      <c r="W16" s="111"/>
      <c r="X16" s="111"/>
      <c r="Y16" s="112"/>
      <c r="Z16" s="111"/>
      <c r="AA16" s="111"/>
      <c r="AB16" s="111"/>
      <c r="AC16" s="112"/>
      <c r="AD16" s="111"/>
      <c r="AE16" s="111"/>
      <c r="AF16" s="111"/>
      <c r="AG16" s="111"/>
      <c r="AH16" s="111"/>
      <c r="AI16" s="111"/>
      <c r="AJ16" s="111"/>
      <c r="AK16" s="111"/>
      <c r="AL16" s="111"/>
      <c r="AM16" s="111"/>
      <c r="AN16" s="111"/>
      <c r="AO16" s="111"/>
      <c r="AP16" s="111"/>
      <c r="AQ16" s="111"/>
      <c r="AR16" s="111"/>
      <c r="AS16" s="111"/>
      <c r="AT16" s="500"/>
      <c r="AU16" s="501"/>
      <c r="AV16" s="501"/>
      <c r="AW16" s="502"/>
      <c r="AX16" s="503"/>
      <c r="AY16" s="504"/>
      <c r="AZ16" s="505"/>
      <c r="BA16" s="506"/>
      <c r="BB16" s="506"/>
      <c r="BC16" s="506"/>
      <c r="BD16" s="506"/>
      <c r="BE16" s="506"/>
      <c r="BF16" s="506"/>
      <c r="BG16" s="506"/>
      <c r="BH16" s="506"/>
      <c r="BI16" s="507"/>
      <c r="BL16" s="104"/>
    </row>
    <row r="17" spans="1:64" s="103" customFormat="1" ht="15" customHeight="1">
      <c r="A17" s="498">
        <f t="shared" si="0"/>
        <v>9</v>
      </c>
      <c r="B17" s="499"/>
      <c r="C17" s="116"/>
      <c r="D17" s="115"/>
      <c r="E17" s="115"/>
      <c r="F17" s="115"/>
      <c r="G17" s="115"/>
      <c r="H17" s="115"/>
      <c r="I17" s="115"/>
      <c r="J17" s="115"/>
      <c r="K17" s="115"/>
      <c r="L17" s="115"/>
      <c r="M17" s="115"/>
      <c r="N17" s="115"/>
      <c r="O17" s="115"/>
      <c r="P17" s="114"/>
      <c r="Q17" s="113"/>
      <c r="R17" s="111"/>
      <c r="S17" s="111"/>
      <c r="T17" s="111"/>
      <c r="U17" s="111"/>
      <c r="V17" s="111"/>
      <c r="W17" s="111"/>
      <c r="X17" s="111"/>
      <c r="Y17" s="112"/>
      <c r="Z17" s="111"/>
      <c r="AA17" s="111"/>
      <c r="AB17" s="111"/>
      <c r="AC17" s="112"/>
      <c r="AD17" s="111"/>
      <c r="AE17" s="111"/>
      <c r="AF17" s="111"/>
      <c r="AG17" s="111"/>
      <c r="AH17" s="111"/>
      <c r="AI17" s="111"/>
      <c r="AJ17" s="111"/>
      <c r="AK17" s="111"/>
      <c r="AL17" s="111"/>
      <c r="AM17" s="111"/>
      <c r="AN17" s="111"/>
      <c r="AO17" s="111"/>
      <c r="AP17" s="111"/>
      <c r="AQ17" s="111"/>
      <c r="AR17" s="111"/>
      <c r="AS17" s="111"/>
      <c r="AT17" s="500"/>
      <c r="AU17" s="501"/>
      <c r="AV17" s="501"/>
      <c r="AW17" s="502"/>
      <c r="AX17" s="503"/>
      <c r="AY17" s="504"/>
      <c r="AZ17" s="505"/>
      <c r="BA17" s="506"/>
      <c r="BB17" s="506"/>
      <c r="BC17" s="506"/>
      <c r="BD17" s="506"/>
      <c r="BE17" s="506"/>
      <c r="BF17" s="506"/>
      <c r="BG17" s="506"/>
      <c r="BH17" s="506"/>
      <c r="BI17" s="507"/>
      <c r="BL17" s="104"/>
    </row>
    <row r="18" spans="1:64" s="103" customFormat="1" ht="15" customHeight="1">
      <c r="A18" s="498">
        <f t="shared" si="0"/>
        <v>10</v>
      </c>
      <c r="B18" s="499"/>
      <c r="C18" s="116"/>
      <c r="D18" s="115"/>
      <c r="E18" s="115"/>
      <c r="F18" s="115"/>
      <c r="G18" s="115"/>
      <c r="H18" s="115"/>
      <c r="I18" s="115"/>
      <c r="J18" s="115"/>
      <c r="K18" s="115"/>
      <c r="L18" s="115"/>
      <c r="M18" s="115"/>
      <c r="N18" s="115"/>
      <c r="O18" s="115"/>
      <c r="P18" s="114"/>
      <c r="Q18" s="113"/>
      <c r="R18" s="111"/>
      <c r="S18" s="111"/>
      <c r="T18" s="111"/>
      <c r="U18" s="111"/>
      <c r="V18" s="111"/>
      <c r="W18" s="111"/>
      <c r="X18" s="111"/>
      <c r="Y18" s="112"/>
      <c r="Z18" s="111"/>
      <c r="AA18" s="111"/>
      <c r="AB18" s="111"/>
      <c r="AC18" s="112"/>
      <c r="AD18" s="111"/>
      <c r="AE18" s="111"/>
      <c r="AF18" s="111"/>
      <c r="AG18" s="111"/>
      <c r="AH18" s="111"/>
      <c r="AI18" s="111"/>
      <c r="AJ18" s="111"/>
      <c r="AK18" s="111"/>
      <c r="AL18" s="111"/>
      <c r="AM18" s="111"/>
      <c r="AN18" s="111"/>
      <c r="AO18" s="111"/>
      <c r="AP18" s="111"/>
      <c r="AQ18" s="111"/>
      <c r="AR18" s="111"/>
      <c r="AS18" s="111"/>
      <c r="AT18" s="500"/>
      <c r="AU18" s="501"/>
      <c r="AV18" s="501"/>
      <c r="AW18" s="502"/>
      <c r="AX18" s="503"/>
      <c r="AY18" s="504"/>
      <c r="AZ18" s="505"/>
      <c r="BA18" s="506"/>
      <c r="BB18" s="506"/>
      <c r="BC18" s="506"/>
      <c r="BD18" s="506"/>
      <c r="BE18" s="506"/>
      <c r="BF18" s="506"/>
      <c r="BG18" s="506"/>
      <c r="BH18" s="506"/>
      <c r="BI18" s="507"/>
      <c r="BL18" s="104"/>
    </row>
    <row r="19" spans="1:64" s="103" customFormat="1" ht="15" customHeight="1">
      <c r="A19" s="498">
        <f t="shared" si="0"/>
        <v>11</v>
      </c>
      <c r="B19" s="499"/>
      <c r="C19" s="116"/>
      <c r="D19" s="115"/>
      <c r="E19" s="115"/>
      <c r="F19" s="115"/>
      <c r="G19" s="115"/>
      <c r="H19" s="115"/>
      <c r="I19" s="115"/>
      <c r="J19" s="115"/>
      <c r="K19" s="115"/>
      <c r="L19" s="115"/>
      <c r="M19" s="115"/>
      <c r="N19" s="115"/>
      <c r="O19" s="115"/>
      <c r="P19" s="114"/>
      <c r="Q19" s="113"/>
      <c r="R19" s="111"/>
      <c r="S19" s="111"/>
      <c r="T19" s="111"/>
      <c r="U19" s="111"/>
      <c r="V19" s="111"/>
      <c r="W19" s="111"/>
      <c r="X19" s="111"/>
      <c r="Y19" s="112"/>
      <c r="Z19" s="111"/>
      <c r="AA19" s="111"/>
      <c r="AB19" s="111"/>
      <c r="AC19" s="112"/>
      <c r="AD19" s="111"/>
      <c r="AE19" s="111"/>
      <c r="AF19" s="111"/>
      <c r="AG19" s="111"/>
      <c r="AH19" s="111"/>
      <c r="AI19" s="111"/>
      <c r="AJ19" s="111"/>
      <c r="AK19" s="111"/>
      <c r="AL19" s="111"/>
      <c r="AM19" s="111"/>
      <c r="AN19" s="111"/>
      <c r="AO19" s="111"/>
      <c r="AP19" s="111"/>
      <c r="AQ19" s="111"/>
      <c r="AR19" s="111"/>
      <c r="AS19" s="111"/>
      <c r="AT19" s="500"/>
      <c r="AU19" s="501"/>
      <c r="AV19" s="501"/>
      <c r="AW19" s="502"/>
      <c r="AX19" s="503"/>
      <c r="AY19" s="504"/>
      <c r="AZ19" s="505"/>
      <c r="BA19" s="506"/>
      <c r="BB19" s="506"/>
      <c r="BC19" s="506"/>
      <c r="BD19" s="506"/>
      <c r="BE19" s="506"/>
      <c r="BF19" s="506"/>
      <c r="BG19" s="506"/>
      <c r="BH19" s="506"/>
      <c r="BI19" s="507"/>
      <c r="BL19" s="104"/>
    </row>
    <row r="20" spans="1:64" s="103" customFormat="1" ht="15" customHeight="1">
      <c r="A20" s="498">
        <f t="shared" si="0"/>
        <v>12</v>
      </c>
      <c r="B20" s="499"/>
      <c r="C20" s="116"/>
      <c r="D20" s="115"/>
      <c r="E20" s="115"/>
      <c r="F20" s="115"/>
      <c r="G20" s="115"/>
      <c r="H20" s="115"/>
      <c r="I20" s="115"/>
      <c r="J20" s="115"/>
      <c r="K20" s="115"/>
      <c r="L20" s="115"/>
      <c r="M20" s="115"/>
      <c r="N20" s="115"/>
      <c r="O20" s="115"/>
      <c r="P20" s="114"/>
      <c r="Q20" s="113"/>
      <c r="R20" s="111"/>
      <c r="S20" s="111"/>
      <c r="T20" s="111"/>
      <c r="U20" s="111"/>
      <c r="V20" s="111"/>
      <c r="W20" s="111"/>
      <c r="X20" s="111"/>
      <c r="Y20" s="112"/>
      <c r="Z20" s="111"/>
      <c r="AA20" s="111"/>
      <c r="AB20" s="111"/>
      <c r="AC20" s="112"/>
      <c r="AD20" s="111"/>
      <c r="AE20" s="111"/>
      <c r="AF20" s="111"/>
      <c r="AG20" s="111"/>
      <c r="AH20" s="111"/>
      <c r="AI20" s="111"/>
      <c r="AJ20" s="111"/>
      <c r="AK20" s="111"/>
      <c r="AL20" s="111"/>
      <c r="AM20" s="111"/>
      <c r="AN20" s="111"/>
      <c r="AO20" s="111"/>
      <c r="AP20" s="111"/>
      <c r="AQ20" s="111"/>
      <c r="AR20" s="111"/>
      <c r="AS20" s="111"/>
      <c r="AT20" s="500"/>
      <c r="AU20" s="501"/>
      <c r="AV20" s="501"/>
      <c r="AW20" s="502"/>
      <c r="AX20" s="503"/>
      <c r="AY20" s="504"/>
      <c r="AZ20" s="505"/>
      <c r="BA20" s="506"/>
      <c r="BB20" s="506"/>
      <c r="BC20" s="506"/>
      <c r="BD20" s="506"/>
      <c r="BE20" s="506"/>
      <c r="BF20" s="506"/>
      <c r="BG20" s="506"/>
      <c r="BH20" s="506"/>
      <c r="BI20" s="507"/>
      <c r="BL20" s="104"/>
    </row>
    <row r="21" spans="1:64" s="103" customFormat="1" ht="15" customHeight="1">
      <c r="A21" s="498">
        <f t="shared" si="0"/>
        <v>13</v>
      </c>
      <c r="B21" s="499"/>
      <c r="C21" s="116"/>
      <c r="D21" s="115"/>
      <c r="E21" s="115"/>
      <c r="F21" s="115"/>
      <c r="G21" s="115"/>
      <c r="H21" s="115"/>
      <c r="I21" s="115"/>
      <c r="J21" s="115"/>
      <c r="K21" s="115"/>
      <c r="L21" s="115"/>
      <c r="M21" s="115"/>
      <c r="N21" s="115"/>
      <c r="O21" s="115"/>
      <c r="P21" s="114"/>
      <c r="Q21" s="113"/>
      <c r="R21" s="111"/>
      <c r="S21" s="111"/>
      <c r="T21" s="111"/>
      <c r="U21" s="111"/>
      <c r="V21" s="111"/>
      <c r="W21" s="111"/>
      <c r="X21" s="111"/>
      <c r="Y21" s="112"/>
      <c r="Z21" s="111"/>
      <c r="AA21" s="111"/>
      <c r="AB21" s="111"/>
      <c r="AC21" s="112"/>
      <c r="AD21" s="111"/>
      <c r="AE21" s="111"/>
      <c r="AF21" s="111"/>
      <c r="AG21" s="111"/>
      <c r="AH21" s="111"/>
      <c r="AI21" s="111"/>
      <c r="AJ21" s="111"/>
      <c r="AK21" s="111"/>
      <c r="AL21" s="111"/>
      <c r="AM21" s="111"/>
      <c r="AN21" s="111"/>
      <c r="AO21" s="111"/>
      <c r="AP21" s="111"/>
      <c r="AQ21" s="111"/>
      <c r="AR21" s="111"/>
      <c r="AS21" s="111"/>
      <c r="AT21" s="500"/>
      <c r="AU21" s="501"/>
      <c r="AV21" s="501"/>
      <c r="AW21" s="502"/>
      <c r="AX21" s="503"/>
      <c r="AY21" s="504"/>
      <c r="AZ21" s="505"/>
      <c r="BA21" s="506"/>
      <c r="BB21" s="506"/>
      <c r="BC21" s="506"/>
      <c r="BD21" s="506"/>
      <c r="BE21" s="506"/>
      <c r="BF21" s="506"/>
      <c r="BG21" s="506"/>
      <c r="BH21" s="506"/>
      <c r="BI21" s="507"/>
      <c r="BL21" s="104"/>
    </row>
    <row r="22" spans="1:64" s="103" customFormat="1" ht="15" customHeight="1">
      <c r="A22" s="498">
        <f t="shared" si="0"/>
        <v>14</v>
      </c>
      <c r="B22" s="499"/>
      <c r="C22" s="116"/>
      <c r="D22" s="115"/>
      <c r="E22" s="115"/>
      <c r="F22" s="115"/>
      <c r="G22" s="115"/>
      <c r="H22" s="115"/>
      <c r="I22" s="115"/>
      <c r="J22" s="115"/>
      <c r="K22" s="115"/>
      <c r="L22" s="115"/>
      <c r="M22" s="115"/>
      <c r="N22" s="115"/>
      <c r="O22" s="115"/>
      <c r="P22" s="114"/>
      <c r="Q22" s="113"/>
      <c r="R22" s="111"/>
      <c r="S22" s="111"/>
      <c r="T22" s="111"/>
      <c r="U22" s="111"/>
      <c r="V22" s="111"/>
      <c r="W22" s="111"/>
      <c r="X22" s="111"/>
      <c r="Y22" s="112"/>
      <c r="Z22" s="111"/>
      <c r="AA22" s="111"/>
      <c r="AB22" s="111"/>
      <c r="AC22" s="112"/>
      <c r="AD22" s="111"/>
      <c r="AE22" s="111"/>
      <c r="AF22" s="111"/>
      <c r="AG22" s="111"/>
      <c r="AH22" s="111"/>
      <c r="AI22" s="111"/>
      <c r="AJ22" s="111"/>
      <c r="AK22" s="111"/>
      <c r="AL22" s="111"/>
      <c r="AM22" s="111"/>
      <c r="AN22" s="111"/>
      <c r="AO22" s="111"/>
      <c r="AP22" s="111"/>
      <c r="AQ22" s="111"/>
      <c r="AR22" s="111"/>
      <c r="AS22" s="111"/>
      <c r="AT22" s="500"/>
      <c r="AU22" s="501"/>
      <c r="AV22" s="501"/>
      <c r="AW22" s="502"/>
      <c r="AX22" s="503"/>
      <c r="AY22" s="504"/>
      <c r="AZ22" s="505"/>
      <c r="BA22" s="506"/>
      <c r="BB22" s="506"/>
      <c r="BC22" s="506"/>
      <c r="BD22" s="506"/>
      <c r="BE22" s="506"/>
      <c r="BF22" s="506"/>
      <c r="BG22" s="506"/>
      <c r="BH22" s="506"/>
      <c r="BI22" s="507"/>
      <c r="BL22" s="104"/>
    </row>
    <row r="23" spans="1:64" s="103" customFormat="1" ht="15" customHeight="1">
      <c r="A23" s="498">
        <f t="shared" si="0"/>
        <v>15</v>
      </c>
      <c r="B23" s="499"/>
      <c r="C23" s="116"/>
      <c r="D23" s="115"/>
      <c r="E23" s="115"/>
      <c r="F23" s="115"/>
      <c r="G23" s="115"/>
      <c r="H23" s="115"/>
      <c r="I23" s="115"/>
      <c r="J23" s="115"/>
      <c r="K23" s="115"/>
      <c r="L23" s="115"/>
      <c r="M23" s="115"/>
      <c r="N23" s="115"/>
      <c r="O23" s="115"/>
      <c r="P23" s="114"/>
      <c r="Q23" s="113"/>
      <c r="R23" s="111"/>
      <c r="S23" s="111"/>
      <c r="T23" s="111"/>
      <c r="U23" s="111"/>
      <c r="V23" s="111"/>
      <c r="W23" s="111"/>
      <c r="X23" s="111"/>
      <c r="Y23" s="112"/>
      <c r="Z23" s="111"/>
      <c r="AA23" s="111"/>
      <c r="AB23" s="111"/>
      <c r="AC23" s="112"/>
      <c r="AD23" s="111"/>
      <c r="AE23" s="111"/>
      <c r="AF23" s="111"/>
      <c r="AG23" s="111"/>
      <c r="AH23" s="111"/>
      <c r="AI23" s="111"/>
      <c r="AJ23" s="111"/>
      <c r="AK23" s="111"/>
      <c r="AL23" s="111"/>
      <c r="AM23" s="111"/>
      <c r="AN23" s="111"/>
      <c r="AO23" s="111"/>
      <c r="AP23" s="111"/>
      <c r="AQ23" s="111"/>
      <c r="AR23" s="111"/>
      <c r="AS23" s="111"/>
      <c r="AT23" s="500"/>
      <c r="AU23" s="501"/>
      <c r="AV23" s="501"/>
      <c r="AW23" s="502"/>
      <c r="AX23" s="503"/>
      <c r="AY23" s="504"/>
      <c r="AZ23" s="505"/>
      <c r="BA23" s="506"/>
      <c r="BB23" s="506"/>
      <c r="BC23" s="506"/>
      <c r="BD23" s="506"/>
      <c r="BE23" s="506"/>
      <c r="BF23" s="506"/>
      <c r="BG23" s="506"/>
      <c r="BH23" s="506"/>
      <c r="BI23" s="507"/>
      <c r="BL23" s="104"/>
    </row>
    <row r="24" spans="1:64" s="103" customFormat="1" ht="15" customHeight="1">
      <c r="A24" s="498">
        <f t="shared" si="0"/>
        <v>16</v>
      </c>
      <c r="B24" s="499"/>
      <c r="C24" s="116"/>
      <c r="D24" s="115"/>
      <c r="E24" s="115"/>
      <c r="F24" s="115"/>
      <c r="G24" s="115"/>
      <c r="H24" s="115"/>
      <c r="I24" s="115"/>
      <c r="J24" s="115"/>
      <c r="K24" s="115"/>
      <c r="L24" s="115"/>
      <c r="M24" s="115"/>
      <c r="N24" s="115"/>
      <c r="O24" s="115"/>
      <c r="P24" s="114"/>
      <c r="Q24" s="113"/>
      <c r="R24" s="111"/>
      <c r="S24" s="111"/>
      <c r="T24" s="111"/>
      <c r="U24" s="111"/>
      <c r="V24" s="111"/>
      <c r="W24" s="111"/>
      <c r="X24" s="111"/>
      <c r="Y24" s="112"/>
      <c r="Z24" s="111"/>
      <c r="AA24" s="111"/>
      <c r="AB24" s="111"/>
      <c r="AC24" s="112"/>
      <c r="AD24" s="111"/>
      <c r="AE24" s="111"/>
      <c r="AF24" s="111"/>
      <c r="AG24" s="111"/>
      <c r="AH24" s="111"/>
      <c r="AI24" s="111"/>
      <c r="AJ24" s="111"/>
      <c r="AK24" s="111"/>
      <c r="AL24" s="111"/>
      <c r="AM24" s="111"/>
      <c r="AN24" s="111"/>
      <c r="AO24" s="111"/>
      <c r="AP24" s="111"/>
      <c r="AQ24" s="111"/>
      <c r="AR24" s="111"/>
      <c r="AS24" s="111"/>
      <c r="AT24" s="500"/>
      <c r="AU24" s="501"/>
      <c r="AV24" s="501"/>
      <c r="AW24" s="502"/>
      <c r="AX24" s="503"/>
      <c r="AY24" s="504"/>
      <c r="AZ24" s="505"/>
      <c r="BA24" s="506"/>
      <c r="BB24" s="506"/>
      <c r="BC24" s="506"/>
      <c r="BD24" s="506"/>
      <c r="BE24" s="506"/>
      <c r="BF24" s="506"/>
      <c r="BG24" s="506"/>
      <c r="BH24" s="506"/>
      <c r="BI24" s="507"/>
      <c r="BL24" s="104"/>
    </row>
    <row r="25" spans="1:64" s="103" customFormat="1" ht="15" customHeight="1">
      <c r="A25" s="498">
        <f t="shared" si="0"/>
        <v>17</v>
      </c>
      <c r="B25" s="499"/>
      <c r="C25" s="116"/>
      <c r="D25" s="115"/>
      <c r="E25" s="115"/>
      <c r="F25" s="115"/>
      <c r="G25" s="115"/>
      <c r="H25" s="115"/>
      <c r="I25" s="115"/>
      <c r="J25" s="115"/>
      <c r="K25" s="115"/>
      <c r="L25" s="115"/>
      <c r="M25" s="115"/>
      <c r="N25" s="115"/>
      <c r="O25" s="115"/>
      <c r="P25" s="114"/>
      <c r="Q25" s="113"/>
      <c r="R25" s="111"/>
      <c r="S25" s="111"/>
      <c r="T25" s="111"/>
      <c r="U25" s="111"/>
      <c r="V25" s="111"/>
      <c r="W25" s="111"/>
      <c r="X25" s="111"/>
      <c r="Y25" s="112"/>
      <c r="Z25" s="111"/>
      <c r="AA25" s="111"/>
      <c r="AB25" s="111"/>
      <c r="AC25" s="112"/>
      <c r="AD25" s="111"/>
      <c r="AE25" s="111"/>
      <c r="AF25" s="111"/>
      <c r="AG25" s="111"/>
      <c r="AH25" s="111"/>
      <c r="AI25" s="111"/>
      <c r="AJ25" s="111"/>
      <c r="AK25" s="111"/>
      <c r="AL25" s="111"/>
      <c r="AM25" s="111"/>
      <c r="AN25" s="111"/>
      <c r="AO25" s="111"/>
      <c r="AP25" s="111"/>
      <c r="AQ25" s="111"/>
      <c r="AR25" s="111"/>
      <c r="AS25" s="111"/>
      <c r="AT25" s="500"/>
      <c r="AU25" s="501"/>
      <c r="AV25" s="501"/>
      <c r="AW25" s="502"/>
      <c r="AX25" s="503"/>
      <c r="AY25" s="504"/>
      <c r="AZ25" s="505"/>
      <c r="BA25" s="506"/>
      <c r="BB25" s="506"/>
      <c r="BC25" s="506"/>
      <c r="BD25" s="506"/>
      <c r="BE25" s="506"/>
      <c r="BF25" s="506"/>
      <c r="BG25" s="506"/>
      <c r="BH25" s="506"/>
      <c r="BI25" s="507"/>
      <c r="BL25" s="104"/>
    </row>
    <row r="26" spans="1:64" s="103" customFormat="1" ht="15" customHeight="1">
      <c r="A26" s="498">
        <f t="shared" si="0"/>
        <v>18</v>
      </c>
      <c r="B26" s="499"/>
      <c r="C26" s="116"/>
      <c r="D26" s="115"/>
      <c r="E26" s="115"/>
      <c r="F26" s="115"/>
      <c r="G26" s="115"/>
      <c r="H26" s="115"/>
      <c r="I26" s="115"/>
      <c r="J26" s="115"/>
      <c r="K26" s="115"/>
      <c r="L26" s="115"/>
      <c r="M26" s="115"/>
      <c r="N26" s="115"/>
      <c r="O26" s="115"/>
      <c r="P26" s="114"/>
      <c r="Q26" s="113"/>
      <c r="R26" s="111"/>
      <c r="S26" s="111"/>
      <c r="T26" s="111"/>
      <c r="U26" s="111"/>
      <c r="V26" s="111"/>
      <c r="W26" s="111"/>
      <c r="X26" s="111"/>
      <c r="Y26" s="112"/>
      <c r="Z26" s="111"/>
      <c r="AA26" s="111"/>
      <c r="AB26" s="111"/>
      <c r="AC26" s="112"/>
      <c r="AD26" s="111"/>
      <c r="AE26" s="111"/>
      <c r="AF26" s="111"/>
      <c r="AG26" s="111"/>
      <c r="AH26" s="111"/>
      <c r="AI26" s="111"/>
      <c r="AJ26" s="111"/>
      <c r="AK26" s="111"/>
      <c r="AL26" s="111"/>
      <c r="AM26" s="111"/>
      <c r="AN26" s="111"/>
      <c r="AO26" s="111"/>
      <c r="AP26" s="111"/>
      <c r="AQ26" s="111"/>
      <c r="AR26" s="111"/>
      <c r="AS26" s="111"/>
      <c r="AT26" s="500"/>
      <c r="AU26" s="501"/>
      <c r="AV26" s="501"/>
      <c r="AW26" s="502"/>
      <c r="AX26" s="503"/>
      <c r="AY26" s="504"/>
      <c r="AZ26" s="505"/>
      <c r="BA26" s="506"/>
      <c r="BB26" s="506"/>
      <c r="BC26" s="506"/>
      <c r="BD26" s="506"/>
      <c r="BE26" s="506"/>
      <c r="BF26" s="506"/>
      <c r="BG26" s="506"/>
      <c r="BH26" s="506"/>
      <c r="BI26" s="507"/>
      <c r="BL26" s="104"/>
    </row>
    <row r="27" spans="1:64" s="103" customFormat="1" ht="15" customHeight="1">
      <c r="A27" s="498">
        <f t="shared" si="0"/>
        <v>19</v>
      </c>
      <c r="B27" s="499"/>
      <c r="C27" s="116"/>
      <c r="D27" s="115"/>
      <c r="E27" s="115"/>
      <c r="F27" s="115"/>
      <c r="G27" s="115"/>
      <c r="H27" s="115"/>
      <c r="I27" s="115"/>
      <c r="J27" s="115"/>
      <c r="K27" s="115"/>
      <c r="L27" s="115"/>
      <c r="M27" s="115"/>
      <c r="N27" s="115"/>
      <c r="O27" s="115"/>
      <c r="P27" s="114"/>
      <c r="Q27" s="113"/>
      <c r="R27" s="111"/>
      <c r="S27" s="111"/>
      <c r="T27" s="111"/>
      <c r="U27" s="111"/>
      <c r="V27" s="111"/>
      <c r="W27" s="111"/>
      <c r="X27" s="111"/>
      <c r="Y27" s="112"/>
      <c r="Z27" s="111"/>
      <c r="AA27" s="111"/>
      <c r="AB27" s="111"/>
      <c r="AC27" s="112"/>
      <c r="AD27" s="111"/>
      <c r="AE27" s="111"/>
      <c r="AF27" s="111"/>
      <c r="AG27" s="111"/>
      <c r="AH27" s="111"/>
      <c r="AI27" s="111"/>
      <c r="AJ27" s="111"/>
      <c r="AK27" s="111"/>
      <c r="AL27" s="111"/>
      <c r="AM27" s="111"/>
      <c r="AN27" s="111"/>
      <c r="AO27" s="111"/>
      <c r="AP27" s="111"/>
      <c r="AQ27" s="111"/>
      <c r="AR27" s="111"/>
      <c r="AS27" s="111"/>
      <c r="AT27" s="500"/>
      <c r="AU27" s="501"/>
      <c r="AV27" s="501"/>
      <c r="AW27" s="502"/>
      <c r="AX27" s="503"/>
      <c r="AY27" s="504"/>
      <c r="AZ27" s="505"/>
      <c r="BA27" s="506"/>
      <c r="BB27" s="506"/>
      <c r="BC27" s="506"/>
      <c r="BD27" s="506"/>
      <c r="BE27" s="506"/>
      <c r="BF27" s="506"/>
      <c r="BG27" s="506"/>
      <c r="BH27" s="506"/>
      <c r="BI27" s="507"/>
      <c r="BL27" s="104"/>
    </row>
    <row r="28" spans="1:64" s="103" customFormat="1" ht="15" customHeight="1">
      <c r="A28" s="498">
        <f t="shared" si="0"/>
        <v>20</v>
      </c>
      <c r="B28" s="499"/>
      <c r="C28" s="116"/>
      <c r="D28" s="115"/>
      <c r="E28" s="115"/>
      <c r="F28" s="115"/>
      <c r="G28" s="115"/>
      <c r="H28" s="115"/>
      <c r="I28" s="115"/>
      <c r="J28" s="115"/>
      <c r="K28" s="115"/>
      <c r="L28" s="115"/>
      <c r="M28" s="115"/>
      <c r="N28" s="115"/>
      <c r="O28" s="115"/>
      <c r="P28" s="114"/>
      <c r="Q28" s="113"/>
      <c r="R28" s="111"/>
      <c r="S28" s="111"/>
      <c r="T28" s="111"/>
      <c r="U28" s="111"/>
      <c r="V28" s="111"/>
      <c r="W28" s="111"/>
      <c r="X28" s="111"/>
      <c r="Y28" s="112"/>
      <c r="Z28" s="111"/>
      <c r="AA28" s="111"/>
      <c r="AB28" s="111"/>
      <c r="AC28" s="112"/>
      <c r="AD28" s="111"/>
      <c r="AE28" s="111"/>
      <c r="AF28" s="111"/>
      <c r="AG28" s="111"/>
      <c r="AH28" s="111"/>
      <c r="AI28" s="111"/>
      <c r="AJ28" s="111"/>
      <c r="AK28" s="111"/>
      <c r="AL28" s="111"/>
      <c r="AM28" s="111"/>
      <c r="AN28" s="111"/>
      <c r="AO28" s="111"/>
      <c r="AP28" s="111"/>
      <c r="AQ28" s="111"/>
      <c r="AR28" s="111"/>
      <c r="AS28" s="111"/>
      <c r="AT28" s="500"/>
      <c r="AU28" s="501"/>
      <c r="AV28" s="501"/>
      <c r="AW28" s="502"/>
      <c r="AX28" s="503"/>
      <c r="AY28" s="504"/>
      <c r="AZ28" s="505"/>
      <c r="BA28" s="506"/>
      <c r="BB28" s="506"/>
      <c r="BC28" s="506"/>
      <c r="BD28" s="506"/>
      <c r="BE28" s="506"/>
      <c r="BF28" s="506"/>
      <c r="BG28" s="506"/>
      <c r="BH28" s="506"/>
      <c r="BI28" s="507"/>
      <c r="BL28" s="104"/>
    </row>
    <row r="29" spans="1:64" s="103" customFormat="1" ht="15" customHeight="1">
      <c r="A29" s="498">
        <f t="shared" si="0"/>
        <v>21</v>
      </c>
      <c r="B29" s="499"/>
      <c r="C29" s="116"/>
      <c r="D29" s="115"/>
      <c r="E29" s="115"/>
      <c r="F29" s="115"/>
      <c r="G29" s="115"/>
      <c r="H29" s="115"/>
      <c r="I29" s="115"/>
      <c r="J29" s="115"/>
      <c r="K29" s="115"/>
      <c r="L29" s="115"/>
      <c r="M29" s="115"/>
      <c r="N29" s="115"/>
      <c r="O29" s="115"/>
      <c r="P29" s="114"/>
      <c r="Q29" s="113"/>
      <c r="R29" s="111"/>
      <c r="S29" s="111"/>
      <c r="T29" s="111"/>
      <c r="U29" s="111"/>
      <c r="V29" s="111"/>
      <c r="W29" s="111"/>
      <c r="X29" s="111"/>
      <c r="Y29" s="112"/>
      <c r="Z29" s="111"/>
      <c r="AA29" s="111"/>
      <c r="AB29" s="111"/>
      <c r="AC29" s="112"/>
      <c r="AD29" s="111"/>
      <c r="AE29" s="111"/>
      <c r="AF29" s="111"/>
      <c r="AG29" s="111"/>
      <c r="AH29" s="111"/>
      <c r="AI29" s="111"/>
      <c r="AJ29" s="111"/>
      <c r="AK29" s="111"/>
      <c r="AL29" s="111"/>
      <c r="AM29" s="111"/>
      <c r="AN29" s="111"/>
      <c r="AO29" s="111"/>
      <c r="AP29" s="111"/>
      <c r="AQ29" s="111"/>
      <c r="AR29" s="111"/>
      <c r="AS29" s="111"/>
      <c r="AT29" s="500"/>
      <c r="AU29" s="501"/>
      <c r="AV29" s="501"/>
      <c r="AW29" s="502"/>
      <c r="AX29" s="503"/>
      <c r="AY29" s="504"/>
      <c r="AZ29" s="505"/>
      <c r="BA29" s="506"/>
      <c r="BB29" s="506"/>
      <c r="BC29" s="506"/>
      <c r="BD29" s="506"/>
      <c r="BE29" s="506"/>
      <c r="BF29" s="506"/>
      <c r="BG29" s="506"/>
      <c r="BH29" s="506"/>
      <c r="BI29" s="507"/>
      <c r="BL29" s="104"/>
    </row>
    <row r="30" spans="1:64" s="103" customFormat="1" ht="15" customHeight="1">
      <c r="A30" s="498">
        <f t="shared" si="0"/>
        <v>22</v>
      </c>
      <c r="B30" s="499"/>
      <c r="C30" s="116"/>
      <c r="D30" s="115"/>
      <c r="E30" s="115"/>
      <c r="F30" s="115"/>
      <c r="G30" s="115"/>
      <c r="H30" s="115"/>
      <c r="I30" s="115"/>
      <c r="J30" s="115"/>
      <c r="K30" s="115"/>
      <c r="L30" s="115"/>
      <c r="M30" s="115"/>
      <c r="N30" s="115"/>
      <c r="O30" s="115"/>
      <c r="P30" s="114"/>
      <c r="Q30" s="113"/>
      <c r="R30" s="111"/>
      <c r="S30" s="111"/>
      <c r="T30" s="111"/>
      <c r="U30" s="111"/>
      <c r="V30" s="111"/>
      <c r="W30" s="111"/>
      <c r="X30" s="111"/>
      <c r="Y30" s="112"/>
      <c r="Z30" s="111"/>
      <c r="AA30" s="111"/>
      <c r="AB30" s="111"/>
      <c r="AC30" s="112"/>
      <c r="AD30" s="111"/>
      <c r="AE30" s="111"/>
      <c r="AF30" s="111"/>
      <c r="AG30" s="111"/>
      <c r="AH30" s="111"/>
      <c r="AI30" s="111"/>
      <c r="AJ30" s="111"/>
      <c r="AK30" s="111"/>
      <c r="AL30" s="111"/>
      <c r="AM30" s="111"/>
      <c r="AN30" s="111"/>
      <c r="AO30" s="111"/>
      <c r="AP30" s="111"/>
      <c r="AQ30" s="111"/>
      <c r="AR30" s="111"/>
      <c r="AS30" s="111"/>
      <c r="AT30" s="500"/>
      <c r="AU30" s="501"/>
      <c r="AV30" s="501"/>
      <c r="AW30" s="502"/>
      <c r="AX30" s="503"/>
      <c r="AY30" s="504"/>
      <c r="AZ30" s="505"/>
      <c r="BA30" s="506"/>
      <c r="BB30" s="506"/>
      <c r="BC30" s="506"/>
      <c r="BD30" s="506"/>
      <c r="BE30" s="506"/>
      <c r="BF30" s="506"/>
      <c r="BG30" s="506"/>
      <c r="BH30" s="506"/>
      <c r="BI30" s="507"/>
      <c r="BL30" s="104"/>
    </row>
    <row r="31" spans="1:64" s="103" customFormat="1" ht="15" customHeight="1">
      <c r="A31" s="498">
        <f t="shared" si="0"/>
        <v>23</v>
      </c>
      <c r="B31" s="499"/>
      <c r="C31" s="116"/>
      <c r="D31" s="115"/>
      <c r="E31" s="115"/>
      <c r="F31" s="115"/>
      <c r="G31" s="115"/>
      <c r="H31" s="115"/>
      <c r="I31" s="115"/>
      <c r="J31" s="115"/>
      <c r="K31" s="115"/>
      <c r="L31" s="115"/>
      <c r="M31" s="115"/>
      <c r="N31" s="115"/>
      <c r="O31" s="115"/>
      <c r="P31" s="114"/>
      <c r="Q31" s="113"/>
      <c r="R31" s="111"/>
      <c r="S31" s="111"/>
      <c r="T31" s="111"/>
      <c r="U31" s="111"/>
      <c r="V31" s="111"/>
      <c r="W31" s="111"/>
      <c r="X31" s="111"/>
      <c r="Y31" s="112"/>
      <c r="Z31" s="111"/>
      <c r="AA31" s="111"/>
      <c r="AB31" s="111"/>
      <c r="AC31" s="112"/>
      <c r="AD31" s="111"/>
      <c r="AE31" s="111"/>
      <c r="AF31" s="111"/>
      <c r="AG31" s="111"/>
      <c r="AH31" s="111"/>
      <c r="AI31" s="111"/>
      <c r="AJ31" s="111"/>
      <c r="AK31" s="111"/>
      <c r="AL31" s="111"/>
      <c r="AM31" s="111"/>
      <c r="AN31" s="111"/>
      <c r="AO31" s="111"/>
      <c r="AP31" s="111"/>
      <c r="AQ31" s="111"/>
      <c r="AR31" s="111"/>
      <c r="AS31" s="111"/>
      <c r="AT31" s="500"/>
      <c r="AU31" s="501"/>
      <c r="AV31" s="501"/>
      <c r="AW31" s="502"/>
      <c r="AX31" s="503"/>
      <c r="AY31" s="504"/>
      <c r="AZ31" s="505"/>
      <c r="BA31" s="506"/>
      <c r="BB31" s="506"/>
      <c r="BC31" s="506"/>
      <c r="BD31" s="506"/>
      <c r="BE31" s="506"/>
      <c r="BF31" s="506"/>
      <c r="BG31" s="506"/>
      <c r="BH31" s="506"/>
      <c r="BI31" s="507"/>
      <c r="BL31" s="104"/>
    </row>
    <row r="32" spans="1:64" s="103" customFormat="1" ht="15" customHeight="1">
      <c r="A32" s="498">
        <f t="shared" si="0"/>
        <v>24</v>
      </c>
      <c r="B32" s="499"/>
      <c r="C32" s="116"/>
      <c r="D32" s="115"/>
      <c r="E32" s="115"/>
      <c r="F32" s="115"/>
      <c r="G32" s="115"/>
      <c r="H32" s="115"/>
      <c r="I32" s="115"/>
      <c r="J32" s="115"/>
      <c r="K32" s="115"/>
      <c r="L32" s="115"/>
      <c r="M32" s="115"/>
      <c r="N32" s="115"/>
      <c r="O32" s="115"/>
      <c r="P32" s="114"/>
      <c r="Q32" s="113"/>
      <c r="R32" s="111"/>
      <c r="S32" s="111"/>
      <c r="T32" s="111"/>
      <c r="U32" s="111"/>
      <c r="V32" s="111"/>
      <c r="W32" s="111"/>
      <c r="X32" s="111"/>
      <c r="Y32" s="112"/>
      <c r="Z32" s="111"/>
      <c r="AA32" s="111"/>
      <c r="AB32" s="111"/>
      <c r="AC32" s="112"/>
      <c r="AD32" s="111"/>
      <c r="AE32" s="111"/>
      <c r="AF32" s="111"/>
      <c r="AG32" s="111"/>
      <c r="AH32" s="111"/>
      <c r="AI32" s="111"/>
      <c r="AJ32" s="111"/>
      <c r="AK32" s="111"/>
      <c r="AL32" s="111"/>
      <c r="AM32" s="111"/>
      <c r="AN32" s="111"/>
      <c r="AO32" s="111"/>
      <c r="AP32" s="111"/>
      <c r="AQ32" s="111"/>
      <c r="AR32" s="111"/>
      <c r="AS32" s="111"/>
      <c r="AT32" s="500"/>
      <c r="AU32" s="501"/>
      <c r="AV32" s="501"/>
      <c r="AW32" s="502"/>
      <c r="AX32" s="503"/>
      <c r="AY32" s="504"/>
      <c r="AZ32" s="505"/>
      <c r="BA32" s="506"/>
      <c r="BB32" s="506"/>
      <c r="BC32" s="506"/>
      <c r="BD32" s="506"/>
      <c r="BE32" s="506"/>
      <c r="BF32" s="506"/>
      <c r="BG32" s="506"/>
      <c r="BH32" s="506"/>
      <c r="BI32" s="507"/>
      <c r="BL32" s="104"/>
    </row>
    <row r="33" spans="1:64" s="103" customFormat="1" ht="15" customHeight="1">
      <c r="A33" s="498">
        <f t="shared" si="0"/>
        <v>25</v>
      </c>
      <c r="B33" s="499"/>
      <c r="C33" s="116"/>
      <c r="D33" s="115"/>
      <c r="E33" s="115"/>
      <c r="F33" s="115"/>
      <c r="G33" s="115"/>
      <c r="H33" s="115"/>
      <c r="I33" s="115"/>
      <c r="J33" s="115"/>
      <c r="K33" s="115"/>
      <c r="L33" s="115"/>
      <c r="M33" s="115"/>
      <c r="N33" s="115"/>
      <c r="O33" s="115"/>
      <c r="P33" s="114"/>
      <c r="Q33" s="113"/>
      <c r="R33" s="111"/>
      <c r="S33" s="111"/>
      <c r="T33" s="111"/>
      <c r="U33" s="111"/>
      <c r="V33" s="111"/>
      <c r="W33" s="111"/>
      <c r="X33" s="111"/>
      <c r="Y33" s="112"/>
      <c r="Z33" s="111"/>
      <c r="AA33" s="111"/>
      <c r="AB33" s="111"/>
      <c r="AC33" s="112"/>
      <c r="AD33" s="111"/>
      <c r="AE33" s="111"/>
      <c r="AF33" s="111"/>
      <c r="AG33" s="111"/>
      <c r="AH33" s="111"/>
      <c r="AI33" s="111"/>
      <c r="AJ33" s="111"/>
      <c r="AK33" s="111"/>
      <c r="AL33" s="111"/>
      <c r="AM33" s="111"/>
      <c r="AN33" s="111"/>
      <c r="AO33" s="111"/>
      <c r="AP33" s="111"/>
      <c r="AQ33" s="111"/>
      <c r="AR33" s="111"/>
      <c r="AS33" s="111"/>
      <c r="AT33" s="500"/>
      <c r="AU33" s="501"/>
      <c r="AV33" s="501"/>
      <c r="AW33" s="502"/>
      <c r="AX33" s="503"/>
      <c r="AY33" s="504"/>
      <c r="AZ33" s="505"/>
      <c r="BA33" s="506"/>
      <c r="BB33" s="506"/>
      <c r="BC33" s="506"/>
      <c r="BD33" s="506"/>
      <c r="BE33" s="506"/>
      <c r="BF33" s="506"/>
      <c r="BG33" s="506"/>
      <c r="BH33" s="506"/>
      <c r="BI33" s="507"/>
      <c r="BL33" s="104"/>
    </row>
    <row r="34" spans="1:64" s="103" customFormat="1" ht="15" customHeight="1">
      <c r="A34" s="498">
        <f t="shared" si="0"/>
        <v>26</v>
      </c>
      <c r="B34" s="499"/>
      <c r="C34" s="116"/>
      <c r="D34" s="115"/>
      <c r="E34" s="115"/>
      <c r="F34" s="115"/>
      <c r="G34" s="115"/>
      <c r="H34" s="115"/>
      <c r="I34" s="115"/>
      <c r="J34" s="115"/>
      <c r="K34" s="115"/>
      <c r="L34" s="115"/>
      <c r="M34" s="115"/>
      <c r="N34" s="115"/>
      <c r="O34" s="115"/>
      <c r="P34" s="114"/>
      <c r="Q34" s="113"/>
      <c r="R34" s="111"/>
      <c r="S34" s="111"/>
      <c r="T34" s="111"/>
      <c r="U34" s="111"/>
      <c r="V34" s="111"/>
      <c r="W34" s="111"/>
      <c r="X34" s="111"/>
      <c r="Y34" s="112"/>
      <c r="Z34" s="111"/>
      <c r="AA34" s="111"/>
      <c r="AB34" s="111"/>
      <c r="AC34" s="112"/>
      <c r="AD34" s="111"/>
      <c r="AE34" s="111"/>
      <c r="AF34" s="111"/>
      <c r="AG34" s="111"/>
      <c r="AH34" s="111"/>
      <c r="AI34" s="111"/>
      <c r="AJ34" s="111"/>
      <c r="AK34" s="111"/>
      <c r="AL34" s="111"/>
      <c r="AM34" s="111"/>
      <c r="AN34" s="111"/>
      <c r="AO34" s="111"/>
      <c r="AP34" s="111"/>
      <c r="AQ34" s="111"/>
      <c r="AR34" s="111"/>
      <c r="AS34" s="111"/>
      <c r="AT34" s="500"/>
      <c r="AU34" s="501"/>
      <c r="AV34" s="501"/>
      <c r="AW34" s="502"/>
      <c r="AX34" s="503"/>
      <c r="AY34" s="504"/>
      <c r="AZ34" s="505"/>
      <c r="BA34" s="506"/>
      <c r="BB34" s="506"/>
      <c r="BC34" s="506"/>
      <c r="BD34" s="506"/>
      <c r="BE34" s="506"/>
      <c r="BF34" s="506"/>
      <c r="BG34" s="506"/>
      <c r="BH34" s="506"/>
      <c r="BI34" s="507"/>
      <c r="BL34" s="104"/>
    </row>
    <row r="35" spans="1:64" s="103" customFormat="1" ht="15" customHeight="1">
      <c r="A35" s="498">
        <f t="shared" si="0"/>
        <v>27</v>
      </c>
      <c r="B35" s="499"/>
      <c r="C35" s="116"/>
      <c r="D35" s="115"/>
      <c r="E35" s="115"/>
      <c r="F35" s="115"/>
      <c r="G35" s="115"/>
      <c r="H35" s="115"/>
      <c r="I35" s="115"/>
      <c r="J35" s="115"/>
      <c r="K35" s="115"/>
      <c r="L35" s="115"/>
      <c r="M35" s="115"/>
      <c r="N35" s="115"/>
      <c r="O35" s="115"/>
      <c r="P35" s="114"/>
      <c r="Q35" s="113"/>
      <c r="R35" s="111"/>
      <c r="S35" s="111"/>
      <c r="T35" s="111"/>
      <c r="U35" s="111"/>
      <c r="V35" s="111"/>
      <c r="W35" s="111"/>
      <c r="X35" s="111"/>
      <c r="Y35" s="112"/>
      <c r="Z35" s="111"/>
      <c r="AA35" s="111"/>
      <c r="AB35" s="111"/>
      <c r="AC35" s="112"/>
      <c r="AD35" s="111"/>
      <c r="AE35" s="111"/>
      <c r="AF35" s="111"/>
      <c r="AG35" s="111"/>
      <c r="AH35" s="111"/>
      <c r="AI35" s="111"/>
      <c r="AJ35" s="111"/>
      <c r="AK35" s="111"/>
      <c r="AL35" s="111"/>
      <c r="AM35" s="111"/>
      <c r="AN35" s="111"/>
      <c r="AO35" s="111"/>
      <c r="AP35" s="111"/>
      <c r="AQ35" s="111"/>
      <c r="AR35" s="111"/>
      <c r="AS35" s="111"/>
      <c r="AT35" s="500"/>
      <c r="AU35" s="501"/>
      <c r="AV35" s="501"/>
      <c r="AW35" s="502"/>
      <c r="AX35" s="503"/>
      <c r="AY35" s="504"/>
      <c r="AZ35" s="505"/>
      <c r="BA35" s="506"/>
      <c r="BB35" s="506"/>
      <c r="BC35" s="506"/>
      <c r="BD35" s="506"/>
      <c r="BE35" s="506"/>
      <c r="BF35" s="506"/>
      <c r="BG35" s="506"/>
      <c r="BH35" s="506"/>
      <c r="BI35" s="507"/>
      <c r="BL35" s="104"/>
    </row>
    <row r="36" spans="1:64" s="103" customFormat="1" ht="15" customHeight="1">
      <c r="A36" s="498">
        <f t="shared" si="0"/>
        <v>28</v>
      </c>
      <c r="B36" s="499"/>
      <c r="C36" s="116"/>
      <c r="D36" s="115"/>
      <c r="E36" s="115"/>
      <c r="F36" s="115"/>
      <c r="G36" s="115"/>
      <c r="H36" s="115"/>
      <c r="I36" s="115"/>
      <c r="J36" s="115"/>
      <c r="K36" s="115"/>
      <c r="L36" s="115"/>
      <c r="M36" s="115"/>
      <c r="N36" s="115"/>
      <c r="O36" s="115"/>
      <c r="P36" s="114"/>
      <c r="Q36" s="113"/>
      <c r="R36" s="111"/>
      <c r="S36" s="111"/>
      <c r="T36" s="111"/>
      <c r="U36" s="111"/>
      <c r="V36" s="111"/>
      <c r="W36" s="111"/>
      <c r="X36" s="111"/>
      <c r="Y36" s="112"/>
      <c r="Z36" s="111"/>
      <c r="AA36" s="111"/>
      <c r="AB36" s="111"/>
      <c r="AC36" s="112"/>
      <c r="AD36" s="111"/>
      <c r="AE36" s="111"/>
      <c r="AF36" s="111"/>
      <c r="AG36" s="111"/>
      <c r="AH36" s="111"/>
      <c r="AI36" s="111"/>
      <c r="AJ36" s="111"/>
      <c r="AK36" s="111"/>
      <c r="AL36" s="111"/>
      <c r="AM36" s="111"/>
      <c r="AN36" s="111"/>
      <c r="AO36" s="111"/>
      <c r="AP36" s="111"/>
      <c r="AQ36" s="111"/>
      <c r="AR36" s="111"/>
      <c r="AS36" s="111"/>
      <c r="AT36" s="500"/>
      <c r="AU36" s="501"/>
      <c r="AV36" s="501"/>
      <c r="AW36" s="502"/>
      <c r="AX36" s="503"/>
      <c r="AY36" s="504"/>
      <c r="AZ36" s="505"/>
      <c r="BA36" s="506"/>
      <c r="BB36" s="506"/>
      <c r="BC36" s="506"/>
      <c r="BD36" s="506"/>
      <c r="BE36" s="506"/>
      <c r="BF36" s="506"/>
      <c r="BG36" s="506"/>
      <c r="BH36" s="506"/>
      <c r="BI36" s="507"/>
      <c r="BL36" s="104"/>
    </row>
    <row r="37" spans="1:64" s="103" customFormat="1" ht="15" customHeight="1">
      <c r="A37" s="498">
        <f t="shared" si="0"/>
        <v>29</v>
      </c>
      <c r="B37" s="499"/>
      <c r="C37" s="116"/>
      <c r="D37" s="115"/>
      <c r="E37" s="115"/>
      <c r="F37" s="115"/>
      <c r="G37" s="115"/>
      <c r="H37" s="115"/>
      <c r="I37" s="115"/>
      <c r="J37" s="115"/>
      <c r="K37" s="115"/>
      <c r="L37" s="115"/>
      <c r="M37" s="115"/>
      <c r="N37" s="115"/>
      <c r="O37" s="115"/>
      <c r="P37" s="114"/>
      <c r="Q37" s="113"/>
      <c r="R37" s="111"/>
      <c r="S37" s="111"/>
      <c r="T37" s="111"/>
      <c r="U37" s="111"/>
      <c r="V37" s="111"/>
      <c r="W37" s="111"/>
      <c r="X37" s="111"/>
      <c r="Y37" s="112"/>
      <c r="Z37" s="111"/>
      <c r="AA37" s="111"/>
      <c r="AB37" s="111"/>
      <c r="AC37" s="112"/>
      <c r="AD37" s="111"/>
      <c r="AE37" s="111"/>
      <c r="AF37" s="111"/>
      <c r="AG37" s="111"/>
      <c r="AH37" s="111"/>
      <c r="AI37" s="111"/>
      <c r="AJ37" s="111"/>
      <c r="AK37" s="111"/>
      <c r="AL37" s="111"/>
      <c r="AM37" s="111"/>
      <c r="AN37" s="111"/>
      <c r="AO37" s="111"/>
      <c r="AP37" s="111"/>
      <c r="AQ37" s="111"/>
      <c r="AR37" s="111"/>
      <c r="AS37" s="111"/>
      <c r="AT37" s="500"/>
      <c r="AU37" s="501"/>
      <c r="AV37" s="501"/>
      <c r="AW37" s="502"/>
      <c r="AX37" s="503"/>
      <c r="AY37" s="504"/>
      <c r="AZ37" s="505"/>
      <c r="BA37" s="506"/>
      <c r="BB37" s="506"/>
      <c r="BC37" s="506"/>
      <c r="BD37" s="506"/>
      <c r="BE37" s="506"/>
      <c r="BF37" s="506"/>
      <c r="BG37" s="506"/>
      <c r="BH37" s="506"/>
      <c r="BI37" s="507"/>
      <c r="BL37" s="104"/>
    </row>
    <row r="38" spans="1:64" s="103" customFormat="1" ht="15" customHeight="1" thickBot="1">
      <c r="A38" s="508">
        <f t="shared" si="0"/>
        <v>30</v>
      </c>
      <c r="B38" s="509"/>
      <c r="C38" s="110"/>
      <c r="D38" s="109"/>
      <c r="E38" s="109"/>
      <c r="F38" s="109"/>
      <c r="G38" s="109"/>
      <c r="H38" s="109"/>
      <c r="I38" s="109"/>
      <c r="J38" s="109"/>
      <c r="K38" s="109"/>
      <c r="L38" s="109"/>
      <c r="M38" s="109"/>
      <c r="N38" s="109"/>
      <c r="O38" s="109"/>
      <c r="P38" s="108"/>
      <c r="Q38" s="107"/>
      <c r="R38" s="105"/>
      <c r="S38" s="105"/>
      <c r="T38" s="105"/>
      <c r="U38" s="105"/>
      <c r="V38" s="105"/>
      <c r="W38" s="105"/>
      <c r="X38" s="105"/>
      <c r="Y38" s="106"/>
      <c r="Z38" s="105"/>
      <c r="AA38" s="105"/>
      <c r="AB38" s="105"/>
      <c r="AC38" s="106"/>
      <c r="AD38" s="105"/>
      <c r="AE38" s="105"/>
      <c r="AF38" s="105"/>
      <c r="AG38" s="105"/>
      <c r="AH38" s="105"/>
      <c r="AI38" s="105"/>
      <c r="AJ38" s="105"/>
      <c r="AK38" s="105"/>
      <c r="AL38" s="105"/>
      <c r="AM38" s="105"/>
      <c r="AN38" s="105"/>
      <c r="AO38" s="105"/>
      <c r="AP38" s="105"/>
      <c r="AQ38" s="105"/>
      <c r="AR38" s="105"/>
      <c r="AS38" s="105"/>
      <c r="AT38" s="510"/>
      <c r="AU38" s="511"/>
      <c r="AV38" s="511"/>
      <c r="AW38" s="512"/>
      <c r="AX38" s="513"/>
      <c r="AY38" s="514"/>
      <c r="AZ38" s="515"/>
      <c r="BA38" s="516"/>
      <c r="BB38" s="516"/>
      <c r="BC38" s="516"/>
      <c r="BD38" s="516"/>
      <c r="BE38" s="516"/>
      <c r="BF38" s="516"/>
      <c r="BG38" s="516"/>
      <c r="BH38" s="516"/>
      <c r="BI38" s="517"/>
      <c r="BL38" s="104"/>
    </row>
  </sheetData>
  <mergeCells count="144">
    <mergeCell ref="AT3:AU3"/>
    <mergeCell ref="AV3:BA3"/>
    <mergeCell ref="BB3:BI3"/>
    <mergeCell ref="AT1:BA1"/>
    <mergeCell ref="AE1:AS1"/>
    <mergeCell ref="F2:P3"/>
    <mergeCell ref="Q2:V3"/>
    <mergeCell ref="W2:AD3"/>
    <mergeCell ref="AE2:AS3"/>
    <mergeCell ref="W1:AD1"/>
    <mergeCell ref="F1:P1"/>
    <mergeCell ref="Q1:V1"/>
    <mergeCell ref="A1:E3"/>
    <mergeCell ref="A10:B10"/>
    <mergeCell ref="AX10:AY10"/>
    <mergeCell ref="AZ10:BI10"/>
    <mergeCell ref="AT10:AW10"/>
    <mergeCell ref="AX12:AY12"/>
    <mergeCell ref="A14:B14"/>
    <mergeCell ref="A15:B15"/>
    <mergeCell ref="BB1:BI1"/>
    <mergeCell ref="AT2:AU2"/>
    <mergeCell ref="AV2:BA2"/>
    <mergeCell ref="BB2:BI2"/>
    <mergeCell ref="AZ8:BI8"/>
    <mergeCell ref="AT8:AW8"/>
    <mergeCell ref="AX8:AY8"/>
    <mergeCell ref="AX15:AY15"/>
    <mergeCell ref="AZ9:BI9"/>
    <mergeCell ref="A13:B13"/>
    <mergeCell ref="A11:B11"/>
    <mergeCell ref="AT11:AW11"/>
    <mergeCell ref="AX11:AY11"/>
    <mergeCell ref="A12:B12"/>
    <mergeCell ref="AT7:BI7"/>
    <mergeCell ref="A8:B8"/>
    <mergeCell ref="AT20:AW20"/>
    <mergeCell ref="A9:B9"/>
    <mergeCell ref="C8:P8"/>
    <mergeCell ref="AT9:AW9"/>
    <mergeCell ref="Q8:AS8"/>
    <mergeCell ref="AX9:AY9"/>
    <mergeCell ref="AT12:AW12"/>
    <mergeCell ref="AT14:AW14"/>
    <mergeCell ref="AT15:AW15"/>
    <mergeCell ref="AT16:AW16"/>
    <mergeCell ref="AT13:AW13"/>
    <mergeCell ref="AX17:AY17"/>
    <mergeCell ref="AX20:AY20"/>
    <mergeCell ref="AX16:AY16"/>
    <mergeCell ref="AT18:AW18"/>
    <mergeCell ref="AX18:AY18"/>
    <mergeCell ref="AT19:AW19"/>
    <mergeCell ref="AX13:AY13"/>
    <mergeCell ref="AX14:AY14"/>
    <mergeCell ref="AT17:AW17"/>
    <mergeCell ref="AX19:AY19"/>
    <mergeCell ref="A17:B17"/>
    <mergeCell ref="A20:B20"/>
    <mergeCell ref="A16:B16"/>
    <mergeCell ref="A29:B29"/>
    <mergeCell ref="AT29:AW29"/>
    <mergeCell ref="AX29:AY29"/>
    <mergeCell ref="AZ29:BI29"/>
    <mergeCell ref="AZ27:BI27"/>
    <mergeCell ref="A22:B22"/>
    <mergeCell ref="AT22:AW22"/>
    <mergeCell ref="AX22:AY22"/>
    <mergeCell ref="A26:B26"/>
    <mergeCell ref="AT26:AW26"/>
    <mergeCell ref="AZ25:BI25"/>
    <mergeCell ref="AZ26:BI26"/>
    <mergeCell ref="A27:B27"/>
    <mergeCell ref="AT27:AW27"/>
    <mergeCell ref="AX27:AY27"/>
    <mergeCell ref="A23:B23"/>
    <mergeCell ref="AT23:AW23"/>
    <mergeCell ref="AX23:AY23"/>
    <mergeCell ref="A24:B24"/>
    <mergeCell ref="AT24:AW24"/>
    <mergeCell ref="AZ23:BI23"/>
    <mergeCell ref="AX24:AY24"/>
    <mergeCell ref="A25:B25"/>
    <mergeCell ref="AT25:AW25"/>
    <mergeCell ref="AZ11:BI11"/>
    <mergeCell ref="AZ12:BI12"/>
    <mergeCell ref="AZ13:BI13"/>
    <mergeCell ref="AZ14:BI14"/>
    <mergeCell ref="AZ15:BI15"/>
    <mergeCell ref="AZ16:BI16"/>
    <mergeCell ref="A28:B28"/>
    <mergeCell ref="AT28:AW28"/>
    <mergeCell ref="AX28:AY28"/>
    <mergeCell ref="AZ28:BI28"/>
    <mergeCell ref="AZ17:BI17"/>
    <mergeCell ref="AZ18:BI18"/>
    <mergeCell ref="AZ20:BI20"/>
    <mergeCell ref="AZ21:BI21"/>
    <mergeCell ref="AX25:AY25"/>
    <mergeCell ref="A21:B21"/>
    <mergeCell ref="AT21:AW21"/>
    <mergeCell ref="A18:B18"/>
    <mergeCell ref="A19:B19"/>
    <mergeCell ref="AX26:AY26"/>
    <mergeCell ref="AZ24:BI24"/>
    <mergeCell ref="AX21:AY21"/>
    <mergeCell ref="AZ22:BI22"/>
    <mergeCell ref="AZ19:BI19"/>
    <mergeCell ref="A36:B36"/>
    <mergeCell ref="AT36:AW36"/>
    <mergeCell ref="AX36:AY36"/>
    <mergeCell ref="AZ36:BI36"/>
    <mergeCell ref="A35:B35"/>
    <mergeCell ref="AT35:AW35"/>
    <mergeCell ref="AX35:AY35"/>
    <mergeCell ref="AZ35:BI35"/>
    <mergeCell ref="A30:B30"/>
    <mergeCell ref="AT30:AW30"/>
    <mergeCell ref="AX30:AY30"/>
    <mergeCell ref="AZ30:BI30"/>
    <mergeCell ref="A37:B37"/>
    <mergeCell ref="AT37:AW37"/>
    <mergeCell ref="AX37:AY37"/>
    <mergeCell ref="AZ37:BI37"/>
    <mergeCell ref="A38:B38"/>
    <mergeCell ref="AT38:AW38"/>
    <mergeCell ref="AX38:AY38"/>
    <mergeCell ref="AZ38:BI38"/>
    <mergeCell ref="A31:B31"/>
    <mergeCell ref="AT31:AW31"/>
    <mergeCell ref="AX31:AY31"/>
    <mergeCell ref="AZ31:BI31"/>
    <mergeCell ref="A32:B32"/>
    <mergeCell ref="AT32:AW32"/>
    <mergeCell ref="A34:B34"/>
    <mergeCell ref="AT34:AW34"/>
    <mergeCell ref="AX34:AY34"/>
    <mergeCell ref="AZ34:BI34"/>
    <mergeCell ref="AX32:AY32"/>
    <mergeCell ref="AZ32:BI32"/>
    <mergeCell ref="A33:B33"/>
    <mergeCell ref="AT33:AW33"/>
    <mergeCell ref="AX33:AY33"/>
    <mergeCell ref="AZ33:BI33"/>
  </mergeCells>
  <phoneticPr fontId="2"/>
  <printOptions horizontalCentered="1"/>
  <pageMargins left="0.23622047244094491" right="0.23622047244094491" top="0.74803149606299213" bottom="0.74803149606299213" header="0.31496062992125984" footer="0.31496062992125984"/>
  <pageSetup paperSize="9" scale="85" orientation="landscape"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15EAE9-123A-437F-A008-5B5A529C1E78}">
  <sheetPr>
    <tabColor theme="0" tint="-0.499984740745262"/>
  </sheetPr>
  <dimension ref="A1:BI40"/>
  <sheetViews>
    <sheetView showGridLines="0" zoomScaleNormal="100" workbookViewId="0">
      <selection sqref="A1:E3"/>
    </sheetView>
  </sheetViews>
  <sheetFormatPr defaultColWidth="2.5" defaultRowHeight="15" customHeight="1"/>
  <cols>
    <col min="1" max="16384" width="2.5" style="45"/>
  </cols>
  <sheetData>
    <row r="1" spans="1:61" s="1" customFormat="1" ht="15" customHeight="1" thickBot="1">
      <c r="A1" s="294" t="s">
        <v>32</v>
      </c>
      <c r="B1" s="295"/>
      <c r="C1" s="295"/>
      <c r="D1" s="295"/>
      <c r="E1" s="296"/>
      <c r="F1" s="303" t="str">
        <f>変更履歴!F1</f>
        <v>システム名</v>
      </c>
      <c r="G1" s="304"/>
      <c r="H1" s="304"/>
      <c r="I1" s="304"/>
      <c r="J1" s="304"/>
      <c r="K1" s="304"/>
      <c r="L1" s="304"/>
      <c r="M1" s="304"/>
      <c r="N1" s="304"/>
      <c r="O1" s="304"/>
      <c r="P1" s="305"/>
      <c r="Q1" s="306" t="str">
        <f>変更履歴!Q1</f>
        <v>機能分類</v>
      </c>
      <c r="R1" s="307"/>
      <c r="S1" s="307"/>
      <c r="T1" s="307"/>
      <c r="U1" s="307"/>
      <c r="V1" s="308"/>
      <c r="W1" s="303" t="str">
        <f>変更履歴!W1</f>
        <v>機能ＩＤ</v>
      </c>
      <c r="X1" s="304"/>
      <c r="Y1" s="304"/>
      <c r="Z1" s="304"/>
      <c r="AA1" s="304"/>
      <c r="AB1" s="304"/>
      <c r="AC1" s="304"/>
      <c r="AD1" s="305"/>
      <c r="AE1" s="303" t="str">
        <f>変更履歴!AE1</f>
        <v>機能名称</v>
      </c>
      <c r="AF1" s="304"/>
      <c r="AG1" s="304"/>
      <c r="AH1" s="304"/>
      <c r="AI1" s="304"/>
      <c r="AJ1" s="304"/>
      <c r="AK1" s="304"/>
      <c r="AL1" s="304"/>
      <c r="AM1" s="304"/>
      <c r="AN1" s="304"/>
      <c r="AO1" s="304"/>
      <c r="AP1" s="304"/>
      <c r="AQ1" s="304"/>
      <c r="AR1" s="304"/>
      <c r="AS1" s="305"/>
      <c r="AT1" s="309" t="str">
        <f>変更履歴!AT1</f>
        <v>日付</v>
      </c>
      <c r="AU1" s="310"/>
      <c r="AV1" s="310"/>
      <c r="AW1" s="310"/>
      <c r="AX1" s="310"/>
      <c r="AY1" s="310"/>
      <c r="AZ1" s="310"/>
      <c r="BA1" s="311"/>
      <c r="BB1" s="266" t="str">
        <f>変更履歴!BB1</f>
        <v>更新者</v>
      </c>
      <c r="BC1" s="268"/>
      <c r="BD1" s="268"/>
      <c r="BE1" s="268"/>
      <c r="BF1" s="268"/>
      <c r="BG1" s="268"/>
      <c r="BH1" s="268"/>
      <c r="BI1" s="269"/>
    </row>
    <row r="2" spans="1:61" s="1" customFormat="1" ht="15" customHeight="1">
      <c r="A2" s="297"/>
      <c r="B2" s="298"/>
      <c r="C2" s="298"/>
      <c r="D2" s="298"/>
      <c r="E2" s="299"/>
      <c r="F2" s="270" t="str">
        <f>変更履歴!F2</f>
        <v>Dynamics365 for Finance and Operations</v>
      </c>
      <c r="G2" s="271"/>
      <c r="H2" s="271"/>
      <c r="I2" s="271"/>
      <c r="J2" s="271"/>
      <c r="K2" s="271"/>
      <c r="L2" s="271"/>
      <c r="M2" s="271"/>
      <c r="N2" s="271"/>
      <c r="O2" s="271"/>
      <c r="P2" s="272"/>
      <c r="Q2" s="270" t="str">
        <f>変更履歴!Q2</f>
        <v>システム共通</v>
      </c>
      <c r="R2" s="271"/>
      <c r="S2" s="271"/>
      <c r="T2" s="271"/>
      <c r="U2" s="271"/>
      <c r="V2" s="272"/>
      <c r="W2" s="276" t="str">
        <f>変更履歴!W2</f>
        <v>FO-088</v>
      </c>
      <c r="X2" s="277"/>
      <c r="Y2" s="277"/>
      <c r="Z2" s="277"/>
      <c r="AA2" s="277"/>
      <c r="AB2" s="277"/>
      <c r="AC2" s="277"/>
      <c r="AD2" s="278"/>
      <c r="AE2" s="270" t="str">
        <f>変更履歴!AE2</f>
        <v>AzureFiles連携共通インターフェース</v>
      </c>
      <c r="AF2" s="271"/>
      <c r="AG2" s="271"/>
      <c r="AH2" s="271"/>
      <c r="AI2" s="271"/>
      <c r="AJ2" s="271"/>
      <c r="AK2" s="271"/>
      <c r="AL2" s="271"/>
      <c r="AM2" s="271"/>
      <c r="AN2" s="271"/>
      <c r="AO2" s="271"/>
      <c r="AP2" s="271"/>
      <c r="AQ2" s="271"/>
      <c r="AR2" s="271"/>
      <c r="AS2" s="272"/>
      <c r="AT2" s="282" t="str">
        <f>変更履歴!AT2</f>
        <v>作成</v>
      </c>
      <c r="AU2" s="283"/>
      <c r="AV2" s="284">
        <f>変更履歴!AV2</f>
        <v>45453</v>
      </c>
      <c r="AW2" s="284"/>
      <c r="AX2" s="284"/>
      <c r="AY2" s="284"/>
      <c r="AZ2" s="284"/>
      <c r="BA2" s="285"/>
      <c r="BB2" s="286" t="str">
        <f>変更履歴!BB2</f>
        <v>JBS石岡</v>
      </c>
      <c r="BC2" s="288"/>
      <c r="BD2" s="288"/>
      <c r="BE2" s="288"/>
      <c r="BF2" s="288"/>
      <c r="BG2" s="288"/>
      <c r="BH2" s="288"/>
      <c r="BI2" s="289"/>
    </row>
    <row r="3" spans="1:61" s="1" customFormat="1" ht="15" customHeight="1" thickBot="1">
      <c r="A3" s="300"/>
      <c r="B3" s="301"/>
      <c r="C3" s="301"/>
      <c r="D3" s="301"/>
      <c r="E3" s="302"/>
      <c r="F3" s="273"/>
      <c r="G3" s="274"/>
      <c r="H3" s="274"/>
      <c r="I3" s="274"/>
      <c r="J3" s="274"/>
      <c r="K3" s="274"/>
      <c r="L3" s="274"/>
      <c r="M3" s="274"/>
      <c r="N3" s="274"/>
      <c r="O3" s="274"/>
      <c r="P3" s="275"/>
      <c r="Q3" s="273"/>
      <c r="R3" s="274"/>
      <c r="S3" s="274"/>
      <c r="T3" s="274"/>
      <c r="U3" s="274"/>
      <c r="V3" s="275"/>
      <c r="W3" s="279"/>
      <c r="X3" s="280"/>
      <c r="Y3" s="280"/>
      <c r="Z3" s="280"/>
      <c r="AA3" s="280"/>
      <c r="AB3" s="280"/>
      <c r="AC3" s="280"/>
      <c r="AD3" s="281"/>
      <c r="AE3" s="273"/>
      <c r="AF3" s="274"/>
      <c r="AG3" s="274"/>
      <c r="AH3" s="274"/>
      <c r="AI3" s="274"/>
      <c r="AJ3" s="274"/>
      <c r="AK3" s="274"/>
      <c r="AL3" s="274"/>
      <c r="AM3" s="274"/>
      <c r="AN3" s="274"/>
      <c r="AO3" s="274"/>
      <c r="AP3" s="274"/>
      <c r="AQ3" s="274"/>
      <c r="AR3" s="274"/>
      <c r="AS3" s="275"/>
      <c r="AT3" s="290" t="str">
        <f>変更履歴!AT3</f>
        <v>更新</v>
      </c>
      <c r="AU3" s="291"/>
      <c r="AV3" s="316">
        <f ca="1">変更履歴!AV3</f>
        <v>45726</v>
      </c>
      <c r="AW3" s="317"/>
      <c r="AX3" s="317"/>
      <c r="AY3" s="317"/>
      <c r="AZ3" s="317"/>
      <c r="BA3" s="318"/>
      <c r="BB3" s="313" t="str">
        <f ca="1">変更履歴!BB3</f>
        <v>JBS石岡</v>
      </c>
      <c r="BC3" s="314"/>
      <c r="BD3" s="314"/>
      <c r="BE3" s="314"/>
      <c r="BF3" s="314"/>
      <c r="BG3" s="314"/>
      <c r="BH3" s="314"/>
      <c r="BI3" s="315"/>
    </row>
    <row r="4" spans="1:61" s="22" customFormat="1" ht="15" customHeight="1" thickBot="1">
      <c r="A4" s="535"/>
      <c r="B4" s="535"/>
      <c r="C4" s="535"/>
      <c r="D4" s="535"/>
      <c r="E4" s="535"/>
      <c r="F4" s="535"/>
      <c r="G4" s="535"/>
      <c r="H4" s="535"/>
      <c r="I4" s="535"/>
    </row>
    <row r="5" spans="1:61" s="1" customFormat="1" ht="15" customHeight="1">
      <c r="A5" s="83" t="s">
        <v>371</v>
      </c>
      <c r="B5" s="84"/>
      <c r="C5" s="84"/>
      <c r="D5" s="84"/>
      <c r="E5" s="84"/>
      <c r="F5" s="84"/>
      <c r="G5" s="84"/>
      <c r="H5" s="84"/>
      <c r="I5" s="84"/>
      <c r="J5" s="84"/>
      <c r="K5" s="84"/>
      <c r="L5" s="85"/>
      <c r="M5" s="41"/>
      <c r="N5" s="41"/>
      <c r="O5" s="41"/>
      <c r="P5" s="41"/>
      <c r="Q5" s="41"/>
      <c r="R5" s="41"/>
      <c r="S5" s="41"/>
      <c r="T5" s="41"/>
      <c r="U5" s="41"/>
      <c r="V5" s="41"/>
      <c r="W5" s="41"/>
      <c r="X5" s="41"/>
      <c r="Y5" s="41"/>
      <c r="Z5" s="41"/>
      <c r="AA5" s="41"/>
      <c r="AB5" s="41"/>
      <c r="AC5" s="41"/>
      <c r="AD5" s="41"/>
      <c r="AE5" s="41"/>
      <c r="AF5" s="41"/>
      <c r="AG5" s="41"/>
      <c r="AH5" s="41"/>
      <c r="AI5" s="41"/>
      <c r="AJ5" s="41"/>
      <c r="AK5" s="41"/>
      <c r="AL5" s="41"/>
      <c r="AM5" s="41"/>
      <c r="AN5" s="41"/>
      <c r="AO5" s="41"/>
      <c r="AP5" s="41"/>
      <c r="AQ5" s="41"/>
      <c r="AR5" s="41"/>
      <c r="AS5" s="41"/>
      <c r="AT5" s="41"/>
      <c r="AU5" s="41"/>
      <c r="AV5" s="41"/>
      <c r="AW5" s="41"/>
      <c r="AX5" s="41"/>
      <c r="AY5" s="41"/>
      <c r="AZ5" s="41"/>
      <c r="BA5" s="41"/>
      <c r="BB5" s="41"/>
      <c r="BC5" s="41"/>
      <c r="BD5" s="41"/>
      <c r="BE5" s="41"/>
      <c r="BF5" s="41"/>
      <c r="BG5" s="41"/>
      <c r="BH5" s="41"/>
      <c r="BI5" s="42"/>
    </row>
    <row r="6" spans="1:61" s="1" customFormat="1" ht="15" customHeight="1">
      <c r="A6" s="86" t="s">
        <v>372</v>
      </c>
      <c r="B6" s="87"/>
      <c r="C6" s="87"/>
      <c r="D6" s="87"/>
      <c r="E6" s="87"/>
      <c r="F6" s="87"/>
      <c r="G6" s="87"/>
      <c r="H6" s="87"/>
      <c r="I6" s="87"/>
      <c r="J6" s="87"/>
      <c r="K6" s="87"/>
      <c r="L6" s="88"/>
      <c r="M6" s="39"/>
      <c r="N6" s="39"/>
      <c r="O6" s="39"/>
      <c r="P6" s="39"/>
      <c r="Q6" s="39"/>
      <c r="R6" s="39"/>
      <c r="S6" s="39"/>
      <c r="T6" s="39"/>
      <c r="U6" s="39"/>
      <c r="V6" s="39"/>
      <c r="W6" s="39"/>
      <c r="X6" s="39"/>
      <c r="Y6" s="39"/>
      <c r="Z6" s="39"/>
      <c r="AA6" s="39"/>
      <c r="AB6" s="39"/>
      <c r="AC6" s="39"/>
      <c r="AD6" s="39"/>
      <c r="AE6" s="39"/>
      <c r="AF6" s="39"/>
      <c r="AG6" s="39"/>
      <c r="AH6" s="39"/>
      <c r="AI6" s="39"/>
      <c r="AJ6" s="39"/>
      <c r="AK6" s="39"/>
      <c r="AL6" s="39"/>
      <c r="AM6" s="39"/>
      <c r="AN6" s="39"/>
      <c r="AO6" s="39"/>
      <c r="AP6" s="39"/>
      <c r="AQ6" s="39"/>
      <c r="AR6" s="39"/>
      <c r="AS6" s="39"/>
      <c r="AT6" s="39"/>
      <c r="AU6" s="39"/>
      <c r="AV6" s="39"/>
      <c r="AW6" s="39"/>
      <c r="AX6" s="39"/>
      <c r="AY6" s="39"/>
      <c r="AZ6" s="39"/>
      <c r="BA6" s="39"/>
      <c r="BB6" s="39"/>
      <c r="BC6" s="39"/>
      <c r="BD6" s="39"/>
      <c r="BE6" s="39"/>
      <c r="BF6" s="39"/>
      <c r="BG6" s="39"/>
      <c r="BH6" s="39"/>
      <c r="BI6" s="40"/>
    </row>
    <row r="7" spans="1:61" s="1" customFormat="1" ht="15" customHeight="1" thickBot="1">
      <c r="A7" s="89" t="s">
        <v>373</v>
      </c>
      <c r="B7" s="90"/>
      <c r="C7" s="90"/>
      <c r="D7" s="90"/>
      <c r="E7" s="90"/>
      <c r="F7" s="90"/>
      <c r="G7" s="90"/>
      <c r="H7" s="90"/>
      <c r="I7" s="90"/>
      <c r="J7" s="90"/>
      <c r="K7" s="90"/>
      <c r="L7" s="91"/>
      <c r="M7" s="23"/>
      <c r="N7" s="23"/>
      <c r="O7" s="23"/>
      <c r="P7" s="23"/>
      <c r="Q7" s="23"/>
      <c r="R7" s="23"/>
      <c r="S7" s="23"/>
      <c r="T7" s="23"/>
      <c r="U7" s="23"/>
      <c r="V7" s="23"/>
      <c r="W7" s="23"/>
      <c r="X7" s="23"/>
      <c r="Y7" s="23"/>
      <c r="Z7" s="23"/>
      <c r="AA7" s="23"/>
      <c r="AB7" s="23"/>
      <c r="AC7" s="23"/>
      <c r="AD7" s="23"/>
      <c r="AE7" s="23"/>
      <c r="AF7" s="23"/>
      <c r="AG7" s="23"/>
      <c r="AH7" s="23"/>
      <c r="AI7" s="23"/>
      <c r="AJ7" s="23"/>
      <c r="AK7" s="23"/>
      <c r="AL7" s="23"/>
      <c r="AM7" s="23"/>
      <c r="AN7" s="23"/>
      <c r="AO7" s="23"/>
      <c r="AP7" s="23"/>
      <c r="AQ7" s="23"/>
      <c r="AR7" s="23"/>
      <c r="AS7" s="23"/>
      <c r="AT7" s="23"/>
      <c r="AU7" s="23"/>
      <c r="AV7" s="23"/>
      <c r="AW7" s="23"/>
      <c r="AX7" s="23"/>
      <c r="AY7" s="23"/>
      <c r="AZ7" s="23"/>
      <c r="BA7" s="23"/>
      <c r="BB7" s="23"/>
      <c r="BC7" s="23"/>
      <c r="BD7" s="23"/>
      <c r="BE7" s="23"/>
      <c r="BF7" s="23"/>
      <c r="BG7" s="23"/>
      <c r="BH7" s="23"/>
      <c r="BI7" s="24"/>
    </row>
    <row r="8" spans="1:61" s="1" customFormat="1" ht="15" customHeight="1" thickBot="1">
      <c r="A8" s="319" t="s">
        <v>56</v>
      </c>
      <c r="B8" s="321"/>
      <c r="C8" s="319" t="s">
        <v>58</v>
      </c>
      <c r="D8" s="320"/>
      <c r="E8" s="320"/>
      <c r="F8" s="320"/>
      <c r="G8" s="320"/>
      <c r="H8" s="320"/>
      <c r="I8" s="320"/>
      <c r="J8" s="320"/>
      <c r="K8" s="320"/>
      <c r="L8" s="321"/>
      <c r="M8" s="319" t="s">
        <v>59</v>
      </c>
      <c r="N8" s="320"/>
      <c r="O8" s="320"/>
      <c r="P8" s="320"/>
      <c r="Q8" s="320"/>
      <c r="R8" s="320"/>
      <c r="S8" s="320"/>
      <c r="T8" s="320"/>
      <c r="U8" s="320"/>
      <c r="V8" s="321"/>
      <c r="W8" s="319" t="s">
        <v>368</v>
      </c>
      <c r="X8" s="320"/>
      <c r="Y8" s="320"/>
      <c r="Z8" s="320"/>
      <c r="AA8" s="320"/>
      <c r="AB8" s="320"/>
      <c r="AC8" s="320"/>
      <c r="AD8" s="320"/>
      <c r="AE8" s="320"/>
      <c r="AF8" s="320"/>
      <c r="AG8" s="320"/>
      <c r="AH8" s="320"/>
      <c r="AI8" s="320"/>
      <c r="AJ8" s="320"/>
      <c r="AK8" s="320"/>
      <c r="AL8" s="320"/>
      <c r="AM8" s="320"/>
      <c r="AN8" s="320"/>
      <c r="AO8" s="320"/>
      <c r="AP8" s="320"/>
      <c r="AQ8" s="320"/>
      <c r="AR8" s="320"/>
      <c r="AS8" s="320"/>
      <c r="AT8" s="320"/>
      <c r="AU8" s="320"/>
      <c r="AV8" s="320"/>
      <c r="AW8" s="320"/>
      <c r="AX8" s="320"/>
      <c r="AY8" s="321"/>
      <c r="AZ8" s="319" t="s">
        <v>61</v>
      </c>
      <c r="BA8" s="320"/>
      <c r="BB8" s="320"/>
      <c r="BC8" s="320"/>
      <c r="BD8" s="320"/>
      <c r="BE8" s="320"/>
      <c r="BF8" s="320"/>
      <c r="BG8" s="320"/>
      <c r="BH8" s="320"/>
      <c r="BI8" s="321"/>
    </row>
    <row r="9" spans="1:61" s="1" customFormat="1" ht="15" customHeight="1">
      <c r="A9" s="533">
        <f>ROW()-8</f>
        <v>1</v>
      </c>
      <c r="B9" s="534"/>
      <c r="C9" s="336"/>
      <c r="D9" s="337"/>
      <c r="E9" s="337"/>
      <c r="F9" s="337"/>
      <c r="G9" s="337"/>
      <c r="H9" s="337"/>
      <c r="I9" s="337"/>
      <c r="J9" s="337"/>
      <c r="K9" s="337"/>
      <c r="L9" s="338"/>
      <c r="M9" s="336"/>
      <c r="N9" s="337"/>
      <c r="O9" s="337"/>
      <c r="P9" s="337"/>
      <c r="Q9" s="337"/>
      <c r="R9" s="337"/>
      <c r="S9" s="337"/>
      <c r="T9" s="337"/>
      <c r="U9" s="337"/>
      <c r="V9" s="338"/>
      <c r="W9" s="336"/>
      <c r="X9" s="337"/>
      <c r="Y9" s="337"/>
      <c r="Z9" s="337"/>
      <c r="AA9" s="337"/>
      <c r="AB9" s="337"/>
      <c r="AC9" s="337"/>
      <c r="AD9" s="337"/>
      <c r="AE9" s="337"/>
      <c r="AF9" s="337"/>
      <c r="AG9" s="337"/>
      <c r="AH9" s="337"/>
      <c r="AI9" s="337"/>
      <c r="AJ9" s="337"/>
      <c r="AK9" s="337"/>
      <c r="AL9" s="337"/>
      <c r="AM9" s="337"/>
      <c r="AN9" s="337"/>
      <c r="AO9" s="337"/>
      <c r="AP9" s="337"/>
      <c r="AQ9" s="337"/>
      <c r="AR9" s="337"/>
      <c r="AS9" s="337"/>
      <c r="AT9" s="337"/>
      <c r="AU9" s="337"/>
      <c r="AV9" s="337"/>
      <c r="AW9" s="337"/>
      <c r="AX9" s="337"/>
      <c r="AY9" s="338"/>
      <c r="AZ9" s="336"/>
      <c r="BA9" s="337"/>
      <c r="BB9" s="337"/>
      <c r="BC9" s="337"/>
      <c r="BD9" s="337"/>
      <c r="BE9" s="337"/>
      <c r="BF9" s="337"/>
      <c r="BG9" s="337"/>
      <c r="BH9" s="337"/>
      <c r="BI9" s="338"/>
    </row>
    <row r="10" spans="1:61" s="1" customFormat="1" ht="14.4">
      <c r="A10" s="346">
        <f>ROW()-8</f>
        <v>2</v>
      </c>
      <c r="B10" s="347"/>
      <c r="C10" s="350"/>
      <c r="D10" s="351"/>
      <c r="E10" s="351"/>
      <c r="F10" s="351"/>
      <c r="G10" s="351"/>
      <c r="H10" s="351"/>
      <c r="I10" s="351"/>
      <c r="J10" s="351"/>
      <c r="K10" s="351"/>
      <c r="L10" s="352"/>
      <c r="M10" s="350"/>
      <c r="N10" s="351"/>
      <c r="O10" s="351"/>
      <c r="P10" s="351"/>
      <c r="Q10" s="351"/>
      <c r="R10" s="351"/>
      <c r="S10" s="351"/>
      <c r="T10" s="351"/>
      <c r="U10" s="351"/>
      <c r="V10" s="352"/>
      <c r="W10" s="350"/>
      <c r="X10" s="351"/>
      <c r="Y10" s="351"/>
      <c r="Z10" s="351"/>
      <c r="AA10" s="351"/>
      <c r="AB10" s="351"/>
      <c r="AC10" s="351"/>
      <c r="AD10" s="351"/>
      <c r="AE10" s="351"/>
      <c r="AF10" s="351"/>
      <c r="AG10" s="351"/>
      <c r="AH10" s="351"/>
      <c r="AI10" s="351"/>
      <c r="AJ10" s="351"/>
      <c r="AK10" s="351"/>
      <c r="AL10" s="351"/>
      <c r="AM10" s="351"/>
      <c r="AN10" s="351"/>
      <c r="AO10" s="351"/>
      <c r="AP10" s="351"/>
      <c r="AQ10" s="351"/>
      <c r="AR10" s="351"/>
      <c r="AS10" s="351"/>
      <c r="AT10" s="351"/>
      <c r="AU10" s="351"/>
      <c r="AV10" s="351"/>
      <c r="AW10" s="351"/>
      <c r="AX10" s="351"/>
      <c r="AY10" s="352"/>
      <c r="AZ10" s="350"/>
      <c r="BA10" s="351"/>
      <c r="BB10" s="351"/>
      <c r="BC10" s="351"/>
      <c r="BD10" s="351"/>
      <c r="BE10" s="351"/>
      <c r="BF10" s="351"/>
      <c r="BG10" s="351"/>
      <c r="BH10" s="351"/>
      <c r="BI10" s="352"/>
    </row>
    <row r="11" spans="1:61" s="1" customFormat="1" ht="14.4">
      <c r="A11" s="346">
        <f t="shared" ref="A11:A40" si="0">ROW()-8</f>
        <v>3</v>
      </c>
      <c r="B11" s="347"/>
      <c r="C11" s="350"/>
      <c r="D11" s="351"/>
      <c r="E11" s="351"/>
      <c r="F11" s="351"/>
      <c r="G11" s="351"/>
      <c r="H11" s="351"/>
      <c r="I11" s="351"/>
      <c r="J11" s="351"/>
      <c r="K11" s="351"/>
      <c r="L11" s="352"/>
      <c r="M11" s="350"/>
      <c r="N11" s="351"/>
      <c r="O11" s="351"/>
      <c r="P11" s="351"/>
      <c r="Q11" s="351"/>
      <c r="R11" s="351"/>
      <c r="S11" s="351"/>
      <c r="T11" s="351"/>
      <c r="U11" s="351"/>
      <c r="V11" s="352"/>
      <c r="W11" s="350"/>
      <c r="X11" s="351"/>
      <c r="Y11" s="351"/>
      <c r="Z11" s="351"/>
      <c r="AA11" s="351"/>
      <c r="AB11" s="351"/>
      <c r="AC11" s="351"/>
      <c r="AD11" s="351"/>
      <c r="AE11" s="351"/>
      <c r="AF11" s="351"/>
      <c r="AG11" s="351"/>
      <c r="AH11" s="351"/>
      <c r="AI11" s="351"/>
      <c r="AJ11" s="351"/>
      <c r="AK11" s="351"/>
      <c r="AL11" s="351"/>
      <c r="AM11" s="351"/>
      <c r="AN11" s="351"/>
      <c r="AO11" s="351"/>
      <c r="AP11" s="351"/>
      <c r="AQ11" s="351"/>
      <c r="AR11" s="351"/>
      <c r="AS11" s="351"/>
      <c r="AT11" s="351"/>
      <c r="AU11" s="351"/>
      <c r="AV11" s="351"/>
      <c r="AW11" s="351"/>
      <c r="AX11" s="351"/>
      <c r="AY11" s="352"/>
      <c r="AZ11" s="350"/>
      <c r="BA11" s="351"/>
      <c r="BB11" s="351"/>
      <c r="BC11" s="351"/>
      <c r="BD11" s="351"/>
      <c r="BE11" s="351"/>
      <c r="BF11" s="351"/>
      <c r="BG11" s="351"/>
      <c r="BH11" s="351"/>
      <c r="BI11" s="352"/>
    </row>
    <row r="12" spans="1:61" s="1" customFormat="1" ht="14.4">
      <c r="A12" s="346">
        <f t="shared" si="0"/>
        <v>4</v>
      </c>
      <c r="B12" s="347"/>
      <c r="C12" s="350"/>
      <c r="D12" s="351"/>
      <c r="E12" s="351"/>
      <c r="F12" s="351"/>
      <c r="G12" s="351"/>
      <c r="H12" s="351"/>
      <c r="I12" s="351"/>
      <c r="J12" s="351"/>
      <c r="K12" s="351"/>
      <c r="L12" s="352"/>
      <c r="M12" s="350"/>
      <c r="N12" s="351"/>
      <c r="O12" s="351"/>
      <c r="P12" s="351"/>
      <c r="Q12" s="351"/>
      <c r="R12" s="351"/>
      <c r="S12" s="351"/>
      <c r="T12" s="351"/>
      <c r="U12" s="351"/>
      <c r="V12" s="352"/>
      <c r="W12" s="350"/>
      <c r="X12" s="351"/>
      <c r="Y12" s="351"/>
      <c r="Z12" s="351"/>
      <c r="AA12" s="351"/>
      <c r="AB12" s="351"/>
      <c r="AC12" s="351"/>
      <c r="AD12" s="351"/>
      <c r="AE12" s="351"/>
      <c r="AF12" s="351"/>
      <c r="AG12" s="351"/>
      <c r="AH12" s="351"/>
      <c r="AI12" s="351"/>
      <c r="AJ12" s="351"/>
      <c r="AK12" s="351"/>
      <c r="AL12" s="351"/>
      <c r="AM12" s="351"/>
      <c r="AN12" s="351"/>
      <c r="AO12" s="351"/>
      <c r="AP12" s="351"/>
      <c r="AQ12" s="351"/>
      <c r="AR12" s="351"/>
      <c r="AS12" s="351"/>
      <c r="AT12" s="351"/>
      <c r="AU12" s="351"/>
      <c r="AV12" s="351"/>
      <c r="AW12" s="351"/>
      <c r="AX12" s="351"/>
      <c r="AY12" s="352"/>
      <c r="AZ12" s="350"/>
      <c r="BA12" s="351"/>
      <c r="BB12" s="351"/>
      <c r="BC12" s="351"/>
      <c r="BD12" s="351"/>
      <c r="BE12" s="351"/>
      <c r="BF12" s="351"/>
      <c r="BG12" s="351"/>
      <c r="BH12" s="351"/>
      <c r="BI12" s="352"/>
    </row>
    <row r="13" spans="1:61" s="1" customFormat="1" ht="14.4">
      <c r="A13" s="346">
        <f t="shared" si="0"/>
        <v>5</v>
      </c>
      <c r="B13" s="347"/>
      <c r="C13" s="350"/>
      <c r="D13" s="351"/>
      <c r="E13" s="351"/>
      <c r="F13" s="351"/>
      <c r="G13" s="351"/>
      <c r="H13" s="351"/>
      <c r="I13" s="351"/>
      <c r="J13" s="351"/>
      <c r="K13" s="351"/>
      <c r="L13" s="352"/>
      <c r="M13" s="350"/>
      <c r="N13" s="351"/>
      <c r="O13" s="351"/>
      <c r="P13" s="351"/>
      <c r="Q13" s="351"/>
      <c r="R13" s="351"/>
      <c r="S13" s="351"/>
      <c r="T13" s="351"/>
      <c r="U13" s="351"/>
      <c r="V13" s="352"/>
      <c r="W13" s="350"/>
      <c r="X13" s="351"/>
      <c r="Y13" s="351"/>
      <c r="Z13" s="351"/>
      <c r="AA13" s="351"/>
      <c r="AB13" s="351"/>
      <c r="AC13" s="351"/>
      <c r="AD13" s="351"/>
      <c r="AE13" s="351"/>
      <c r="AF13" s="351"/>
      <c r="AG13" s="351"/>
      <c r="AH13" s="351"/>
      <c r="AI13" s="351"/>
      <c r="AJ13" s="351"/>
      <c r="AK13" s="351"/>
      <c r="AL13" s="351"/>
      <c r="AM13" s="351"/>
      <c r="AN13" s="351"/>
      <c r="AO13" s="351"/>
      <c r="AP13" s="351"/>
      <c r="AQ13" s="351"/>
      <c r="AR13" s="351"/>
      <c r="AS13" s="351"/>
      <c r="AT13" s="351"/>
      <c r="AU13" s="351"/>
      <c r="AV13" s="351"/>
      <c r="AW13" s="351"/>
      <c r="AX13" s="351"/>
      <c r="AY13" s="352"/>
      <c r="AZ13" s="350"/>
      <c r="BA13" s="351"/>
      <c r="BB13" s="351"/>
      <c r="BC13" s="351"/>
      <c r="BD13" s="351"/>
      <c r="BE13" s="351"/>
      <c r="BF13" s="351"/>
      <c r="BG13" s="351"/>
      <c r="BH13" s="351"/>
      <c r="BI13" s="352"/>
    </row>
    <row r="14" spans="1:61" s="1" customFormat="1" ht="14.4">
      <c r="A14" s="346">
        <f t="shared" si="0"/>
        <v>6</v>
      </c>
      <c r="B14" s="347"/>
      <c r="C14" s="350"/>
      <c r="D14" s="351"/>
      <c r="E14" s="351"/>
      <c r="F14" s="351"/>
      <c r="G14" s="351"/>
      <c r="H14" s="351"/>
      <c r="I14" s="351"/>
      <c r="J14" s="351"/>
      <c r="K14" s="351"/>
      <c r="L14" s="352"/>
      <c r="M14" s="350"/>
      <c r="N14" s="351"/>
      <c r="O14" s="351"/>
      <c r="P14" s="351"/>
      <c r="Q14" s="351"/>
      <c r="R14" s="351"/>
      <c r="S14" s="351"/>
      <c r="T14" s="351"/>
      <c r="U14" s="351"/>
      <c r="V14" s="352"/>
      <c r="W14" s="350"/>
      <c r="X14" s="351"/>
      <c r="Y14" s="351"/>
      <c r="Z14" s="351"/>
      <c r="AA14" s="351"/>
      <c r="AB14" s="351"/>
      <c r="AC14" s="351"/>
      <c r="AD14" s="351"/>
      <c r="AE14" s="351"/>
      <c r="AF14" s="351"/>
      <c r="AG14" s="351"/>
      <c r="AH14" s="351"/>
      <c r="AI14" s="351"/>
      <c r="AJ14" s="351"/>
      <c r="AK14" s="351"/>
      <c r="AL14" s="351"/>
      <c r="AM14" s="351"/>
      <c r="AN14" s="351"/>
      <c r="AO14" s="351"/>
      <c r="AP14" s="351"/>
      <c r="AQ14" s="351"/>
      <c r="AR14" s="351"/>
      <c r="AS14" s="351"/>
      <c r="AT14" s="351"/>
      <c r="AU14" s="351"/>
      <c r="AV14" s="351"/>
      <c r="AW14" s="351"/>
      <c r="AX14" s="351"/>
      <c r="AY14" s="352"/>
      <c r="AZ14" s="350"/>
      <c r="BA14" s="351"/>
      <c r="BB14" s="351"/>
      <c r="BC14" s="351"/>
      <c r="BD14" s="351"/>
      <c r="BE14" s="351"/>
      <c r="BF14" s="351"/>
      <c r="BG14" s="351"/>
      <c r="BH14" s="351"/>
      <c r="BI14" s="352"/>
    </row>
    <row r="15" spans="1:61" s="1" customFormat="1" ht="14.4">
      <c r="A15" s="346">
        <f t="shared" si="0"/>
        <v>7</v>
      </c>
      <c r="B15" s="347"/>
      <c r="C15" s="350"/>
      <c r="D15" s="351"/>
      <c r="E15" s="351"/>
      <c r="F15" s="351"/>
      <c r="G15" s="351"/>
      <c r="H15" s="351"/>
      <c r="I15" s="351"/>
      <c r="J15" s="351"/>
      <c r="K15" s="351"/>
      <c r="L15" s="352"/>
      <c r="M15" s="350"/>
      <c r="N15" s="351"/>
      <c r="O15" s="351"/>
      <c r="P15" s="351"/>
      <c r="Q15" s="351"/>
      <c r="R15" s="351"/>
      <c r="S15" s="351"/>
      <c r="T15" s="351"/>
      <c r="U15" s="351"/>
      <c r="V15" s="352"/>
      <c r="W15" s="350"/>
      <c r="X15" s="351"/>
      <c r="Y15" s="351"/>
      <c r="Z15" s="351"/>
      <c r="AA15" s="351"/>
      <c r="AB15" s="351"/>
      <c r="AC15" s="351"/>
      <c r="AD15" s="351"/>
      <c r="AE15" s="351"/>
      <c r="AF15" s="351"/>
      <c r="AG15" s="351"/>
      <c r="AH15" s="351"/>
      <c r="AI15" s="351"/>
      <c r="AJ15" s="351"/>
      <c r="AK15" s="351"/>
      <c r="AL15" s="351"/>
      <c r="AM15" s="351"/>
      <c r="AN15" s="351"/>
      <c r="AO15" s="351"/>
      <c r="AP15" s="351"/>
      <c r="AQ15" s="351"/>
      <c r="AR15" s="351"/>
      <c r="AS15" s="351"/>
      <c r="AT15" s="351"/>
      <c r="AU15" s="351"/>
      <c r="AV15" s="351"/>
      <c r="AW15" s="351"/>
      <c r="AX15" s="351"/>
      <c r="AY15" s="352"/>
      <c r="AZ15" s="350"/>
      <c r="BA15" s="351"/>
      <c r="BB15" s="351"/>
      <c r="BC15" s="351"/>
      <c r="BD15" s="351"/>
      <c r="BE15" s="351"/>
      <c r="BF15" s="351"/>
      <c r="BG15" s="351"/>
      <c r="BH15" s="351"/>
      <c r="BI15" s="352"/>
    </row>
    <row r="16" spans="1:61" s="1" customFormat="1" ht="14.4">
      <c r="A16" s="346">
        <f t="shared" si="0"/>
        <v>8</v>
      </c>
      <c r="B16" s="347"/>
      <c r="C16" s="350"/>
      <c r="D16" s="351"/>
      <c r="E16" s="351"/>
      <c r="F16" s="351"/>
      <c r="G16" s="351"/>
      <c r="H16" s="351"/>
      <c r="I16" s="351"/>
      <c r="J16" s="351"/>
      <c r="K16" s="351"/>
      <c r="L16" s="352"/>
      <c r="M16" s="350"/>
      <c r="N16" s="351"/>
      <c r="O16" s="351"/>
      <c r="P16" s="351"/>
      <c r="Q16" s="351"/>
      <c r="R16" s="351"/>
      <c r="S16" s="351"/>
      <c r="T16" s="351"/>
      <c r="U16" s="351"/>
      <c r="V16" s="352"/>
      <c r="W16" s="350"/>
      <c r="X16" s="351"/>
      <c r="Y16" s="351"/>
      <c r="Z16" s="351"/>
      <c r="AA16" s="351"/>
      <c r="AB16" s="351"/>
      <c r="AC16" s="351"/>
      <c r="AD16" s="351"/>
      <c r="AE16" s="351"/>
      <c r="AF16" s="351"/>
      <c r="AG16" s="351"/>
      <c r="AH16" s="351"/>
      <c r="AI16" s="351"/>
      <c r="AJ16" s="351"/>
      <c r="AK16" s="351"/>
      <c r="AL16" s="351"/>
      <c r="AM16" s="351"/>
      <c r="AN16" s="351"/>
      <c r="AO16" s="351"/>
      <c r="AP16" s="351"/>
      <c r="AQ16" s="351"/>
      <c r="AR16" s="351"/>
      <c r="AS16" s="351"/>
      <c r="AT16" s="351"/>
      <c r="AU16" s="351"/>
      <c r="AV16" s="351"/>
      <c r="AW16" s="351"/>
      <c r="AX16" s="351"/>
      <c r="AY16" s="352"/>
      <c r="AZ16" s="350"/>
      <c r="BA16" s="351"/>
      <c r="BB16" s="351"/>
      <c r="BC16" s="351"/>
      <c r="BD16" s="351"/>
      <c r="BE16" s="351"/>
      <c r="BF16" s="351"/>
      <c r="BG16" s="351"/>
      <c r="BH16" s="351"/>
      <c r="BI16" s="352"/>
    </row>
    <row r="17" spans="1:61" s="1" customFormat="1" ht="14.4">
      <c r="A17" s="346">
        <f t="shared" si="0"/>
        <v>9</v>
      </c>
      <c r="B17" s="347"/>
      <c r="C17" s="350"/>
      <c r="D17" s="351"/>
      <c r="E17" s="351"/>
      <c r="F17" s="351"/>
      <c r="G17" s="351"/>
      <c r="H17" s="351"/>
      <c r="I17" s="351"/>
      <c r="J17" s="351"/>
      <c r="K17" s="351"/>
      <c r="L17" s="352"/>
      <c r="M17" s="350"/>
      <c r="N17" s="351"/>
      <c r="O17" s="351"/>
      <c r="P17" s="351"/>
      <c r="Q17" s="351"/>
      <c r="R17" s="351"/>
      <c r="S17" s="351"/>
      <c r="T17" s="351"/>
      <c r="U17" s="351"/>
      <c r="V17" s="352"/>
      <c r="W17" s="350"/>
      <c r="X17" s="351"/>
      <c r="Y17" s="351"/>
      <c r="Z17" s="351"/>
      <c r="AA17" s="351"/>
      <c r="AB17" s="351"/>
      <c r="AC17" s="351"/>
      <c r="AD17" s="351"/>
      <c r="AE17" s="351"/>
      <c r="AF17" s="351"/>
      <c r="AG17" s="351"/>
      <c r="AH17" s="351"/>
      <c r="AI17" s="351"/>
      <c r="AJ17" s="351"/>
      <c r="AK17" s="351"/>
      <c r="AL17" s="351"/>
      <c r="AM17" s="351"/>
      <c r="AN17" s="351"/>
      <c r="AO17" s="351"/>
      <c r="AP17" s="351"/>
      <c r="AQ17" s="351"/>
      <c r="AR17" s="351"/>
      <c r="AS17" s="351"/>
      <c r="AT17" s="351"/>
      <c r="AU17" s="351"/>
      <c r="AV17" s="351"/>
      <c r="AW17" s="351"/>
      <c r="AX17" s="351"/>
      <c r="AY17" s="352"/>
      <c r="AZ17" s="350"/>
      <c r="BA17" s="351"/>
      <c r="BB17" s="351"/>
      <c r="BC17" s="351"/>
      <c r="BD17" s="351"/>
      <c r="BE17" s="351"/>
      <c r="BF17" s="351"/>
      <c r="BG17" s="351"/>
      <c r="BH17" s="351"/>
      <c r="BI17" s="352"/>
    </row>
    <row r="18" spans="1:61" s="1" customFormat="1" ht="14.4">
      <c r="A18" s="346">
        <f t="shared" si="0"/>
        <v>10</v>
      </c>
      <c r="B18" s="347"/>
      <c r="C18" s="350"/>
      <c r="D18" s="351"/>
      <c r="E18" s="351"/>
      <c r="F18" s="351"/>
      <c r="G18" s="351"/>
      <c r="H18" s="351"/>
      <c r="I18" s="351"/>
      <c r="J18" s="351"/>
      <c r="K18" s="351"/>
      <c r="L18" s="352"/>
      <c r="M18" s="350"/>
      <c r="N18" s="351"/>
      <c r="O18" s="351"/>
      <c r="P18" s="351"/>
      <c r="Q18" s="351"/>
      <c r="R18" s="351"/>
      <c r="S18" s="351"/>
      <c r="T18" s="351"/>
      <c r="U18" s="351"/>
      <c r="V18" s="352"/>
      <c r="W18" s="350"/>
      <c r="X18" s="351"/>
      <c r="Y18" s="351"/>
      <c r="Z18" s="351"/>
      <c r="AA18" s="351"/>
      <c r="AB18" s="351"/>
      <c r="AC18" s="351"/>
      <c r="AD18" s="351"/>
      <c r="AE18" s="351"/>
      <c r="AF18" s="351"/>
      <c r="AG18" s="351"/>
      <c r="AH18" s="351"/>
      <c r="AI18" s="351"/>
      <c r="AJ18" s="351"/>
      <c r="AK18" s="351"/>
      <c r="AL18" s="351"/>
      <c r="AM18" s="351"/>
      <c r="AN18" s="351"/>
      <c r="AO18" s="351"/>
      <c r="AP18" s="351"/>
      <c r="AQ18" s="351"/>
      <c r="AR18" s="351"/>
      <c r="AS18" s="351"/>
      <c r="AT18" s="351"/>
      <c r="AU18" s="351"/>
      <c r="AV18" s="351"/>
      <c r="AW18" s="351"/>
      <c r="AX18" s="351"/>
      <c r="AY18" s="352"/>
      <c r="AZ18" s="350"/>
      <c r="BA18" s="351"/>
      <c r="BB18" s="351"/>
      <c r="BC18" s="351"/>
      <c r="BD18" s="351"/>
      <c r="BE18" s="351"/>
      <c r="BF18" s="351"/>
      <c r="BG18" s="351"/>
      <c r="BH18" s="351"/>
      <c r="BI18" s="352"/>
    </row>
    <row r="19" spans="1:61" s="1" customFormat="1" ht="14.4">
      <c r="A19" s="346">
        <f t="shared" si="0"/>
        <v>11</v>
      </c>
      <c r="B19" s="347"/>
      <c r="C19" s="350"/>
      <c r="D19" s="351"/>
      <c r="E19" s="351"/>
      <c r="F19" s="351"/>
      <c r="G19" s="351"/>
      <c r="H19" s="351"/>
      <c r="I19" s="351"/>
      <c r="J19" s="351"/>
      <c r="K19" s="351"/>
      <c r="L19" s="352"/>
      <c r="M19" s="350"/>
      <c r="N19" s="351"/>
      <c r="O19" s="351"/>
      <c r="P19" s="351"/>
      <c r="Q19" s="351"/>
      <c r="R19" s="351"/>
      <c r="S19" s="351"/>
      <c r="T19" s="351"/>
      <c r="U19" s="351"/>
      <c r="V19" s="352"/>
      <c r="W19" s="350"/>
      <c r="X19" s="351"/>
      <c r="Y19" s="351"/>
      <c r="Z19" s="351"/>
      <c r="AA19" s="351"/>
      <c r="AB19" s="351"/>
      <c r="AC19" s="351"/>
      <c r="AD19" s="351"/>
      <c r="AE19" s="351"/>
      <c r="AF19" s="351"/>
      <c r="AG19" s="351"/>
      <c r="AH19" s="351"/>
      <c r="AI19" s="351"/>
      <c r="AJ19" s="351"/>
      <c r="AK19" s="351"/>
      <c r="AL19" s="351"/>
      <c r="AM19" s="351"/>
      <c r="AN19" s="351"/>
      <c r="AO19" s="351"/>
      <c r="AP19" s="351"/>
      <c r="AQ19" s="351"/>
      <c r="AR19" s="351"/>
      <c r="AS19" s="351"/>
      <c r="AT19" s="351"/>
      <c r="AU19" s="351"/>
      <c r="AV19" s="351"/>
      <c r="AW19" s="351"/>
      <c r="AX19" s="351"/>
      <c r="AY19" s="352"/>
      <c r="AZ19" s="350"/>
      <c r="BA19" s="351"/>
      <c r="BB19" s="351"/>
      <c r="BC19" s="351"/>
      <c r="BD19" s="351"/>
      <c r="BE19" s="351"/>
      <c r="BF19" s="351"/>
      <c r="BG19" s="351"/>
      <c r="BH19" s="351"/>
      <c r="BI19" s="352"/>
    </row>
    <row r="20" spans="1:61" s="1" customFormat="1" ht="14.4">
      <c r="A20" s="346">
        <f t="shared" si="0"/>
        <v>12</v>
      </c>
      <c r="B20" s="347"/>
      <c r="C20" s="350"/>
      <c r="D20" s="351"/>
      <c r="E20" s="351"/>
      <c r="F20" s="351"/>
      <c r="G20" s="351"/>
      <c r="H20" s="351"/>
      <c r="I20" s="351"/>
      <c r="J20" s="351"/>
      <c r="K20" s="351"/>
      <c r="L20" s="352"/>
      <c r="M20" s="350"/>
      <c r="N20" s="351"/>
      <c r="O20" s="351"/>
      <c r="P20" s="351"/>
      <c r="Q20" s="351"/>
      <c r="R20" s="351"/>
      <c r="S20" s="351"/>
      <c r="T20" s="351"/>
      <c r="U20" s="351"/>
      <c r="V20" s="352"/>
      <c r="W20" s="350"/>
      <c r="X20" s="351"/>
      <c r="Y20" s="351"/>
      <c r="Z20" s="351"/>
      <c r="AA20" s="351"/>
      <c r="AB20" s="351"/>
      <c r="AC20" s="351"/>
      <c r="AD20" s="351"/>
      <c r="AE20" s="351"/>
      <c r="AF20" s="351"/>
      <c r="AG20" s="351"/>
      <c r="AH20" s="351"/>
      <c r="AI20" s="351"/>
      <c r="AJ20" s="351"/>
      <c r="AK20" s="351"/>
      <c r="AL20" s="351"/>
      <c r="AM20" s="351"/>
      <c r="AN20" s="351"/>
      <c r="AO20" s="351"/>
      <c r="AP20" s="351"/>
      <c r="AQ20" s="351"/>
      <c r="AR20" s="351"/>
      <c r="AS20" s="351"/>
      <c r="AT20" s="351"/>
      <c r="AU20" s="351"/>
      <c r="AV20" s="351"/>
      <c r="AW20" s="351"/>
      <c r="AX20" s="351"/>
      <c r="AY20" s="352"/>
      <c r="AZ20" s="350"/>
      <c r="BA20" s="351"/>
      <c r="BB20" s="351"/>
      <c r="BC20" s="351"/>
      <c r="BD20" s="351"/>
      <c r="BE20" s="351"/>
      <c r="BF20" s="351"/>
      <c r="BG20" s="351"/>
      <c r="BH20" s="351"/>
      <c r="BI20" s="352"/>
    </row>
    <row r="21" spans="1:61" s="1" customFormat="1" ht="14.4">
      <c r="A21" s="346">
        <f t="shared" si="0"/>
        <v>13</v>
      </c>
      <c r="B21" s="347"/>
      <c r="C21" s="350"/>
      <c r="D21" s="351"/>
      <c r="E21" s="351"/>
      <c r="F21" s="351"/>
      <c r="G21" s="351"/>
      <c r="H21" s="351"/>
      <c r="I21" s="351"/>
      <c r="J21" s="351"/>
      <c r="K21" s="351"/>
      <c r="L21" s="352"/>
      <c r="M21" s="350"/>
      <c r="N21" s="351"/>
      <c r="O21" s="351"/>
      <c r="P21" s="351"/>
      <c r="Q21" s="351"/>
      <c r="R21" s="351"/>
      <c r="S21" s="351"/>
      <c r="T21" s="351"/>
      <c r="U21" s="351"/>
      <c r="V21" s="352"/>
      <c r="W21" s="350"/>
      <c r="X21" s="351"/>
      <c r="Y21" s="351"/>
      <c r="Z21" s="351"/>
      <c r="AA21" s="351"/>
      <c r="AB21" s="351"/>
      <c r="AC21" s="351"/>
      <c r="AD21" s="351"/>
      <c r="AE21" s="351"/>
      <c r="AF21" s="351"/>
      <c r="AG21" s="351"/>
      <c r="AH21" s="351"/>
      <c r="AI21" s="351"/>
      <c r="AJ21" s="351"/>
      <c r="AK21" s="351"/>
      <c r="AL21" s="351"/>
      <c r="AM21" s="351"/>
      <c r="AN21" s="351"/>
      <c r="AO21" s="351"/>
      <c r="AP21" s="351"/>
      <c r="AQ21" s="351"/>
      <c r="AR21" s="351"/>
      <c r="AS21" s="351"/>
      <c r="AT21" s="351"/>
      <c r="AU21" s="351"/>
      <c r="AV21" s="351"/>
      <c r="AW21" s="351"/>
      <c r="AX21" s="351"/>
      <c r="AY21" s="352"/>
      <c r="AZ21" s="350"/>
      <c r="BA21" s="351"/>
      <c r="BB21" s="351"/>
      <c r="BC21" s="351"/>
      <c r="BD21" s="351"/>
      <c r="BE21" s="351"/>
      <c r="BF21" s="351"/>
      <c r="BG21" s="351"/>
      <c r="BH21" s="351"/>
      <c r="BI21" s="352"/>
    </row>
    <row r="22" spans="1:61" s="1" customFormat="1" ht="14.4">
      <c r="A22" s="346">
        <f t="shared" si="0"/>
        <v>14</v>
      </c>
      <c r="B22" s="347"/>
      <c r="C22" s="350"/>
      <c r="D22" s="351"/>
      <c r="E22" s="351"/>
      <c r="F22" s="351"/>
      <c r="G22" s="351"/>
      <c r="H22" s="351"/>
      <c r="I22" s="351"/>
      <c r="J22" s="351"/>
      <c r="K22" s="351"/>
      <c r="L22" s="352"/>
      <c r="M22" s="350"/>
      <c r="N22" s="351"/>
      <c r="O22" s="351"/>
      <c r="P22" s="351"/>
      <c r="Q22" s="351"/>
      <c r="R22" s="351"/>
      <c r="S22" s="351"/>
      <c r="T22" s="351"/>
      <c r="U22" s="351"/>
      <c r="V22" s="352"/>
      <c r="W22" s="350"/>
      <c r="X22" s="351"/>
      <c r="Y22" s="351"/>
      <c r="Z22" s="351"/>
      <c r="AA22" s="351"/>
      <c r="AB22" s="351"/>
      <c r="AC22" s="351"/>
      <c r="AD22" s="351"/>
      <c r="AE22" s="351"/>
      <c r="AF22" s="351"/>
      <c r="AG22" s="351"/>
      <c r="AH22" s="351"/>
      <c r="AI22" s="351"/>
      <c r="AJ22" s="351"/>
      <c r="AK22" s="351"/>
      <c r="AL22" s="351"/>
      <c r="AM22" s="351"/>
      <c r="AN22" s="351"/>
      <c r="AO22" s="351"/>
      <c r="AP22" s="351"/>
      <c r="AQ22" s="351"/>
      <c r="AR22" s="351"/>
      <c r="AS22" s="351"/>
      <c r="AT22" s="351"/>
      <c r="AU22" s="351"/>
      <c r="AV22" s="351"/>
      <c r="AW22" s="351"/>
      <c r="AX22" s="351"/>
      <c r="AY22" s="352"/>
      <c r="AZ22" s="350"/>
      <c r="BA22" s="351"/>
      <c r="BB22" s="351"/>
      <c r="BC22" s="351"/>
      <c r="BD22" s="351"/>
      <c r="BE22" s="351"/>
      <c r="BF22" s="351"/>
      <c r="BG22" s="351"/>
      <c r="BH22" s="351"/>
      <c r="BI22" s="352"/>
    </row>
    <row r="23" spans="1:61" s="1" customFormat="1" ht="14.4">
      <c r="A23" s="346">
        <f t="shared" si="0"/>
        <v>15</v>
      </c>
      <c r="B23" s="347"/>
      <c r="C23" s="350"/>
      <c r="D23" s="351"/>
      <c r="E23" s="351"/>
      <c r="F23" s="351"/>
      <c r="G23" s="351"/>
      <c r="H23" s="351"/>
      <c r="I23" s="351"/>
      <c r="J23" s="351"/>
      <c r="K23" s="351"/>
      <c r="L23" s="352"/>
      <c r="M23" s="350"/>
      <c r="N23" s="351"/>
      <c r="O23" s="351"/>
      <c r="P23" s="351"/>
      <c r="Q23" s="351"/>
      <c r="R23" s="351"/>
      <c r="S23" s="351"/>
      <c r="T23" s="351"/>
      <c r="U23" s="351"/>
      <c r="V23" s="352"/>
      <c r="W23" s="350"/>
      <c r="X23" s="351"/>
      <c r="Y23" s="351"/>
      <c r="Z23" s="351"/>
      <c r="AA23" s="351"/>
      <c r="AB23" s="351"/>
      <c r="AC23" s="351"/>
      <c r="AD23" s="351"/>
      <c r="AE23" s="351"/>
      <c r="AF23" s="351"/>
      <c r="AG23" s="351"/>
      <c r="AH23" s="351"/>
      <c r="AI23" s="351"/>
      <c r="AJ23" s="351"/>
      <c r="AK23" s="351"/>
      <c r="AL23" s="351"/>
      <c r="AM23" s="351"/>
      <c r="AN23" s="351"/>
      <c r="AO23" s="351"/>
      <c r="AP23" s="351"/>
      <c r="AQ23" s="351"/>
      <c r="AR23" s="351"/>
      <c r="AS23" s="351"/>
      <c r="AT23" s="351"/>
      <c r="AU23" s="351"/>
      <c r="AV23" s="351"/>
      <c r="AW23" s="351"/>
      <c r="AX23" s="351"/>
      <c r="AY23" s="352"/>
      <c r="AZ23" s="350"/>
      <c r="BA23" s="351"/>
      <c r="BB23" s="351"/>
      <c r="BC23" s="351"/>
      <c r="BD23" s="351"/>
      <c r="BE23" s="351"/>
      <c r="BF23" s="351"/>
      <c r="BG23" s="351"/>
      <c r="BH23" s="351"/>
      <c r="BI23" s="352"/>
    </row>
    <row r="24" spans="1:61" s="1" customFormat="1" ht="14.4">
      <c r="A24" s="346">
        <f t="shared" si="0"/>
        <v>16</v>
      </c>
      <c r="B24" s="347"/>
      <c r="C24" s="350"/>
      <c r="D24" s="351"/>
      <c r="E24" s="351"/>
      <c r="F24" s="351"/>
      <c r="G24" s="351"/>
      <c r="H24" s="351"/>
      <c r="I24" s="351"/>
      <c r="J24" s="351"/>
      <c r="K24" s="351"/>
      <c r="L24" s="352"/>
      <c r="M24" s="350"/>
      <c r="N24" s="351"/>
      <c r="O24" s="351"/>
      <c r="P24" s="351"/>
      <c r="Q24" s="351"/>
      <c r="R24" s="351"/>
      <c r="S24" s="351"/>
      <c r="T24" s="351"/>
      <c r="U24" s="351"/>
      <c r="V24" s="352"/>
      <c r="W24" s="350"/>
      <c r="X24" s="351"/>
      <c r="Y24" s="351"/>
      <c r="Z24" s="351"/>
      <c r="AA24" s="351"/>
      <c r="AB24" s="351"/>
      <c r="AC24" s="351"/>
      <c r="AD24" s="351"/>
      <c r="AE24" s="351"/>
      <c r="AF24" s="351"/>
      <c r="AG24" s="351"/>
      <c r="AH24" s="351"/>
      <c r="AI24" s="351"/>
      <c r="AJ24" s="351"/>
      <c r="AK24" s="351"/>
      <c r="AL24" s="351"/>
      <c r="AM24" s="351"/>
      <c r="AN24" s="351"/>
      <c r="AO24" s="351"/>
      <c r="AP24" s="351"/>
      <c r="AQ24" s="351"/>
      <c r="AR24" s="351"/>
      <c r="AS24" s="351"/>
      <c r="AT24" s="351"/>
      <c r="AU24" s="351"/>
      <c r="AV24" s="351"/>
      <c r="AW24" s="351"/>
      <c r="AX24" s="351"/>
      <c r="AY24" s="352"/>
      <c r="AZ24" s="350"/>
      <c r="BA24" s="351"/>
      <c r="BB24" s="351"/>
      <c r="BC24" s="351"/>
      <c r="BD24" s="351"/>
      <c r="BE24" s="351"/>
      <c r="BF24" s="351"/>
      <c r="BG24" s="351"/>
      <c r="BH24" s="351"/>
      <c r="BI24" s="352"/>
    </row>
    <row r="25" spans="1:61" s="1" customFormat="1" ht="14.4">
      <c r="A25" s="346">
        <f t="shared" si="0"/>
        <v>17</v>
      </c>
      <c r="B25" s="347"/>
      <c r="C25" s="350"/>
      <c r="D25" s="351"/>
      <c r="E25" s="351"/>
      <c r="F25" s="351"/>
      <c r="G25" s="351"/>
      <c r="H25" s="351"/>
      <c r="I25" s="351"/>
      <c r="J25" s="351"/>
      <c r="K25" s="351"/>
      <c r="L25" s="352"/>
      <c r="M25" s="350"/>
      <c r="N25" s="351"/>
      <c r="O25" s="351"/>
      <c r="P25" s="351"/>
      <c r="Q25" s="351"/>
      <c r="R25" s="351"/>
      <c r="S25" s="351"/>
      <c r="T25" s="351"/>
      <c r="U25" s="351"/>
      <c r="V25" s="352"/>
      <c r="W25" s="350"/>
      <c r="X25" s="351"/>
      <c r="Y25" s="351"/>
      <c r="Z25" s="351"/>
      <c r="AA25" s="351"/>
      <c r="AB25" s="351"/>
      <c r="AC25" s="351"/>
      <c r="AD25" s="351"/>
      <c r="AE25" s="351"/>
      <c r="AF25" s="351"/>
      <c r="AG25" s="351"/>
      <c r="AH25" s="351"/>
      <c r="AI25" s="351"/>
      <c r="AJ25" s="351"/>
      <c r="AK25" s="351"/>
      <c r="AL25" s="351"/>
      <c r="AM25" s="351"/>
      <c r="AN25" s="351"/>
      <c r="AO25" s="351"/>
      <c r="AP25" s="351"/>
      <c r="AQ25" s="351"/>
      <c r="AR25" s="351"/>
      <c r="AS25" s="351"/>
      <c r="AT25" s="351"/>
      <c r="AU25" s="351"/>
      <c r="AV25" s="351"/>
      <c r="AW25" s="351"/>
      <c r="AX25" s="351"/>
      <c r="AY25" s="352"/>
      <c r="AZ25" s="350"/>
      <c r="BA25" s="351"/>
      <c r="BB25" s="351"/>
      <c r="BC25" s="351"/>
      <c r="BD25" s="351"/>
      <c r="BE25" s="351"/>
      <c r="BF25" s="351"/>
      <c r="BG25" s="351"/>
      <c r="BH25" s="351"/>
      <c r="BI25" s="352"/>
    </row>
    <row r="26" spans="1:61" s="1" customFormat="1" ht="14.4">
      <c r="A26" s="346">
        <f t="shared" si="0"/>
        <v>18</v>
      </c>
      <c r="B26" s="347"/>
      <c r="C26" s="350"/>
      <c r="D26" s="351"/>
      <c r="E26" s="351"/>
      <c r="F26" s="351"/>
      <c r="G26" s="351"/>
      <c r="H26" s="351"/>
      <c r="I26" s="351"/>
      <c r="J26" s="351"/>
      <c r="K26" s="351"/>
      <c r="L26" s="352"/>
      <c r="M26" s="350"/>
      <c r="N26" s="351"/>
      <c r="O26" s="351"/>
      <c r="P26" s="351"/>
      <c r="Q26" s="351"/>
      <c r="R26" s="351"/>
      <c r="S26" s="351"/>
      <c r="T26" s="351"/>
      <c r="U26" s="351"/>
      <c r="V26" s="352"/>
      <c r="W26" s="350"/>
      <c r="X26" s="351"/>
      <c r="Y26" s="351"/>
      <c r="Z26" s="351"/>
      <c r="AA26" s="351"/>
      <c r="AB26" s="351"/>
      <c r="AC26" s="351"/>
      <c r="AD26" s="351"/>
      <c r="AE26" s="351"/>
      <c r="AF26" s="351"/>
      <c r="AG26" s="351"/>
      <c r="AH26" s="351"/>
      <c r="AI26" s="351"/>
      <c r="AJ26" s="351"/>
      <c r="AK26" s="351"/>
      <c r="AL26" s="351"/>
      <c r="AM26" s="351"/>
      <c r="AN26" s="351"/>
      <c r="AO26" s="351"/>
      <c r="AP26" s="351"/>
      <c r="AQ26" s="351"/>
      <c r="AR26" s="351"/>
      <c r="AS26" s="351"/>
      <c r="AT26" s="351"/>
      <c r="AU26" s="351"/>
      <c r="AV26" s="351"/>
      <c r="AW26" s="351"/>
      <c r="AX26" s="351"/>
      <c r="AY26" s="352"/>
      <c r="AZ26" s="350"/>
      <c r="BA26" s="351"/>
      <c r="BB26" s="351"/>
      <c r="BC26" s="351"/>
      <c r="BD26" s="351"/>
      <c r="BE26" s="351"/>
      <c r="BF26" s="351"/>
      <c r="BG26" s="351"/>
      <c r="BH26" s="351"/>
      <c r="BI26" s="352"/>
    </row>
    <row r="27" spans="1:61" s="1" customFormat="1" ht="14.4">
      <c r="A27" s="346">
        <f t="shared" si="0"/>
        <v>19</v>
      </c>
      <c r="B27" s="347"/>
      <c r="C27" s="350"/>
      <c r="D27" s="351"/>
      <c r="E27" s="351"/>
      <c r="F27" s="351"/>
      <c r="G27" s="351"/>
      <c r="H27" s="351"/>
      <c r="I27" s="351"/>
      <c r="J27" s="351"/>
      <c r="K27" s="351"/>
      <c r="L27" s="352"/>
      <c r="M27" s="350"/>
      <c r="N27" s="351"/>
      <c r="O27" s="351"/>
      <c r="P27" s="351"/>
      <c r="Q27" s="351"/>
      <c r="R27" s="351"/>
      <c r="S27" s="351"/>
      <c r="T27" s="351"/>
      <c r="U27" s="351"/>
      <c r="V27" s="352"/>
      <c r="W27" s="350"/>
      <c r="X27" s="351"/>
      <c r="Y27" s="351"/>
      <c r="Z27" s="351"/>
      <c r="AA27" s="351"/>
      <c r="AB27" s="351"/>
      <c r="AC27" s="351"/>
      <c r="AD27" s="351"/>
      <c r="AE27" s="351"/>
      <c r="AF27" s="351"/>
      <c r="AG27" s="351"/>
      <c r="AH27" s="351"/>
      <c r="AI27" s="351"/>
      <c r="AJ27" s="351"/>
      <c r="AK27" s="351"/>
      <c r="AL27" s="351"/>
      <c r="AM27" s="351"/>
      <c r="AN27" s="351"/>
      <c r="AO27" s="351"/>
      <c r="AP27" s="351"/>
      <c r="AQ27" s="351"/>
      <c r="AR27" s="351"/>
      <c r="AS27" s="351"/>
      <c r="AT27" s="351"/>
      <c r="AU27" s="351"/>
      <c r="AV27" s="351"/>
      <c r="AW27" s="351"/>
      <c r="AX27" s="351"/>
      <c r="AY27" s="352"/>
      <c r="AZ27" s="350"/>
      <c r="BA27" s="351"/>
      <c r="BB27" s="351"/>
      <c r="BC27" s="351"/>
      <c r="BD27" s="351"/>
      <c r="BE27" s="351"/>
      <c r="BF27" s="351"/>
      <c r="BG27" s="351"/>
      <c r="BH27" s="351"/>
      <c r="BI27" s="352"/>
    </row>
    <row r="28" spans="1:61" s="1" customFormat="1" ht="14.4">
      <c r="A28" s="346">
        <f t="shared" si="0"/>
        <v>20</v>
      </c>
      <c r="B28" s="347"/>
      <c r="C28" s="350"/>
      <c r="D28" s="351"/>
      <c r="E28" s="351"/>
      <c r="F28" s="351"/>
      <c r="G28" s="351"/>
      <c r="H28" s="351"/>
      <c r="I28" s="351"/>
      <c r="J28" s="351"/>
      <c r="K28" s="351"/>
      <c r="L28" s="352"/>
      <c r="M28" s="350"/>
      <c r="N28" s="351"/>
      <c r="O28" s="351"/>
      <c r="P28" s="351"/>
      <c r="Q28" s="351"/>
      <c r="R28" s="351"/>
      <c r="S28" s="351"/>
      <c r="T28" s="351"/>
      <c r="U28" s="351"/>
      <c r="V28" s="352"/>
      <c r="W28" s="350"/>
      <c r="X28" s="351"/>
      <c r="Y28" s="351"/>
      <c r="Z28" s="351"/>
      <c r="AA28" s="351"/>
      <c r="AB28" s="351"/>
      <c r="AC28" s="351"/>
      <c r="AD28" s="351"/>
      <c r="AE28" s="351"/>
      <c r="AF28" s="351"/>
      <c r="AG28" s="351"/>
      <c r="AH28" s="351"/>
      <c r="AI28" s="351"/>
      <c r="AJ28" s="351"/>
      <c r="AK28" s="351"/>
      <c r="AL28" s="351"/>
      <c r="AM28" s="351"/>
      <c r="AN28" s="351"/>
      <c r="AO28" s="351"/>
      <c r="AP28" s="351"/>
      <c r="AQ28" s="351"/>
      <c r="AR28" s="351"/>
      <c r="AS28" s="351"/>
      <c r="AT28" s="351"/>
      <c r="AU28" s="351"/>
      <c r="AV28" s="351"/>
      <c r="AW28" s="351"/>
      <c r="AX28" s="351"/>
      <c r="AY28" s="352"/>
      <c r="AZ28" s="350"/>
      <c r="BA28" s="351"/>
      <c r="BB28" s="351"/>
      <c r="BC28" s="351"/>
      <c r="BD28" s="351"/>
      <c r="BE28" s="351"/>
      <c r="BF28" s="351"/>
      <c r="BG28" s="351"/>
      <c r="BH28" s="351"/>
      <c r="BI28" s="352"/>
    </row>
    <row r="29" spans="1:61" s="1" customFormat="1" ht="14.4">
      <c r="A29" s="346">
        <f t="shared" si="0"/>
        <v>21</v>
      </c>
      <c r="B29" s="347"/>
      <c r="C29" s="350"/>
      <c r="D29" s="351"/>
      <c r="E29" s="351"/>
      <c r="F29" s="351"/>
      <c r="G29" s="351"/>
      <c r="H29" s="351"/>
      <c r="I29" s="351"/>
      <c r="J29" s="351"/>
      <c r="K29" s="351"/>
      <c r="L29" s="352"/>
      <c r="M29" s="350"/>
      <c r="N29" s="351"/>
      <c r="O29" s="351"/>
      <c r="P29" s="351"/>
      <c r="Q29" s="351"/>
      <c r="R29" s="351"/>
      <c r="S29" s="351"/>
      <c r="T29" s="351"/>
      <c r="U29" s="351"/>
      <c r="V29" s="352"/>
      <c r="W29" s="350"/>
      <c r="X29" s="351"/>
      <c r="Y29" s="351"/>
      <c r="Z29" s="351"/>
      <c r="AA29" s="351"/>
      <c r="AB29" s="351"/>
      <c r="AC29" s="351"/>
      <c r="AD29" s="351"/>
      <c r="AE29" s="351"/>
      <c r="AF29" s="351"/>
      <c r="AG29" s="351"/>
      <c r="AH29" s="351"/>
      <c r="AI29" s="351"/>
      <c r="AJ29" s="351"/>
      <c r="AK29" s="351"/>
      <c r="AL29" s="351"/>
      <c r="AM29" s="351"/>
      <c r="AN29" s="351"/>
      <c r="AO29" s="351"/>
      <c r="AP29" s="351"/>
      <c r="AQ29" s="351"/>
      <c r="AR29" s="351"/>
      <c r="AS29" s="351"/>
      <c r="AT29" s="351"/>
      <c r="AU29" s="351"/>
      <c r="AV29" s="351"/>
      <c r="AW29" s="351"/>
      <c r="AX29" s="351"/>
      <c r="AY29" s="352"/>
      <c r="AZ29" s="350"/>
      <c r="BA29" s="351"/>
      <c r="BB29" s="351"/>
      <c r="BC29" s="351"/>
      <c r="BD29" s="351"/>
      <c r="BE29" s="351"/>
      <c r="BF29" s="351"/>
      <c r="BG29" s="351"/>
      <c r="BH29" s="351"/>
      <c r="BI29" s="352"/>
    </row>
    <row r="30" spans="1:61" s="1" customFormat="1" ht="14.4">
      <c r="A30" s="346">
        <f t="shared" si="0"/>
        <v>22</v>
      </c>
      <c r="B30" s="347"/>
      <c r="C30" s="350"/>
      <c r="D30" s="351"/>
      <c r="E30" s="351"/>
      <c r="F30" s="351"/>
      <c r="G30" s="351"/>
      <c r="H30" s="351"/>
      <c r="I30" s="351"/>
      <c r="J30" s="351"/>
      <c r="K30" s="351"/>
      <c r="L30" s="352"/>
      <c r="M30" s="350"/>
      <c r="N30" s="351"/>
      <c r="O30" s="351"/>
      <c r="P30" s="351"/>
      <c r="Q30" s="351"/>
      <c r="R30" s="351"/>
      <c r="S30" s="351"/>
      <c r="T30" s="351"/>
      <c r="U30" s="351"/>
      <c r="V30" s="352"/>
      <c r="W30" s="350"/>
      <c r="X30" s="351"/>
      <c r="Y30" s="351"/>
      <c r="Z30" s="351"/>
      <c r="AA30" s="351"/>
      <c r="AB30" s="351"/>
      <c r="AC30" s="351"/>
      <c r="AD30" s="351"/>
      <c r="AE30" s="351"/>
      <c r="AF30" s="351"/>
      <c r="AG30" s="351"/>
      <c r="AH30" s="351"/>
      <c r="AI30" s="351"/>
      <c r="AJ30" s="351"/>
      <c r="AK30" s="351"/>
      <c r="AL30" s="351"/>
      <c r="AM30" s="351"/>
      <c r="AN30" s="351"/>
      <c r="AO30" s="351"/>
      <c r="AP30" s="351"/>
      <c r="AQ30" s="351"/>
      <c r="AR30" s="351"/>
      <c r="AS30" s="351"/>
      <c r="AT30" s="351"/>
      <c r="AU30" s="351"/>
      <c r="AV30" s="351"/>
      <c r="AW30" s="351"/>
      <c r="AX30" s="351"/>
      <c r="AY30" s="352"/>
      <c r="AZ30" s="350"/>
      <c r="BA30" s="351"/>
      <c r="BB30" s="351"/>
      <c r="BC30" s="351"/>
      <c r="BD30" s="351"/>
      <c r="BE30" s="351"/>
      <c r="BF30" s="351"/>
      <c r="BG30" s="351"/>
      <c r="BH30" s="351"/>
      <c r="BI30" s="352"/>
    </row>
    <row r="31" spans="1:61" s="1" customFormat="1" ht="14.4">
      <c r="A31" s="346">
        <f t="shared" si="0"/>
        <v>23</v>
      </c>
      <c r="B31" s="347"/>
      <c r="C31" s="350"/>
      <c r="D31" s="351"/>
      <c r="E31" s="351"/>
      <c r="F31" s="351"/>
      <c r="G31" s="351"/>
      <c r="H31" s="351"/>
      <c r="I31" s="351"/>
      <c r="J31" s="351"/>
      <c r="K31" s="351"/>
      <c r="L31" s="352"/>
      <c r="M31" s="350"/>
      <c r="N31" s="351"/>
      <c r="O31" s="351"/>
      <c r="P31" s="351"/>
      <c r="Q31" s="351"/>
      <c r="R31" s="351"/>
      <c r="S31" s="351"/>
      <c r="T31" s="351"/>
      <c r="U31" s="351"/>
      <c r="V31" s="352"/>
      <c r="W31" s="350"/>
      <c r="X31" s="351"/>
      <c r="Y31" s="351"/>
      <c r="Z31" s="351"/>
      <c r="AA31" s="351"/>
      <c r="AB31" s="351"/>
      <c r="AC31" s="351"/>
      <c r="AD31" s="351"/>
      <c r="AE31" s="351"/>
      <c r="AF31" s="351"/>
      <c r="AG31" s="351"/>
      <c r="AH31" s="351"/>
      <c r="AI31" s="351"/>
      <c r="AJ31" s="351"/>
      <c r="AK31" s="351"/>
      <c r="AL31" s="351"/>
      <c r="AM31" s="351"/>
      <c r="AN31" s="351"/>
      <c r="AO31" s="351"/>
      <c r="AP31" s="351"/>
      <c r="AQ31" s="351"/>
      <c r="AR31" s="351"/>
      <c r="AS31" s="351"/>
      <c r="AT31" s="351"/>
      <c r="AU31" s="351"/>
      <c r="AV31" s="351"/>
      <c r="AW31" s="351"/>
      <c r="AX31" s="351"/>
      <c r="AY31" s="352"/>
      <c r="AZ31" s="350"/>
      <c r="BA31" s="351"/>
      <c r="BB31" s="351"/>
      <c r="BC31" s="351"/>
      <c r="BD31" s="351"/>
      <c r="BE31" s="351"/>
      <c r="BF31" s="351"/>
      <c r="BG31" s="351"/>
      <c r="BH31" s="351"/>
      <c r="BI31" s="352"/>
    </row>
    <row r="32" spans="1:61" s="1" customFormat="1" ht="14.4">
      <c r="A32" s="346">
        <f t="shared" si="0"/>
        <v>24</v>
      </c>
      <c r="B32" s="347"/>
      <c r="C32" s="350"/>
      <c r="D32" s="351"/>
      <c r="E32" s="351"/>
      <c r="F32" s="351"/>
      <c r="G32" s="351"/>
      <c r="H32" s="351"/>
      <c r="I32" s="351"/>
      <c r="J32" s="351"/>
      <c r="K32" s="351"/>
      <c r="L32" s="352"/>
      <c r="M32" s="350"/>
      <c r="N32" s="351"/>
      <c r="O32" s="351"/>
      <c r="P32" s="351"/>
      <c r="Q32" s="351"/>
      <c r="R32" s="351"/>
      <c r="S32" s="351"/>
      <c r="T32" s="351"/>
      <c r="U32" s="351"/>
      <c r="V32" s="352"/>
      <c r="W32" s="350"/>
      <c r="X32" s="351"/>
      <c r="Y32" s="351"/>
      <c r="Z32" s="351"/>
      <c r="AA32" s="351"/>
      <c r="AB32" s="351"/>
      <c r="AC32" s="351"/>
      <c r="AD32" s="351"/>
      <c r="AE32" s="351"/>
      <c r="AF32" s="351"/>
      <c r="AG32" s="351"/>
      <c r="AH32" s="351"/>
      <c r="AI32" s="351"/>
      <c r="AJ32" s="351"/>
      <c r="AK32" s="351"/>
      <c r="AL32" s="351"/>
      <c r="AM32" s="351"/>
      <c r="AN32" s="351"/>
      <c r="AO32" s="351"/>
      <c r="AP32" s="351"/>
      <c r="AQ32" s="351"/>
      <c r="AR32" s="351"/>
      <c r="AS32" s="351"/>
      <c r="AT32" s="351"/>
      <c r="AU32" s="351"/>
      <c r="AV32" s="351"/>
      <c r="AW32" s="351"/>
      <c r="AX32" s="351"/>
      <c r="AY32" s="352"/>
      <c r="AZ32" s="350"/>
      <c r="BA32" s="351"/>
      <c r="BB32" s="351"/>
      <c r="BC32" s="351"/>
      <c r="BD32" s="351"/>
      <c r="BE32" s="351"/>
      <c r="BF32" s="351"/>
      <c r="BG32" s="351"/>
      <c r="BH32" s="351"/>
      <c r="BI32" s="352"/>
    </row>
    <row r="33" spans="1:61" s="1" customFormat="1" ht="14.4">
      <c r="A33" s="346">
        <f t="shared" si="0"/>
        <v>25</v>
      </c>
      <c r="B33" s="347"/>
      <c r="C33" s="350"/>
      <c r="D33" s="351"/>
      <c r="E33" s="351"/>
      <c r="F33" s="351"/>
      <c r="G33" s="351"/>
      <c r="H33" s="351"/>
      <c r="I33" s="351"/>
      <c r="J33" s="351"/>
      <c r="K33" s="351"/>
      <c r="L33" s="352"/>
      <c r="M33" s="350"/>
      <c r="N33" s="351"/>
      <c r="O33" s="351"/>
      <c r="P33" s="351"/>
      <c r="Q33" s="351"/>
      <c r="R33" s="351"/>
      <c r="S33" s="351"/>
      <c r="T33" s="351"/>
      <c r="U33" s="351"/>
      <c r="V33" s="352"/>
      <c r="W33" s="350"/>
      <c r="X33" s="351"/>
      <c r="Y33" s="351"/>
      <c r="Z33" s="351"/>
      <c r="AA33" s="351"/>
      <c r="AB33" s="351"/>
      <c r="AC33" s="351"/>
      <c r="AD33" s="351"/>
      <c r="AE33" s="351"/>
      <c r="AF33" s="351"/>
      <c r="AG33" s="351"/>
      <c r="AH33" s="351"/>
      <c r="AI33" s="351"/>
      <c r="AJ33" s="351"/>
      <c r="AK33" s="351"/>
      <c r="AL33" s="351"/>
      <c r="AM33" s="351"/>
      <c r="AN33" s="351"/>
      <c r="AO33" s="351"/>
      <c r="AP33" s="351"/>
      <c r="AQ33" s="351"/>
      <c r="AR33" s="351"/>
      <c r="AS33" s="351"/>
      <c r="AT33" s="351"/>
      <c r="AU33" s="351"/>
      <c r="AV33" s="351"/>
      <c r="AW33" s="351"/>
      <c r="AX33" s="351"/>
      <c r="AY33" s="352"/>
      <c r="AZ33" s="350"/>
      <c r="BA33" s="351"/>
      <c r="BB33" s="351"/>
      <c r="BC33" s="351"/>
      <c r="BD33" s="351"/>
      <c r="BE33" s="351"/>
      <c r="BF33" s="351"/>
      <c r="BG33" s="351"/>
      <c r="BH33" s="351"/>
      <c r="BI33" s="352"/>
    </row>
    <row r="34" spans="1:61" s="1" customFormat="1" ht="14.4">
      <c r="A34" s="346">
        <f t="shared" si="0"/>
        <v>26</v>
      </c>
      <c r="B34" s="347"/>
      <c r="C34" s="350"/>
      <c r="D34" s="351"/>
      <c r="E34" s="351"/>
      <c r="F34" s="351"/>
      <c r="G34" s="351"/>
      <c r="H34" s="351"/>
      <c r="I34" s="351"/>
      <c r="J34" s="351"/>
      <c r="K34" s="351"/>
      <c r="L34" s="352"/>
      <c r="M34" s="350"/>
      <c r="N34" s="351"/>
      <c r="O34" s="351"/>
      <c r="P34" s="351"/>
      <c r="Q34" s="351"/>
      <c r="R34" s="351"/>
      <c r="S34" s="351"/>
      <c r="T34" s="351"/>
      <c r="U34" s="351"/>
      <c r="V34" s="352"/>
      <c r="W34" s="350"/>
      <c r="X34" s="351"/>
      <c r="Y34" s="351"/>
      <c r="Z34" s="351"/>
      <c r="AA34" s="351"/>
      <c r="AB34" s="351"/>
      <c r="AC34" s="351"/>
      <c r="AD34" s="351"/>
      <c r="AE34" s="351"/>
      <c r="AF34" s="351"/>
      <c r="AG34" s="351"/>
      <c r="AH34" s="351"/>
      <c r="AI34" s="351"/>
      <c r="AJ34" s="351"/>
      <c r="AK34" s="351"/>
      <c r="AL34" s="351"/>
      <c r="AM34" s="351"/>
      <c r="AN34" s="351"/>
      <c r="AO34" s="351"/>
      <c r="AP34" s="351"/>
      <c r="AQ34" s="351"/>
      <c r="AR34" s="351"/>
      <c r="AS34" s="351"/>
      <c r="AT34" s="351"/>
      <c r="AU34" s="351"/>
      <c r="AV34" s="351"/>
      <c r="AW34" s="351"/>
      <c r="AX34" s="351"/>
      <c r="AY34" s="352"/>
      <c r="AZ34" s="350"/>
      <c r="BA34" s="351"/>
      <c r="BB34" s="351"/>
      <c r="BC34" s="351"/>
      <c r="BD34" s="351"/>
      <c r="BE34" s="351"/>
      <c r="BF34" s="351"/>
      <c r="BG34" s="351"/>
      <c r="BH34" s="351"/>
      <c r="BI34" s="352"/>
    </row>
    <row r="35" spans="1:61" s="1" customFormat="1" ht="14.4">
      <c r="A35" s="346">
        <f t="shared" si="0"/>
        <v>27</v>
      </c>
      <c r="B35" s="347"/>
      <c r="C35" s="350"/>
      <c r="D35" s="351"/>
      <c r="E35" s="351"/>
      <c r="F35" s="351"/>
      <c r="G35" s="351"/>
      <c r="H35" s="351"/>
      <c r="I35" s="351"/>
      <c r="J35" s="351"/>
      <c r="K35" s="351"/>
      <c r="L35" s="352"/>
      <c r="M35" s="350"/>
      <c r="N35" s="351"/>
      <c r="O35" s="351"/>
      <c r="P35" s="351"/>
      <c r="Q35" s="351"/>
      <c r="R35" s="351"/>
      <c r="S35" s="351"/>
      <c r="T35" s="351"/>
      <c r="U35" s="351"/>
      <c r="V35" s="352"/>
      <c r="W35" s="350"/>
      <c r="X35" s="351"/>
      <c r="Y35" s="351"/>
      <c r="Z35" s="351"/>
      <c r="AA35" s="351"/>
      <c r="AB35" s="351"/>
      <c r="AC35" s="351"/>
      <c r="AD35" s="351"/>
      <c r="AE35" s="351"/>
      <c r="AF35" s="351"/>
      <c r="AG35" s="351"/>
      <c r="AH35" s="351"/>
      <c r="AI35" s="351"/>
      <c r="AJ35" s="351"/>
      <c r="AK35" s="351"/>
      <c r="AL35" s="351"/>
      <c r="AM35" s="351"/>
      <c r="AN35" s="351"/>
      <c r="AO35" s="351"/>
      <c r="AP35" s="351"/>
      <c r="AQ35" s="351"/>
      <c r="AR35" s="351"/>
      <c r="AS35" s="351"/>
      <c r="AT35" s="351"/>
      <c r="AU35" s="351"/>
      <c r="AV35" s="351"/>
      <c r="AW35" s="351"/>
      <c r="AX35" s="351"/>
      <c r="AY35" s="352"/>
      <c r="AZ35" s="350"/>
      <c r="BA35" s="351"/>
      <c r="BB35" s="351"/>
      <c r="BC35" s="351"/>
      <c r="BD35" s="351"/>
      <c r="BE35" s="351"/>
      <c r="BF35" s="351"/>
      <c r="BG35" s="351"/>
      <c r="BH35" s="351"/>
      <c r="BI35" s="352"/>
    </row>
    <row r="36" spans="1:61" s="1" customFormat="1" ht="14.4">
      <c r="A36" s="346">
        <f t="shared" si="0"/>
        <v>28</v>
      </c>
      <c r="B36" s="347"/>
      <c r="C36" s="350"/>
      <c r="D36" s="351"/>
      <c r="E36" s="351"/>
      <c r="F36" s="351"/>
      <c r="G36" s="351"/>
      <c r="H36" s="351"/>
      <c r="I36" s="351"/>
      <c r="J36" s="351"/>
      <c r="K36" s="351"/>
      <c r="L36" s="352"/>
      <c r="M36" s="350"/>
      <c r="N36" s="351"/>
      <c r="O36" s="351"/>
      <c r="P36" s="351"/>
      <c r="Q36" s="351"/>
      <c r="R36" s="351"/>
      <c r="S36" s="351"/>
      <c r="T36" s="351"/>
      <c r="U36" s="351"/>
      <c r="V36" s="352"/>
      <c r="W36" s="350"/>
      <c r="X36" s="351"/>
      <c r="Y36" s="351"/>
      <c r="Z36" s="351"/>
      <c r="AA36" s="351"/>
      <c r="AB36" s="351"/>
      <c r="AC36" s="351"/>
      <c r="AD36" s="351"/>
      <c r="AE36" s="351"/>
      <c r="AF36" s="351"/>
      <c r="AG36" s="351"/>
      <c r="AH36" s="351"/>
      <c r="AI36" s="351"/>
      <c r="AJ36" s="351"/>
      <c r="AK36" s="351"/>
      <c r="AL36" s="351"/>
      <c r="AM36" s="351"/>
      <c r="AN36" s="351"/>
      <c r="AO36" s="351"/>
      <c r="AP36" s="351"/>
      <c r="AQ36" s="351"/>
      <c r="AR36" s="351"/>
      <c r="AS36" s="351"/>
      <c r="AT36" s="351"/>
      <c r="AU36" s="351"/>
      <c r="AV36" s="351"/>
      <c r="AW36" s="351"/>
      <c r="AX36" s="351"/>
      <c r="AY36" s="352"/>
      <c r="AZ36" s="350"/>
      <c r="BA36" s="351"/>
      <c r="BB36" s="351"/>
      <c r="BC36" s="351"/>
      <c r="BD36" s="351"/>
      <c r="BE36" s="351"/>
      <c r="BF36" s="351"/>
      <c r="BG36" s="351"/>
      <c r="BH36" s="351"/>
      <c r="BI36" s="352"/>
    </row>
    <row r="37" spans="1:61" s="1" customFormat="1" ht="14.4">
      <c r="A37" s="346">
        <f t="shared" si="0"/>
        <v>29</v>
      </c>
      <c r="B37" s="347"/>
      <c r="C37" s="350"/>
      <c r="D37" s="351"/>
      <c r="E37" s="351"/>
      <c r="F37" s="351"/>
      <c r="G37" s="351"/>
      <c r="H37" s="351"/>
      <c r="I37" s="351"/>
      <c r="J37" s="351"/>
      <c r="K37" s="351"/>
      <c r="L37" s="352"/>
      <c r="M37" s="350"/>
      <c r="N37" s="351"/>
      <c r="O37" s="351"/>
      <c r="P37" s="351"/>
      <c r="Q37" s="351"/>
      <c r="R37" s="351"/>
      <c r="S37" s="351"/>
      <c r="T37" s="351"/>
      <c r="U37" s="351"/>
      <c r="V37" s="352"/>
      <c r="W37" s="350"/>
      <c r="X37" s="351"/>
      <c r="Y37" s="351"/>
      <c r="Z37" s="351"/>
      <c r="AA37" s="351"/>
      <c r="AB37" s="351"/>
      <c r="AC37" s="351"/>
      <c r="AD37" s="351"/>
      <c r="AE37" s="351"/>
      <c r="AF37" s="351"/>
      <c r="AG37" s="351"/>
      <c r="AH37" s="351"/>
      <c r="AI37" s="351"/>
      <c r="AJ37" s="351"/>
      <c r="AK37" s="351"/>
      <c r="AL37" s="351"/>
      <c r="AM37" s="351"/>
      <c r="AN37" s="351"/>
      <c r="AO37" s="351"/>
      <c r="AP37" s="351"/>
      <c r="AQ37" s="351"/>
      <c r="AR37" s="351"/>
      <c r="AS37" s="351"/>
      <c r="AT37" s="351"/>
      <c r="AU37" s="351"/>
      <c r="AV37" s="351"/>
      <c r="AW37" s="351"/>
      <c r="AX37" s="351"/>
      <c r="AY37" s="352"/>
      <c r="AZ37" s="350"/>
      <c r="BA37" s="351"/>
      <c r="BB37" s="351"/>
      <c r="BC37" s="351"/>
      <c r="BD37" s="351"/>
      <c r="BE37" s="351"/>
      <c r="BF37" s="351"/>
      <c r="BG37" s="351"/>
      <c r="BH37" s="351"/>
      <c r="BI37" s="352"/>
    </row>
    <row r="38" spans="1:61" s="1" customFormat="1" ht="14.4">
      <c r="A38" s="346">
        <f t="shared" si="0"/>
        <v>30</v>
      </c>
      <c r="B38" s="347"/>
      <c r="C38" s="350"/>
      <c r="D38" s="351"/>
      <c r="E38" s="351"/>
      <c r="F38" s="351"/>
      <c r="G38" s="351"/>
      <c r="H38" s="351"/>
      <c r="I38" s="351"/>
      <c r="J38" s="351"/>
      <c r="K38" s="351"/>
      <c r="L38" s="352"/>
      <c r="M38" s="350"/>
      <c r="N38" s="351"/>
      <c r="O38" s="351"/>
      <c r="P38" s="351"/>
      <c r="Q38" s="351"/>
      <c r="R38" s="351"/>
      <c r="S38" s="351"/>
      <c r="T38" s="351"/>
      <c r="U38" s="351"/>
      <c r="V38" s="352"/>
      <c r="W38" s="350"/>
      <c r="X38" s="351"/>
      <c r="Y38" s="351"/>
      <c r="Z38" s="351"/>
      <c r="AA38" s="351"/>
      <c r="AB38" s="351"/>
      <c r="AC38" s="351"/>
      <c r="AD38" s="351"/>
      <c r="AE38" s="351"/>
      <c r="AF38" s="351"/>
      <c r="AG38" s="351"/>
      <c r="AH38" s="351"/>
      <c r="AI38" s="351"/>
      <c r="AJ38" s="351"/>
      <c r="AK38" s="351"/>
      <c r="AL38" s="351"/>
      <c r="AM38" s="351"/>
      <c r="AN38" s="351"/>
      <c r="AO38" s="351"/>
      <c r="AP38" s="351"/>
      <c r="AQ38" s="351"/>
      <c r="AR38" s="351"/>
      <c r="AS38" s="351"/>
      <c r="AT38" s="351"/>
      <c r="AU38" s="351"/>
      <c r="AV38" s="351"/>
      <c r="AW38" s="351"/>
      <c r="AX38" s="351"/>
      <c r="AY38" s="352"/>
      <c r="AZ38" s="350"/>
      <c r="BA38" s="351"/>
      <c r="BB38" s="351"/>
      <c r="BC38" s="351"/>
      <c r="BD38" s="351"/>
      <c r="BE38" s="351"/>
      <c r="BF38" s="351"/>
      <c r="BG38" s="351"/>
      <c r="BH38" s="351"/>
      <c r="BI38" s="352"/>
    </row>
    <row r="39" spans="1:61" s="1" customFormat="1" ht="14.4">
      <c r="A39" s="346">
        <f t="shared" si="0"/>
        <v>31</v>
      </c>
      <c r="B39" s="347"/>
      <c r="C39" s="350"/>
      <c r="D39" s="351"/>
      <c r="E39" s="351"/>
      <c r="F39" s="351"/>
      <c r="G39" s="351"/>
      <c r="H39" s="351"/>
      <c r="I39" s="351"/>
      <c r="J39" s="351"/>
      <c r="K39" s="351"/>
      <c r="L39" s="352"/>
      <c r="M39" s="350"/>
      <c r="N39" s="351"/>
      <c r="O39" s="351"/>
      <c r="P39" s="351"/>
      <c r="Q39" s="351"/>
      <c r="R39" s="351"/>
      <c r="S39" s="351"/>
      <c r="T39" s="351"/>
      <c r="U39" s="351"/>
      <c r="V39" s="352"/>
      <c r="W39" s="350"/>
      <c r="X39" s="351"/>
      <c r="Y39" s="351"/>
      <c r="Z39" s="351"/>
      <c r="AA39" s="351"/>
      <c r="AB39" s="351"/>
      <c r="AC39" s="351"/>
      <c r="AD39" s="351"/>
      <c r="AE39" s="351"/>
      <c r="AF39" s="351"/>
      <c r="AG39" s="351"/>
      <c r="AH39" s="351"/>
      <c r="AI39" s="351"/>
      <c r="AJ39" s="351"/>
      <c r="AK39" s="351"/>
      <c r="AL39" s="351"/>
      <c r="AM39" s="351"/>
      <c r="AN39" s="351"/>
      <c r="AO39" s="351"/>
      <c r="AP39" s="351"/>
      <c r="AQ39" s="351"/>
      <c r="AR39" s="351"/>
      <c r="AS39" s="351"/>
      <c r="AT39" s="351"/>
      <c r="AU39" s="351"/>
      <c r="AV39" s="351"/>
      <c r="AW39" s="351"/>
      <c r="AX39" s="351"/>
      <c r="AY39" s="352"/>
      <c r="AZ39" s="350"/>
      <c r="BA39" s="351"/>
      <c r="BB39" s="351"/>
      <c r="BC39" s="351"/>
      <c r="BD39" s="351"/>
      <c r="BE39" s="351"/>
      <c r="BF39" s="351"/>
      <c r="BG39" s="351"/>
      <c r="BH39" s="351"/>
      <c r="BI39" s="352"/>
    </row>
    <row r="40" spans="1:61" s="1" customFormat="1" thickBot="1">
      <c r="A40" s="536">
        <f t="shared" si="0"/>
        <v>32</v>
      </c>
      <c r="B40" s="537"/>
      <c r="C40" s="353"/>
      <c r="D40" s="354"/>
      <c r="E40" s="354"/>
      <c r="F40" s="354"/>
      <c r="G40" s="354"/>
      <c r="H40" s="354"/>
      <c r="I40" s="354"/>
      <c r="J40" s="354"/>
      <c r="K40" s="354"/>
      <c r="L40" s="355"/>
      <c r="M40" s="353"/>
      <c r="N40" s="354"/>
      <c r="O40" s="354"/>
      <c r="P40" s="354"/>
      <c r="Q40" s="354"/>
      <c r="R40" s="354"/>
      <c r="S40" s="354"/>
      <c r="T40" s="354"/>
      <c r="U40" s="354"/>
      <c r="V40" s="355"/>
      <c r="W40" s="353"/>
      <c r="X40" s="354"/>
      <c r="Y40" s="354"/>
      <c r="Z40" s="354"/>
      <c r="AA40" s="354"/>
      <c r="AB40" s="354"/>
      <c r="AC40" s="354"/>
      <c r="AD40" s="354"/>
      <c r="AE40" s="354"/>
      <c r="AF40" s="354"/>
      <c r="AG40" s="354"/>
      <c r="AH40" s="354"/>
      <c r="AI40" s="354"/>
      <c r="AJ40" s="354"/>
      <c r="AK40" s="354"/>
      <c r="AL40" s="354"/>
      <c r="AM40" s="354"/>
      <c r="AN40" s="354"/>
      <c r="AO40" s="354"/>
      <c r="AP40" s="354"/>
      <c r="AQ40" s="354"/>
      <c r="AR40" s="354"/>
      <c r="AS40" s="354"/>
      <c r="AT40" s="354"/>
      <c r="AU40" s="354"/>
      <c r="AV40" s="354"/>
      <c r="AW40" s="354"/>
      <c r="AX40" s="354"/>
      <c r="AY40" s="355"/>
      <c r="AZ40" s="353"/>
      <c r="BA40" s="354"/>
      <c r="BB40" s="354"/>
      <c r="BC40" s="354"/>
      <c r="BD40" s="354"/>
      <c r="BE40" s="354"/>
      <c r="BF40" s="354"/>
      <c r="BG40" s="354"/>
      <c r="BH40" s="354"/>
      <c r="BI40" s="355"/>
    </row>
  </sheetData>
  <mergeCells count="183">
    <mergeCell ref="C39:L39"/>
    <mergeCell ref="M39:V39"/>
    <mergeCell ref="W39:AY39"/>
    <mergeCell ref="AZ39:BI39"/>
    <mergeCell ref="C40:L40"/>
    <mergeCell ref="M40:V40"/>
    <mergeCell ref="W40:AY40"/>
    <mergeCell ref="AZ40:BI40"/>
    <mergeCell ref="C37:L37"/>
    <mergeCell ref="M37:V37"/>
    <mergeCell ref="W37:AY37"/>
    <mergeCell ref="AZ37:BI37"/>
    <mergeCell ref="C38:L38"/>
    <mergeCell ref="M38:V38"/>
    <mergeCell ref="W38:AY38"/>
    <mergeCell ref="AZ38:BI38"/>
    <mergeCell ref="C35:L35"/>
    <mergeCell ref="M35:V35"/>
    <mergeCell ref="W35:AY35"/>
    <mergeCell ref="AZ35:BI35"/>
    <mergeCell ref="C36:L36"/>
    <mergeCell ref="M36:V36"/>
    <mergeCell ref="W36:AY36"/>
    <mergeCell ref="AZ36:BI36"/>
    <mergeCell ref="C33:L33"/>
    <mergeCell ref="M33:V33"/>
    <mergeCell ref="W33:AY33"/>
    <mergeCell ref="AZ33:BI33"/>
    <mergeCell ref="C34:L34"/>
    <mergeCell ref="M34:V34"/>
    <mergeCell ref="W34:AY34"/>
    <mergeCell ref="AZ34:BI34"/>
    <mergeCell ref="C31:L31"/>
    <mergeCell ref="M31:V31"/>
    <mergeCell ref="W31:AY31"/>
    <mergeCell ref="AZ31:BI31"/>
    <mergeCell ref="C32:L32"/>
    <mergeCell ref="M32:V32"/>
    <mergeCell ref="W32:AY32"/>
    <mergeCell ref="AZ32:BI32"/>
    <mergeCell ref="C29:L29"/>
    <mergeCell ref="M29:V29"/>
    <mergeCell ref="W29:AY29"/>
    <mergeCell ref="AZ29:BI29"/>
    <mergeCell ref="C30:L30"/>
    <mergeCell ref="M30:V30"/>
    <mergeCell ref="W30:AY30"/>
    <mergeCell ref="AZ30:BI30"/>
    <mergeCell ref="C27:L27"/>
    <mergeCell ref="M27:V27"/>
    <mergeCell ref="W27:AY27"/>
    <mergeCell ref="AZ27:BI27"/>
    <mergeCell ref="C28:L28"/>
    <mergeCell ref="M28:V28"/>
    <mergeCell ref="W28:AY28"/>
    <mergeCell ref="AZ28:BI28"/>
    <mergeCell ref="C25:L25"/>
    <mergeCell ref="M25:V25"/>
    <mergeCell ref="W25:AY25"/>
    <mergeCell ref="AZ25:BI25"/>
    <mergeCell ref="C26:L26"/>
    <mergeCell ref="M26:V26"/>
    <mergeCell ref="W26:AY26"/>
    <mergeCell ref="AZ26:BI26"/>
    <mergeCell ref="C23:L23"/>
    <mergeCell ref="M23:V23"/>
    <mergeCell ref="W23:AY23"/>
    <mergeCell ref="AZ23:BI23"/>
    <mergeCell ref="C24:L24"/>
    <mergeCell ref="M24:V24"/>
    <mergeCell ref="W24:AY24"/>
    <mergeCell ref="AZ24:BI24"/>
    <mergeCell ref="C21:L21"/>
    <mergeCell ref="M21:V21"/>
    <mergeCell ref="W21:AY21"/>
    <mergeCell ref="AZ21:BI21"/>
    <mergeCell ref="C22:L22"/>
    <mergeCell ref="M22:V22"/>
    <mergeCell ref="W22:AY22"/>
    <mergeCell ref="AZ22:BI22"/>
    <mergeCell ref="AZ19:BI19"/>
    <mergeCell ref="C20:L20"/>
    <mergeCell ref="M20:V20"/>
    <mergeCell ref="W20:AY20"/>
    <mergeCell ref="AZ20:BI20"/>
    <mergeCell ref="C17:L17"/>
    <mergeCell ref="M17:V17"/>
    <mergeCell ref="W17:AY17"/>
    <mergeCell ref="AZ17:BI17"/>
    <mergeCell ref="C18:L18"/>
    <mergeCell ref="M18:V18"/>
    <mergeCell ref="W18:AY18"/>
    <mergeCell ref="AZ18:BI18"/>
    <mergeCell ref="C19:L19"/>
    <mergeCell ref="M19:V19"/>
    <mergeCell ref="W19:AY19"/>
    <mergeCell ref="W10:AY10"/>
    <mergeCell ref="AZ10:BI10"/>
    <mergeCell ref="AZ15:BI15"/>
    <mergeCell ref="C16:L16"/>
    <mergeCell ref="M16:V16"/>
    <mergeCell ref="W16:AY16"/>
    <mergeCell ref="AZ16:BI16"/>
    <mergeCell ref="C13:L13"/>
    <mergeCell ref="M13:V13"/>
    <mergeCell ref="W13:AY13"/>
    <mergeCell ref="AZ13:BI13"/>
    <mergeCell ref="C14:L14"/>
    <mergeCell ref="M14:V14"/>
    <mergeCell ref="W14:AY14"/>
    <mergeCell ref="AZ14:BI14"/>
    <mergeCell ref="C11:L11"/>
    <mergeCell ref="M11:V11"/>
    <mergeCell ref="W11:AY11"/>
    <mergeCell ref="C15:L15"/>
    <mergeCell ref="M15:V15"/>
    <mergeCell ref="W15:AY15"/>
    <mergeCell ref="A36:B36"/>
    <mergeCell ref="A37:B37"/>
    <mergeCell ref="A38:B38"/>
    <mergeCell ref="A40:B40"/>
    <mergeCell ref="A31:B31"/>
    <mergeCell ref="A32:B32"/>
    <mergeCell ref="A33:B33"/>
    <mergeCell ref="A34:B34"/>
    <mergeCell ref="A35:B35"/>
    <mergeCell ref="A39:B39"/>
    <mergeCell ref="A10:B10"/>
    <mergeCell ref="AT2:AU2"/>
    <mergeCell ref="AV2:BA2"/>
    <mergeCell ref="A26:B26"/>
    <mergeCell ref="A27:B27"/>
    <mergeCell ref="A28:B28"/>
    <mergeCell ref="A29:B29"/>
    <mergeCell ref="A30:B30"/>
    <mergeCell ref="A21:B21"/>
    <mergeCell ref="A22:B22"/>
    <mergeCell ref="A23:B23"/>
    <mergeCell ref="A24:B24"/>
    <mergeCell ref="A25:B25"/>
    <mergeCell ref="AZ11:BI11"/>
    <mergeCell ref="C12:L12"/>
    <mergeCell ref="M12:V12"/>
    <mergeCell ref="W12:AY12"/>
    <mergeCell ref="AZ12:BI12"/>
    <mergeCell ref="C9:L9"/>
    <mergeCell ref="M9:V9"/>
    <mergeCell ref="W9:AY9"/>
    <mergeCell ref="AZ9:BI9"/>
    <mergeCell ref="C10:L10"/>
    <mergeCell ref="M10:V10"/>
    <mergeCell ref="A16:B16"/>
    <mergeCell ref="A17:B17"/>
    <mergeCell ref="A18:B18"/>
    <mergeCell ref="A19:B19"/>
    <mergeCell ref="A20:B20"/>
    <mergeCell ref="A11:B11"/>
    <mergeCell ref="A12:B12"/>
    <mergeCell ref="A13:B13"/>
    <mergeCell ref="A14:B14"/>
    <mergeCell ref="A15:B15"/>
    <mergeCell ref="BB2:BI2"/>
    <mergeCell ref="AT3:AU3"/>
    <mergeCell ref="AV3:BA3"/>
    <mergeCell ref="BB3:BI3"/>
    <mergeCell ref="A9:B9"/>
    <mergeCell ref="A8:B8"/>
    <mergeCell ref="A4:I4"/>
    <mergeCell ref="C8:L8"/>
    <mergeCell ref="M8:V8"/>
    <mergeCell ref="A1:E3"/>
    <mergeCell ref="AT1:BA1"/>
    <mergeCell ref="BB1:BI1"/>
    <mergeCell ref="AZ8:BI8"/>
    <mergeCell ref="W8:AY8"/>
    <mergeCell ref="W1:AD1"/>
    <mergeCell ref="F1:P1"/>
    <mergeCell ref="Q1:V1"/>
    <mergeCell ref="F2:P3"/>
    <mergeCell ref="Q2:V3"/>
    <mergeCell ref="W2:AD3"/>
    <mergeCell ref="AE2:AS3"/>
    <mergeCell ref="AE1:AS1"/>
  </mergeCells>
  <phoneticPr fontId="2"/>
  <printOptions horizontalCentered="1"/>
  <pageMargins left="0.23622047244094491" right="0.23622047244094491" top="0.74803149606299213" bottom="0.74803149606299213" header="0.31496062992125984" footer="0.31496062992125984"/>
  <pageSetup paperSize="9" scale="85" orientation="landscape"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6C1AAE-0EAC-4224-9BBB-EAA67AA8D42A}">
  <dimension ref="A1:BI40"/>
  <sheetViews>
    <sheetView showGridLines="0" zoomScale="70" zoomScaleNormal="70" workbookViewId="0">
      <pane ySplit="5" topLeftCell="A6" activePane="bottomLeft" state="frozen"/>
      <selection pane="bottomLeft" sqref="A1:E3"/>
    </sheetView>
  </sheetViews>
  <sheetFormatPr defaultColWidth="2.5" defaultRowHeight="15" customHeight="1"/>
  <cols>
    <col min="1" max="57" width="2.5" style="1"/>
    <col min="58" max="59" width="2.5" style="1" customWidth="1"/>
    <col min="60" max="16384" width="2.5" style="1"/>
  </cols>
  <sheetData>
    <row r="1" spans="1:61" ht="15" customHeight="1" thickBot="1">
      <c r="A1" s="294" t="s">
        <v>32</v>
      </c>
      <c r="B1" s="295"/>
      <c r="C1" s="295"/>
      <c r="D1" s="295"/>
      <c r="E1" s="296"/>
      <c r="F1" s="303" t="str">
        <f>変更履歴!F1</f>
        <v>システム名</v>
      </c>
      <c r="G1" s="304"/>
      <c r="H1" s="304"/>
      <c r="I1" s="304"/>
      <c r="J1" s="304"/>
      <c r="K1" s="304"/>
      <c r="L1" s="304"/>
      <c r="M1" s="304"/>
      <c r="N1" s="304"/>
      <c r="O1" s="304"/>
      <c r="P1" s="305"/>
      <c r="Q1" s="306" t="str">
        <f>変更履歴!Q1</f>
        <v>機能分類</v>
      </c>
      <c r="R1" s="307"/>
      <c r="S1" s="307"/>
      <c r="T1" s="307"/>
      <c r="U1" s="307"/>
      <c r="V1" s="308"/>
      <c r="W1" s="303" t="str">
        <f>変更履歴!W1</f>
        <v>機能ＩＤ</v>
      </c>
      <c r="X1" s="304"/>
      <c r="Y1" s="304"/>
      <c r="Z1" s="304"/>
      <c r="AA1" s="304"/>
      <c r="AB1" s="304"/>
      <c r="AC1" s="304"/>
      <c r="AD1" s="305"/>
      <c r="AE1" s="303" t="str">
        <f>変更履歴!AE1</f>
        <v>機能名称</v>
      </c>
      <c r="AF1" s="304"/>
      <c r="AG1" s="304"/>
      <c r="AH1" s="304"/>
      <c r="AI1" s="304"/>
      <c r="AJ1" s="304"/>
      <c r="AK1" s="304"/>
      <c r="AL1" s="304"/>
      <c r="AM1" s="304"/>
      <c r="AN1" s="304"/>
      <c r="AO1" s="304"/>
      <c r="AP1" s="304"/>
      <c r="AQ1" s="304"/>
      <c r="AR1" s="304"/>
      <c r="AS1" s="305"/>
      <c r="AT1" s="309" t="str">
        <f>変更履歴!AT1</f>
        <v>日付</v>
      </c>
      <c r="AU1" s="310"/>
      <c r="AV1" s="310"/>
      <c r="AW1" s="310"/>
      <c r="AX1" s="310"/>
      <c r="AY1" s="310"/>
      <c r="AZ1" s="310"/>
      <c r="BA1" s="311"/>
      <c r="BB1" s="266" t="str">
        <f>変更履歴!BB1</f>
        <v>更新者</v>
      </c>
      <c r="BC1" s="268"/>
      <c r="BD1" s="268"/>
      <c r="BE1" s="268"/>
      <c r="BF1" s="268"/>
      <c r="BG1" s="268"/>
      <c r="BH1" s="268"/>
      <c r="BI1" s="269"/>
    </row>
    <row r="2" spans="1:61" ht="15" customHeight="1">
      <c r="A2" s="297"/>
      <c r="B2" s="298"/>
      <c r="C2" s="298"/>
      <c r="D2" s="298"/>
      <c r="E2" s="299"/>
      <c r="F2" s="270" t="str">
        <f>変更履歴!F2</f>
        <v>Dynamics365 for Finance and Operations</v>
      </c>
      <c r="G2" s="271"/>
      <c r="H2" s="271"/>
      <c r="I2" s="271"/>
      <c r="J2" s="271"/>
      <c r="K2" s="271"/>
      <c r="L2" s="271"/>
      <c r="M2" s="271"/>
      <c r="N2" s="271"/>
      <c r="O2" s="271"/>
      <c r="P2" s="272"/>
      <c r="Q2" s="270" t="str">
        <f>変更履歴!Q2</f>
        <v>システム共通</v>
      </c>
      <c r="R2" s="271"/>
      <c r="S2" s="271"/>
      <c r="T2" s="271"/>
      <c r="U2" s="271"/>
      <c r="V2" s="272"/>
      <c r="W2" s="276" t="str">
        <f>変更履歴!W2</f>
        <v>FO-088</v>
      </c>
      <c r="X2" s="277"/>
      <c r="Y2" s="277"/>
      <c r="Z2" s="277"/>
      <c r="AA2" s="277"/>
      <c r="AB2" s="277"/>
      <c r="AC2" s="277"/>
      <c r="AD2" s="278"/>
      <c r="AE2" s="270" t="str">
        <f>変更履歴!AE2</f>
        <v>AzureFiles連携共通インターフェース</v>
      </c>
      <c r="AF2" s="271"/>
      <c r="AG2" s="271"/>
      <c r="AH2" s="271"/>
      <c r="AI2" s="271"/>
      <c r="AJ2" s="271"/>
      <c r="AK2" s="271"/>
      <c r="AL2" s="271"/>
      <c r="AM2" s="271"/>
      <c r="AN2" s="271"/>
      <c r="AO2" s="271"/>
      <c r="AP2" s="271"/>
      <c r="AQ2" s="271"/>
      <c r="AR2" s="271"/>
      <c r="AS2" s="272"/>
      <c r="AT2" s="282" t="str">
        <f>変更履歴!AT2</f>
        <v>作成</v>
      </c>
      <c r="AU2" s="283"/>
      <c r="AV2" s="284">
        <f>変更履歴!AV2</f>
        <v>45453</v>
      </c>
      <c r="AW2" s="284"/>
      <c r="AX2" s="284"/>
      <c r="AY2" s="284"/>
      <c r="AZ2" s="284"/>
      <c r="BA2" s="285"/>
      <c r="BB2" s="286" t="str">
        <f>変更履歴!BB2</f>
        <v>JBS石岡</v>
      </c>
      <c r="BC2" s="288"/>
      <c r="BD2" s="288"/>
      <c r="BE2" s="288"/>
      <c r="BF2" s="288"/>
      <c r="BG2" s="288"/>
      <c r="BH2" s="288"/>
      <c r="BI2" s="289"/>
    </row>
    <row r="3" spans="1:61" ht="15" customHeight="1" thickBot="1">
      <c r="A3" s="300"/>
      <c r="B3" s="301"/>
      <c r="C3" s="301"/>
      <c r="D3" s="301"/>
      <c r="E3" s="302"/>
      <c r="F3" s="273"/>
      <c r="G3" s="274"/>
      <c r="H3" s="274"/>
      <c r="I3" s="274"/>
      <c r="J3" s="274"/>
      <c r="K3" s="274"/>
      <c r="L3" s="274"/>
      <c r="M3" s="274"/>
      <c r="N3" s="274"/>
      <c r="O3" s="274"/>
      <c r="P3" s="275"/>
      <c r="Q3" s="273"/>
      <c r="R3" s="274"/>
      <c r="S3" s="274"/>
      <c r="T3" s="274"/>
      <c r="U3" s="274"/>
      <c r="V3" s="275"/>
      <c r="W3" s="279"/>
      <c r="X3" s="280"/>
      <c r="Y3" s="280"/>
      <c r="Z3" s="280"/>
      <c r="AA3" s="280"/>
      <c r="AB3" s="280"/>
      <c r="AC3" s="280"/>
      <c r="AD3" s="281"/>
      <c r="AE3" s="273"/>
      <c r="AF3" s="274"/>
      <c r="AG3" s="274"/>
      <c r="AH3" s="274"/>
      <c r="AI3" s="274"/>
      <c r="AJ3" s="274"/>
      <c r="AK3" s="274"/>
      <c r="AL3" s="274"/>
      <c r="AM3" s="274"/>
      <c r="AN3" s="274"/>
      <c r="AO3" s="274"/>
      <c r="AP3" s="274"/>
      <c r="AQ3" s="274"/>
      <c r="AR3" s="274"/>
      <c r="AS3" s="275"/>
      <c r="AT3" s="290" t="str">
        <f>変更履歴!AT3</f>
        <v>更新</v>
      </c>
      <c r="AU3" s="291"/>
      <c r="AV3" s="316">
        <f ca="1">変更履歴!AV3</f>
        <v>45726</v>
      </c>
      <c r="AW3" s="317"/>
      <c r="AX3" s="317"/>
      <c r="AY3" s="317"/>
      <c r="AZ3" s="317"/>
      <c r="BA3" s="318"/>
      <c r="BB3" s="313" t="str">
        <f ca="1">変更履歴!BB3</f>
        <v>JBS石岡</v>
      </c>
      <c r="BC3" s="314"/>
      <c r="BD3" s="314"/>
      <c r="BE3" s="314"/>
      <c r="BF3" s="314"/>
      <c r="BG3" s="314"/>
      <c r="BH3" s="314"/>
      <c r="BI3" s="315"/>
    </row>
    <row r="4" spans="1:61" ht="15" customHeight="1" thickBot="1"/>
    <row r="5" spans="1:61" ht="15" customHeight="1">
      <c r="A5" s="549" t="s">
        <v>56</v>
      </c>
      <c r="B5" s="550"/>
      <c r="C5" s="551" t="s">
        <v>407</v>
      </c>
      <c r="D5" s="552"/>
      <c r="E5" s="552"/>
      <c r="F5" s="552"/>
      <c r="G5" s="552"/>
      <c r="H5" s="552"/>
      <c r="I5" s="552"/>
      <c r="J5" s="552"/>
      <c r="K5" s="552"/>
      <c r="L5" s="552"/>
      <c r="M5" s="552"/>
      <c r="N5" s="552"/>
      <c r="O5" s="552"/>
      <c r="P5" s="553"/>
      <c r="Q5" s="551" t="s">
        <v>408</v>
      </c>
      <c r="R5" s="552"/>
      <c r="S5" s="552"/>
      <c r="T5" s="552"/>
      <c r="U5" s="552"/>
      <c r="V5" s="552"/>
      <c r="W5" s="552"/>
      <c r="X5" s="552"/>
      <c r="Y5" s="552"/>
      <c r="Z5" s="552"/>
      <c r="AA5" s="552"/>
      <c r="AB5" s="552"/>
      <c r="AC5" s="552"/>
      <c r="AD5" s="552"/>
      <c r="AE5" s="553"/>
      <c r="AF5" s="554" t="s">
        <v>409</v>
      </c>
      <c r="AG5" s="554"/>
      <c r="AH5" s="554"/>
      <c r="AI5" s="554"/>
      <c r="AJ5" s="554"/>
      <c r="AK5" s="554" t="s">
        <v>410</v>
      </c>
      <c r="AL5" s="554"/>
      <c r="AM5" s="554"/>
      <c r="AN5" s="554"/>
      <c r="AO5" s="554"/>
      <c r="AP5" s="554" t="s">
        <v>411</v>
      </c>
      <c r="AQ5" s="554"/>
      <c r="AR5" s="554"/>
      <c r="AS5" s="554"/>
      <c r="AT5" s="554"/>
      <c r="AU5" s="554" t="s">
        <v>412</v>
      </c>
      <c r="AV5" s="554"/>
      <c r="AW5" s="554"/>
      <c r="AX5" s="554"/>
      <c r="AY5" s="554"/>
      <c r="AZ5" s="551" t="s">
        <v>413</v>
      </c>
      <c r="BA5" s="552"/>
      <c r="BB5" s="552"/>
      <c r="BC5" s="552"/>
      <c r="BD5" s="553"/>
      <c r="BE5" s="551" t="s">
        <v>414</v>
      </c>
      <c r="BF5" s="552"/>
      <c r="BG5" s="552"/>
      <c r="BH5" s="552"/>
      <c r="BI5" s="555"/>
    </row>
    <row r="6" spans="1:61" ht="104.1" customHeight="1">
      <c r="A6" s="348">
        <f xml:space="preserve"> ROW()-5</f>
        <v>1</v>
      </c>
      <c r="B6" s="464"/>
      <c r="C6" s="542" t="s">
        <v>415</v>
      </c>
      <c r="D6" s="543"/>
      <c r="E6" s="543"/>
      <c r="F6" s="543"/>
      <c r="G6" s="543"/>
      <c r="H6" s="543"/>
      <c r="I6" s="543"/>
      <c r="J6" s="543"/>
      <c r="K6" s="543"/>
      <c r="L6" s="543"/>
      <c r="M6" s="543"/>
      <c r="N6" s="543"/>
      <c r="O6" s="543"/>
      <c r="P6" s="544"/>
      <c r="Q6" s="542" t="s">
        <v>416</v>
      </c>
      <c r="R6" s="543"/>
      <c r="S6" s="543"/>
      <c r="T6" s="543"/>
      <c r="U6" s="543"/>
      <c r="V6" s="543"/>
      <c r="W6" s="543"/>
      <c r="X6" s="543"/>
      <c r="Y6" s="543"/>
      <c r="Z6" s="543"/>
      <c r="AA6" s="543"/>
      <c r="AB6" s="543"/>
      <c r="AC6" s="543"/>
      <c r="AD6" s="543"/>
      <c r="AE6" s="544"/>
      <c r="AF6" s="545">
        <v>45468</v>
      </c>
      <c r="AG6" s="452"/>
      <c r="AH6" s="452"/>
      <c r="AI6" s="452"/>
      <c r="AJ6" s="452"/>
      <c r="AK6" s="452" t="s">
        <v>417</v>
      </c>
      <c r="AL6" s="452"/>
      <c r="AM6" s="452"/>
      <c r="AN6" s="452"/>
      <c r="AO6" s="452"/>
      <c r="AP6" s="545">
        <v>45475</v>
      </c>
      <c r="AQ6" s="452"/>
      <c r="AR6" s="452"/>
      <c r="AS6" s="452"/>
      <c r="AT6" s="452"/>
      <c r="AU6" s="452" t="s">
        <v>30</v>
      </c>
      <c r="AV6" s="452"/>
      <c r="AW6" s="452"/>
      <c r="AX6" s="452"/>
      <c r="AY6" s="452"/>
      <c r="AZ6" s="548">
        <v>45489</v>
      </c>
      <c r="BA6" s="547"/>
      <c r="BB6" s="547"/>
      <c r="BC6" s="547"/>
      <c r="BD6" s="547"/>
      <c r="BE6" s="556" t="s">
        <v>417</v>
      </c>
      <c r="BF6" s="557"/>
      <c r="BG6" s="557"/>
      <c r="BH6" s="557"/>
      <c r="BI6" s="558"/>
    </row>
    <row r="7" spans="1:61" ht="120.6" customHeight="1">
      <c r="A7" s="348">
        <f t="shared" ref="A7:A40" si="0" xml:space="preserve"> ROW()-5</f>
        <v>2</v>
      </c>
      <c r="B7" s="464"/>
      <c r="C7" s="542" t="s">
        <v>418</v>
      </c>
      <c r="D7" s="543"/>
      <c r="E7" s="543"/>
      <c r="F7" s="543"/>
      <c r="G7" s="543"/>
      <c r="H7" s="543"/>
      <c r="I7" s="543"/>
      <c r="J7" s="543"/>
      <c r="K7" s="543"/>
      <c r="L7" s="543"/>
      <c r="M7" s="543"/>
      <c r="N7" s="543"/>
      <c r="O7" s="543"/>
      <c r="P7" s="544"/>
      <c r="Q7" s="542" t="s">
        <v>419</v>
      </c>
      <c r="R7" s="543"/>
      <c r="S7" s="543"/>
      <c r="T7" s="543"/>
      <c r="U7" s="543"/>
      <c r="V7" s="543"/>
      <c r="W7" s="543"/>
      <c r="X7" s="543"/>
      <c r="Y7" s="543"/>
      <c r="Z7" s="543"/>
      <c r="AA7" s="543"/>
      <c r="AB7" s="543"/>
      <c r="AC7" s="543"/>
      <c r="AD7" s="543"/>
      <c r="AE7" s="544"/>
      <c r="AF7" s="545">
        <v>45468</v>
      </c>
      <c r="AG7" s="452"/>
      <c r="AH7" s="452"/>
      <c r="AI7" s="452"/>
      <c r="AJ7" s="452"/>
      <c r="AK7" s="452" t="s">
        <v>417</v>
      </c>
      <c r="AL7" s="452"/>
      <c r="AM7" s="452"/>
      <c r="AN7" s="452"/>
      <c r="AO7" s="452"/>
      <c r="AP7" s="545">
        <v>45475</v>
      </c>
      <c r="AQ7" s="452"/>
      <c r="AR7" s="452"/>
      <c r="AS7" s="452"/>
      <c r="AT7" s="452"/>
      <c r="AU7" s="452" t="s">
        <v>30</v>
      </c>
      <c r="AV7" s="452"/>
      <c r="AW7" s="452"/>
      <c r="AX7" s="452"/>
      <c r="AY7" s="452"/>
      <c r="AZ7" s="548">
        <v>45489</v>
      </c>
      <c r="BA7" s="547"/>
      <c r="BB7" s="547"/>
      <c r="BC7" s="547"/>
      <c r="BD7" s="547"/>
      <c r="BE7" s="556" t="s">
        <v>417</v>
      </c>
      <c r="BF7" s="557"/>
      <c r="BG7" s="557"/>
      <c r="BH7" s="557"/>
      <c r="BI7" s="558"/>
    </row>
    <row r="8" spans="1:61" ht="275.10000000000002" customHeight="1">
      <c r="A8" s="348">
        <f t="shared" si="0"/>
        <v>3</v>
      </c>
      <c r="B8" s="464"/>
      <c r="C8" s="542" t="s">
        <v>420</v>
      </c>
      <c r="D8" s="543"/>
      <c r="E8" s="543"/>
      <c r="F8" s="543"/>
      <c r="G8" s="543"/>
      <c r="H8" s="543"/>
      <c r="I8" s="543"/>
      <c r="J8" s="543"/>
      <c r="K8" s="543"/>
      <c r="L8" s="543"/>
      <c r="M8" s="543"/>
      <c r="N8" s="543"/>
      <c r="O8" s="543"/>
      <c r="P8" s="544"/>
      <c r="Q8" s="542" t="s">
        <v>421</v>
      </c>
      <c r="R8" s="543"/>
      <c r="S8" s="543"/>
      <c r="T8" s="543"/>
      <c r="U8" s="543"/>
      <c r="V8" s="543"/>
      <c r="W8" s="543"/>
      <c r="X8" s="543"/>
      <c r="Y8" s="543"/>
      <c r="Z8" s="543"/>
      <c r="AA8" s="543"/>
      <c r="AB8" s="543"/>
      <c r="AC8" s="543"/>
      <c r="AD8" s="543"/>
      <c r="AE8" s="544"/>
      <c r="AF8" s="545">
        <v>45476</v>
      </c>
      <c r="AG8" s="452"/>
      <c r="AH8" s="452"/>
      <c r="AI8" s="452"/>
      <c r="AJ8" s="452"/>
      <c r="AK8" s="452" t="s">
        <v>417</v>
      </c>
      <c r="AL8" s="452"/>
      <c r="AM8" s="452"/>
      <c r="AN8" s="452"/>
      <c r="AO8" s="452"/>
      <c r="AP8" s="545">
        <v>45481</v>
      </c>
      <c r="AQ8" s="452"/>
      <c r="AR8" s="452"/>
      <c r="AS8" s="452"/>
      <c r="AT8" s="452"/>
      <c r="AU8" s="452" t="s">
        <v>30</v>
      </c>
      <c r="AV8" s="452"/>
      <c r="AW8" s="452"/>
      <c r="AX8" s="452"/>
      <c r="AY8" s="452"/>
      <c r="AZ8" s="548">
        <v>45489</v>
      </c>
      <c r="BA8" s="547"/>
      <c r="BB8" s="547"/>
      <c r="BC8" s="547"/>
      <c r="BD8" s="547"/>
      <c r="BE8" s="556" t="s">
        <v>417</v>
      </c>
      <c r="BF8" s="557"/>
      <c r="BG8" s="557"/>
      <c r="BH8" s="557"/>
      <c r="BI8" s="558"/>
    </row>
    <row r="9" spans="1:61" ht="150.75" customHeight="1">
      <c r="A9" s="348">
        <f t="shared" si="0"/>
        <v>4</v>
      </c>
      <c r="B9" s="464"/>
      <c r="C9" s="542" t="s">
        <v>422</v>
      </c>
      <c r="D9" s="543"/>
      <c r="E9" s="543"/>
      <c r="F9" s="543"/>
      <c r="G9" s="543"/>
      <c r="H9" s="543"/>
      <c r="I9" s="543"/>
      <c r="J9" s="543"/>
      <c r="K9" s="543"/>
      <c r="L9" s="543"/>
      <c r="M9" s="543"/>
      <c r="N9" s="543"/>
      <c r="O9" s="543"/>
      <c r="P9" s="544"/>
      <c r="Q9" s="542" t="s">
        <v>423</v>
      </c>
      <c r="R9" s="543"/>
      <c r="S9" s="543"/>
      <c r="T9" s="543"/>
      <c r="U9" s="543"/>
      <c r="V9" s="543"/>
      <c r="W9" s="543"/>
      <c r="X9" s="543"/>
      <c r="Y9" s="543"/>
      <c r="Z9" s="543"/>
      <c r="AA9" s="543"/>
      <c r="AB9" s="543"/>
      <c r="AC9" s="543"/>
      <c r="AD9" s="543"/>
      <c r="AE9" s="544"/>
      <c r="AF9" s="545">
        <v>45483</v>
      </c>
      <c r="AG9" s="452"/>
      <c r="AH9" s="452"/>
      <c r="AI9" s="452"/>
      <c r="AJ9" s="452"/>
      <c r="AK9" s="452" t="s">
        <v>417</v>
      </c>
      <c r="AL9" s="452"/>
      <c r="AM9" s="452"/>
      <c r="AN9" s="452"/>
      <c r="AO9" s="452"/>
      <c r="AP9" s="545">
        <v>45485</v>
      </c>
      <c r="AQ9" s="452"/>
      <c r="AR9" s="452"/>
      <c r="AS9" s="452"/>
      <c r="AT9" s="452"/>
      <c r="AU9" s="452" t="s">
        <v>30</v>
      </c>
      <c r="AV9" s="452"/>
      <c r="AW9" s="452"/>
      <c r="AX9" s="452"/>
      <c r="AY9" s="452"/>
      <c r="AZ9" s="548">
        <v>45489</v>
      </c>
      <c r="BA9" s="547"/>
      <c r="BB9" s="547"/>
      <c r="BC9" s="547"/>
      <c r="BD9" s="547"/>
      <c r="BE9" s="556" t="s">
        <v>417</v>
      </c>
      <c r="BF9" s="557"/>
      <c r="BG9" s="557"/>
      <c r="BH9" s="557"/>
      <c r="BI9" s="558"/>
    </row>
    <row r="10" spans="1:61" ht="14.4">
      <c r="A10" s="348">
        <f t="shared" si="0"/>
        <v>5</v>
      </c>
      <c r="B10" s="464"/>
      <c r="C10" s="542"/>
      <c r="D10" s="543"/>
      <c r="E10" s="543"/>
      <c r="F10" s="543"/>
      <c r="G10" s="543"/>
      <c r="H10" s="543"/>
      <c r="I10" s="543"/>
      <c r="J10" s="543"/>
      <c r="K10" s="543"/>
      <c r="L10" s="543"/>
      <c r="M10" s="543"/>
      <c r="N10" s="543"/>
      <c r="O10" s="543"/>
      <c r="P10" s="544"/>
      <c r="Q10" s="542"/>
      <c r="R10" s="543"/>
      <c r="S10" s="543"/>
      <c r="T10" s="543"/>
      <c r="U10" s="543"/>
      <c r="V10" s="543"/>
      <c r="W10" s="543"/>
      <c r="X10" s="543"/>
      <c r="Y10" s="543"/>
      <c r="Z10" s="543"/>
      <c r="AA10" s="543"/>
      <c r="AB10" s="543"/>
      <c r="AC10" s="543"/>
      <c r="AD10" s="543"/>
      <c r="AE10" s="544"/>
      <c r="AF10" s="545"/>
      <c r="AG10" s="452"/>
      <c r="AH10" s="452"/>
      <c r="AI10" s="452"/>
      <c r="AJ10" s="452"/>
      <c r="AK10" s="452"/>
      <c r="AL10" s="452"/>
      <c r="AM10" s="452"/>
      <c r="AN10" s="452"/>
      <c r="AO10" s="452"/>
      <c r="AP10" s="545"/>
      <c r="AQ10" s="452"/>
      <c r="AR10" s="452"/>
      <c r="AS10" s="452"/>
      <c r="AT10" s="452"/>
      <c r="AU10" s="452"/>
      <c r="AV10" s="452"/>
      <c r="AW10" s="452"/>
      <c r="AX10" s="452"/>
      <c r="AY10" s="452"/>
      <c r="AZ10" s="545"/>
      <c r="BA10" s="452"/>
      <c r="BB10" s="452"/>
      <c r="BC10" s="452"/>
      <c r="BD10" s="452"/>
      <c r="BE10" s="556"/>
      <c r="BF10" s="557"/>
      <c r="BG10" s="557"/>
      <c r="BH10" s="557"/>
      <c r="BI10" s="558"/>
    </row>
    <row r="11" spans="1:61" ht="14.4">
      <c r="A11" s="348">
        <f t="shared" si="0"/>
        <v>6</v>
      </c>
      <c r="B11" s="464"/>
      <c r="C11" s="542"/>
      <c r="D11" s="543"/>
      <c r="E11" s="543"/>
      <c r="F11" s="543"/>
      <c r="G11" s="543"/>
      <c r="H11" s="543"/>
      <c r="I11" s="543"/>
      <c r="J11" s="543"/>
      <c r="K11" s="543"/>
      <c r="L11" s="543"/>
      <c r="M11" s="543"/>
      <c r="N11" s="543"/>
      <c r="O11" s="543"/>
      <c r="P11" s="544"/>
      <c r="Q11" s="542"/>
      <c r="R11" s="543"/>
      <c r="S11" s="543"/>
      <c r="T11" s="543"/>
      <c r="U11" s="543"/>
      <c r="V11" s="543"/>
      <c r="W11" s="543"/>
      <c r="X11" s="543"/>
      <c r="Y11" s="543"/>
      <c r="Z11" s="543"/>
      <c r="AA11" s="543"/>
      <c r="AB11" s="543"/>
      <c r="AC11" s="543"/>
      <c r="AD11" s="543"/>
      <c r="AE11" s="544"/>
      <c r="AF11" s="545"/>
      <c r="AG11" s="452"/>
      <c r="AH11" s="452"/>
      <c r="AI11" s="452"/>
      <c r="AJ11" s="452"/>
      <c r="AK11" s="452"/>
      <c r="AL11" s="452"/>
      <c r="AM11" s="452"/>
      <c r="AN11" s="452"/>
      <c r="AO11" s="452"/>
      <c r="AP11" s="545"/>
      <c r="AQ11" s="452"/>
      <c r="AR11" s="452"/>
      <c r="AS11" s="452"/>
      <c r="AT11" s="452"/>
      <c r="AU11" s="452"/>
      <c r="AV11" s="452"/>
      <c r="AW11" s="452"/>
      <c r="AX11" s="452"/>
      <c r="AY11" s="452"/>
      <c r="AZ11" s="545"/>
      <c r="BA11" s="452"/>
      <c r="BB11" s="452"/>
      <c r="BC11" s="452"/>
      <c r="BD11" s="452"/>
      <c r="BE11" s="556"/>
      <c r="BF11" s="557"/>
      <c r="BG11" s="557"/>
      <c r="BH11" s="557"/>
      <c r="BI11" s="558"/>
    </row>
    <row r="12" spans="1:61" ht="14.4">
      <c r="A12" s="348">
        <f t="shared" si="0"/>
        <v>7</v>
      </c>
      <c r="B12" s="464"/>
      <c r="C12" s="542"/>
      <c r="D12" s="543"/>
      <c r="E12" s="543"/>
      <c r="F12" s="543"/>
      <c r="G12" s="543"/>
      <c r="H12" s="543"/>
      <c r="I12" s="543"/>
      <c r="J12" s="543"/>
      <c r="K12" s="543"/>
      <c r="L12" s="543"/>
      <c r="M12" s="543"/>
      <c r="N12" s="543"/>
      <c r="O12" s="543"/>
      <c r="P12" s="544"/>
      <c r="Q12" s="542"/>
      <c r="R12" s="543"/>
      <c r="S12" s="543"/>
      <c r="T12" s="543"/>
      <c r="U12" s="543"/>
      <c r="V12" s="543"/>
      <c r="W12" s="543"/>
      <c r="X12" s="543"/>
      <c r="Y12" s="543"/>
      <c r="Z12" s="543"/>
      <c r="AA12" s="543"/>
      <c r="AB12" s="543"/>
      <c r="AC12" s="543"/>
      <c r="AD12" s="543"/>
      <c r="AE12" s="544"/>
      <c r="AF12" s="545"/>
      <c r="AG12" s="452"/>
      <c r="AH12" s="452"/>
      <c r="AI12" s="452"/>
      <c r="AJ12" s="452"/>
      <c r="AK12" s="452"/>
      <c r="AL12" s="452"/>
      <c r="AM12" s="452"/>
      <c r="AN12" s="452"/>
      <c r="AO12" s="452"/>
      <c r="AP12" s="545"/>
      <c r="AQ12" s="452"/>
      <c r="AR12" s="452"/>
      <c r="AS12" s="452"/>
      <c r="AT12" s="452"/>
      <c r="AU12" s="452"/>
      <c r="AV12" s="452"/>
      <c r="AW12" s="452"/>
      <c r="AX12" s="452"/>
      <c r="AY12" s="452"/>
      <c r="AZ12" s="545"/>
      <c r="BA12" s="452"/>
      <c r="BB12" s="452"/>
      <c r="BC12" s="452"/>
      <c r="BD12" s="452"/>
      <c r="BE12" s="556"/>
      <c r="BF12" s="557"/>
      <c r="BG12" s="557"/>
      <c r="BH12" s="557"/>
      <c r="BI12" s="558"/>
    </row>
    <row r="13" spans="1:61" ht="14.4">
      <c r="A13" s="348">
        <f t="shared" si="0"/>
        <v>8</v>
      </c>
      <c r="B13" s="464"/>
      <c r="C13" s="542"/>
      <c r="D13" s="543"/>
      <c r="E13" s="543"/>
      <c r="F13" s="543"/>
      <c r="G13" s="543"/>
      <c r="H13" s="543"/>
      <c r="I13" s="543"/>
      <c r="J13" s="543"/>
      <c r="K13" s="543"/>
      <c r="L13" s="543"/>
      <c r="M13" s="543"/>
      <c r="N13" s="543"/>
      <c r="O13" s="543"/>
      <c r="P13" s="544"/>
      <c r="Q13" s="542"/>
      <c r="R13" s="543"/>
      <c r="S13" s="543"/>
      <c r="T13" s="543"/>
      <c r="U13" s="543"/>
      <c r="V13" s="543"/>
      <c r="W13" s="543"/>
      <c r="X13" s="543"/>
      <c r="Y13" s="543"/>
      <c r="Z13" s="543"/>
      <c r="AA13" s="543"/>
      <c r="AB13" s="543"/>
      <c r="AC13" s="543"/>
      <c r="AD13" s="543"/>
      <c r="AE13" s="544"/>
      <c r="AF13" s="545"/>
      <c r="AG13" s="452"/>
      <c r="AH13" s="452"/>
      <c r="AI13" s="452"/>
      <c r="AJ13" s="452"/>
      <c r="AK13" s="452"/>
      <c r="AL13" s="452"/>
      <c r="AM13" s="452"/>
      <c r="AN13" s="452"/>
      <c r="AO13" s="452"/>
      <c r="AP13" s="545"/>
      <c r="AQ13" s="452"/>
      <c r="AR13" s="452"/>
      <c r="AS13" s="452"/>
      <c r="AT13" s="452"/>
      <c r="AU13" s="452"/>
      <c r="AV13" s="452"/>
      <c r="AW13" s="452"/>
      <c r="AX13" s="452"/>
      <c r="AY13" s="452"/>
      <c r="AZ13" s="545"/>
      <c r="BA13" s="452"/>
      <c r="BB13" s="452"/>
      <c r="BC13" s="452"/>
      <c r="BD13" s="452"/>
      <c r="BE13" s="556"/>
      <c r="BF13" s="557"/>
      <c r="BG13" s="557"/>
      <c r="BH13" s="557"/>
      <c r="BI13" s="558"/>
    </row>
    <row r="14" spans="1:61" ht="14.4">
      <c r="A14" s="348">
        <f t="shared" si="0"/>
        <v>9</v>
      </c>
      <c r="B14" s="464"/>
      <c r="C14" s="542"/>
      <c r="D14" s="543"/>
      <c r="E14" s="543"/>
      <c r="F14" s="543"/>
      <c r="G14" s="543"/>
      <c r="H14" s="543"/>
      <c r="I14" s="543"/>
      <c r="J14" s="543"/>
      <c r="K14" s="543"/>
      <c r="L14" s="543"/>
      <c r="M14" s="543"/>
      <c r="N14" s="543"/>
      <c r="O14" s="543"/>
      <c r="P14" s="544"/>
      <c r="Q14" s="542"/>
      <c r="R14" s="543"/>
      <c r="S14" s="543"/>
      <c r="T14" s="543"/>
      <c r="U14" s="543"/>
      <c r="V14" s="543"/>
      <c r="W14" s="543"/>
      <c r="X14" s="543"/>
      <c r="Y14" s="543"/>
      <c r="Z14" s="543"/>
      <c r="AA14" s="543"/>
      <c r="AB14" s="543"/>
      <c r="AC14" s="543"/>
      <c r="AD14" s="543"/>
      <c r="AE14" s="544"/>
      <c r="AF14" s="545"/>
      <c r="AG14" s="452"/>
      <c r="AH14" s="452"/>
      <c r="AI14" s="452"/>
      <c r="AJ14" s="452"/>
      <c r="AK14" s="452"/>
      <c r="AL14" s="452"/>
      <c r="AM14" s="452"/>
      <c r="AN14" s="452"/>
      <c r="AO14" s="452"/>
      <c r="AP14" s="545"/>
      <c r="AQ14" s="452"/>
      <c r="AR14" s="452"/>
      <c r="AS14" s="452"/>
      <c r="AT14" s="452"/>
      <c r="AU14" s="452"/>
      <c r="AV14" s="452"/>
      <c r="AW14" s="452"/>
      <c r="AX14" s="452"/>
      <c r="AY14" s="452"/>
      <c r="AZ14" s="548"/>
      <c r="BA14" s="547"/>
      <c r="BB14" s="547"/>
      <c r="BC14" s="547"/>
      <c r="BD14" s="547"/>
      <c r="BE14" s="556"/>
      <c r="BF14" s="557"/>
      <c r="BG14" s="557"/>
      <c r="BH14" s="557"/>
      <c r="BI14" s="558"/>
    </row>
    <row r="15" spans="1:61" ht="14.4">
      <c r="A15" s="348">
        <f t="shared" si="0"/>
        <v>10</v>
      </c>
      <c r="B15" s="464"/>
      <c r="C15" s="542"/>
      <c r="D15" s="543"/>
      <c r="E15" s="543"/>
      <c r="F15" s="543"/>
      <c r="G15" s="543"/>
      <c r="H15" s="543"/>
      <c r="I15" s="543"/>
      <c r="J15" s="543"/>
      <c r="K15" s="543"/>
      <c r="L15" s="543"/>
      <c r="M15" s="543"/>
      <c r="N15" s="543"/>
      <c r="O15" s="543"/>
      <c r="P15" s="544"/>
      <c r="Q15" s="542"/>
      <c r="R15" s="543"/>
      <c r="S15" s="543"/>
      <c r="T15" s="543"/>
      <c r="U15" s="543"/>
      <c r="V15" s="543"/>
      <c r="W15" s="543"/>
      <c r="X15" s="543"/>
      <c r="Y15" s="543"/>
      <c r="Z15" s="543"/>
      <c r="AA15" s="543"/>
      <c r="AB15" s="543"/>
      <c r="AC15" s="543"/>
      <c r="AD15" s="543"/>
      <c r="AE15" s="544"/>
      <c r="AF15" s="545"/>
      <c r="AG15" s="452"/>
      <c r="AH15" s="452"/>
      <c r="AI15" s="452"/>
      <c r="AJ15" s="452"/>
      <c r="AK15" s="452"/>
      <c r="AL15" s="452"/>
      <c r="AM15" s="452"/>
      <c r="AN15" s="452"/>
      <c r="AO15" s="452"/>
      <c r="AP15" s="545"/>
      <c r="AQ15" s="452"/>
      <c r="AR15" s="452"/>
      <c r="AS15" s="452"/>
      <c r="AT15" s="452"/>
      <c r="AU15" s="452"/>
      <c r="AV15" s="452"/>
      <c r="AW15" s="452"/>
      <c r="AX15" s="452"/>
      <c r="AY15" s="452"/>
      <c r="AZ15" s="545"/>
      <c r="BA15" s="452"/>
      <c r="BB15" s="452"/>
      <c r="BC15" s="452"/>
      <c r="BD15" s="452"/>
      <c r="BE15" s="556"/>
      <c r="BF15" s="557"/>
      <c r="BG15" s="557"/>
      <c r="BH15" s="557"/>
      <c r="BI15" s="558"/>
    </row>
    <row r="16" spans="1:61" ht="14.4">
      <c r="A16" s="348">
        <f t="shared" si="0"/>
        <v>11</v>
      </c>
      <c r="B16" s="464"/>
      <c r="C16" s="542"/>
      <c r="D16" s="543"/>
      <c r="E16" s="543"/>
      <c r="F16" s="543"/>
      <c r="G16" s="543"/>
      <c r="H16" s="543"/>
      <c r="I16" s="543"/>
      <c r="J16" s="543"/>
      <c r="K16" s="543"/>
      <c r="L16" s="543"/>
      <c r="M16" s="543"/>
      <c r="N16" s="543"/>
      <c r="O16" s="543"/>
      <c r="P16" s="544"/>
      <c r="Q16" s="542"/>
      <c r="R16" s="543"/>
      <c r="S16" s="543"/>
      <c r="T16" s="543"/>
      <c r="U16" s="543"/>
      <c r="V16" s="543"/>
      <c r="W16" s="543"/>
      <c r="X16" s="543"/>
      <c r="Y16" s="543"/>
      <c r="Z16" s="543"/>
      <c r="AA16" s="543"/>
      <c r="AB16" s="543"/>
      <c r="AC16" s="543"/>
      <c r="AD16" s="543"/>
      <c r="AE16" s="544"/>
      <c r="AF16" s="545"/>
      <c r="AG16" s="452"/>
      <c r="AH16" s="452"/>
      <c r="AI16" s="452"/>
      <c r="AJ16" s="452"/>
      <c r="AK16" s="452"/>
      <c r="AL16" s="452"/>
      <c r="AM16" s="452"/>
      <c r="AN16" s="452"/>
      <c r="AO16" s="452"/>
      <c r="AP16" s="545"/>
      <c r="AQ16" s="452"/>
      <c r="AR16" s="452"/>
      <c r="AS16" s="452"/>
      <c r="AT16" s="452"/>
      <c r="AU16" s="452"/>
      <c r="AV16" s="452"/>
      <c r="AW16" s="452"/>
      <c r="AX16" s="452"/>
      <c r="AY16" s="452"/>
      <c r="AZ16" s="545"/>
      <c r="BA16" s="452"/>
      <c r="BB16" s="452"/>
      <c r="BC16" s="452"/>
      <c r="BD16" s="452"/>
      <c r="BE16" s="556"/>
      <c r="BF16" s="557"/>
      <c r="BG16" s="557"/>
      <c r="BH16" s="557"/>
      <c r="BI16" s="558"/>
    </row>
    <row r="17" spans="1:61" ht="14.4">
      <c r="A17" s="348">
        <f t="shared" si="0"/>
        <v>12</v>
      </c>
      <c r="B17" s="464"/>
      <c r="C17" s="542"/>
      <c r="D17" s="543"/>
      <c r="E17" s="543"/>
      <c r="F17" s="543"/>
      <c r="G17" s="543"/>
      <c r="H17" s="543"/>
      <c r="I17" s="543"/>
      <c r="J17" s="543"/>
      <c r="K17" s="543"/>
      <c r="L17" s="543"/>
      <c r="M17" s="543"/>
      <c r="N17" s="543"/>
      <c r="O17" s="543"/>
      <c r="P17" s="544"/>
      <c r="Q17" s="542"/>
      <c r="R17" s="543"/>
      <c r="S17" s="543"/>
      <c r="T17" s="543"/>
      <c r="U17" s="543"/>
      <c r="V17" s="543"/>
      <c r="W17" s="543"/>
      <c r="X17" s="543"/>
      <c r="Y17" s="543"/>
      <c r="Z17" s="543"/>
      <c r="AA17" s="543"/>
      <c r="AB17" s="543"/>
      <c r="AC17" s="543"/>
      <c r="AD17" s="543"/>
      <c r="AE17" s="544"/>
      <c r="AF17" s="545"/>
      <c r="AG17" s="452"/>
      <c r="AH17" s="452"/>
      <c r="AI17" s="452"/>
      <c r="AJ17" s="452"/>
      <c r="AK17" s="452"/>
      <c r="AL17" s="452"/>
      <c r="AM17" s="452"/>
      <c r="AN17" s="452"/>
      <c r="AO17" s="452"/>
      <c r="AP17" s="545"/>
      <c r="AQ17" s="452"/>
      <c r="AR17" s="452"/>
      <c r="AS17" s="452"/>
      <c r="AT17" s="452"/>
      <c r="AU17" s="452"/>
      <c r="AV17" s="452"/>
      <c r="AW17" s="452"/>
      <c r="AX17" s="452"/>
      <c r="AY17" s="452"/>
      <c r="AZ17" s="548"/>
      <c r="BA17" s="547"/>
      <c r="BB17" s="547"/>
      <c r="BC17" s="547"/>
      <c r="BD17" s="547"/>
      <c r="BE17" s="556"/>
      <c r="BF17" s="557"/>
      <c r="BG17" s="557"/>
      <c r="BH17" s="557"/>
      <c r="BI17" s="558"/>
    </row>
    <row r="18" spans="1:61" ht="14.4">
      <c r="A18" s="348">
        <f t="shared" si="0"/>
        <v>13</v>
      </c>
      <c r="B18" s="464"/>
      <c r="C18" s="542"/>
      <c r="D18" s="543"/>
      <c r="E18" s="543"/>
      <c r="F18" s="543"/>
      <c r="G18" s="543"/>
      <c r="H18" s="543"/>
      <c r="I18" s="543"/>
      <c r="J18" s="543"/>
      <c r="K18" s="543"/>
      <c r="L18" s="543"/>
      <c r="M18" s="543"/>
      <c r="N18" s="543"/>
      <c r="O18" s="543"/>
      <c r="P18" s="544"/>
      <c r="Q18" s="542"/>
      <c r="R18" s="543"/>
      <c r="S18" s="543"/>
      <c r="T18" s="543"/>
      <c r="U18" s="543"/>
      <c r="V18" s="543"/>
      <c r="W18" s="543"/>
      <c r="X18" s="543"/>
      <c r="Y18" s="543"/>
      <c r="Z18" s="543"/>
      <c r="AA18" s="543"/>
      <c r="AB18" s="543"/>
      <c r="AC18" s="543"/>
      <c r="AD18" s="543"/>
      <c r="AE18" s="544"/>
      <c r="AF18" s="548"/>
      <c r="AG18" s="547"/>
      <c r="AH18" s="547"/>
      <c r="AI18" s="547"/>
      <c r="AJ18" s="547"/>
      <c r="AK18" s="547"/>
      <c r="AL18" s="547"/>
      <c r="AM18" s="547"/>
      <c r="AN18" s="547"/>
      <c r="AO18" s="547"/>
      <c r="AP18" s="545"/>
      <c r="AQ18" s="452"/>
      <c r="AR18" s="452"/>
      <c r="AS18" s="452"/>
      <c r="AT18" s="452"/>
      <c r="AU18" s="452"/>
      <c r="AV18" s="452"/>
      <c r="AW18" s="452"/>
      <c r="AX18" s="452"/>
      <c r="AY18" s="452"/>
      <c r="AZ18" s="548"/>
      <c r="BA18" s="547"/>
      <c r="BB18" s="547"/>
      <c r="BC18" s="547"/>
      <c r="BD18" s="547"/>
      <c r="BE18" s="556"/>
      <c r="BF18" s="557"/>
      <c r="BG18" s="557"/>
      <c r="BH18" s="557"/>
      <c r="BI18" s="558"/>
    </row>
    <row r="19" spans="1:61" ht="14.4">
      <c r="A19" s="348">
        <f t="shared" si="0"/>
        <v>14</v>
      </c>
      <c r="B19" s="464"/>
      <c r="C19" s="542"/>
      <c r="D19" s="543"/>
      <c r="E19" s="543"/>
      <c r="F19" s="543"/>
      <c r="G19" s="543"/>
      <c r="H19" s="543"/>
      <c r="I19" s="543"/>
      <c r="J19" s="543"/>
      <c r="K19" s="543"/>
      <c r="L19" s="543"/>
      <c r="M19" s="543"/>
      <c r="N19" s="543"/>
      <c r="O19" s="543"/>
      <c r="P19" s="544"/>
      <c r="Q19" s="542"/>
      <c r="R19" s="543"/>
      <c r="S19" s="543"/>
      <c r="T19" s="543"/>
      <c r="U19" s="543"/>
      <c r="V19" s="543"/>
      <c r="W19" s="543"/>
      <c r="X19" s="543"/>
      <c r="Y19" s="543"/>
      <c r="Z19" s="543"/>
      <c r="AA19" s="543"/>
      <c r="AB19" s="543"/>
      <c r="AC19" s="543"/>
      <c r="AD19" s="543"/>
      <c r="AE19" s="544"/>
      <c r="AF19" s="548"/>
      <c r="AG19" s="547"/>
      <c r="AH19" s="547"/>
      <c r="AI19" s="547"/>
      <c r="AJ19" s="547"/>
      <c r="AK19" s="547"/>
      <c r="AL19" s="547"/>
      <c r="AM19" s="547"/>
      <c r="AN19" s="547"/>
      <c r="AO19" s="547"/>
      <c r="AP19" s="545"/>
      <c r="AQ19" s="452"/>
      <c r="AR19" s="452"/>
      <c r="AS19" s="452"/>
      <c r="AT19" s="452"/>
      <c r="AU19" s="452"/>
      <c r="AV19" s="452"/>
      <c r="AW19" s="452"/>
      <c r="AX19" s="452"/>
      <c r="AY19" s="452"/>
      <c r="AZ19" s="548"/>
      <c r="BA19" s="547"/>
      <c r="BB19" s="547"/>
      <c r="BC19" s="547"/>
      <c r="BD19" s="547"/>
      <c r="BE19" s="556"/>
      <c r="BF19" s="557"/>
      <c r="BG19" s="557"/>
      <c r="BH19" s="557"/>
      <c r="BI19" s="558"/>
    </row>
    <row r="20" spans="1:61" ht="14.4">
      <c r="A20" s="348">
        <f t="shared" si="0"/>
        <v>15</v>
      </c>
      <c r="B20" s="464"/>
      <c r="C20" s="542"/>
      <c r="D20" s="543"/>
      <c r="E20" s="543"/>
      <c r="F20" s="543"/>
      <c r="G20" s="543"/>
      <c r="H20" s="543"/>
      <c r="I20" s="543"/>
      <c r="J20" s="543"/>
      <c r="K20" s="543"/>
      <c r="L20" s="543"/>
      <c r="M20" s="543"/>
      <c r="N20" s="543"/>
      <c r="O20" s="543"/>
      <c r="P20" s="544"/>
      <c r="Q20" s="542"/>
      <c r="R20" s="543"/>
      <c r="S20" s="543"/>
      <c r="T20" s="543"/>
      <c r="U20" s="543"/>
      <c r="V20" s="543"/>
      <c r="W20" s="543"/>
      <c r="X20" s="543"/>
      <c r="Y20" s="543"/>
      <c r="Z20" s="543"/>
      <c r="AA20" s="543"/>
      <c r="AB20" s="543"/>
      <c r="AC20" s="543"/>
      <c r="AD20" s="543"/>
      <c r="AE20" s="544"/>
      <c r="AF20" s="548"/>
      <c r="AG20" s="547"/>
      <c r="AH20" s="547"/>
      <c r="AI20" s="547"/>
      <c r="AJ20" s="547"/>
      <c r="AK20" s="547"/>
      <c r="AL20" s="547"/>
      <c r="AM20" s="547"/>
      <c r="AN20" s="547"/>
      <c r="AO20" s="547"/>
      <c r="AP20" s="545"/>
      <c r="AQ20" s="452"/>
      <c r="AR20" s="452"/>
      <c r="AS20" s="452"/>
      <c r="AT20" s="452"/>
      <c r="AU20" s="452"/>
      <c r="AV20" s="452"/>
      <c r="AW20" s="452"/>
      <c r="AX20" s="452"/>
      <c r="AY20" s="452"/>
      <c r="AZ20" s="548"/>
      <c r="BA20" s="547"/>
      <c r="BB20" s="547"/>
      <c r="BC20" s="547"/>
      <c r="BD20" s="547"/>
      <c r="BE20" s="556"/>
      <c r="BF20" s="557"/>
      <c r="BG20" s="557"/>
      <c r="BH20" s="557"/>
      <c r="BI20" s="558"/>
    </row>
    <row r="21" spans="1:61" ht="14.4">
      <c r="A21" s="348">
        <f t="shared" si="0"/>
        <v>16</v>
      </c>
      <c r="B21" s="464"/>
      <c r="C21" s="542"/>
      <c r="D21" s="543"/>
      <c r="E21" s="543"/>
      <c r="F21" s="543"/>
      <c r="G21" s="543"/>
      <c r="H21" s="543"/>
      <c r="I21" s="543"/>
      <c r="J21" s="543"/>
      <c r="K21" s="543"/>
      <c r="L21" s="543"/>
      <c r="M21" s="543"/>
      <c r="N21" s="543"/>
      <c r="O21" s="543"/>
      <c r="P21" s="544"/>
      <c r="Q21" s="542"/>
      <c r="R21" s="543"/>
      <c r="S21" s="543"/>
      <c r="T21" s="543"/>
      <c r="U21" s="543"/>
      <c r="V21" s="543"/>
      <c r="W21" s="543"/>
      <c r="X21" s="543"/>
      <c r="Y21" s="543"/>
      <c r="Z21" s="543"/>
      <c r="AA21" s="543"/>
      <c r="AB21" s="543"/>
      <c r="AC21" s="543"/>
      <c r="AD21" s="543"/>
      <c r="AE21" s="544"/>
      <c r="AF21" s="545"/>
      <c r="AG21" s="452"/>
      <c r="AH21" s="452"/>
      <c r="AI21" s="452"/>
      <c r="AJ21" s="452"/>
      <c r="AK21" s="547"/>
      <c r="AL21" s="547"/>
      <c r="AM21" s="547"/>
      <c r="AN21" s="547"/>
      <c r="AO21" s="547"/>
      <c r="AP21" s="545"/>
      <c r="AQ21" s="452"/>
      <c r="AR21" s="452"/>
      <c r="AS21" s="452"/>
      <c r="AT21" s="452"/>
      <c r="AU21" s="452"/>
      <c r="AV21" s="452"/>
      <c r="AW21" s="452"/>
      <c r="AX21" s="452"/>
      <c r="AY21" s="452"/>
      <c r="AZ21" s="545"/>
      <c r="BA21" s="452"/>
      <c r="BB21" s="452"/>
      <c r="BC21" s="452"/>
      <c r="BD21" s="452"/>
      <c r="BE21" s="556"/>
      <c r="BF21" s="557"/>
      <c r="BG21" s="557"/>
      <c r="BH21" s="557"/>
      <c r="BI21" s="558"/>
    </row>
    <row r="22" spans="1:61" ht="14.4">
      <c r="A22" s="348">
        <f t="shared" si="0"/>
        <v>17</v>
      </c>
      <c r="B22" s="464"/>
      <c r="C22" s="542"/>
      <c r="D22" s="543"/>
      <c r="E22" s="543"/>
      <c r="F22" s="543"/>
      <c r="G22" s="543"/>
      <c r="H22" s="543"/>
      <c r="I22" s="543"/>
      <c r="J22" s="543"/>
      <c r="K22" s="543"/>
      <c r="L22" s="543"/>
      <c r="M22" s="543"/>
      <c r="N22" s="543"/>
      <c r="O22" s="543"/>
      <c r="P22" s="544"/>
      <c r="Q22" s="542"/>
      <c r="R22" s="543"/>
      <c r="S22" s="543"/>
      <c r="T22" s="543"/>
      <c r="U22" s="543"/>
      <c r="V22" s="543"/>
      <c r="W22" s="543"/>
      <c r="X22" s="543"/>
      <c r="Y22" s="543"/>
      <c r="Z22" s="543"/>
      <c r="AA22" s="543"/>
      <c r="AB22" s="543"/>
      <c r="AC22" s="543"/>
      <c r="AD22" s="543"/>
      <c r="AE22" s="544"/>
      <c r="AF22" s="545"/>
      <c r="AG22" s="452"/>
      <c r="AH22" s="452"/>
      <c r="AI22" s="452"/>
      <c r="AJ22" s="452"/>
      <c r="AK22" s="547"/>
      <c r="AL22" s="547"/>
      <c r="AM22" s="547"/>
      <c r="AN22" s="547"/>
      <c r="AO22" s="547"/>
      <c r="AP22" s="545"/>
      <c r="AQ22" s="452"/>
      <c r="AR22" s="452"/>
      <c r="AS22" s="452"/>
      <c r="AT22" s="452"/>
      <c r="AU22" s="452"/>
      <c r="AV22" s="452"/>
      <c r="AW22" s="452"/>
      <c r="AX22" s="452"/>
      <c r="AY22" s="452"/>
      <c r="AZ22" s="545"/>
      <c r="BA22" s="452"/>
      <c r="BB22" s="452"/>
      <c r="BC22" s="452"/>
      <c r="BD22" s="452"/>
      <c r="BE22" s="556"/>
      <c r="BF22" s="557"/>
      <c r="BG22" s="557"/>
      <c r="BH22" s="557"/>
      <c r="BI22" s="558"/>
    </row>
    <row r="23" spans="1:61" ht="14.4">
      <c r="A23" s="348">
        <f t="shared" si="0"/>
        <v>18</v>
      </c>
      <c r="B23" s="464"/>
      <c r="C23" s="542"/>
      <c r="D23" s="543"/>
      <c r="E23" s="543"/>
      <c r="F23" s="543"/>
      <c r="G23" s="543"/>
      <c r="H23" s="543"/>
      <c r="I23" s="543"/>
      <c r="J23" s="543"/>
      <c r="K23" s="543"/>
      <c r="L23" s="543"/>
      <c r="M23" s="543"/>
      <c r="N23" s="543"/>
      <c r="O23" s="543"/>
      <c r="P23" s="544"/>
      <c r="Q23" s="542"/>
      <c r="R23" s="543"/>
      <c r="S23" s="543"/>
      <c r="T23" s="543"/>
      <c r="U23" s="543"/>
      <c r="V23" s="543"/>
      <c r="W23" s="543"/>
      <c r="X23" s="543"/>
      <c r="Y23" s="543"/>
      <c r="Z23" s="543"/>
      <c r="AA23" s="543"/>
      <c r="AB23" s="543"/>
      <c r="AC23" s="543"/>
      <c r="AD23" s="543"/>
      <c r="AE23" s="544"/>
      <c r="AF23" s="545"/>
      <c r="AG23" s="452"/>
      <c r="AH23" s="452"/>
      <c r="AI23" s="452"/>
      <c r="AJ23" s="452"/>
      <c r="AK23" s="547"/>
      <c r="AL23" s="547"/>
      <c r="AM23" s="547"/>
      <c r="AN23" s="547"/>
      <c r="AO23" s="547"/>
      <c r="AP23" s="545"/>
      <c r="AQ23" s="452"/>
      <c r="AR23" s="452"/>
      <c r="AS23" s="452"/>
      <c r="AT23" s="452"/>
      <c r="AU23" s="452"/>
      <c r="AV23" s="452"/>
      <c r="AW23" s="452"/>
      <c r="AX23" s="452"/>
      <c r="AY23" s="452"/>
      <c r="AZ23" s="545"/>
      <c r="BA23" s="452"/>
      <c r="BB23" s="452"/>
      <c r="BC23" s="452"/>
      <c r="BD23" s="452"/>
      <c r="BE23" s="556"/>
      <c r="BF23" s="557"/>
      <c r="BG23" s="557"/>
      <c r="BH23" s="557"/>
      <c r="BI23" s="558"/>
    </row>
    <row r="24" spans="1:61" ht="14.4">
      <c r="A24" s="348">
        <f t="shared" si="0"/>
        <v>19</v>
      </c>
      <c r="B24" s="464"/>
      <c r="C24" s="542"/>
      <c r="D24" s="543"/>
      <c r="E24" s="543"/>
      <c r="F24" s="543"/>
      <c r="G24" s="543"/>
      <c r="H24" s="543"/>
      <c r="I24" s="543"/>
      <c r="J24" s="543"/>
      <c r="K24" s="543"/>
      <c r="L24" s="543"/>
      <c r="M24" s="543"/>
      <c r="N24" s="543"/>
      <c r="O24" s="543"/>
      <c r="P24" s="544"/>
      <c r="Q24" s="542"/>
      <c r="R24" s="543"/>
      <c r="S24" s="543"/>
      <c r="T24" s="543"/>
      <c r="U24" s="543"/>
      <c r="V24" s="543"/>
      <c r="W24" s="543"/>
      <c r="X24" s="543"/>
      <c r="Y24" s="543"/>
      <c r="Z24" s="543"/>
      <c r="AA24" s="543"/>
      <c r="AB24" s="543"/>
      <c r="AC24" s="543"/>
      <c r="AD24" s="543"/>
      <c r="AE24" s="544"/>
      <c r="AF24" s="545"/>
      <c r="AG24" s="452"/>
      <c r="AH24" s="452"/>
      <c r="AI24" s="452"/>
      <c r="AJ24" s="452"/>
      <c r="AK24" s="547"/>
      <c r="AL24" s="547"/>
      <c r="AM24" s="547"/>
      <c r="AN24" s="547"/>
      <c r="AO24" s="547"/>
      <c r="AP24" s="545"/>
      <c r="AQ24" s="452"/>
      <c r="AR24" s="452"/>
      <c r="AS24" s="452"/>
      <c r="AT24" s="452"/>
      <c r="AU24" s="452"/>
      <c r="AV24" s="452"/>
      <c r="AW24" s="452"/>
      <c r="AX24" s="452"/>
      <c r="AY24" s="452"/>
      <c r="AZ24" s="545"/>
      <c r="BA24" s="452"/>
      <c r="BB24" s="452"/>
      <c r="BC24" s="452"/>
      <c r="BD24" s="452"/>
      <c r="BE24" s="556"/>
      <c r="BF24" s="557"/>
      <c r="BG24" s="557"/>
      <c r="BH24" s="557"/>
      <c r="BI24" s="558"/>
    </row>
    <row r="25" spans="1:61" ht="14.4">
      <c r="A25" s="348">
        <f t="shared" si="0"/>
        <v>20</v>
      </c>
      <c r="B25" s="464"/>
      <c r="C25" s="542"/>
      <c r="D25" s="543"/>
      <c r="E25" s="543"/>
      <c r="F25" s="543"/>
      <c r="G25" s="543"/>
      <c r="H25" s="543"/>
      <c r="I25" s="543"/>
      <c r="J25" s="543"/>
      <c r="K25" s="543"/>
      <c r="L25" s="543"/>
      <c r="M25" s="543"/>
      <c r="N25" s="543"/>
      <c r="O25" s="543"/>
      <c r="P25" s="544"/>
      <c r="Q25" s="542"/>
      <c r="R25" s="543"/>
      <c r="S25" s="543"/>
      <c r="T25" s="543"/>
      <c r="U25" s="543"/>
      <c r="V25" s="543"/>
      <c r="W25" s="543"/>
      <c r="X25" s="543"/>
      <c r="Y25" s="543"/>
      <c r="Z25" s="543"/>
      <c r="AA25" s="543"/>
      <c r="AB25" s="543"/>
      <c r="AC25" s="543"/>
      <c r="AD25" s="543"/>
      <c r="AE25" s="544"/>
      <c r="AF25" s="545"/>
      <c r="AG25" s="452"/>
      <c r="AH25" s="452"/>
      <c r="AI25" s="452"/>
      <c r="AJ25" s="452"/>
      <c r="AK25" s="547"/>
      <c r="AL25" s="547"/>
      <c r="AM25" s="547"/>
      <c r="AN25" s="547"/>
      <c r="AO25" s="547"/>
      <c r="AP25" s="545"/>
      <c r="AQ25" s="452"/>
      <c r="AR25" s="452"/>
      <c r="AS25" s="452"/>
      <c r="AT25" s="452"/>
      <c r="AU25" s="452"/>
      <c r="AV25" s="452"/>
      <c r="AW25" s="452"/>
      <c r="AX25" s="452"/>
      <c r="AY25" s="452"/>
      <c r="AZ25" s="545"/>
      <c r="BA25" s="452"/>
      <c r="BB25" s="452"/>
      <c r="BC25" s="452"/>
      <c r="BD25" s="452"/>
      <c r="BE25" s="556"/>
      <c r="BF25" s="557"/>
      <c r="BG25" s="557"/>
      <c r="BH25" s="557"/>
      <c r="BI25" s="558"/>
    </row>
    <row r="26" spans="1:61" ht="14.4">
      <c r="A26" s="348">
        <f t="shared" si="0"/>
        <v>21</v>
      </c>
      <c r="B26" s="464"/>
      <c r="C26" s="542"/>
      <c r="D26" s="543"/>
      <c r="E26" s="543"/>
      <c r="F26" s="543"/>
      <c r="G26" s="543"/>
      <c r="H26" s="543"/>
      <c r="I26" s="543"/>
      <c r="J26" s="543"/>
      <c r="K26" s="543"/>
      <c r="L26" s="543"/>
      <c r="M26" s="543"/>
      <c r="N26" s="543"/>
      <c r="O26" s="543"/>
      <c r="P26" s="544"/>
      <c r="Q26" s="542"/>
      <c r="R26" s="543"/>
      <c r="S26" s="543"/>
      <c r="T26" s="543"/>
      <c r="U26" s="543"/>
      <c r="V26" s="543"/>
      <c r="W26" s="543"/>
      <c r="X26" s="543"/>
      <c r="Y26" s="543"/>
      <c r="Z26" s="543"/>
      <c r="AA26" s="543"/>
      <c r="AB26" s="543"/>
      <c r="AC26" s="543"/>
      <c r="AD26" s="543"/>
      <c r="AE26" s="544"/>
      <c r="AF26" s="545"/>
      <c r="AG26" s="452"/>
      <c r="AH26" s="452"/>
      <c r="AI26" s="452"/>
      <c r="AJ26" s="452"/>
      <c r="AK26" s="443"/>
      <c r="AL26" s="351"/>
      <c r="AM26" s="351"/>
      <c r="AN26" s="351"/>
      <c r="AO26" s="444"/>
      <c r="AP26" s="545"/>
      <c r="AQ26" s="452"/>
      <c r="AR26" s="452"/>
      <c r="AS26" s="452"/>
      <c r="AT26" s="452"/>
      <c r="AU26" s="452"/>
      <c r="AV26" s="452"/>
      <c r="AW26" s="452"/>
      <c r="AX26" s="452"/>
      <c r="AY26" s="452"/>
      <c r="AZ26" s="545"/>
      <c r="BA26" s="452"/>
      <c r="BB26" s="452"/>
      <c r="BC26" s="452"/>
      <c r="BD26" s="452"/>
      <c r="BE26" s="556"/>
      <c r="BF26" s="557"/>
      <c r="BG26" s="557"/>
      <c r="BH26" s="557"/>
      <c r="BI26" s="558"/>
    </row>
    <row r="27" spans="1:61" ht="14.4">
      <c r="A27" s="348">
        <f t="shared" si="0"/>
        <v>22</v>
      </c>
      <c r="B27" s="464"/>
      <c r="C27" s="542"/>
      <c r="D27" s="543"/>
      <c r="E27" s="543"/>
      <c r="F27" s="543"/>
      <c r="G27" s="543"/>
      <c r="H27" s="543"/>
      <c r="I27" s="543"/>
      <c r="J27" s="543"/>
      <c r="K27" s="543"/>
      <c r="L27" s="543"/>
      <c r="M27" s="543"/>
      <c r="N27" s="543"/>
      <c r="O27" s="543"/>
      <c r="P27" s="544"/>
      <c r="Q27" s="542"/>
      <c r="R27" s="543"/>
      <c r="S27" s="543"/>
      <c r="T27" s="543"/>
      <c r="U27" s="543"/>
      <c r="V27" s="543"/>
      <c r="W27" s="543"/>
      <c r="X27" s="543"/>
      <c r="Y27" s="543"/>
      <c r="Z27" s="543"/>
      <c r="AA27" s="543"/>
      <c r="AB27" s="543"/>
      <c r="AC27" s="543"/>
      <c r="AD27" s="543"/>
      <c r="AE27" s="544"/>
      <c r="AF27" s="545"/>
      <c r="AG27" s="452"/>
      <c r="AH27" s="452"/>
      <c r="AI27" s="452"/>
      <c r="AJ27" s="452"/>
      <c r="AK27" s="443"/>
      <c r="AL27" s="351"/>
      <c r="AM27" s="351"/>
      <c r="AN27" s="351"/>
      <c r="AO27" s="444"/>
      <c r="AP27" s="545"/>
      <c r="AQ27" s="452"/>
      <c r="AR27" s="452"/>
      <c r="AS27" s="452"/>
      <c r="AT27" s="452"/>
      <c r="AU27" s="452"/>
      <c r="AV27" s="452"/>
      <c r="AW27" s="452"/>
      <c r="AX27" s="452"/>
      <c r="AY27" s="452"/>
      <c r="AZ27" s="545"/>
      <c r="BA27" s="452"/>
      <c r="BB27" s="452"/>
      <c r="BC27" s="452"/>
      <c r="BD27" s="452"/>
      <c r="BE27" s="556"/>
      <c r="BF27" s="557"/>
      <c r="BG27" s="557"/>
      <c r="BH27" s="557"/>
      <c r="BI27" s="558"/>
    </row>
    <row r="28" spans="1:61" ht="14.4">
      <c r="A28" s="348">
        <f t="shared" si="0"/>
        <v>23</v>
      </c>
      <c r="B28" s="464"/>
      <c r="C28" s="542"/>
      <c r="D28" s="543"/>
      <c r="E28" s="543"/>
      <c r="F28" s="543"/>
      <c r="G28" s="543"/>
      <c r="H28" s="543"/>
      <c r="I28" s="543"/>
      <c r="J28" s="543"/>
      <c r="K28" s="543"/>
      <c r="L28" s="543"/>
      <c r="M28" s="543"/>
      <c r="N28" s="543"/>
      <c r="O28" s="543"/>
      <c r="P28" s="544"/>
      <c r="Q28" s="542"/>
      <c r="R28" s="543"/>
      <c r="S28" s="543"/>
      <c r="T28" s="543"/>
      <c r="U28" s="543"/>
      <c r="V28" s="543"/>
      <c r="W28" s="543"/>
      <c r="X28" s="543"/>
      <c r="Y28" s="543"/>
      <c r="Z28" s="543"/>
      <c r="AA28" s="543"/>
      <c r="AB28" s="543"/>
      <c r="AC28" s="543"/>
      <c r="AD28" s="543"/>
      <c r="AE28" s="544"/>
      <c r="AF28" s="545"/>
      <c r="AG28" s="452"/>
      <c r="AH28" s="452"/>
      <c r="AI28" s="452"/>
      <c r="AJ28" s="452"/>
      <c r="AK28" s="443"/>
      <c r="AL28" s="351"/>
      <c r="AM28" s="351"/>
      <c r="AN28" s="351"/>
      <c r="AO28" s="444"/>
      <c r="AP28" s="545"/>
      <c r="AQ28" s="452"/>
      <c r="AR28" s="452"/>
      <c r="AS28" s="452"/>
      <c r="AT28" s="452"/>
      <c r="AU28" s="452"/>
      <c r="AV28" s="452"/>
      <c r="AW28" s="452"/>
      <c r="AX28" s="452"/>
      <c r="AY28" s="452"/>
      <c r="AZ28" s="545"/>
      <c r="BA28" s="452"/>
      <c r="BB28" s="452"/>
      <c r="BC28" s="452"/>
      <c r="BD28" s="452"/>
      <c r="BE28" s="556"/>
      <c r="BF28" s="557"/>
      <c r="BG28" s="557"/>
      <c r="BH28" s="557"/>
      <c r="BI28" s="558"/>
    </row>
    <row r="29" spans="1:61" ht="14.4">
      <c r="A29" s="348">
        <f t="shared" si="0"/>
        <v>24</v>
      </c>
      <c r="B29" s="464"/>
      <c r="C29" s="542"/>
      <c r="D29" s="543"/>
      <c r="E29" s="543"/>
      <c r="F29" s="543"/>
      <c r="G29" s="543"/>
      <c r="H29" s="543"/>
      <c r="I29" s="543"/>
      <c r="J29" s="543"/>
      <c r="K29" s="543"/>
      <c r="L29" s="543"/>
      <c r="M29" s="543"/>
      <c r="N29" s="543"/>
      <c r="O29" s="543"/>
      <c r="P29" s="544"/>
      <c r="Q29" s="542"/>
      <c r="R29" s="543"/>
      <c r="S29" s="543"/>
      <c r="T29" s="543"/>
      <c r="U29" s="543"/>
      <c r="V29" s="543"/>
      <c r="W29" s="543"/>
      <c r="X29" s="543"/>
      <c r="Y29" s="543"/>
      <c r="Z29" s="543"/>
      <c r="AA29" s="543"/>
      <c r="AB29" s="543"/>
      <c r="AC29" s="543"/>
      <c r="AD29" s="543"/>
      <c r="AE29" s="544"/>
      <c r="AF29" s="545"/>
      <c r="AG29" s="452"/>
      <c r="AH29" s="452"/>
      <c r="AI29" s="452"/>
      <c r="AJ29" s="452"/>
      <c r="AK29" s="443"/>
      <c r="AL29" s="351"/>
      <c r="AM29" s="351"/>
      <c r="AN29" s="351"/>
      <c r="AO29" s="444"/>
      <c r="AP29" s="545"/>
      <c r="AQ29" s="452"/>
      <c r="AR29" s="452"/>
      <c r="AS29" s="452"/>
      <c r="AT29" s="452"/>
      <c r="AU29" s="452"/>
      <c r="AV29" s="452"/>
      <c r="AW29" s="452"/>
      <c r="AX29" s="452"/>
      <c r="AY29" s="452"/>
      <c r="AZ29" s="545"/>
      <c r="BA29" s="452"/>
      <c r="BB29" s="452"/>
      <c r="BC29" s="452"/>
      <c r="BD29" s="452"/>
      <c r="BE29" s="556"/>
      <c r="BF29" s="557"/>
      <c r="BG29" s="557"/>
      <c r="BH29" s="557"/>
      <c r="BI29" s="558"/>
    </row>
    <row r="30" spans="1:61" ht="14.4">
      <c r="A30" s="348">
        <f t="shared" si="0"/>
        <v>25</v>
      </c>
      <c r="B30" s="464"/>
      <c r="C30" s="542"/>
      <c r="D30" s="543"/>
      <c r="E30" s="543"/>
      <c r="F30" s="543"/>
      <c r="G30" s="543"/>
      <c r="H30" s="543"/>
      <c r="I30" s="543"/>
      <c r="J30" s="543"/>
      <c r="K30" s="543"/>
      <c r="L30" s="543"/>
      <c r="M30" s="543"/>
      <c r="N30" s="543"/>
      <c r="O30" s="543"/>
      <c r="P30" s="544"/>
      <c r="Q30" s="542"/>
      <c r="R30" s="543"/>
      <c r="S30" s="543"/>
      <c r="T30" s="543"/>
      <c r="U30" s="543"/>
      <c r="V30" s="543"/>
      <c r="W30" s="543"/>
      <c r="X30" s="543"/>
      <c r="Y30" s="543"/>
      <c r="Z30" s="543"/>
      <c r="AA30" s="543"/>
      <c r="AB30" s="543"/>
      <c r="AC30" s="543"/>
      <c r="AD30" s="543"/>
      <c r="AE30" s="544"/>
      <c r="AF30" s="545"/>
      <c r="AG30" s="452"/>
      <c r="AH30" s="452"/>
      <c r="AI30" s="452"/>
      <c r="AJ30" s="452"/>
      <c r="AK30" s="443"/>
      <c r="AL30" s="351"/>
      <c r="AM30" s="351"/>
      <c r="AN30" s="351"/>
      <c r="AO30" s="444"/>
      <c r="AP30" s="545"/>
      <c r="AQ30" s="452"/>
      <c r="AR30" s="452"/>
      <c r="AS30" s="452"/>
      <c r="AT30" s="452"/>
      <c r="AU30" s="452"/>
      <c r="AV30" s="452"/>
      <c r="AW30" s="452"/>
      <c r="AX30" s="452"/>
      <c r="AY30" s="452"/>
      <c r="AZ30" s="545"/>
      <c r="BA30" s="452"/>
      <c r="BB30" s="452"/>
      <c r="BC30" s="452"/>
      <c r="BD30" s="452"/>
      <c r="BE30" s="556"/>
      <c r="BF30" s="557"/>
      <c r="BG30" s="557"/>
      <c r="BH30" s="557"/>
      <c r="BI30" s="558"/>
    </row>
    <row r="31" spans="1:61" ht="14.4">
      <c r="A31" s="348">
        <f t="shared" si="0"/>
        <v>26</v>
      </c>
      <c r="B31" s="464"/>
      <c r="C31" s="542"/>
      <c r="D31" s="543"/>
      <c r="E31" s="543"/>
      <c r="F31" s="543"/>
      <c r="G31" s="543"/>
      <c r="H31" s="543"/>
      <c r="I31" s="543"/>
      <c r="J31" s="543"/>
      <c r="K31" s="543"/>
      <c r="L31" s="543"/>
      <c r="M31" s="543"/>
      <c r="N31" s="543"/>
      <c r="O31" s="543"/>
      <c r="P31" s="544"/>
      <c r="Q31" s="542"/>
      <c r="R31" s="543"/>
      <c r="S31" s="543"/>
      <c r="T31" s="543"/>
      <c r="U31" s="543"/>
      <c r="V31" s="543"/>
      <c r="W31" s="543"/>
      <c r="X31" s="543"/>
      <c r="Y31" s="543"/>
      <c r="Z31" s="543"/>
      <c r="AA31" s="543"/>
      <c r="AB31" s="543"/>
      <c r="AC31" s="543"/>
      <c r="AD31" s="543"/>
      <c r="AE31" s="544"/>
      <c r="AF31" s="545"/>
      <c r="AG31" s="452"/>
      <c r="AH31" s="452"/>
      <c r="AI31" s="452"/>
      <c r="AJ31" s="452"/>
      <c r="AK31" s="443"/>
      <c r="AL31" s="351"/>
      <c r="AM31" s="351"/>
      <c r="AN31" s="351"/>
      <c r="AO31" s="444"/>
      <c r="AP31" s="545"/>
      <c r="AQ31" s="452"/>
      <c r="AR31" s="452"/>
      <c r="AS31" s="452"/>
      <c r="AT31" s="452"/>
      <c r="AU31" s="452"/>
      <c r="AV31" s="452"/>
      <c r="AW31" s="452"/>
      <c r="AX31" s="452"/>
      <c r="AY31" s="452"/>
      <c r="AZ31" s="545"/>
      <c r="BA31" s="452"/>
      <c r="BB31" s="452"/>
      <c r="BC31" s="452"/>
      <c r="BD31" s="452"/>
      <c r="BE31" s="556"/>
      <c r="BF31" s="557"/>
      <c r="BG31" s="557"/>
      <c r="BH31" s="557"/>
      <c r="BI31" s="558"/>
    </row>
    <row r="32" spans="1:61" ht="14.4">
      <c r="A32" s="348">
        <f t="shared" si="0"/>
        <v>27</v>
      </c>
      <c r="B32" s="464"/>
      <c r="C32" s="542"/>
      <c r="D32" s="543"/>
      <c r="E32" s="543"/>
      <c r="F32" s="543"/>
      <c r="G32" s="543"/>
      <c r="H32" s="543"/>
      <c r="I32" s="543"/>
      <c r="J32" s="543"/>
      <c r="K32" s="543"/>
      <c r="L32" s="543"/>
      <c r="M32" s="543"/>
      <c r="N32" s="543"/>
      <c r="O32" s="543"/>
      <c r="P32" s="544"/>
      <c r="Q32" s="542"/>
      <c r="R32" s="543"/>
      <c r="S32" s="543"/>
      <c r="T32" s="543"/>
      <c r="U32" s="543"/>
      <c r="V32" s="543"/>
      <c r="W32" s="543"/>
      <c r="X32" s="543"/>
      <c r="Y32" s="543"/>
      <c r="Z32" s="543"/>
      <c r="AA32" s="543"/>
      <c r="AB32" s="543"/>
      <c r="AC32" s="543"/>
      <c r="AD32" s="543"/>
      <c r="AE32" s="544"/>
      <c r="AF32" s="545"/>
      <c r="AG32" s="452"/>
      <c r="AH32" s="452"/>
      <c r="AI32" s="452"/>
      <c r="AJ32" s="452"/>
      <c r="AK32" s="443"/>
      <c r="AL32" s="351"/>
      <c r="AM32" s="351"/>
      <c r="AN32" s="351"/>
      <c r="AO32" s="444"/>
      <c r="AP32" s="545"/>
      <c r="AQ32" s="452"/>
      <c r="AR32" s="452"/>
      <c r="AS32" s="452"/>
      <c r="AT32" s="452"/>
      <c r="AU32" s="452"/>
      <c r="AV32" s="452"/>
      <c r="AW32" s="452"/>
      <c r="AX32" s="452"/>
      <c r="AY32" s="452"/>
      <c r="AZ32" s="545"/>
      <c r="BA32" s="452"/>
      <c r="BB32" s="452"/>
      <c r="BC32" s="452"/>
      <c r="BD32" s="452"/>
      <c r="BE32" s="556"/>
      <c r="BF32" s="557"/>
      <c r="BG32" s="557"/>
      <c r="BH32" s="557"/>
      <c r="BI32" s="558"/>
    </row>
    <row r="33" spans="1:61" ht="14.4">
      <c r="A33" s="348">
        <f t="shared" si="0"/>
        <v>28</v>
      </c>
      <c r="B33" s="464"/>
      <c r="C33" s="542"/>
      <c r="D33" s="543"/>
      <c r="E33" s="543"/>
      <c r="F33" s="543"/>
      <c r="G33" s="543"/>
      <c r="H33" s="543"/>
      <c r="I33" s="543"/>
      <c r="J33" s="543"/>
      <c r="K33" s="543"/>
      <c r="L33" s="543"/>
      <c r="M33" s="543"/>
      <c r="N33" s="543"/>
      <c r="O33" s="543"/>
      <c r="P33" s="544"/>
      <c r="Q33" s="542"/>
      <c r="R33" s="543"/>
      <c r="S33" s="543"/>
      <c r="T33" s="543"/>
      <c r="U33" s="543"/>
      <c r="V33" s="543"/>
      <c r="W33" s="543"/>
      <c r="X33" s="543"/>
      <c r="Y33" s="543"/>
      <c r="Z33" s="543"/>
      <c r="AA33" s="543"/>
      <c r="AB33" s="543"/>
      <c r="AC33" s="543"/>
      <c r="AD33" s="543"/>
      <c r="AE33" s="544"/>
      <c r="AF33" s="545"/>
      <c r="AG33" s="452"/>
      <c r="AH33" s="452"/>
      <c r="AI33" s="452"/>
      <c r="AJ33" s="452"/>
      <c r="AK33" s="546"/>
      <c r="AL33" s="546"/>
      <c r="AM33" s="546"/>
      <c r="AN33" s="546"/>
      <c r="AO33" s="546"/>
      <c r="AP33" s="545"/>
      <c r="AQ33" s="452"/>
      <c r="AR33" s="452"/>
      <c r="AS33" s="452"/>
      <c r="AT33" s="452"/>
      <c r="AU33" s="452"/>
      <c r="AV33" s="452"/>
      <c r="AW33" s="452"/>
      <c r="AX33" s="452"/>
      <c r="AY33" s="452"/>
      <c r="AZ33" s="545"/>
      <c r="BA33" s="452"/>
      <c r="BB33" s="452"/>
      <c r="BC33" s="452"/>
      <c r="BD33" s="452"/>
      <c r="BE33" s="556"/>
      <c r="BF33" s="557"/>
      <c r="BG33" s="557"/>
      <c r="BH33" s="557"/>
      <c r="BI33" s="558"/>
    </row>
    <row r="34" spans="1:61" ht="14.4">
      <c r="A34" s="348">
        <f t="shared" si="0"/>
        <v>29</v>
      </c>
      <c r="B34" s="464"/>
      <c r="C34" s="542"/>
      <c r="D34" s="543"/>
      <c r="E34" s="543"/>
      <c r="F34" s="543"/>
      <c r="G34" s="543"/>
      <c r="H34" s="543"/>
      <c r="I34" s="543"/>
      <c r="J34" s="543"/>
      <c r="K34" s="543"/>
      <c r="L34" s="543"/>
      <c r="M34" s="543"/>
      <c r="N34" s="543"/>
      <c r="O34" s="543"/>
      <c r="P34" s="544"/>
      <c r="Q34" s="542"/>
      <c r="R34" s="543"/>
      <c r="S34" s="543"/>
      <c r="T34" s="543"/>
      <c r="U34" s="543"/>
      <c r="V34" s="543"/>
      <c r="W34" s="543"/>
      <c r="X34" s="543"/>
      <c r="Y34" s="543"/>
      <c r="Z34" s="543"/>
      <c r="AA34" s="543"/>
      <c r="AB34" s="543"/>
      <c r="AC34" s="543"/>
      <c r="AD34" s="543"/>
      <c r="AE34" s="544"/>
      <c r="AF34" s="545"/>
      <c r="AG34" s="452"/>
      <c r="AH34" s="452"/>
      <c r="AI34" s="452"/>
      <c r="AJ34" s="452"/>
      <c r="AK34" s="452"/>
      <c r="AL34" s="452"/>
      <c r="AM34" s="452"/>
      <c r="AN34" s="452"/>
      <c r="AO34" s="452"/>
      <c r="AP34" s="545"/>
      <c r="AQ34" s="452"/>
      <c r="AR34" s="452"/>
      <c r="AS34" s="452"/>
      <c r="AT34" s="452"/>
      <c r="AU34" s="452"/>
      <c r="AV34" s="452"/>
      <c r="AW34" s="452"/>
      <c r="AX34" s="452"/>
      <c r="AY34" s="452"/>
      <c r="AZ34" s="545"/>
      <c r="BA34" s="452"/>
      <c r="BB34" s="452"/>
      <c r="BC34" s="452"/>
      <c r="BD34" s="452"/>
      <c r="BE34" s="556"/>
      <c r="BF34" s="557"/>
      <c r="BG34" s="557"/>
      <c r="BH34" s="557"/>
      <c r="BI34" s="558"/>
    </row>
    <row r="35" spans="1:61" ht="14.4">
      <c r="A35" s="348">
        <f t="shared" si="0"/>
        <v>30</v>
      </c>
      <c r="B35" s="464"/>
      <c r="C35" s="542"/>
      <c r="D35" s="543"/>
      <c r="E35" s="543"/>
      <c r="F35" s="543"/>
      <c r="G35" s="543"/>
      <c r="H35" s="543"/>
      <c r="I35" s="543"/>
      <c r="J35" s="543"/>
      <c r="K35" s="543"/>
      <c r="L35" s="543"/>
      <c r="M35" s="543"/>
      <c r="N35" s="543"/>
      <c r="O35" s="543"/>
      <c r="P35" s="544"/>
      <c r="Q35" s="542"/>
      <c r="R35" s="543"/>
      <c r="S35" s="543"/>
      <c r="T35" s="543"/>
      <c r="U35" s="543"/>
      <c r="V35" s="543"/>
      <c r="W35" s="543"/>
      <c r="X35" s="543"/>
      <c r="Y35" s="543"/>
      <c r="Z35" s="543"/>
      <c r="AA35" s="543"/>
      <c r="AB35" s="543"/>
      <c r="AC35" s="543"/>
      <c r="AD35" s="543"/>
      <c r="AE35" s="544"/>
      <c r="AF35" s="545"/>
      <c r="AG35" s="452"/>
      <c r="AH35" s="452"/>
      <c r="AI35" s="452"/>
      <c r="AJ35" s="452"/>
      <c r="AK35" s="452"/>
      <c r="AL35" s="452"/>
      <c r="AM35" s="452"/>
      <c r="AN35" s="452"/>
      <c r="AO35" s="452"/>
      <c r="AP35" s="545"/>
      <c r="AQ35" s="452"/>
      <c r="AR35" s="452"/>
      <c r="AS35" s="452"/>
      <c r="AT35" s="452"/>
      <c r="AU35" s="452"/>
      <c r="AV35" s="452"/>
      <c r="AW35" s="452"/>
      <c r="AX35" s="452"/>
      <c r="AY35" s="452"/>
      <c r="AZ35" s="545"/>
      <c r="BA35" s="452"/>
      <c r="BB35" s="452"/>
      <c r="BC35" s="452"/>
      <c r="BD35" s="452"/>
      <c r="BE35" s="556"/>
      <c r="BF35" s="557"/>
      <c r="BG35" s="557"/>
      <c r="BH35" s="557"/>
      <c r="BI35" s="558"/>
    </row>
    <row r="36" spans="1:61" ht="14.4">
      <c r="A36" s="348">
        <f t="shared" si="0"/>
        <v>31</v>
      </c>
      <c r="B36" s="464"/>
      <c r="C36" s="542"/>
      <c r="D36" s="543"/>
      <c r="E36" s="543"/>
      <c r="F36" s="543"/>
      <c r="G36" s="543"/>
      <c r="H36" s="543"/>
      <c r="I36" s="543"/>
      <c r="J36" s="543"/>
      <c r="K36" s="543"/>
      <c r="L36" s="543"/>
      <c r="M36" s="543"/>
      <c r="N36" s="543"/>
      <c r="O36" s="543"/>
      <c r="P36" s="544"/>
      <c r="Q36" s="542"/>
      <c r="R36" s="543"/>
      <c r="S36" s="543"/>
      <c r="T36" s="543"/>
      <c r="U36" s="543"/>
      <c r="V36" s="543"/>
      <c r="W36" s="543"/>
      <c r="X36" s="543"/>
      <c r="Y36" s="543"/>
      <c r="Z36" s="543"/>
      <c r="AA36" s="543"/>
      <c r="AB36" s="543"/>
      <c r="AC36" s="543"/>
      <c r="AD36" s="543"/>
      <c r="AE36" s="544"/>
      <c r="AF36" s="545"/>
      <c r="AG36" s="452"/>
      <c r="AH36" s="452"/>
      <c r="AI36" s="452"/>
      <c r="AJ36" s="452"/>
      <c r="AK36" s="452"/>
      <c r="AL36" s="452"/>
      <c r="AM36" s="452"/>
      <c r="AN36" s="452"/>
      <c r="AO36" s="452"/>
      <c r="AP36" s="545"/>
      <c r="AQ36" s="452"/>
      <c r="AR36" s="452"/>
      <c r="AS36" s="452"/>
      <c r="AT36" s="452"/>
      <c r="AU36" s="452"/>
      <c r="AV36" s="452"/>
      <c r="AW36" s="452"/>
      <c r="AX36" s="452"/>
      <c r="AY36" s="452"/>
      <c r="AZ36" s="545"/>
      <c r="BA36" s="452"/>
      <c r="BB36" s="452"/>
      <c r="BC36" s="452"/>
      <c r="BD36" s="452"/>
      <c r="BE36" s="556"/>
      <c r="BF36" s="557"/>
      <c r="BG36" s="557"/>
      <c r="BH36" s="557"/>
      <c r="BI36" s="558"/>
    </row>
    <row r="37" spans="1:61" ht="14.4">
      <c r="A37" s="348">
        <f t="shared" si="0"/>
        <v>32</v>
      </c>
      <c r="B37" s="464"/>
      <c r="C37" s="542"/>
      <c r="D37" s="543"/>
      <c r="E37" s="543"/>
      <c r="F37" s="543"/>
      <c r="G37" s="543"/>
      <c r="H37" s="543"/>
      <c r="I37" s="543"/>
      <c r="J37" s="543"/>
      <c r="K37" s="543"/>
      <c r="L37" s="543"/>
      <c r="M37" s="543"/>
      <c r="N37" s="543"/>
      <c r="O37" s="543"/>
      <c r="P37" s="544"/>
      <c r="Q37" s="542"/>
      <c r="R37" s="543"/>
      <c r="S37" s="543"/>
      <c r="T37" s="543"/>
      <c r="U37" s="543"/>
      <c r="V37" s="543"/>
      <c r="W37" s="543"/>
      <c r="X37" s="543"/>
      <c r="Y37" s="543"/>
      <c r="Z37" s="543"/>
      <c r="AA37" s="543"/>
      <c r="AB37" s="543"/>
      <c r="AC37" s="543"/>
      <c r="AD37" s="543"/>
      <c r="AE37" s="544"/>
      <c r="AF37" s="545"/>
      <c r="AG37" s="452"/>
      <c r="AH37" s="452"/>
      <c r="AI37" s="452"/>
      <c r="AJ37" s="452"/>
      <c r="AK37" s="452"/>
      <c r="AL37" s="452"/>
      <c r="AM37" s="452"/>
      <c r="AN37" s="452"/>
      <c r="AO37" s="452"/>
      <c r="AP37" s="545"/>
      <c r="AQ37" s="452"/>
      <c r="AR37" s="452"/>
      <c r="AS37" s="452"/>
      <c r="AT37" s="452"/>
      <c r="AU37" s="452"/>
      <c r="AV37" s="452"/>
      <c r="AW37" s="452"/>
      <c r="AX37" s="452"/>
      <c r="AY37" s="452"/>
      <c r="AZ37" s="545"/>
      <c r="BA37" s="452"/>
      <c r="BB37" s="452"/>
      <c r="BC37" s="452"/>
      <c r="BD37" s="452"/>
      <c r="BE37" s="556"/>
      <c r="BF37" s="557"/>
      <c r="BG37" s="557"/>
      <c r="BH37" s="557"/>
      <c r="BI37" s="558"/>
    </row>
    <row r="38" spans="1:61" ht="14.4">
      <c r="A38" s="348">
        <f t="shared" si="0"/>
        <v>33</v>
      </c>
      <c r="B38" s="464"/>
      <c r="C38" s="542"/>
      <c r="D38" s="543"/>
      <c r="E38" s="543"/>
      <c r="F38" s="543"/>
      <c r="G38" s="543"/>
      <c r="H38" s="543"/>
      <c r="I38" s="543"/>
      <c r="J38" s="543"/>
      <c r="K38" s="543"/>
      <c r="L38" s="543"/>
      <c r="M38" s="543"/>
      <c r="N38" s="543"/>
      <c r="O38" s="543"/>
      <c r="P38" s="544"/>
      <c r="Q38" s="542"/>
      <c r="R38" s="543"/>
      <c r="S38" s="543"/>
      <c r="T38" s="543"/>
      <c r="U38" s="543"/>
      <c r="V38" s="543"/>
      <c r="W38" s="543"/>
      <c r="X38" s="543"/>
      <c r="Y38" s="543"/>
      <c r="Z38" s="543"/>
      <c r="AA38" s="543"/>
      <c r="AB38" s="543"/>
      <c r="AC38" s="543"/>
      <c r="AD38" s="543"/>
      <c r="AE38" s="544"/>
      <c r="AF38" s="545"/>
      <c r="AG38" s="452"/>
      <c r="AH38" s="452"/>
      <c r="AI38" s="452"/>
      <c r="AJ38" s="452"/>
      <c r="AK38" s="452"/>
      <c r="AL38" s="452"/>
      <c r="AM38" s="452"/>
      <c r="AN38" s="452"/>
      <c r="AO38" s="452"/>
      <c r="AP38" s="545"/>
      <c r="AQ38" s="452"/>
      <c r="AR38" s="452"/>
      <c r="AS38" s="452"/>
      <c r="AT38" s="452"/>
      <c r="AU38" s="452"/>
      <c r="AV38" s="452"/>
      <c r="AW38" s="452"/>
      <c r="AX38" s="452"/>
      <c r="AY38" s="452"/>
      <c r="AZ38" s="545"/>
      <c r="BA38" s="452"/>
      <c r="BB38" s="452"/>
      <c r="BC38" s="452"/>
      <c r="BD38" s="452"/>
      <c r="BE38" s="556"/>
      <c r="BF38" s="557"/>
      <c r="BG38" s="557"/>
      <c r="BH38" s="557"/>
      <c r="BI38" s="558"/>
    </row>
    <row r="39" spans="1:61" ht="14.4">
      <c r="A39" s="348">
        <f t="shared" si="0"/>
        <v>34</v>
      </c>
      <c r="B39" s="464"/>
      <c r="C39" s="542"/>
      <c r="D39" s="543"/>
      <c r="E39" s="543"/>
      <c r="F39" s="543"/>
      <c r="G39" s="543"/>
      <c r="H39" s="543"/>
      <c r="I39" s="543"/>
      <c r="J39" s="543"/>
      <c r="K39" s="543"/>
      <c r="L39" s="543"/>
      <c r="M39" s="543"/>
      <c r="N39" s="543"/>
      <c r="O39" s="543"/>
      <c r="P39" s="544"/>
      <c r="Q39" s="542"/>
      <c r="R39" s="543"/>
      <c r="S39" s="543"/>
      <c r="T39" s="543"/>
      <c r="U39" s="543"/>
      <c r="V39" s="543"/>
      <c r="W39" s="543"/>
      <c r="X39" s="543"/>
      <c r="Y39" s="543"/>
      <c r="Z39" s="543"/>
      <c r="AA39" s="543"/>
      <c r="AB39" s="543"/>
      <c r="AC39" s="543"/>
      <c r="AD39" s="543"/>
      <c r="AE39" s="544"/>
      <c r="AF39" s="545"/>
      <c r="AG39" s="452"/>
      <c r="AH39" s="452"/>
      <c r="AI39" s="452"/>
      <c r="AJ39" s="452"/>
      <c r="AK39" s="452"/>
      <c r="AL39" s="452"/>
      <c r="AM39" s="452"/>
      <c r="AN39" s="452"/>
      <c r="AO39" s="452"/>
      <c r="AP39" s="545"/>
      <c r="AQ39" s="452"/>
      <c r="AR39" s="452"/>
      <c r="AS39" s="452"/>
      <c r="AT39" s="452"/>
      <c r="AU39" s="452"/>
      <c r="AV39" s="452"/>
      <c r="AW39" s="452"/>
      <c r="AX39" s="452"/>
      <c r="AY39" s="452"/>
      <c r="AZ39" s="545"/>
      <c r="BA39" s="452"/>
      <c r="BB39" s="452"/>
      <c r="BC39" s="452"/>
      <c r="BD39" s="452"/>
      <c r="BE39" s="556"/>
      <c r="BF39" s="557"/>
      <c r="BG39" s="557"/>
      <c r="BH39" s="557"/>
      <c r="BI39" s="558"/>
    </row>
    <row r="40" spans="1:61" thickBot="1">
      <c r="A40" s="339">
        <f t="shared" si="0"/>
        <v>35</v>
      </c>
      <c r="B40" s="485"/>
      <c r="C40" s="539"/>
      <c r="D40" s="540"/>
      <c r="E40" s="540"/>
      <c r="F40" s="540"/>
      <c r="G40" s="540"/>
      <c r="H40" s="540"/>
      <c r="I40" s="540"/>
      <c r="J40" s="540"/>
      <c r="K40" s="540"/>
      <c r="L40" s="540"/>
      <c r="M40" s="540"/>
      <c r="N40" s="540"/>
      <c r="O40" s="540"/>
      <c r="P40" s="541"/>
      <c r="Q40" s="539"/>
      <c r="R40" s="540"/>
      <c r="S40" s="540"/>
      <c r="T40" s="540"/>
      <c r="U40" s="540"/>
      <c r="V40" s="540"/>
      <c r="W40" s="540"/>
      <c r="X40" s="540"/>
      <c r="Y40" s="540"/>
      <c r="Z40" s="540"/>
      <c r="AA40" s="540"/>
      <c r="AB40" s="540"/>
      <c r="AC40" s="540"/>
      <c r="AD40" s="540"/>
      <c r="AE40" s="541"/>
      <c r="AF40" s="538"/>
      <c r="AG40" s="488"/>
      <c r="AH40" s="488"/>
      <c r="AI40" s="488"/>
      <c r="AJ40" s="488"/>
      <c r="AK40" s="488"/>
      <c r="AL40" s="488"/>
      <c r="AM40" s="488"/>
      <c r="AN40" s="488"/>
      <c r="AO40" s="488"/>
      <c r="AP40" s="538"/>
      <c r="AQ40" s="488"/>
      <c r="AR40" s="488"/>
      <c r="AS40" s="488"/>
      <c r="AT40" s="488"/>
      <c r="AU40" s="488"/>
      <c r="AV40" s="488"/>
      <c r="AW40" s="488"/>
      <c r="AX40" s="488"/>
      <c r="AY40" s="488"/>
      <c r="AZ40" s="538"/>
      <c r="BA40" s="488"/>
      <c r="BB40" s="488"/>
      <c r="BC40" s="488"/>
      <c r="BD40" s="488"/>
      <c r="BE40" s="559"/>
      <c r="BF40" s="560"/>
      <c r="BG40" s="560"/>
      <c r="BH40" s="560"/>
      <c r="BI40" s="561"/>
    </row>
  </sheetData>
  <mergeCells count="341">
    <mergeCell ref="AF37:AJ37"/>
    <mergeCell ref="AK37:AO37"/>
    <mergeCell ref="AP37:AT37"/>
    <mergeCell ref="AU37:AY37"/>
    <mergeCell ref="AZ37:BD37"/>
    <mergeCell ref="BE37:BI37"/>
    <mergeCell ref="Q26:AE26"/>
    <mergeCell ref="Q27:AE27"/>
    <mergeCell ref="Q28:AE28"/>
    <mergeCell ref="Q29:AE29"/>
    <mergeCell ref="Q30:AE30"/>
    <mergeCell ref="Q31:AE31"/>
    <mergeCell ref="Q32:AE32"/>
    <mergeCell ref="Q33:AE33"/>
    <mergeCell ref="AF31:AJ31"/>
    <mergeCell ref="AK31:AO31"/>
    <mergeCell ref="AP31:AT31"/>
    <mergeCell ref="AU31:AY31"/>
    <mergeCell ref="AZ31:BD31"/>
    <mergeCell ref="AF30:AJ30"/>
    <mergeCell ref="AK30:AO30"/>
    <mergeCell ref="AP30:AT30"/>
    <mergeCell ref="AU30:AY30"/>
    <mergeCell ref="AZ30:BD30"/>
    <mergeCell ref="A37:B37"/>
    <mergeCell ref="C37:P37"/>
    <mergeCell ref="Q37:AE37"/>
    <mergeCell ref="Q6:AE6"/>
    <mergeCell ref="Q7:AE7"/>
    <mergeCell ref="Q8:AE8"/>
    <mergeCell ref="Q9:AE9"/>
    <mergeCell ref="Q10:AE10"/>
    <mergeCell ref="Q11:AE11"/>
    <mergeCell ref="Q12:AE12"/>
    <mergeCell ref="Q13:AE13"/>
    <mergeCell ref="Q25:AE25"/>
    <mergeCell ref="A31:B31"/>
    <mergeCell ref="C31:P31"/>
    <mergeCell ref="A30:B30"/>
    <mergeCell ref="C30:P30"/>
    <mergeCell ref="A8:B8"/>
    <mergeCell ref="C8:P8"/>
    <mergeCell ref="A14:B14"/>
    <mergeCell ref="C14:P14"/>
    <mergeCell ref="A15:B15"/>
    <mergeCell ref="C15:P15"/>
    <mergeCell ref="A19:B19"/>
    <mergeCell ref="C19:P19"/>
    <mergeCell ref="BE38:BI38"/>
    <mergeCell ref="BE39:BI39"/>
    <mergeCell ref="BE40:BI40"/>
    <mergeCell ref="BE23:BI23"/>
    <mergeCell ref="BE24:BI24"/>
    <mergeCell ref="BE25:BI25"/>
    <mergeCell ref="BE26:BI26"/>
    <mergeCell ref="BE27:BI27"/>
    <mergeCell ref="BE28:BI28"/>
    <mergeCell ref="BE29:BI29"/>
    <mergeCell ref="BE30:BI30"/>
    <mergeCell ref="BE31:BI31"/>
    <mergeCell ref="BE19:BI19"/>
    <mergeCell ref="BE20:BI20"/>
    <mergeCell ref="BE21:BI21"/>
    <mergeCell ref="BE22:BI22"/>
    <mergeCell ref="BE32:BI32"/>
    <mergeCell ref="BE33:BI33"/>
    <mergeCell ref="BE34:BI34"/>
    <mergeCell ref="BE35:BI35"/>
    <mergeCell ref="BE36:BI36"/>
    <mergeCell ref="AU29:AY29"/>
    <mergeCell ref="AZ29:BD29"/>
    <mergeCell ref="A28:B28"/>
    <mergeCell ref="C28:P28"/>
    <mergeCell ref="AF28:AJ28"/>
    <mergeCell ref="AK28:AO28"/>
    <mergeCell ref="AP28:AT28"/>
    <mergeCell ref="AU28:AY28"/>
    <mergeCell ref="AZ28:BD28"/>
    <mergeCell ref="Q5:AE5"/>
    <mergeCell ref="BE5:BI5"/>
    <mergeCell ref="AU26:AY26"/>
    <mergeCell ref="AZ26:BD26"/>
    <mergeCell ref="A27:B27"/>
    <mergeCell ref="C27:P27"/>
    <mergeCell ref="AF27:AJ27"/>
    <mergeCell ref="AK27:AO27"/>
    <mergeCell ref="AP27:AT27"/>
    <mergeCell ref="AU27:AY27"/>
    <mergeCell ref="AZ27:BD27"/>
    <mergeCell ref="BE6:BI6"/>
    <mergeCell ref="BE7:BI7"/>
    <mergeCell ref="BE8:BI8"/>
    <mergeCell ref="BE9:BI9"/>
    <mergeCell ref="BE10:BI10"/>
    <mergeCell ref="BE11:BI11"/>
    <mergeCell ref="BE12:BI12"/>
    <mergeCell ref="BE13:BI13"/>
    <mergeCell ref="BE14:BI14"/>
    <mergeCell ref="BE15:BI15"/>
    <mergeCell ref="BE16:BI16"/>
    <mergeCell ref="BE17:BI17"/>
    <mergeCell ref="BE18:BI18"/>
    <mergeCell ref="Q2:V3"/>
    <mergeCell ref="W2:AD3"/>
    <mergeCell ref="AE2:AS3"/>
    <mergeCell ref="AT2:AU2"/>
    <mergeCell ref="AV2:BA2"/>
    <mergeCell ref="BB2:BI2"/>
    <mergeCell ref="AT3:AU3"/>
    <mergeCell ref="AV3:BA3"/>
    <mergeCell ref="F1:P1"/>
    <mergeCell ref="Q1:V1"/>
    <mergeCell ref="W1:AD1"/>
    <mergeCell ref="AE1:AS1"/>
    <mergeCell ref="AT1:BA1"/>
    <mergeCell ref="BB3:BI3"/>
    <mergeCell ref="A1:E3"/>
    <mergeCell ref="AU6:AY6"/>
    <mergeCell ref="AZ6:BD6"/>
    <mergeCell ref="A7:B7"/>
    <mergeCell ref="C7:P7"/>
    <mergeCell ref="AF7:AJ7"/>
    <mergeCell ref="AK7:AO7"/>
    <mergeCell ref="AP7:AT7"/>
    <mergeCell ref="AU7:AY7"/>
    <mergeCell ref="A6:B6"/>
    <mergeCell ref="C6:P6"/>
    <mergeCell ref="AF6:AJ6"/>
    <mergeCell ref="AK6:AO6"/>
    <mergeCell ref="AP6:AT6"/>
    <mergeCell ref="AZ7:BD7"/>
    <mergeCell ref="A5:B5"/>
    <mergeCell ref="C5:P5"/>
    <mergeCell ref="AF5:AJ5"/>
    <mergeCell ref="AK5:AO5"/>
    <mergeCell ref="AP5:AT5"/>
    <mergeCell ref="AU5:AY5"/>
    <mergeCell ref="AZ5:BD5"/>
    <mergeCell ref="BB1:BI1"/>
    <mergeCell ref="F2:P3"/>
    <mergeCell ref="AF8:AJ8"/>
    <mergeCell ref="AK8:AO8"/>
    <mergeCell ref="AP8:AT8"/>
    <mergeCell ref="AU8:AY8"/>
    <mergeCell ref="AZ8:BD8"/>
    <mergeCell ref="A9:B9"/>
    <mergeCell ref="C9:P9"/>
    <mergeCell ref="AF9:AJ9"/>
    <mergeCell ref="AK9:AO9"/>
    <mergeCell ref="AP9:AT9"/>
    <mergeCell ref="AU9:AY9"/>
    <mergeCell ref="AZ9:BD9"/>
    <mergeCell ref="AU10:AY10"/>
    <mergeCell ref="AZ10:BD10"/>
    <mergeCell ref="A11:B11"/>
    <mergeCell ref="C11:P11"/>
    <mergeCell ref="AF11:AJ11"/>
    <mergeCell ref="AK11:AO11"/>
    <mergeCell ref="AP11:AT11"/>
    <mergeCell ref="AU11:AY11"/>
    <mergeCell ref="A10:B10"/>
    <mergeCell ref="C10:P10"/>
    <mergeCell ref="AF10:AJ10"/>
    <mergeCell ref="AK10:AO10"/>
    <mergeCell ref="AP10:AT10"/>
    <mergeCell ref="AZ11:BD11"/>
    <mergeCell ref="AF14:AJ14"/>
    <mergeCell ref="AK14:AO14"/>
    <mergeCell ref="AP14:AT14"/>
    <mergeCell ref="AU14:AY14"/>
    <mergeCell ref="AZ14:BD14"/>
    <mergeCell ref="Q14:AE14"/>
    <mergeCell ref="A12:B12"/>
    <mergeCell ref="C12:P12"/>
    <mergeCell ref="AF12:AJ12"/>
    <mergeCell ref="AK12:AO12"/>
    <mergeCell ref="AP12:AT12"/>
    <mergeCell ref="AU12:AY12"/>
    <mergeCell ref="AZ12:BD12"/>
    <mergeCell ref="A13:B13"/>
    <mergeCell ref="C13:P13"/>
    <mergeCell ref="AF13:AJ13"/>
    <mergeCell ref="AK13:AO13"/>
    <mergeCell ref="AP13:AT13"/>
    <mergeCell ref="AU13:AY13"/>
    <mergeCell ref="AZ13:BD13"/>
    <mergeCell ref="AF15:AJ15"/>
    <mergeCell ref="AK15:AO15"/>
    <mergeCell ref="AP15:AT15"/>
    <mergeCell ref="AU15:AY15"/>
    <mergeCell ref="AZ15:BD15"/>
    <mergeCell ref="Q15:AE15"/>
    <mergeCell ref="A16:B16"/>
    <mergeCell ref="C16:P16"/>
    <mergeCell ref="AF16:AJ16"/>
    <mergeCell ref="AK16:AO16"/>
    <mergeCell ref="AP16:AT16"/>
    <mergeCell ref="AU16:AY16"/>
    <mergeCell ref="AZ16:BD16"/>
    <mergeCell ref="Q16:AE16"/>
    <mergeCell ref="AU17:AY17"/>
    <mergeCell ref="AZ17:BD17"/>
    <mergeCell ref="A18:B18"/>
    <mergeCell ref="C18:P18"/>
    <mergeCell ref="AF18:AJ18"/>
    <mergeCell ref="AK18:AO18"/>
    <mergeCell ref="AP18:AT18"/>
    <mergeCell ref="AU18:AY18"/>
    <mergeCell ref="A17:B17"/>
    <mergeCell ref="C17:P17"/>
    <mergeCell ref="AF17:AJ17"/>
    <mergeCell ref="AK17:AO17"/>
    <mergeCell ref="AP17:AT17"/>
    <mergeCell ref="AZ18:BD18"/>
    <mergeCell ref="Q17:AE17"/>
    <mergeCell ref="Q18:AE18"/>
    <mergeCell ref="AF19:AJ19"/>
    <mergeCell ref="AK19:AO19"/>
    <mergeCell ref="AP19:AT19"/>
    <mergeCell ref="AU19:AY19"/>
    <mergeCell ref="AZ19:BD19"/>
    <mergeCell ref="Q19:AE19"/>
    <mergeCell ref="A20:B20"/>
    <mergeCell ref="C20:P20"/>
    <mergeCell ref="AF20:AJ20"/>
    <mergeCell ref="AK20:AO20"/>
    <mergeCell ref="AP20:AT20"/>
    <mergeCell ref="AU20:AY20"/>
    <mergeCell ref="AZ20:BD20"/>
    <mergeCell ref="Q20:AE20"/>
    <mergeCell ref="AU21:AY21"/>
    <mergeCell ref="AZ21:BD21"/>
    <mergeCell ref="A22:B22"/>
    <mergeCell ref="C22:P22"/>
    <mergeCell ref="AF22:AJ22"/>
    <mergeCell ref="AK22:AO22"/>
    <mergeCell ref="AP22:AT22"/>
    <mergeCell ref="AU22:AY22"/>
    <mergeCell ref="A21:B21"/>
    <mergeCell ref="C21:P21"/>
    <mergeCell ref="AF21:AJ21"/>
    <mergeCell ref="AK21:AO21"/>
    <mergeCell ref="AP21:AT21"/>
    <mergeCell ref="AZ22:BD22"/>
    <mergeCell ref="Q21:AE21"/>
    <mergeCell ref="Q22:AE22"/>
    <mergeCell ref="A23:B23"/>
    <mergeCell ref="C23:P23"/>
    <mergeCell ref="AF23:AJ23"/>
    <mergeCell ref="AK23:AO23"/>
    <mergeCell ref="AP23:AT23"/>
    <mergeCell ref="AU23:AY23"/>
    <mergeCell ref="AZ23:BD23"/>
    <mergeCell ref="Q23:AE23"/>
    <mergeCell ref="A24:B24"/>
    <mergeCell ref="C24:P24"/>
    <mergeCell ref="AF24:AJ24"/>
    <mergeCell ref="AK24:AO24"/>
    <mergeCell ref="AP24:AT24"/>
    <mergeCell ref="AU24:AY24"/>
    <mergeCell ref="AZ24:BD24"/>
    <mergeCell ref="Q24:AE24"/>
    <mergeCell ref="AU25:AY25"/>
    <mergeCell ref="AZ25:BD25"/>
    <mergeCell ref="A32:B32"/>
    <mergeCell ref="C32:P32"/>
    <mergeCell ref="AF32:AJ32"/>
    <mergeCell ref="AK32:AO32"/>
    <mergeCell ref="AP32:AT32"/>
    <mergeCell ref="AU32:AY32"/>
    <mergeCell ref="A25:B25"/>
    <mergeCell ref="C25:P25"/>
    <mergeCell ref="AF25:AJ25"/>
    <mergeCell ref="AK25:AO25"/>
    <mergeCell ref="AP25:AT25"/>
    <mergeCell ref="AZ32:BD32"/>
    <mergeCell ref="A26:B26"/>
    <mergeCell ref="C26:P26"/>
    <mergeCell ref="AF26:AJ26"/>
    <mergeCell ref="AK26:AO26"/>
    <mergeCell ref="AP26:AT26"/>
    <mergeCell ref="A29:B29"/>
    <mergeCell ref="C29:P29"/>
    <mergeCell ref="AF29:AJ29"/>
    <mergeCell ref="AK29:AO29"/>
    <mergeCell ref="AP29:AT29"/>
    <mergeCell ref="A33:B33"/>
    <mergeCell ref="C33:P33"/>
    <mergeCell ref="AF33:AJ33"/>
    <mergeCell ref="AK33:AO33"/>
    <mergeCell ref="AP33:AT33"/>
    <mergeCell ref="AU33:AY33"/>
    <mergeCell ref="AZ33:BD33"/>
    <mergeCell ref="A34:B34"/>
    <mergeCell ref="C34:P34"/>
    <mergeCell ref="AF34:AJ34"/>
    <mergeCell ref="AK34:AO34"/>
    <mergeCell ref="AP34:AT34"/>
    <mergeCell ref="AU34:AY34"/>
    <mergeCell ref="AZ34:BD34"/>
    <mergeCell ref="Q34:AE34"/>
    <mergeCell ref="AU35:AY35"/>
    <mergeCell ref="AZ35:BD35"/>
    <mergeCell ref="A36:B36"/>
    <mergeCell ref="C36:P36"/>
    <mergeCell ref="AF36:AJ36"/>
    <mergeCell ref="AK36:AO36"/>
    <mergeCell ref="AP36:AT36"/>
    <mergeCell ref="AU36:AY36"/>
    <mergeCell ref="A35:B35"/>
    <mergeCell ref="C35:P35"/>
    <mergeCell ref="AF35:AJ35"/>
    <mergeCell ref="AK35:AO35"/>
    <mergeCell ref="AP35:AT35"/>
    <mergeCell ref="AZ36:BD36"/>
    <mergeCell ref="Q35:AE35"/>
    <mergeCell ref="Q36:AE36"/>
    <mergeCell ref="AZ40:BD40"/>
    <mergeCell ref="A40:B40"/>
    <mergeCell ref="C40:P40"/>
    <mergeCell ref="AF40:AJ40"/>
    <mergeCell ref="AK40:AO40"/>
    <mergeCell ref="AP40:AT40"/>
    <mergeCell ref="AU40:AY40"/>
    <mergeCell ref="Q40:AE40"/>
    <mergeCell ref="A38:B38"/>
    <mergeCell ref="C38:P38"/>
    <mergeCell ref="AF38:AJ38"/>
    <mergeCell ref="AK38:AO38"/>
    <mergeCell ref="AP38:AT38"/>
    <mergeCell ref="AU38:AY38"/>
    <mergeCell ref="AZ38:BD38"/>
    <mergeCell ref="Q38:AE38"/>
    <mergeCell ref="A39:B39"/>
    <mergeCell ref="C39:P39"/>
    <mergeCell ref="AF39:AJ39"/>
    <mergeCell ref="AK39:AO39"/>
    <mergeCell ref="AP39:AT39"/>
    <mergeCell ref="AU39:AY39"/>
    <mergeCell ref="AZ39:BD39"/>
    <mergeCell ref="Q39:AE39"/>
  </mergeCells>
  <phoneticPr fontId="2"/>
  <printOptions horizontalCentered="1"/>
  <pageMargins left="0.23622047244094491" right="0.23622047244094491" top="0.74803149606299213" bottom="0.74803149606299213" header="0.31496062992125984" footer="0.31496062992125984"/>
  <pageSetup paperSize="9" scale="85" orientation="landscap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4E20B9-1C53-4702-A840-5DF44434728F}">
  <dimension ref="A1:BJ39"/>
  <sheetViews>
    <sheetView showGridLines="0" zoomScale="70" zoomScaleNormal="70" workbookViewId="0">
      <pane ySplit="5" topLeftCell="A6" activePane="bottomLeft" state="frozen"/>
      <selection pane="bottomLeft" sqref="A1:E3"/>
    </sheetView>
  </sheetViews>
  <sheetFormatPr defaultColWidth="2.5" defaultRowHeight="15" customHeight="1"/>
  <cols>
    <col min="1" max="16384" width="2.5" style="45"/>
  </cols>
  <sheetData>
    <row r="1" spans="1:61" s="1" customFormat="1" ht="15" customHeight="1" thickBot="1">
      <c r="A1" s="294" t="s">
        <v>424</v>
      </c>
      <c r="B1" s="295"/>
      <c r="C1" s="295"/>
      <c r="D1" s="295"/>
      <c r="E1" s="296"/>
      <c r="F1" s="303" t="str">
        <f>変更履歴!F1</f>
        <v>システム名</v>
      </c>
      <c r="G1" s="304"/>
      <c r="H1" s="304"/>
      <c r="I1" s="304"/>
      <c r="J1" s="304"/>
      <c r="K1" s="304"/>
      <c r="L1" s="304"/>
      <c r="M1" s="304"/>
      <c r="N1" s="304"/>
      <c r="O1" s="304"/>
      <c r="P1" s="305"/>
      <c r="Q1" s="306" t="str">
        <f>変更履歴!Q1</f>
        <v>機能分類</v>
      </c>
      <c r="R1" s="307"/>
      <c r="S1" s="307"/>
      <c r="T1" s="307"/>
      <c r="U1" s="307"/>
      <c r="V1" s="308"/>
      <c r="W1" s="303" t="str">
        <f>変更履歴!W1</f>
        <v>機能ＩＤ</v>
      </c>
      <c r="X1" s="304"/>
      <c r="Y1" s="304"/>
      <c r="Z1" s="304"/>
      <c r="AA1" s="304"/>
      <c r="AB1" s="304"/>
      <c r="AC1" s="304"/>
      <c r="AD1" s="305"/>
      <c r="AE1" s="303" t="str">
        <f>変更履歴!AE1</f>
        <v>機能名称</v>
      </c>
      <c r="AF1" s="304"/>
      <c r="AG1" s="304"/>
      <c r="AH1" s="304"/>
      <c r="AI1" s="304"/>
      <c r="AJ1" s="304"/>
      <c r="AK1" s="304"/>
      <c r="AL1" s="304"/>
      <c r="AM1" s="304"/>
      <c r="AN1" s="304"/>
      <c r="AO1" s="304"/>
      <c r="AP1" s="304"/>
      <c r="AQ1" s="304"/>
      <c r="AR1" s="304"/>
      <c r="AS1" s="305"/>
      <c r="AT1" s="309" t="str">
        <f>変更履歴!AT1</f>
        <v>日付</v>
      </c>
      <c r="AU1" s="310"/>
      <c r="AV1" s="310"/>
      <c r="AW1" s="310"/>
      <c r="AX1" s="310"/>
      <c r="AY1" s="310"/>
      <c r="AZ1" s="310"/>
      <c r="BA1" s="311"/>
      <c r="BB1" s="266" t="str">
        <f>変更履歴!BB1</f>
        <v>更新者</v>
      </c>
      <c r="BC1" s="268"/>
      <c r="BD1" s="268"/>
      <c r="BE1" s="268"/>
      <c r="BF1" s="268"/>
      <c r="BG1" s="268"/>
      <c r="BH1" s="268"/>
      <c r="BI1" s="269"/>
    </row>
    <row r="2" spans="1:61" s="1" customFormat="1" ht="15" customHeight="1">
      <c r="A2" s="297"/>
      <c r="B2" s="298"/>
      <c r="C2" s="298"/>
      <c r="D2" s="298"/>
      <c r="E2" s="299"/>
      <c r="F2" s="270" t="str">
        <f>変更履歴!F2</f>
        <v>Dynamics365 for Finance and Operations</v>
      </c>
      <c r="G2" s="271"/>
      <c r="H2" s="271"/>
      <c r="I2" s="271"/>
      <c r="J2" s="271"/>
      <c r="K2" s="271"/>
      <c r="L2" s="271"/>
      <c r="M2" s="271"/>
      <c r="N2" s="271"/>
      <c r="O2" s="271"/>
      <c r="P2" s="272"/>
      <c r="Q2" s="270" t="str">
        <f>変更履歴!Q2</f>
        <v>システム共通</v>
      </c>
      <c r="R2" s="271"/>
      <c r="S2" s="271"/>
      <c r="T2" s="271"/>
      <c r="U2" s="271"/>
      <c r="V2" s="272"/>
      <c r="W2" s="276" t="str">
        <f>変更履歴!W2</f>
        <v>FO-088</v>
      </c>
      <c r="X2" s="277"/>
      <c r="Y2" s="277"/>
      <c r="Z2" s="277"/>
      <c r="AA2" s="277"/>
      <c r="AB2" s="277"/>
      <c r="AC2" s="277"/>
      <c r="AD2" s="278"/>
      <c r="AE2" s="270" t="str">
        <f>変更履歴!AE2</f>
        <v>AzureFiles連携共通インターフェース</v>
      </c>
      <c r="AF2" s="271"/>
      <c r="AG2" s="271"/>
      <c r="AH2" s="271"/>
      <c r="AI2" s="271"/>
      <c r="AJ2" s="271"/>
      <c r="AK2" s="271"/>
      <c r="AL2" s="271"/>
      <c r="AM2" s="271"/>
      <c r="AN2" s="271"/>
      <c r="AO2" s="271"/>
      <c r="AP2" s="271"/>
      <c r="AQ2" s="271"/>
      <c r="AR2" s="271"/>
      <c r="AS2" s="272"/>
      <c r="AT2" s="282" t="str">
        <f>変更履歴!AT2</f>
        <v>作成</v>
      </c>
      <c r="AU2" s="283"/>
      <c r="AV2" s="284">
        <f>変更履歴!AV2</f>
        <v>45453</v>
      </c>
      <c r="AW2" s="284"/>
      <c r="AX2" s="284"/>
      <c r="AY2" s="284"/>
      <c r="AZ2" s="284"/>
      <c r="BA2" s="285"/>
      <c r="BB2" s="286" t="str">
        <f>変更履歴!BB2</f>
        <v>JBS石岡</v>
      </c>
      <c r="BC2" s="288"/>
      <c r="BD2" s="288"/>
      <c r="BE2" s="288"/>
      <c r="BF2" s="288"/>
      <c r="BG2" s="288"/>
      <c r="BH2" s="288"/>
      <c r="BI2" s="289"/>
    </row>
    <row r="3" spans="1:61" s="1" customFormat="1" ht="15" customHeight="1" thickBot="1">
      <c r="A3" s="300"/>
      <c r="B3" s="301"/>
      <c r="C3" s="301"/>
      <c r="D3" s="301"/>
      <c r="E3" s="302"/>
      <c r="F3" s="273"/>
      <c r="G3" s="274"/>
      <c r="H3" s="274"/>
      <c r="I3" s="274"/>
      <c r="J3" s="274"/>
      <c r="K3" s="274"/>
      <c r="L3" s="274"/>
      <c r="M3" s="274"/>
      <c r="N3" s="274"/>
      <c r="O3" s="274"/>
      <c r="P3" s="275"/>
      <c r="Q3" s="273"/>
      <c r="R3" s="274"/>
      <c r="S3" s="274"/>
      <c r="T3" s="274"/>
      <c r="U3" s="274"/>
      <c r="V3" s="275"/>
      <c r="W3" s="279"/>
      <c r="X3" s="280"/>
      <c r="Y3" s="280"/>
      <c r="Z3" s="280"/>
      <c r="AA3" s="280"/>
      <c r="AB3" s="280"/>
      <c r="AC3" s="280"/>
      <c r="AD3" s="281"/>
      <c r="AE3" s="273"/>
      <c r="AF3" s="274"/>
      <c r="AG3" s="274"/>
      <c r="AH3" s="274"/>
      <c r="AI3" s="274"/>
      <c r="AJ3" s="274"/>
      <c r="AK3" s="274"/>
      <c r="AL3" s="274"/>
      <c r="AM3" s="274"/>
      <c r="AN3" s="274"/>
      <c r="AO3" s="274"/>
      <c r="AP3" s="274"/>
      <c r="AQ3" s="274"/>
      <c r="AR3" s="274"/>
      <c r="AS3" s="275"/>
      <c r="AT3" s="290" t="str">
        <f>変更履歴!AT3</f>
        <v>更新</v>
      </c>
      <c r="AU3" s="291"/>
      <c r="AV3" s="316">
        <f ca="1">変更履歴!AV3</f>
        <v>45726</v>
      </c>
      <c r="AW3" s="317"/>
      <c r="AX3" s="317"/>
      <c r="AY3" s="317"/>
      <c r="AZ3" s="317"/>
      <c r="BA3" s="318"/>
      <c r="BB3" s="313" t="str">
        <f ca="1">変更履歴!BB3</f>
        <v>JBS石岡</v>
      </c>
      <c r="BC3" s="314"/>
      <c r="BD3" s="314"/>
      <c r="BE3" s="314"/>
      <c r="BF3" s="314"/>
      <c r="BG3" s="314"/>
      <c r="BH3" s="314"/>
      <c r="BI3" s="315"/>
    </row>
    <row r="4" spans="1:61" s="1" customFormat="1" ht="15" customHeight="1" thickBot="1"/>
    <row r="5" spans="1:61" s="1" customFormat="1" ht="15" customHeight="1">
      <c r="A5" s="566" t="s">
        <v>56</v>
      </c>
      <c r="B5" s="567"/>
      <c r="C5" s="562" t="s">
        <v>425</v>
      </c>
      <c r="D5" s="563"/>
      <c r="E5" s="563"/>
      <c r="F5" s="563"/>
      <c r="G5" s="563"/>
      <c r="H5" s="563"/>
      <c r="I5" s="563"/>
      <c r="J5" s="563"/>
      <c r="K5" s="563"/>
      <c r="L5" s="563"/>
      <c r="M5" s="563"/>
      <c r="N5" s="563"/>
      <c r="O5" s="563"/>
      <c r="P5" s="563"/>
      <c r="Q5" s="563"/>
      <c r="R5" s="564"/>
      <c r="S5" s="562" t="s">
        <v>369</v>
      </c>
      <c r="T5" s="563"/>
      <c r="U5" s="563"/>
      <c r="V5" s="563"/>
      <c r="W5" s="563"/>
      <c r="X5" s="563"/>
      <c r="Y5" s="563"/>
      <c r="Z5" s="563"/>
      <c r="AA5" s="562" t="s">
        <v>426</v>
      </c>
      <c r="AB5" s="563"/>
      <c r="AC5" s="563"/>
      <c r="AD5" s="563"/>
      <c r="AE5" s="563"/>
      <c r="AF5" s="563"/>
      <c r="AG5" s="563"/>
      <c r="AH5" s="563"/>
      <c r="AI5" s="563"/>
      <c r="AJ5" s="563"/>
      <c r="AK5" s="563"/>
      <c r="AL5" s="563"/>
      <c r="AM5" s="563"/>
      <c r="AN5" s="563"/>
      <c r="AO5" s="563"/>
      <c r="AP5" s="563"/>
      <c r="AQ5" s="563"/>
      <c r="AR5" s="563"/>
      <c r="AS5" s="563"/>
      <c r="AT5" s="563"/>
      <c r="AU5" s="563"/>
      <c r="AV5" s="563"/>
      <c r="AW5" s="563"/>
      <c r="AX5" s="563"/>
      <c r="AY5" s="563"/>
      <c r="AZ5" s="563"/>
      <c r="BA5" s="563"/>
      <c r="BB5" s="563"/>
      <c r="BC5" s="564"/>
      <c r="BD5" s="562" t="s">
        <v>61</v>
      </c>
      <c r="BE5" s="563"/>
      <c r="BF5" s="563"/>
      <c r="BG5" s="563"/>
      <c r="BH5" s="563"/>
      <c r="BI5" s="565"/>
    </row>
    <row r="6" spans="1:61" s="1" customFormat="1" ht="15" customHeight="1">
      <c r="A6" s="568">
        <f>ROW()-5</f>
        <v>1</v>
      </c>
      <c r="B6" s="569"/>
      <c r="C6" s="443" t="s">
        <v>476</v>
      </c>
      <c r="D6" s="351"/>
      <c r="E6" s="351"/>
      <c r="F6" s="351"/>
      <c r="G6" s="351"/>
      <c r="H6" s="351"/>
      <c r="I6" s="351"/>
      <c r="J6" s="351"/>
      <c r="K6" s="351"/>
      <c r="L6" s="351"/>
      <c r="M6" s="351"/>
      <c r="N6" s="351"/>
      <c r="O6" s="351"/>
      <c r="P6" s="351"/>
      <c r="Q6" s="351"/>
      <c r="R6" s="444"/>
      <c r="S6" s="455" t="s">
        <v>475</v>
      </c>
      <c r="T6" s="456"/>
      <c r="U6" s="456"/>
      <c r="V6" s="456"/>
      <c r="W6" s="456"/>
      <c r="X6" s="456"/>
      <c r="Y6" s="456"/>
      <c r="Z6" s="457"/>
      <c r="AA6" s="440" t="s">
        <v>478</v>
      </c>
      <c r="AB6" s="441"/>
      <c r="AC6" s="441"/>
      <c r="AD6" s="441"/>
      <c r="AE6" s="441"/>
      <c r="AF6" s="441"/>
      <c r="AG6" s="441"/>
      <c r="AH6" s="441"/>
      <c r="AI6" s="441"/>
      <c r="AJ6" s="441"/>
      <c r="AK6" s="441"/>
      <c r="AL6" s="441"/>
      <c r="AM6" s="441"/>
      <c r="AN6" s="441"/>
      <c r="AO6" s="441"/>
      <c r="AP6" s="441"/>
      <c r="AQ6" s="441"/>
      <c r="AR6" s="441"/>
      <c r="AS6" s="441"/>
      <c r="AT6" s="441"/>
      <c r="AU6" s="441"/>
      <c r="AV6" s="441"/>
      <c r="AW6" s="441"/>
      <c r="AX6" s="441"/>
      <c r="AY6" s="441"/>
      <c r="AZ6" s="441"/>
      <c r="BA6" s="441"/>
      <c r="BB6" s="441"/>
      <c r="BC6" s="442"/>
      <c r="BD6" s="443"/>
      <c r="BE6" s="351"/>
      <c r="BF6" s="351"/>
      <c r="BG6" s="351"/>
      <c r="BH6" s="351"/>
      <c r="BI6" s="352"/>
    </row>
    <row r="7" spans="1:61" s="1" customFormat="1" ht="15" customHeight="1">
      <c r="A7" s="568">
        <f t="shared" ref="A7:A38" si="0">ROW()-5</f>
        <v>2</v>
      </c>
      <c r="B7" s="569"/>
      <c r="C7" s="443" t="s">
        <v>477</v>
      </c>
      <c r="D7" s="351"/>
      <c r="E7" s="351"/>
      <c r="F7" s="351"/>
      <c r="G7" s="351"/>
      <c r="H7" s="351"/>
      <c r="I7" s="351"/>
      <c r="J7" s="351"/>
      <c r="K7" s="351"/>
      <c r="L7" s="351"/>
      <c r="M7" s="351"/>
      <c r="N7" s="351"/>
      <c r="O7" s="351"/>
      <c r="P7" s="351"/>
      <c r="Q7" s="351"/>
      <c r="R7" s="444"/>
      <c r="S7" s="455" t="s">
        <v>475</v>
      </c>
      <c r="T7" s="456"/>
      <c r="U7" s="456"/>
      <c r="V7" s="456"/>
      <c r="W7" s="456"/>
      <c r="X7" s="456"/>
      <c r="Y7" s="456"/>
      <c r="Z7" s="457"/>
      <c r="AA7" s="443" t="s">
        <v>479</v>
      </c>
      <c r="AB7" s="351"/>
      <c r="AC7" s="351"/>
      <c r="AD7" s="351"/>
      <c r="AE7" s="351"/>
      <c r="AF7" s="351"/>
      <c r="AG7" s="351"/>
      <c r="AH7" s="351"/>
      <c r="AI7" s="351"/>
      <c r="AJ7" s="351"/>
      <c r="AK7" s="351"/>
      <c r="AL7" s="351"/>
      <c r="AM7" s="351"/>
      <c r="AN7" s="351"/>
      <c r="AO7" s="351"/>
      <c r="AP7" s="351"/>
      <c r="AQ7" s="351"/>
      <c r="AR7" s="351"/>
      <c r="AS7" s="351"/>
      <c r="AT7" s="351"/>
      <c r="AU7" s="351"/>
      <c r="AV7" s="351"/>
      <c r="AW7" s="351"/>
      <c r="AX7" s="351"/>
      <c r="AY7" s="351"/>
      <c r="AZ7" s="351"/>
      <c r="BA7" s="351"/>
      <c r="BB7" s="351"/>
      <c r="BC7" s="444"/>
      <c r="BD7" s="443"/>
      <c r="BE7" s="351"/>
      <c r="BF7" s="351"/>
      <c r="BG7" s="351"/>
      <c r="BH7" s="351"/>
      <c r="BI7" s="352"/>
    </row>
    <row r="8" spans="1:61" s="1" customFormat="1" ht="15" customHeight="1">
      <c r="A8" s="568">
        <f t="shared" si="0"/>
        <v>3</v>
      </c>
      <c r="B8" s="569"/>
      <c r="C8" s="443"/>
      <c r="D8" s="351"/>
      <c r="E8" s="351"/>
      <c r="F8" s="351"/>
      <c r="G8" s="351"/>
      <c r="H8" s="351"/>
      <c r="I8" s="351"/>
      <c r="J8" s="351"/>
      <c r="K8" s="351"/>
      <c r="L8" s="351"/>
      <c r="M8" s="351"/>
      <c r="N8" s="351"/>
      <c r="O8" s="351"/>
      <c r="P8" s="351"/>
      <c r="Q8" s="351"/>
      <c r="R8" s="444"/>
      <c r="S8" s="455"/>
      <c r="T8" s="456"/>
      <c r="U8" s="456"/>
      <c r="V8" s="456"/>
      <c r="W8" s="456"/>
      <c r="X8" s="456"/>
      <c r="Y8" s="456"/>
      <c r="Z8" s="457"/>
      <c r="AA8" s="443"/>
      <c r="AB8" s="351"/>
      <c r="AC8" s="351"/>
      <c r="AD8" s="351"/>
      <c r="AE8" s="351"/>
      <c r="AF8" s="351"/>
      <c r="AG8" s="351"/>
      <c r="AH8" s="351"/>
      <c r="AI8" s="351"/>
      <c r="AJ8" s="351"/>
      <c r="AK8" s="351"/>
      <c r="AL8" s="351"/>
      <c r="AM8" s="351"/>
      <c r="AN8" s="351"/>
      <c r="AO8" s="351"/>
      <c r="AP8" s="351"/>
      <c r="AQ8" s="351"/>
      <c r="AR8" s="351"/>
      <c r="AS8" s="351"/>
      <c r="AT8" s="351"/>
      <c r="AU8" s="351"/>
      <c r="AV8" s="351"/>
      <c r="AW8" s="351"/>
      <c r="AX8" s="351"/>
      <c r="AY8" s="351"/>
      <c r="AZ8" s="351"/>
      <c r="BA8" s="351"/>
      <c r="BB8" s="351"/>
      <c r="BC8" s="444"/>
      <c r="BD8" s="443"/>
      <c r="BE8" s="351"/>
      <c r="BF8" s="351"/>
      <c r="BG8" s="351"/>
      <c r="BH8" s="351"/>
      <c r="BI8" s="352"/>
    </row>
    <row r="9" spans="1:61" s="1" customFormat="1" ht="15" customHeight="1">
      <c r="A9" s="568">
        <f t="shared" si="0"/>
        <v>4</v>
      </c>
      <c r="B9" s="569"/>
      <c r="C9" s="443"/>
      <c r="D9" s="351"/>
      <c r="E9" s="351"/>
      <c r="F9" s="351"/>
      <c r="G9" s="351"/>
      <c r="H9" s="351"/>
      <c r="I9" s="351"/>
      <c r="J9" s="351"/>
      <c r="K9" s="351"/>
      <c r="L9" s="351"/>
      <c r="M9" s="351"/>
      <c r="N9" s="351"/>
      <c r="O9" s="351"/>
      <c r="P9" s="351"/>
      <c r="Q9" s="351"/>
      <c r="R9" s="444"/>
      <c r="S9" s="455"/>
      <c r="T9" s="456"/>
      <c r="U9" s="456"/>
      <c r="V9" s="456"/>
      <c r="W9" s="456"/>
      <c r="X9" s="456"/>
      <c r="Y9" s="456"/>
      <c r="Z9" s="457"/>
      <c r="AA9" s="443"/>
      <c r="AB9" s="351"/>
      <c r="AC9" s="351"/>
      <c r="AD9" s="351"/>
      <c r="AE9" s="351"/>
      <c r="AF9" s="351"/>
      <c r="AG9" s="351"/>
      <c r="AH9" s="351"/>
      <c r="AI9" s="351"/>
      <c r="AJ9" s="351"/>
      <c r="AK9" s="351"/>
      <c r="AL9" s="351"/>
      <c r="AM9" s="351"/>
      <c r="AN9" s="351"/>
      <c r="AO9" s="351"/>
      <c r="AP9" s="351"/>
      <c r="AQ9" s="351"/>
      <c r="AR9" s="351"/>
      <c r="AS9" s="351"/>
      <c r="AT9" s="351"/>
      <c r="AU9" s="351"/>
      <c r="AV9" s="351"/>
      <c r="AW9" s="351"/>
      <c r="AX9" s="351"/>
      <c r="AY9" s="351"/>
      <c r="AZ9" s="351"/>
      <c r="BA9" s="351"/>
      <c r="BB9" s="351"/>
      <c r="BC9" s="444"/>
      <c r="BD9" s="443"/>
      <c r="BE9" s="351"/>
      <c r="BF9" s="351"/>
      <c r="BG9" s="351"/>
      <c r="BH9" s="351"/>
      <c r="BI9" s="352"/>
    </row>
    <row r="10" spans="1:61" s="1" customFormat="1" ht="15" customHeight="1">
      <c r="A10" s="568">
        <f t="shared" si="0"/>
        <v>5</v>
      </c>
      <c r="B10" s="569"/>
      <c r="C10" s="443"/>
      <c r="D10" s="351"/>
      <c r="E10" s="351"/>
      <c r="F10" s="351"/>
      <c r="G10" s="351"/>
      <c r="H10" s="351"/>
      <c r="I10" s="351"/>
      <c r="J10" s="351"/>
      <c r="K10" s="351"/>
      <c r="L10" s="351"/>
      <c r="M10" s="351"/>
      <c r="N10" s="351"/>
      <c r="O10" s="351"/>
      <c r="P10" s="351"/>
      <c r="Q10" s="351"/>
      <c r="R10" s="444"/>
      <c r="S10" s="455"/>
      <c r="T10" s="456"/>
      <c r="U10" s="456"/>
      <c r="V10" s="456"/>
      <c r="W10" s="456"/>
      <c r="X10" s="456"/>
      <c r="Y10" s="456"/>
      <c r="Z10" s="457"/>
      <c r="AA10" s="443"/>
      <c r="AB10" s="351"/>
      <c r="AC10" s="351"/>
      <c r="AD10" s="351"/>
      <c r="AE10" s="351"/>
      <c r="AF10" s="351"/>
      <c r="AG10" s="351"/>
      <c r="AH10" s="351"/>
      <c r="AI10" s="351"/>
      <c r="AJ10" s="351"/>
      <c r="AK10" s="351"/>
      <c r="AL10" s="351"/>
      <c r="AM10" s="351"/>
      <c r="AN10" s="351"/>
      <c r="AO10" s="351"/>
      <c r="AP10" s="351"/>
      <c r="AQ10" s="351"/>
      <c r="AR10" s="351"/>
      <c r="AS10" s="351"/>
      <c r="AT10" s="351"/>
      <c r="AU10" s="351"/>
      <c r="AV10" s="351"/>
      <c r="AW10" s="351"/>
      <c r="AX10" s="351"/>
      <c r="AY10" s="351"/>
      <c r="AZ10" s="351"/>
      <c r="BA10" s="351"/>
      <c r="BB10" s="351"/>
      <c r="BC10" s="444"/>
      <c r="BD10" s="443"/>
      <c r="BE10" s="351"/>
      <c r="BF10" s="351"/>
      <c r="BG10" s="351"/>
      <c r="BH10" s="351"/>
      <c r="BI10" s="352"/>
    </row>
    <row r="11" spans="1:61" s="1" customFormat="1" ht="15" customHeight="1">
      <c r="A11" s="568">
        <f t="shared" si="0"/>
        <v>6</v>
      </c>
      <c r="B11" s="569"/>
      <c r="C11" s="443"/>
      <c r="D11" s="351"/>
      <c r="E11" s="351"/>
      <c r="F11" s="351"/>
      <c r="G11" s="351"/>
      <c r="H11" s="351"/>
      <c r="I11" s="351"/>
      <c r="J11" s="351"/>
      <c r="K11" s="351"/>
      <c r="L11" s="351"/>
      <c r="M11" s="351"/>
      <c r="N11" s="351"/>
      <c r="O11" s="351"/>
      <c r="P11" s="351"/>
      <c r="Q11" s="351"/>
      <c r="R11" s="444"/>
      <c r="S11" s="455"/>
      <c r="T11" s="456"/>
      <c r="U11" s="456"/>
      <c r="V11" s="456"/>
      <c r="W11" s="456"/>
      <c r="X11" s="456"/>
      <c r="Y11" s="456"/>
      <c r="Z11" s="457"/>
      <c r="AA11" s="443"/>
      <c r="AB11" s="351"/>
      <c r="AC11" s="351"/>
      <c r="AD11" s="351"/>
      <c r="AE11" s="351"/>
      <c r="AF11" s="351"/>
      <c r="AG11" s="351"/>
      <c r="AH11" s="351"/>
      <c r="AI11" s="351"/>
      <c r="AJ11" s="351"/>
      <c r="AK11" s="351"/>
      <c r="AL11" s="351"/>
      <c r="AM11" s="351"/>
      <c r="AN11" s="351"/>
      <c r="AO11" s="351"/>
      <c r="AP11" s="351"/>
      <c r="AQ11" s="351"/>
      <c r="AR11" s="351"/>
      <c r="AS11" s="351"/>
      <c r="AT11" s="351"/>
      <c r="AU11" s="351"/>
      <c r="AV11" s="351"/>
      <c r="AW11" s="351"/>
      <c r="AX11" s="351"/>
      <c r="AY11" s="351"/>
      <c r="AZ11" s="351"/>
      <c r="BA11" s="351"/>
      <c r="BB11" s="351"/>
      <c r="BC11" s="444"/>
      <c r="BD11" s="443"/>
      <c r="BE11" s="351"/>
      <c r="BF11" s="351"/>
      <c r="BG11" s="351"/>
      <c r="BH11" s="351"/>
      <c r="BI11" s="352"/>
    </row>
    <row r="12" spans="1:61" s="1" customFormat="1" ht="15" customHeight="1">
      <c r="A12" s="568">
        <f t="shared" si="0"/>
        <v>7</v>
      </c>
      <c r="B12" s="569"/>
      <c r="C12" s="443"/>
      <c r="D12" s="351"/>
      <c r="E12" s="351"/>
      <c r="F12" s="351"/>
      <c r="G12" s="351"/>
      <c r="H12" s="351"/>
      <c r="I12" s="351"/>
      <c r="J12" s="351"/>
      <c r="K12" s="351"/>
      <c r="L12" s="351"/>
      <c r="M12" s="351"/>
      <c r="N12" s="351"/>
      <c r="O12" s="351"/>
      <c r="P12" s="351"/>
      <c r="Q12" s="351"/>
      <c r="R12" s="444"/>
      <c r="S12" s="455"/>
      <c r="T12" s="456"/>
      <c r="U12" s="456"/>
      <c r="V12" s="456"/>
      <c r="W12" s="456"/>
      <c r="X12" s="456"/>
      <c r="Y12" s="456"/>
      <c r="Z12" s="457"/>
      <c r="AA12" s="443"/>
      <c r="AB12" s="351"/>
      <c r="AC12" s="351"/>
      <c r="AD12" s="351"/>
      <c r="AE12" s="351"/>
      <c r="AF12" s="351"/>
      <c r="AG12" s="351"/>
      <c r="AH12" s="351"/>
      <c r="AI12" s="351"/>
      <c r="AJ12" s="351"/>
      <c r="AK12" s="351"/>
      <c r="AL12" s="351"/>
      <c r="AM12" s="351"/>
      <c r="AN12" s="351"/>
      <c r="AO12" s="351"/>
      <c r="AP12" s="351"/>
      <c r="AQ12" s="351"/>
      <c r="AR12" s="351"/>
      <c r="AS12" s="351"/>
      <c r="AT12" s="351"/>
      <c r="AU12" s="351"/>
      <c r="AV12" s="351"/>
      <c r="AW12" s="351"/>
      <c r="AX12" s="351"/>
      <c r="AY12" s="351"/>
      <c r="AZ12" s="351"/>
      <c r="BA12" s="351"/>
      <c r="BB12" s="351"/>
      <c r="BC12" s="444"/>
      <c r="BD12" s="443"/>
      <c r="BE12" s="351"/>
      <c r="BF12" s="351"/>
      <c r="BG12" s="351"/>
      <c r="BH12" s="351"/>
      <c r="BI12" s="352"/>
    </row>
    <row r="13" spans="1:61" s="1" customFormat="1" ht="15" customHeight="1">
      <c r="A13" s="568">
        <f t="shared" si="0"/>
        <v>8</v>
      </c>
      <c r="B13" s="569"/>
      <c r="C13" s="443"/>
      <c r="D13" s="351"/>
      <c r="E13" s="351"/>
      <c r="F13" s="351"/>
      <c r="G13" s="351"/>
      <c r="H13" s="351"/>
      <c r="I13" s="351"/>
      <c r="J13" s="351"/>
      <c r="K13" s="351"/>
      <c r="L13" s="351"/>
      <c r="M13" s="351"/>
      <c r="N13" s="351"/>
      <c r="O13" s="351"/>
      <c r="P13" s="351"/>
      <c r="Q13" s="351"/>
      <c r="R13" s="444"/>
      <c r="S13" s="455"/>
      <c r="T13" s="456"/>
      <c r="U13" s="456"/>
      <c r="V13" s="456"/>
      <c r="W13" s="456"/>
      <c r="X13" s="456"/>
      <c r="Y13" s="456"/>
      <c r="Z13" s="457"/>
      <c r="AA13" s="443"/>
      <c r="AB13" s="351"/>
      <c r="AC13" s="351"/>
      <c r="AD13" s="351"/>
      <c r="AE13" s="351"/>
      <c r="AF13" s="351"/>
      <c r="AG13" s="351"/>
      <c r="AH13" s="351"/>
      <c r="AI13" s="351"/>
      <c r="AJ13" s="351"/>
      <c r="AK13" s="351"/>
      <c r="AL13" s="351"/>
      <c r="AM13" s="351"/>
      <c r="AN13" s="351"/>
      <c r="AO13" s="351"/>
      <c r="AP13" s="351"/>
      <c r="AQ13" s="351"/>
      <c r="AR13" s="351"/>
      <c r="AS13" s="351"/>
      <c r="AT13" s="351"/>
      <c r="AU13" s="351"/>
      <c r="AV13" s="351"/>
      <c r="AW13" s="351"/>
      <c r="AX13" s="351"/>
      <c r="AY13" s="351"/>
      <c r="AZ13" s="351"/>
      <c r="BA13" s="351"/>
      <c r="BB13" s="351"/>
      <c r="BC13" s="444"/>
      <c r="BD13" s="443"/>
      <c r="BE13" s="351"/>
      <c r="BF13" s="351"/>
      <c r="BG13" s="351"/>
      <c r="BH13" s="351"/>
      <c r="BI13" s="352"/>
    </row>
    <row r="14" spans="1:61" s="1" customFormat="1" ht="15" customHeight="1">
      <c r="A14" s="568">
        <f t="shared" si="0"/>
        <v>9</v>
      </c>
      <c r="B14" s="569"/>
      <c r="C14" s="443"/>
      <c r="D14" s="351"/>
      <c r="E14" s="351"/>
      <c r="F14" s="351"/>
      <c r="G14" s="351"/>
      <c r="H14" s="351"/>
      <c r="I14" s="351"/>
      <c r="J14" s="351"/>
      <c r="K14" s="351"/>
      <c r="L14" s="351"/>
      <c r="M14" s="351"/>
      <c r="N14" s="351"/>
      <c r="O14" s="351"/>
      <c r="P14" s="351"/>
      <c r="Q14" s="351"/>
      <c r="R14" s="444"/>
      <c r="S14" s="455"/>
      <c r="T14" s="456"/>
      <c r="U14" s="456"/>
      <c r="V14" s="456"/>
      <c r="W14" s="456"/>
      <c r="X14" s="456"/>
      <c r="Y14" s="456"/>
      <c r="Z14" s="457"/>
      <c r="AA14" s="443"/>
      <c r="AB14" s="351"/>
      <c r="AC14" s="351"/>
      <c r="AD14" s="351"/>
      <c r="AE14" s="351"/>
      <c r="AF14" s="351"/>
      <c r="AG14" s="351"/>
      <c r="AH14" s="351"/>
      <c r="AI14" s="351"/>
      <c r="AJ14" s="351"/>
      <c r="AK14" s="351"/>
      <c r="AL14" s="351"/>
      <c r="AM14" s="351"/>
      <c r="AN14" s="351"/>
      <c r="AO14" s="351"/>
      <c r="AP14" s="351"/>
      <c r="AQ14" s="351"/>
      <c r="AR14" s="351"/>
      <c r="AS14" s="351"/>
      <c r="AT14" s="351"/>
      <c r="AU14" s="351"/>
      <c r="AV14" s="351"/>
      <c r="AW14" s="351"/>
      <c r="AX14" s="351"/>
      <c r="AY14" s="351"/>
      <c r="AZ14" s="351"/>
      <c r="BA14" s="351"/>
      <c r="BB14" s="351"/>
      <c r="BC14" s="444"/>
      <c r="BD14" s="443"/>
      <c r="BE14" s="351"/>
      <c r="BF14" s="351"/>
      <c r="BG14" s="351"/>
      <c r="BH14" s="351"/>
      <c r="BI14" s="352"/>
    </row>
    <row r="15" spans="1:61" s="1" customFormat="1" ht="15" customHeight="1">
      <c r="A15" s="568">
        <f t="shared" si="0"/>
        <v>10</v>
      </c>
      <c r="B15" s="569"/>
      <c r="C15" s="443"/>
      <c r="D15" s="351"/>
      <c r="E15" s="351"/>
      <c r="F15" s="351"/>
      <c r="G15" s="351"/>
      <c r="H15" s="351"/>
      <c r="I15" s="351"/>
      <c r="J15" s="351"/>
      <c r="K15" s="351"/>
      <c r="L15" s="351"/>
      <c r="M15" s="351"/>
      <c r="N15" s="351"/>
      <c r="O15" s="351"/>
      <c r="P15" s="351"/>
      <c r="Q15" s="351"/>
      <c r="R15" s="444"/>
      <c r="S15" s="455"/>
      <c r="T15" s="456"/>
      <c r="U15" s="456"/>
      <c r="V15" s="456"/>
      <c r="W15" s="456"/>
      <c r="X15" s="456"/>
      <c r="Y15" s="456"/>
      <c r="Z15" s="457"/>
      <c r="AA15" s="443"/>
      <c r="AB15" s="351"/>
      <c r="AC15" s="351"/>
      <c r="AD15" s="351"/>
      <c r="AE15" s="351"/>
      <c r="AF15" s="351"/>
      <c r="AG15" s="351"/>
      <c r="AH15" s="351"/>
      <c r="AI15" s="351"/>
      <c r="AJ15" s="351"/>
      <c r="AK15" s="351"/>
      <c r="AL15" s="351"/>
      <c r="AM15" s="351"/>
      <c r="AN15" s="351"/>
      <c r="AO15" s="351"/>
      <c r="AP15" s="351"/>
      <c r="AQ15" s="351"/>
      <c r="AR15" s="351"/>
      <c r="AS15" s="351"/>
      <c r="AT15" s="351"/>
      <c r="AU15" s="351"/>
      <c r="AV15" s="351"/>
      <c r="AW15" s="351"/>
      <c r="AX15" s="351"/>
      <c r="AY15" s="351"/>
      <c r="AZ15" s="351"/>
      <c r="BA15" s="351"/>
      <c r="BB15" s="351"/>
      <c r="BC15" s="444"/>
      <c r="BD15" s="443"/>
      <c r="BE15" s="351"/>
      <c r="BF15" s="351"/>
      <c r="BG15" s="351"/>
      <c r="BH15" s="351"/>
      <c r="BI15" s="352"/>
    </row>
    <row r="16" spans="1:61" s="1" customFormat="1" ht="15" customHeight="1">
      <c r="A16" s="568">
        <f t="shared" si="0"/>
        <v>11</v>
      </c>
      <c r="B16" s="569"/>
      <c r="C16" s="443"/>
      <c r="D16" s="351"/>
      <c r="E16" s="351"/>
      <c r="F16" s="351"/>
      <c r="G16" s="351"/>
      <c r="H16" s="351"/>
      <c r="I16" s="351"/>
      <c r="J16" s="351"/>
      <c r="K16" s="351"/>
      <c r="L16" s="351"/>
      <c r="M16" s="351"/>
      <c r="N16" s="351"/>
      <c r="O16" s="351"/>
      <c r="P16" s="351"/>
      <c r="Q16" s="351"/>
      <c r="R16" s="444"/>
      <c r="S16" s="455"/>
      <c r="T16" s="456"/>
      <c r="U16" s="456"/>
      <c r="V16" s="456"/>
      <c r="W16" s="456"/>
      <c r="X16" s="456"/>
      <c r="Y16" s="456"/>
      <c r="Z16" s="457"/>
      <c r="AA16" s="443"/>
      <c r="AB16" s="351"/>
      <c r="AC16" s="351"/>
      <c r="AD16" s="351"/>
      <c r="AE16" s="351"/>
      <c r="AF16" s="351"/>
      <c r="AG16" s="351"/>
      <c r="AH16" s="351"/>
      <c r="AI16" s="351"/>
      <c r="AJ16" s="351"/>
      <c r="AK16" s="351"/>
      <c r="AL16" s="351"/>
      <c r="AM16" s="351"/>
      <c r="AN16" s="351"/>
      <c r="AO16" s="351"/>
      <c r="AP16" s="351"/>
      <c r="AQ16" s="351"/>
      <c r="AR16" s="351"/>
      <c r="AS16" s="351"/>
      <c r="AT16" s="351"/>
      <c r="AU16" s="351"/>
      <c r="AV16" s="351"/>
      <c r="AW16" s="351"/>
      <c r="AX16" s="351"/>
      <c r="AY16" s="351"/>
      <c r="AZ16" s="351"/>
      <c r="BA16" s="351"/>
      <c r="BB16" s="351"/>
      <c r="BC16" s="444"/>
      <c r="BD16" s="443"/>
      <c r="BE16" s="351"/>
      <c r="BF16" s="351"/>
      <c r="BG16" s="351"/>
      <c r="BH16" s="351"/>
      <c r="BI16" s="352"/>
    </row>
    <row r="17" spans="1:61" s="1" customFormat="1" ht="15" customHeight="1">
      <c r="A17" s="568">
        <f t="shared" si="0"/>
        <v>12</v>
      </c>
      <c r="B17" s="569"/>
      <c r="C17" s="443"/>
      <c r="D17" s="351"/>
      <c r="E17" s="351"/>
      <c r="F17" s="351"/>
      <c r="G17" s="351"/>
      <c r="H17" s="351"/>
      <c r="I17" s="351"/>
      <c r="J17" s="351"/>
      <c r="K17" s="351"/>
      <c r="L17" s="351"/>
      <c r="M17" s="351"/>
      <c r="N17" s="351"/>
      <c r="O17" s="351"/>
      <c r="P17" s="351"/>
      <c r="Q17" s="351"/>
      <c r="R17" s="444"/>
      <c r="S17" s="455"/>
      <c r="T17" s="456"/>
      <c r="U17" s="456"/>
      <c r="V17" s="456"/>
      <c r="W17" s="456"/>
      <c r="X17" s="456"/>
      <c r="Y17" s="456"/>
      <c r="Z17" s="457"/>
      <c r="AA17" s="443"/>
      <c r="AB17" s="351"/>
      <c r="AC17" s="351"/>
      <c r="AD17" s="351"/>
      <c r="AE17" s="351"/>
      <c r="AF17" s="351"/>
      <c r="AG17" s="351"/>
      <c r="AH17" s="351"/>
      <c r="AI17" s="351"/>
      <c r="AJ17" s="351"/>
      <c r="AK17" s="351"/>
      <c r="AL17" s="351"/>
      <c r="AM17" s="351"/>
      <c r="AN17" s="351"/>
      <c r="AO17" s="351"/>
      <c r="AP17" s="351"/>
      <c r="AQ17" s="351"/>
      <c r="AR17" s="351"/>
      <c r="AS17" s="351"/>
      <c r="AT17" s="351"/>
      <c r="AU17" s="351"/>
      <c r="AV17" s="351"/>
      <c r="AW17" s="351"/>
      <c r="AX17" s="351"/>
      <c r="AY17" s="351"/>
      <c r="AZ17" s="351"/>
      <c r="BA17" s="351"/>
      <c r="BB17" s="351"/>
      <c r="BC17" s="444"/>
      <c r="BD17" s="443"/>
      <c r="BE17" s="351"/>
      <c r="BF17" s="351"/>
      <c r="BG17" s="351"/>
      <c r="BH17" s="351"/>
      <c r="BI17" s="352"/>
    </row>
    <row r="18" spans="1:61" s="1" customFormat="1" ht="15" customHeight="1">
      <c r="A18" s="568">
        <f t="shared" si="0"/>
        <v>13</v>
      </c>
      <c r="B18" s="569"/>
      <c r="C18" s="443"/>
      <c r="D18" s="351"/>
      <c r="E18" s="351"/>
      <c r="F18" s="351"/>
      <c r="G18" s="351"/>
      <c r="H18" s="351"/>
      <c r="I18" s="351"/>
      <c r="J18" s="351"/>
      <c r="K18" s="351"/>
      <c r="L18" s="351"/>
      <c r="M18" s="351"/>
      <c r="N18" s="351"/>
      <c r="O18" s="351"/>
      <c r="P18" s="351"/>
      <c r="Q18" s="351"/>
      <c r="R18" s="444"/>
      <c r="S18" s="455"/>
      <c r="T18" s="456"/>
      <c r="U18" s="456"/>
      <c r="V18" s="456"/>
      <c r="W18" s="456"/>
      <c r="X18" s="456"/>
      <c r="Y18" s="456"/>
      <c r="Z18" s="457"/>
      <c r="AA18" s="443"/>
      <c r="AB18" s="351"/>
      <c r="AC18" s="351"/>
      <c r="AD18" s="351"/>
      <c r="AE18" s="351"/>
      <c r="AF18" s="351"/>
      <c r="AG18" s="351"/>
      <c r="AH18" s="351"/>
      <c r="AI18" s="351"/>
      <c r="AJ18" s="351"/>
      <c r="AK18" s="351"/>
      <c r="AL18" s="351"/>
      <c r="AM18" s="351"/>
      <c r="AN18" s="351"/>
      <c r="AO18" s="351"/>
      <c r="AP18" s="351"/>
      <c r="AQ18" s="351"/>
      <c r="AR18" s="351"/>
      <c r="AS18" s="351"/>
      <c r="AT18" s="351"/>
      <c r="AU18" s="351"/>
      <c r="AV18" s="351"/>
      <c r="AW18" s="351"/>
      <c r="AX18" s="351"/>
      <c r="AY18" s="351"/>
      <c r="AZ18" s="351"/>
      <c r="BA18" s="351"/>
      <c r="BB18" s="351"/>
      <c r="BC18" s="444"/>
      <c r="BD18" s="443"/>
      <c r="BE18" s="351"/>
      <c r="BF18" s="351"/>
      <c r="BG18" s="351"/>
      <c r="BH18" s="351"/>
      <c r="BI18" s="352"/>
    </row>
    <row r="19" spans="1:61" s="1" customFormat="1" ht="15" customHeight="1">
      <c r="A19" s="568">
        <f t="shared" si="0"/>
        <v>14</v>
      </c>
      <c r="B19" s="569"/>
      <c r="C19" s="443"/>
      <c r="D19" s="351"/>
      <c r="E19" s="351"/>
      <c r="F19" s="351"/>
      <c r="G19" s="351"/>
      <c r="H19" s="351"/>
      <c r="I19" s="351"/>
      <c r="J19" s="351"/>
      <c r="K19" s="351"/>
      <c r="L19" s="351"/>
      <c r="M19" s="351"/>
      <c r="N19" s="351"/>
      <c r="O19" s="351"/>
      <c r="P19" s="351"/>
      <c r="Q19" s="351"/>
      <c r="R19" s="444"/>
      <c r="S19" s="455"/>
      <c r="T19" s="456"/>
      <c r="U19" s="456"/>
      <c r="V19" s="456"/>
      <c r="W19" s="456"/>
      <c r="X19" s="456"/>
      <c r="Y19" s="456"/>
      <c r="Z19" s="457"/>
      <c r="AA19" s="443"/>
      <c r="AB19" s="351"/>
      <c r="AC19" s="351"/>
      <c r="AD19" s="351"/>
      <c r="AE19" s="351"/>
      <c r="AF19" s="351"/>
      <c r="AG19" s="351"/>
      <c r="AH19" s="351"/>
      <c r="AI19" s="351"/>
      <c r="AJ19" s="351"/>
      <c r="AK19" s="351"/>
      <c r="AL19" s="351"/>
      <c r="AM19" s="351"/>
      <c r="AN19" s="351"/>
      <c r="AO19" s="351"/>
      <c r="AP19" s="351"/>
      <c r="AQ19" s="351"/>
      <c r="AR19" s="351"/>
      <c r="AS19" s="351"/>
      <c r="AT19" s="351"/>
      <c r="AU19" s="351"/>
      <c r="AV19" s="351"/>
      <c r="AW19" s="351"/>
      <c r="AX19" s="351"/>
      <c r="AY19" s="351"/>
      <c r="AZ19" s="351"/>
      <c r="BA19" s="351"/>
      <c r="BB19" s="351"/>
      <c r="BC19" s="444"/>
      <c r="BD19" s="443"/>
      <c r="BE19" s="351"/>
      <c r="BF19" s="351"/>
      <c r="BG19" s="351"/>
      <c r="BH19" s="351"/>
      <c r="BI19" s="352"/>
    </row>
    <row r="20" spans="1:61" s="1" customFormat="1" ht="15" customHeight="1">
      <c r="A20" s="568">
        <f t="shared" si="0"/>
        <v>15</v>
      </c>
      <c r="B20" s="569"/>
      <c r="C20" s="443"/>
      <c r="D20" s="351"/>
      <c r="E20" s="351"/>
      <c r="F20" s="351"/>
      <c r="G20" s="351"/>
      <c r="H20" s="351"/>
      <c r="I20" s="351"/>
      <c r="J20" s="351"/>
      <c r="K20" s="351"/>
      <c r="L20" s="351"/>
      <c r="M20" s="351"/>
      <c r="N20" s="351"/>
      <c r="O20" s="351"/>
      <c r="P20" s="351"/>
      <c r="Q20" s="351"/>
      <c r="R20" s="444"/>
      <c r="S20" s="455"/>
      <c r="T20" s="456"/>
      <c r="U20" s="456"/>
      <c r="V20" s="456"/>
      <c r="W20" s="456"/>
      <c r="X20" s="456"/>
      <c r="Y20" s="456"/>
      <c r="Z20" s="457"/>
      <c r="AA20" s="443"/>
      <c r="AB20" s="351"/>
      <c r="AC20" s="351"/>
      <c r="AD20" s="351"/>
      <c r="AE20" s="351"/>
      <c r="AF20" s="351"/>
      <c r="AG20" s="351"/>
      <c r="AH20" s="351"/>
      <c r="AI20" s="351"/>
      <c r="AJ20" s="351"/>
      <c r="AK20" s="351"/>
      <c r="AL20" s="351"/>
      <c r="AM20" s="351"/>
      <c r="AN20" s="351"/>
      <c r="AO20" s="351"/>
      <c r="AP20" s="351"/>
      <c r="AQ20" s="351"/>
      <c r="AR20" s="351"/>
      <c r="AS20" s="351"/>
      <c r="AT20" s="351"/>
      <c r="AU20" s="351"/>
      <c r="AV20" s="351"/>
      <c r="AW20" s="351"/>
      <c r="AX20" s="351"/>
      <c r="AY20" s="351"/>
      <c r="AZ20" s="351"/>
      <c r="BA20" s="351"/>
      <c r="BB20" s="351"/>
      <c r="BC20" s="444"/>
      <c r="BD20" s="443"/>
      <c r="BE20" s="351"/>
      <c r="BF20" s="351"/>
      <c r="BG20" s="351"/>
      <c r="BH20" s="351"/>
      <c r="BI20" s="352"/>
    </row>
    <row r="21" spans="1:61" s="1" customFormat="1" ht="15" customHeight="1">
      <c r="A21" s="568">
        <f t="shared" si="0"/>
        <v>16</v>
      </c>
      <c r="B21" s="569"/>
      <c r="C21" s="443"/>
      <c r="D21" s="351"/>
      <c r="E21" s="351"/>
      <c r="F21" s="351"/>
      <c r="G21" s="351"/>
      <c r="H21" s="351"/>
      <c r="I21" s="351"/>
      <c r="J21" s="351"/>
      <c r="K21" s="351"/>
      <c r="L21" s="351"/>
      <c r="M21" s="351"/>
      <c r="N21" s="351"/>
      <c r="O21" s="351"/>
      <c r="P21" s="351"/>
      <c r="Q21" s="351"/>
      <c r="R21" s="444"/>
      <c r="S21" s="455"/>
      <c r="T21" s="456"/>
      <c r="U21" s="456"/>
      <c r="V21" s="456"/>
      <c r="W21" s="456"/>
      <c r="X21" s="456"/>
      <c r="Y21" s="456"/>
      <c r="Z21" s="457"/>
      <c r="AA21" s="443"/>
      <c r="AB21" s="351"/>
      <c r="AC21" s="351"/>
      <c r="AD21" s="351"/>
      <c r="AE21" s="351"/>
      <c r="AF21" s="351"/>
      <c r="AG21" s="351"/>
      <c r="AH21" s="351"/>
      <c r="AI21" s="351"/>
      <c r="AJ21" s="351"/>
      <c r="AK21" s="351"/>
      <c r="AL21" s="351"/>
      <c r="AM21" s="351"/>
      <c r="AN21" s="351"/>
      <c r="AO21" s="351"/>
      <c r="AP21" s="351"/>
      <c r="AQ21" s="351"/>
      <c r="AR21" s="351"/>
      <c r="AS21" s="351"/>
      <c r="AT21" s="351"/>
      <c r="AU21" s="351"/>
      <c r="AV21" s="351"/>
      <c r="AW21" s="351"/>
      <c r="AX21" s="351"/>
      <c r="AY21" s="351"/>
      <c r="AZ21" s="351"/>
      <c r="BA21" s="351"/>
      <c r="BB21" s="351"/>
      <c r="BC21" s="444"/>
      <c r="BD21" s="443"/>
      <c r="BE21" s="351"/>
      <c r="BF21" s="351"/>
      <c r="BG21" s="351"/>
      <c r="BH21" s="351"/>
      <c r="BI21" s="352"/>
    </row>
    <row r="22" spans="1:61" s="1" customFormat="1" ht="15" customHeight="1">
      <c r="A22" s="568">
        <f t="shared" si="0"/>
        <v>17</v>
      </c>
      <c r="B22" s="569"/>
      <c r="C22" s="443"/>
      <c r="D22" s="351"/>
      <c r="E22" s="351"/>
      <c r="F22" s="351"/>
      <c r="G22" s="351"/>
      <c r="H22" s="351"/>
      <c r="I22" s="351"/>
      <c r="J22" s="351"/>
      <c r="K22" s="351"/>
      <c r="L22" s="351"/>
      <c r="M22" s="351"/>
      <c r="N22" s="351"/>
      <c r="O22" s="351"/>
      <c r="P22" s="351"/>
      <c r="Q22" s="351"/>
      <c r="R22" s="444"/>
      <c r="S22" s="455"/>
      <c r="T22" s="456"/>
      <c r="U22" s="456"/>
      <c r="V22" s="456"/>
      <c r="W22" s="456"/>
      <c r="X22" s="456"/>
      <c r="Y22" s="456"/>
      <c r="Z22" s="457"/>
      <c r="AA22" s="443"/>
      <c r="AB22" s="351"/>
      <c r="AC22" s="351"/>
      <c r="AD22" s="351"/>
      <c r="AE22" s="351"/>
      <c r="AF22" s="351"/>
      <c r="AG22" s="351"/>
      <c r="AH22" s="351"/>
      <c r="AI22" s="351"/>
      <c r="AJ22" s="351"/>
      <c r="AK22" s="351"/>
      <c r="AL22" s="351"/>
      <c r="AM22" s="351"/>
      <c r="AN22" s="351"/>
      <c r="AO22" s="351"/>
      <c r="AP22" s="351"/>
      <c r="AQ22" s="351"/>
      <c r="AR22" s="351"/>
      <c r="AS22" s="351"/>
      <c r="AT22" s="351"/>
      <c r="AU22" s="351"/>
      <c r="AV22" s="351"/>
      <c r="AW22" s="351"/>
      <c r="AX22" s="351"/>
      <c r="AY22" s="351"/>
      <c r="AZ22" s="351"/>
      <c r="BA22" s="351"/>
      <c r="BB22" s="351"/>
      <c r="BC22" s="444"/>
      <c r="BD22" s="443"/>
      <c r="BE22" s="351"/>
      <c r="BF22" s="351"/>
      <c r="BG22" s="351"/>
      <c r="BH22" s="351"/>
      <c r="BI22" s="352"/>
    </row>
    <row r="23" spans="1:61" s="1" customFormat="1" ht="15" customHeight="1">
      <c r="A23" s="568">
        <f t="shared" si="0"/>
        <v>18</v>
      </c>
      <c r="B23" s="569"/>
      <c r="C23" s="443"/>
      <c r="D23" s="351"/>
      <c r="E23" s="351"/>
      <c r="F23" s="351"/>
      <c r="G23" s="351"/>
      <c r="H23" s="351"/>
      <c r="I23" s="351"/>
      <c r="J23" s="351"/>
      <c r="K23" s="351"/>
      <c r="L23" s="351"/>
      <c r="M23" s="351"/>
      <c r="N23" s="351"/>
      <c r="O23" s="351"/>
      <c r="P23" s="351"/>
      <c r="Q23" s="351"/>
      <c r="R23" s="444"/>
      <c r="S23" s="455"/>
      <c r="T23" s="456"/>
      <c r="U23" s="456"/>
      <c r="V23" s="456"/>
      <c r="W23" s="456"/>
      <c r="X23" s="456"/>
      <c r="Y23" s="456"/>
      <c r="Z23" s="457"/>
      <c r="AA23" s="443"/>
      <c r="AB23" s="351"/>
      <c r="AC23" s="351"/>
      <c r="AD23" s="351"/>
      <c r="AE23" s="351"/>
      <c r="AF23" s="351"/>
      <c r="AG23" s="351"/>
      <c r="AH23" s="351"/>
      <c r="AI23" s="351"/>
      <c r="AJ23" s="351"/>
      <c r="AK23" s="351"/>
      <c r="AL23" s="351"/>
      <c r="AM23" s="351"/>
      <c r="AN23" s="351"/>
      <c r="AO23" s="351"/>
      <c r="AP23" s="351"/>
      <c r="AQ23" s="351"/>
      <c r="AR23" s="351"/>
      <c r="AS23" s="351"/>
      <c r="AT23" s="351"/>
      <c r="AU23" s="351"/>
      <c r="AV23" s="351"/>
      <c r="AW23" s="351"/>
      <c r="AX23" s="351"/>
      <c r="AY23" s="351"/>
      <c r="AZ23" s="351"/>
      <c r="BA23" s="351"/>
      <c r="BB23" s="351"/>
      <c r="BC23" s="444"/>
      <c r="BD23" s="443"/>
      <c r="BE23" s="351"/>
      <c r="BF23" s="351"/>
      <c r="BG23" s="351"/>
      <c r="BH23" s="351"/>
      <c r="BI23" s="352"/>
    </row>
    <row r="24" spans="1:61" s="1" customFormat="1" ht="15" customHeight="1">
      <c r="A24" s="568">
        <f t="shared" si="0"/>
        <v>19</v>
      </c>
      <c r="B24" s="569"/>
      <c r="C24" s="443"/>
      <c r="D24" s="351"/>
      <c r="E24" s="351"/>
      <c r="F24" s="351"/>
      <c r="G24" s="351"/>
      <c r="H24" s="351"/>
      <c r="I24" s="351"/>
      <c r="J24" s="351"/>
      <c r="K24" s="351"/>
      <c r="L24" s="351"/>
      <c r="M24" s="351"/>
      <c r="N24" s="351"/>
      <c r="O24" s="351"/>
      <c r="P24" s="351"/>
      <c r="Q24" s="351"/>
      <c r="R24" s="444"/>
      <c r="S24" s="455"/>
      <c r="T24" s="456"/>
      <c r="U24" s="456"/>
      <c r="V24" s="456"/>
      <c r="W24" s="456"/>
      <c r="X24" s="456"/>
      <c r="Y24" s="456"/>
      <c r="Z24" s="457"/>
      <c r="AA24" s="443"/>
      <c r="AB24" s="351"/>
      <c r="AC24" s="351"/>
      <c r="AD24" s="351"/>
      <c r="AE24" s="351"/>
      <c r="AF24" s="351"/>
      <c r="AG24" s="351"/>
      <c r="AH24" s="351"/>
      <c r="AI24" s="351"/>
      <c r="AJ24" s="351"/>
      <c r="AK24" s="351"/>
      <c r="AL24" s="351"/>
      <c r="AM24" s="351"/>
      <c r="AN24" s="351"/>
      <c r="AO24" s="351"/>
      <c r="AP24" s="351"/>
      <c r="AQ24" s="351"/>
      <c r="AR24" s="351"/>
      <c r="AS24" s="351"/>
      <c r="AT24" s="351"/>
      <c r="AU24" s="351"/>
      <c r="AV24" s="351"/>
      <c r="AW24" s="351"/>
      <c r="AX24" s="351"/>
      <c r="AY24" s="351"/>
      <c r="AZ24" s="351"/>
      <c r="BA24" s="351"/>
      <c r="BB24" s="351"/>
      <c r="BC24" s="444"/>
      <c r="BD24" s="443"/>
      <c r="BE24" s="351"/>
      <c r="BF24" s="351"/>
      <c r="BG24" s="351"/>
      <c r="BH24" s="351"/>
      <c r="BI24" s="352"/>
    </row>
    <row r="25" spans="1:61" s="1" customFormat="1" ht="15" customHeight="1">
      <c r="A25" s="568">
        <f t="shared" si="0"/>
        <v>20</v>
      </c>
      <c r="B25" s="569"/>
      <c r="C25" s="443"/>
      <c r="D25" s="351"/>
      <c r="E25" s="351"/>
      <c r="F25" s="351"/>
      <c r="G25" s="351"/>
      <c r="H25" s="351"/>
      <c r="I25" s="351"/>
      <c r="J25" s="351"/>
      <c r="K25" s="351"/>
      <c r="L25" s="351"/>
      <c r="M25" s="351"/>
      <c r="N25" s="351"/>
      <c r="O25" s="351"/>
      <c r="P25" s="351"/>
      <c r="Q25" s="351"/>
      <c r="R25" s="444"/>
      <c r="S25" s="455"/>
      <c r="T25" s="456"/>
      <c r="U25" s="456"/>
      <c r="V25" s="456"/>
      <c r="W25" s="456"/>
      <c r="X25" s="456"/>
      <c r="Y25" s="456"/>
      <c r="Z25" s="457"/>
      <c r="AA25" s="443"/>
      <c r="AB25" s="351"/>
      <c r="AC25" s="351"/>
      <c r="AD25" s="351"/>
      <c r="AE25" s="351"/>
      <c r="AF25" s="351"/>
      <c r="AG25" s="351"/>
      <c r="AH25" s="351"/>
      <c r="AI25" s="351"/>
      <c r="AJ25" s="351"/>
      <c r="AK25" s="351"/>
      <c r="AL25" s="351"/>
      <c r="AM25" s="351"/>
      <c r="AN25" s="351"/>
      <c r="AO25" s="351"/>
      <c r="AP25" s="351"/>
      <c r="AQ25" s="351"/>
      <c r="AR25" s="351"/>
      <c r="AS25" s="351"/>
      <c r="AT25" s="351"/>
      <c r="AU25" s="351"/>
      <c r="AV25" s="351"/>
      <c r="AW25" s="351"/>
      <c r="AX25" s="351"/>
      <c r="AY25" s="351"/>
      <c r="AZ25" s="351"/>
      <c r="BA25" s="351"/>
      <c r="BB25" s="351"/>
      <c r="BC25" s="444"/>
      <c r="BD25" s="443"/>
      <c r="BE25" s="351"/>
      <c r="BF25" s="351"/>
      <c r="BG25" s="351"/>
      <c r="BH25" s="351"/>
      <c r="BI25" s="352"/>
    </row>
    <row r="26" spans="1:61" s="1" customFormat="1" ht="15" customHeight="1">
      <c r="A26" s="568">
        <f t="shared" si="0"/>
        <v>21</v>
      </c>
      <c r="B26" s="569"/>
      <c r="C26" s="443"/>
      <c r="D26" s="351"/>
      <c r="E26" s="351"/>
      <c r="F26" s="351"/>
      <c r="G26" s="351"/>
      <c r="H26" s="351"/>
      <c r="I26" s="351"/>
      <c r="J26" s="351"/>
      <c r="K26" s="351"/>
      <c r="L26" s="351"/>
      <c r="M26" s="351"/>
      <c r="N26" s="351"/>
      <c r="O26" s="351"/>
      <c r="P26" s="351"/>
      <c r="Q26" s="351"/>
      <c r="R26" s="444"/>
      <c r="S26" s="455"/>
      <c r="T26" s="456"/>
      <c r="U26" s="456"/>
      <c r="V26" s="456"/>
      <c r="W26" s="456"/>
      <c r="X26" s="456"/>
      <c r="Y26" s="456"/>
      <c r="Z26" s="457"/>
      <c r="AA26" s="443"/>
      <c r="AB26" s="351"/>
      <c r="AC26" s="351"/>
      <c r="AD26" s="351"/>
      <c r="AE26" s="351"/>
      <c r="AF26" s="351"/>
      <c r="AG26" s="351"/>
      <c r="AH26" s="351"/>
      <c r="AI26" s="351"/>
      <c r="AJ26" s="351"/>
      <c r="AK26" s="351"/>
      <c r="AL26" s="351"/>
      <c r="AM26" s="351"/>
      <c r="AN26" s="351"/>
      <c r="AO26" s="351"/>
      <c r="AP26" s="351"/>
      <c r="AQ26" s="351"/>
      <c r="AR26" s="351"/>
      <c r="AS26" s="351"/>
      <c r="AT26" s="351"/>
      <c r="AU26" s="351"/>
      <c r="AV26" s="351"/>
      <c r="AW26" s="351"/>
      <c r="AX26" s="351"/>
      <c r="AY26" s="351"/>
      <c r="AZ26" s="351"/>
      <c r="BA26" s="351"/>
      <c r="BB26" s="351"/>
      <c r="BC26" s="444"/>
      <c r="BD26" s="443"/>
      <c r="BE26" s="351"/>
      <c r="BF26" s="351"/>
      <c r="BG26" s="351"/>
      <c r="BH26" s="351"/>
      <c r="BI26" s="352"/>
    </row>
    <row r="27" spans="1:61" s="1" customFormat="1" ht="15" customHeight="1">
      <c r="A27" s="568">
        <f t="shared" si="0"/>
        <v>22</v>
      </c>
      <c r="B27" s="569"/>
      <c r="C27" s="443"/>
      <c r="D27" s="351"/>
      <c r="E27" s="351"/>
      <c r="F27" s="351"/>
      <c r="G27" s="351"/>
      <c r="H27" s="351"/>
      <c r="I27" s="351"/>
      <c r="J27" s="351"/>
      <c r="K27" s="351"/>
      <c r="L27" s="351"/>
      <c r="M27" s="351"/>
      <c r="N27" s="351"/>
      <c r="O27" s="351"/>
      <c r="P27" s="351"/>
      <c r="Q27" s="351"/>
      <c r="R27" s="444"/>
      <c r="S27" s="455"/>
      <c r="T27" s="456"/>
      <c r="U27" s="456"/>
      <c r="V27" s="456"/>
      <c r="W27" s="456"/>
      <c r="X27" s="456"/>
      <c r="Y27" s="456"/>
      <c r="Z27" s="457"/>
      <c r="AA27" s="443"/>
      <c r="AB27" s="351"/>
      <c r="AC27" s="351"/>
      <c r="AD27" s="351"/>
      <c r="AE27" s="351"/>
      <c r="AF27" s="351"/>
      <c r="AG27" s="351"/>
      <c r="AH27" s="351"/>
      <c r="AI27" s="351"/>
      <c r="AJ27" s="351"/>
      <c r="AK27" s="351"/>
      <c r="AL27" s="351"/>
      <c r="AM27" s="351"/>
      <c r="AN27" s="351"/>
      <c r="AO27" s="351"/>
      <c r="AP27" s="351"/>
      <c r="AQ27" s="351"/>
      <c r="AR27" s="351"/>
      <c r="AS27" s="351"/>
      <c r="AT27" s="351"/>
      <c r="AU27" s="351"/>
      <c r="AV27" s="351"/>
      <c r="AW27" s="351"/>
      <c r="AX27" s="351"/>
      <c r="AY27" s="351"/>
      <c r="AZ27" s="351"/>
      <c r="BA27" s="351"/>
      <c r="BB27" s="351"/>
      <c r="BC27" s="444"/>
      <c r="BD27" s="443"/>
      <c r="BE27" s="351"/>
      <c r="BF27" s="351"/>
      <c r="BG27" s="351"/>
      <c r="BH27" s="351"/>
      <c r="BI27" s="352"/>
    </row>
    <row r="28" spans="1:61" s="1" customFormat="1" ht="15" customHeight="1">
      <c r="A28" s="568">
        <f t="shared" si="0"/>
        <v>23</v>
      </c>
      <c r="B28" s="569"/>
      <c r="C28" s="443"/>
      <c r="D28" s="351"/>
      <c r="E28" s="351"/>
      <c r="F28" s="351"/>
      <c r="G28" s="351"/>
      <c r="H28" s="351"/>
      <c r="I28" s="351"/>
      <c r="J28" s="351"/>
      <c r="K28" s="351"/>
      <c r="L28" s="351"/>
      <c r="M28" s="351"/>
      <c r="N28" s="351"/>
      <c r="O28" s="351"/>
      <c r="P28" s="351"/>
      <c r="Q28" s="351"/>
      <c r="R28" s="444"/>
      <c r="S28" s="455"/>
      <c r="T28" s="456"/>
      <c r="U28" s="456"/>
      <c r="V28" s="456"/>
      <c r="W28" s="456"/>
      <c r="X28" s="456"/>
      <c r="Y28" s="456"/>
      <c r="Z28" s="457"/>
      <c r="AA28" s="443"/>
      <c r="AB28" s="351"/>
      <c r="AC28" s="351"/>
      <c r="AD28" s="351"/>
      <c r="AE28" s="351"/>
      <c r="AF28" s="351"/>
      <c r="AG28" s="351"/>
      <c r="AH28" s="351"/>
      <c r="AI28" s="351"/>
      <c r="AJ28" s="351"/>
      <c r="AK28" s="351"/>
      <c r="AL28" s="351"/>
      <c r="AM28" s="351"/>
      <c r="AN28" s="351"/>
      <c r="AO28" s="351"/>
      <c r="AP28" s="351"/>
      <c r="AQ28" s="351"/>
      <c r="AR28" s="351"/>
      <c r="AS28" s="351"/>
      <c r="AT28" s="351"/>
      <c r="AU28" s="351"/>
      <c r="AV28" s="351"/>
      <c r="AW28" s="351"/>
      <c r="AX28" s="351"/>
      <c r="AY28" s="351"/>
      <c r="AZ28" s="351"/>
      <c r="BA28" s="351"/>
      <c r="BB28" s="351"/>
      <c r="BC28" s="444"/>
      <c r="BD28" s="443"/>
      <c r="BE28" s="351"/>
      <c r="BF28" s="351"/>
      <c r="BG28" s="351"/>
      <c r="BH28" s="351"/>
      <c r="BI28" s="352"/>
    </row>
    <row r="29" spans="1:61" s="1" customFormat="1" ht="15" customHeight="1">
      <c r="A29" s="568">
        <f t="shared" si="0"/>
        <v>24</v>
      </c>
      <c r="B29" s="569"/>
      <c r="C29" s="443"/>
      <c r="D29" s="351"/>
      <c r="E29" s="351"/>
      <c r="F29" s="351"/>
      <c r="G29" s="351"/>
      <c r="H29" s="351"/>
      <c r="I29" s="351"/>
      <c r="J29" s="351"/>
      <c r="K29" s="351"/>
      <c r="L29" s="351"/>
      <c r="M29" s="351"/>
      <c r="N29" s="351"/>
      <c r="O29" s="351"/>
      <c r="P29" s="351"/>
      <c r="Q29" s="351"/>
      <c r="R29" s="444"/>
      <c r="S29" s="455"/>
      <c r="T29" s="456"/>
      <c r="U29" s="456"/>
      <c r="V29" s="456"/>
      <c r="W29" s="456"/>
      <c r="X29" s="456"/>
      <c r="Y29" s="456"/>
      <c r="Z29" s="457"/>
      <c r="AA29" s="443"/>
      <c r="AB29" s="351"/>
      <c r="AC29" s="351"/>
      <c r="AD29" s="351"/>
      <c r="AE29" s="351"/>
      <c r="AF29" s="351"/>
      <c r="AG29" s="351"/>
      <c r="AH29" s="351"/>
      <c r="AI29" s="351"/>
      <c r="AJ29" s="351"/>
      <c r="AK29" s="351"/>
      <c r="AL29" s="351"/>
      <c r="AM29" s="351"/>
      <c r="AN29" s="351"/>
      <c r="AO29" s="351"/>
      <c r="AP29" s="351"/>
      <c r="AQ29" s="351"/>
      <c r="AR29" s="351"/>
      <c r="AS29" s="351"/>
      <c r="AT29" s="351"/>
      <c r="AU29" s="351"/>
      <c r="AV29" s="351"/>
      <c r="AW29" s="351"/>
      <c r="AX29" s="351"/>
      <c r="AY29" s="351"/>
      <c r="AZ29" s="351"/>
      <c r="BA29" s="351"/>
      <c r="BB29" s="351"/>
      <c r="BC29" s="444"/>
      <c r="BD29" s="443"/>
      <c r="BE29" s="351"/>
      <c r="BF29" s="351"/>
      <c r="BG29" s="351"/>
      <c r="BH29" s="351"/>
      <c r="BI29" s="352"/>
    </row>
    <row r="30" spans="1:61" s="1" customFormat="1" ht="15" customHeight="1">
      <c r="A30" s="568">
        <f t="shared" si="0"/>
        <v>25</v>
      </c>
      <c r="B30" s="569"/>
      <c r="C30" s="443"/>
      <c r="D30" s="351"/>
      <c r="E30" s="351"/>
      <c r="F30" s="351"/>
      <c r="G30" s="351"/>
      <c r="H30" s="351"/>
      <c r="I30" s="351"/>
      <c r="J30" s="351"/>
      <c r="K30" s="351"/>
      <c r="L30" s="351"/>
      <c r="M30" s="351"/>
      <c r="N30" s="351"/>
      <c r="O30" s="351"/>
      <c r="P30" s="351"/>
      <c r="Q30" s="351"/>
      <c r="R30" s="444"/>
      <c r="S30" s="455"/>
      <c r="T30" s="456"/>
      <c r="U30" s="456"/>
      <c r="V30" s="456"/>
      <c r="W30" s="456"/>
      <c r="X30" s="456"/>
      <c r="Y30" s="456"/>
      <c r="Z30" s="457"/>
      <c r="AA30" s="443"/>
      <c r="AB30" s="351"/>
      <c r="AC30" s="351"/>
      <c r="AD30" s="351"/>
      <c r="AE30" s="351"/>
      <c r="AF30" s="351"/>
      <c r="AG30" s="351"/>
      <c r="AH30" s="351"/>
      <c r="AI30" s="351"/>
      <c r="AJ30" s="351"/>
      <c r="AK30" s="351"/>
      <c r="AL30" s="351"/>
      <c r="AM30" s="351"/>
      <c r="AN30" s="351"/>
      <c r="AO30" s="351"/>
      <c r="AP30" s="351"/>
      <c r="AQ30" s="351"/>
      <c r="AR30" s="351"/>
      <c r="AS30" s="351"/>
      <c r="AT30" s="351"/>
      <c r="AU30" s="351"/>
      <c r="AV30" s="351"/>
      <c r="AW30" s="351"/>
      <c r="AX30" s="351"/>
      <c r="AY30" s="351"/>
      <c r="AZ30" s="351"/>
      <c r="BA30" s="351"/>
      <c r="BB30" s="351"/>
      <c r="BC30" s="444"/>
      <c r="BD30" s="443"/>
      <c r="BE30" s="351"/>
      <c r="BF30" s="351"/>
      <c r="BG30" s="351"/>
      <c r="BH30" s="351"/>
      <c r="BI30" s="352"/>
    </row>
    <row r="31" spans="1:61" s="1" customFormat="1" ht="15" customHeight="1">
      <c r="A31" s="568">
        <f t="shared" si="0"/>
        <v>26</v>
      </c>
      <c r="B31" s="569"/>
      <c r="C31" s="443"/>
      <c r="D31" s="351"/>
      <c r="E31" s="351"/>
      <c r="F31" s="351"/>
      <c r="G31" s="351"/>
      <c r="H31" s="351"/>
      <c r="I31" s="351"/>
      <c r="J31" s="351"/>
      <c r="K31" s="351"/>
      <c r="L31" s="351"/>
      <c r="M31" s="351"/>
      <c r="N31" s="351"/>
      <c r="O31" s="351"/>
      <c r="P31" s="351"/>
      <c r="Q31" s="351"/>
      <c r="R31" s="444"/>
      <c r="S31" s="455"/>
      <c r="T31" s="456"/>
      <c r="U31" s="456"/>
      <c r="V31" s="456"/>
      <c r="W31" s="456"/>
      <c r="X31" s="456"/>
      <c r="Y31" s="456"/>
      <c r="Z31" s="457"/>
      <c r="AA31" s="443"/>
      <c r="AB31" s="351"/>
      <c r="AC31" s="351"/>
      <c r="AD31" s="351"/>
      <c r="AE31" s="351"/>
      <c r="AF31" s="351"/>
      <c r="AG31" s="351"/>
      <c r="AH31" s="351"/>
      <c r="AI31" s="351"/>
      <c r="AJ31" s="351"/>
      <c r="AK31" s="351"/>
      <c r="AL31" s="351"/>
      <c r="AM31" s="351"/>
      <c r="AN31" s="351"/>
      <c r="AO31" s="351"/>
      <c r="AP31" s="351"/>
      <c r="AQ31" s="351"/>
      <c r="AR31" s="351"/>
      <c r="AS31" s="351"/>
      <c r="AT31" s="351"/>
      <c r="AU31" s="351"/>
      <c r="AV31" s="351"/>
      <c r="AW31" s="351"/>
      <c r="AX31" s="351"/>
      <c r="AY31" s="351"/>
      <c r="AZ31" s="351"/>
      <c r="BA31" s="351"/>
      <c r="BB31" s="351"/>
      <c r="BC31" s="444"/>
      <c r="BD31" s="443"/>
      <c r="BE31" s="351"/>
      <c r="BF31" s="351"/>
      <c r="BG31" s="351"/>
      <c r="BH31" s="351"/>
      <c r="BI31" s="352"/>
    </row>
    <row r="32" spans="1:61" s="1" customFormat="1" ht="15" customHeight="1">
      <c r="A32" s="568">
        <f t="shared" si="0"/>
        <v>27</v>
      </c>
      <c r="B32" s="569"/>
      <c r="C32" s="443"/>
      <c r="D32" s="351"/>
      <c r="E32" s="351"/>
      <c r="F32" s="351"/>
      <c r="G32" s="351"/>
      <c r="H32" s="351"/>
      <c r="I32" s="351"/>
      <c r="J32" s="351"/>
      <c r="K32" s="351"/>
      <c r="L32" s="351"/>
      <c r="M32" s="351"/>
      <c r="N32" s="351"/>
      <c r="O32" s="351"/>
      <c r="P32" s="351"/>
      <c r="Q32" s="351"/>
      <c r="R32" s="444"/>
      <c r="S32" s="455"/>
      <c r="T32" s="456"/>
      <c r="U32" s="456"/>
      <c r="V32" s="456"/>
      <c r="W32" s="456"/>
      <c r="X32" s="456"/>
      <c r="Y32" s="456"/>
      <c r="Z32" s="457"/>
      <c r="AA32" s="443"/>
      <c r="AB32" s="351"/>
      <c r="AC32" s="351"/>
      <c r="AD32" s="351"/>
      <c r="AE32" s="351"/>
      <c r="AF32" s="351"/>
      <c r="AG32" s="351"/>
      <c r="AH32" s="351"/>
      <c r="AI32" s="351"/>
      <c r="AJ32" s="351"/>
      <c r="AK32" s="351"/>
      <c r="AL32" s="351"/>
      <c r="AM32" s="351"/>
      <c r="AN32" s="351"/>
      <c r="AO32" s="351"/>
      <c r="AP32" s="351"/>
      <c r="AQ32" s="351"/>
      <c r="AR32" s="351"/>
      <c r="AS32" s="351"/>
      <c r="AT32" s="351"/>
      <c r="AU32" s="351"/>
      <c r="AV32" s="351"/>
      <c r="AW32" s="351"/>
      <c r="AX32" s="351"/>
      <c r="AY32" s="351"/>
      <c r="AZ32" s="351"/>
      <c r="BA32" s="351"/>
      <c r="BB32" s="351"/>
      <c r="BC32" s="444"/>
      <c r="BD32" s="443"/>
      <c r="BE32" s="351"/>
      <c r="BF32" s="351"/>
      <c r="BG32" s="351"/>
      <c r="BH32" s="351"/>
      <c r="BI32" s="352"/>
    </row>
    <row r="33" spans="1:62" s="1" customFormat="1" ht="15" customHeight="1">
      <c r="A33" s="568">
        <f t="shared" si="0"/>
        <v>28</v>
      </c>
      <c r="B33" s="569"/>
      <c r="C33" s="443"/>
      <c r="D33" s="351"/>
      <c r="E33" s="351"/>
      <c r="F33" s="351"/>
      <c r="G33" s="351"/>
      <c r="H33" s="351"/>
      <c r="I33" s="351"/>
      <c r="J33" s="351"/>
      <c r="K33" s="351"/>
      <c r="L33" s="351"/>
      <c r="M33" s="351"/>
      <c r="N33" s="351"/>
      <c r="O33" s="351"/>
      <c r="P33" s="351"/>
      <c r="Q33" s="351"/>
      <c r="R33" s="444"/>
      <c r="S33" s="455"/>
      <c r="T33" s="456"/>
      <c r="U33" s="456"/>
      <c r="V33" s="456"/>
      <c r="W33" s="456"/>
      <c r="X33" s="456"/>
      <c r="Y33" s="456"/>
      <c r="Z33" s="457"/>
      <c r="AA33" s="443"/>
      <c r="AB33" s="351"/>
      <c r="AC33" s="351"/>
      <c r="AD33" s="351"/>
      <c r="AE33" s="351"/>
      <c r="AF33" s="351"/>
      <c r="AG33" s="351"/>
      <c r="AH33" s="351"/>
      <c r="AI33" s="351"/>
      <c r="AJ33" s="351"/>
      <c r="AK33" s="351"/>
      <c r="AL33" s="351"/>
      <c r="AM33" s="351"/>
      <c r="AN33" s="351"/>
      <c r="AO33" s="351"/>
      <c r="AP33" s="351"/>
      <c r="AQ33" s="351"/>
      <c r="AR33" s="351"/>
      <c r="AS33" s="351"/>
      <c r="AT33" s="351"/>
      <c r="AU33" s="351"/>
      <c r="AV33" s="351"/>
      <c r="AW33" s="351"/>
      <c r="AX33" s="351"/>
      <c r="AY33" s="351"/>
      <c r="AZ33" s="351"/>
      <c r="BA33" s="351"/>
      <c r="BB33" s="351"/>
      <c r="BC33" s="444"/>
      <c r="BD33" s="443"/>
      <c r="BE33" s="351"/>
      <c r="BF33" s="351"/>
      <c r="BG33" s="351"/>
      <c r="BH33" s="351"/>
      <c r="BI33" s="352"/>
    </row>
    <row r="34" spans="1:62" s="1" customFormat="1" ht="15" customHeight="1">
      <c r="A34" s="568">
        <f t="shared" si="0"/>
        <v>29</v>
      </c>
      <c r="B34" s="569"/>
      <c r="C34" s="443"/>
      <c r="D34" s="351"/>
      <c r="E34" s="351"/>
      <c r="F34" s="351"/>
      <c r="G34" s="351"/>
      <c r="H34" s="351"/>
      <c r="I34" s="351"/>
      <c r="J34" s="351"/>
      <c r="K34" s="351"/>
      <c r="L34" s="351"/>
      <c r="M34" s="351"/>
      <c r="N34" s="351"/>
      <c r="O34" s="351"/>
      <c r="P34" s="351"/>
      <c r="Q34" s="351"/>
      <c r="R34" s="444"/>
      <c r="S34" s="455"/>
      <c r="T34" s="456"/>
      <c r="U34" s="456"/>
      <c r="V34" s="456"/>
      <c r="W34" s="456"/>
      <c r="X34" s="456"/>
      <c r="Y34" s="456"/>
      <c r="Z34" s="457"/>
      <c r="AA34" s="443"/>
      <c r="AB34" s="351"/>
      <c r="AC34" s="351"/>
      <c r="AD34" s="351"/>
      <c r="AE34" s="351"/>
      <c r="AF34" s="351"/>
      <c r="AG34" s="351"/>
      <c r="AH34" s="351"/>
      <c r="AI34" s="351"/>
      <c r="AJ34" s="351"/>
      <c r="AK34" s="351"/>
      <c r="AL34" s="351"/>
      <c r="AM34" s="351"/>
      <c r="AN34" s="351"/>
      <c r="AO34" s="351"/>
      <c r="AP34" s="351"/>
      <c r="AQ34" s="351"/>
      <c r="AR34" s="351"/>
      <c r="AS34" s="351"/>
      <c r="AT34" s="351"/>
      <c r="AU34" s="351"/>
      <c r="AV34" s="351"/>
      <c r="AW34" s="351"/>
      <c r="AX34" s="351"/>
      <c r="AY34" s="351"/>
      <c r="AZ34" s="351"/>
      <c r="BA34" s="351"/>
      <c r="BB34" s="351"/>
      <c r="BC34" s="444"/>
      <c r="BD34" s="443"/>
      <c r="BE34" s="351"/>
      <c r="BF34" s="351"/>
      <c r="BG34" s="351"/>
      <c r="BH34" s="351"/>
      <c r="BI34" s="352"/>
    </row>
    <row r="35" spans="1:62" s="1" customFormat="1" ht="15" customHeight="1">
      <c r="A35" s="568">
        <f t="shared" si="0"/>
        <v>30</v>
      </c>
      <c r="B35" s="569"/>
      <c r="C35" s="443"/>
      <c r="D35" s="351"/>
      <c r="E35" s="351"/>
      <c r="F35" s="351"/>
      <c r="G35" s="351"/>
      <c r="H35" s="351"/>
      <c r="I35" s="351"/>
      <c r="J35" s="351"/>
      <c r="K35" s="351"/>
      <c r="L35" s="351"/>
      <c r="M35" s="351"/>
      <c r="N35" s="351"/>
      <c r="O35" s="351"/>
      <c r="P35" s="351"/>
      <c r="Q35" s="351"/>
      <c r="R35" s="444"/>
      <c r="S35" s="455"/>
      <c r="T35" s="456"/>
      <c r="U35" s="456"/>
      <c r="V35" s="456"/>
      <c r="W35" s="456"/>
      <c r="X35" s="456"/>
      <c r="Y35" s="456"/>
      <c r="Z35" s="457"/>
      <c r="AA35" s="443"/>
      <c r="AB35" s="351"/>
      <c r="AC35" s="351"/>
      <c r="AD35" s="351"/>
      <c r="AE35" s="351"/>
      <c r="AF35" s="351"/>
      <c r="AG35" s="351"/>
      <c r="AH35" s="351"/>
      <c r="AI35" s="351"/>
      <c r="AJ35" s="351"/>
      <c r="AK35" s="351"/>
      <c r="AL35" s="351"/>
      <c r="AM35" s="351"/>
      <c r="AN35" s="351"/>
      <c r="AO35" s="351"/>
      <c r="AP35" s="351"/>
      <c r="AQ35" s="351"/>
      <c r="AR35" s="351"/>
      <c r="AS35" s="351"/>
      <c r="AT35" s="351"/>
      <c r="AU35" s="351"/>
      <c r="AV35" s="351"/>
      <c r="AW35" s="351"/>
      <c r="AX35" s="351"/>
      <c r="AY35" s="351"/>
      <c r="AZ35" s="351"/>
      <c r="BA35" s="351"/>
      <c r="BB35" s="351"/>
      <c r="BC35" s="444"/>
      <c r="BD35" s="443"/>
      <c r="BE35" s="351"/>
      <c r="BF35" s="351"/>
      <c r="BG35" s="351"/>
      <c r="BH35" s="351"/>
      <c r="BI35" s="352"/>
    </row>
    <row r="36" spans="1:62" s="1" customFormat="1" ht="15" customHeight="1">
      <c r="A36" s="568">
        <f t="shared" si="0"/>
        <v>31</v>
      </c>
      <c r="B36" s="569"/>
      <c r="C36" s="443"/>
      <c r="D36" s="351"/>
      <c r="E36" s="351"/>
      <c r="F36" s="351"/>
      <c r="G36" s="351"/>
      <c r="H36" s="351"/>
      <c r="I36" s="351"/>
      <c r="J36" s="351"/>
      <c r="K36" s="351"/>
      <c r="L36" s="351"/>
      <c r="M36" s="351"/>
      <c r="N36" s="351"/>
      <c r="O36" s="351"/>
      <c r="P36" s="351"/>
      <c r="Q36" s="351"/>
      <c r="R36" s="444"/>
      <c r="S36" s="455"/>
      <c r="T36" s="456"/>
      <c r="U36" s="456"/>
      <c r="V36" s="456"/>
      <c r="W36" s="456"/>
      <c r="X36" s="456"/>
      <c r="Y36" s="456"/>
      <c r="Z36" s="457"/>
      <c r="AA36" s="443"/>
      <c r="AB36" s="351"/>
      <c r="AC36" s="351"/>
      <c r="AD36" s="351"/>
      <c r="AE36" s="351"/>
      <c r="AF36" s="351"/>
      <c r="AG36" s="351"/>
      <c r="AH36" s="351"/>
      <c r="AI36" s="351"/>
      <c r="AJ36" s="351"/>
      <c r="AK36" s="351"/>
      <c r="AL36" s="351"/>
      <c r="AM36" s="351"/>
      <c r="AN36" s="351"/>
      <c r="AO36" s="351"/>
      <c r="AP36" s="351"/>
      <c r="AQ36" s="351"/>
      <c r="AR36" s="351"/>
      <c r="AS36" s="351"/>
      <c r="AT36" s="351"/>
      <c r="AU36" s="351"/>
      <c r="AV36" s="351"/>
      <c r="AW36" s="351"/>
      <c r="AX36" s="351"/>
      <c r="AY36" s="351"/>
      <c r="AZ36" s="351"/>
      <c r="BA36" s="351"/>
      <c r="BB36" s="351"/>
      <c r="BC36" s="444"/>
      <c r="BD36" s="443"/>
      <c r="BE36" s="351"/>
      <c r="BF36" s="351"/>
      <c r="BG36" s="351"/>
      <c r="BH36" s="351"/>
      <c r="BI36" s="352"/>
    </row>
    <row r="37" spans="1:62" s="1" customFormat="1" ht="15" customHeight="1">
      <c r="A37" s="568">
        <f t="shared" si="0"/>
        <v>32</v>
      </c>
      <c r="B37" s="569"/>
      <c r="C37" s="443"/>
      <c r="D37" s="351"/>
      <c r="E37" s="351"/>
      <c r="F37" s="351"/>
      <c r="G37" s="351"/>
      <c r="H37" s="351"/>
      <c r="I37" s="351"/>
      <c r="J37" s="351"/>
      <c r="K37" s="351"/>
      <c r="L37" s="351"/>
      <c r="M37" s="351"/>
      <c r="N37" s="351"/>
      <c r="O37" s="351"/>
      <c r="P37" s="351"/>
      <c r="Q37" s="351"/>
      <c r="R37" s="444"/>
      <c r="S37" s="455"/>
      <c r="T37" s="456"/>
      <c r="U37" s="456"/>
      <c r="V37" s="456"/>
      <c r="W37" s="456"/>
      <c r="X37" s="456"/>
      <c r="Y37" s="456"/>
      <c r="Z37" s="457"/>
      <c r="AA37" s="443"/>
      <c r="AB37" s="351"/>
      <c r="AC37" s="351"/>
      <c r="AD37" s="351"/>
      <c r="AE37" s="351"/>
      <c r="AF37" s="351"/>
      <c r="AG37" s="351"/>
      <c r="AH37" s="351"/>
      <c r="AI37" s="351"/>
      <c r="AJ37" s="351"/>
      <c r="AK37" s="351"/>
      <c r="AL37" s="351"/>
      <c r="AM37" s="351"/>
      <c r="AN37" s="351"/>
      <c r="AO37" s="351"/>
      <c r="AP37" s="351"/>
      <c r="AQ37" s="351"/>
      <c r="AR37" s="351"/>
      <c r="AS37" s="351"/>
      <c r="AT37" s="351"/>
      <c r="AU37" s="351"/>
      <c r="AV37" s="351"/>
      <c r="AW37" s="351"/>
      <c r="AX37" s="351"/>
      <c r="AY37" s="351"/>
      <c r="AZ37" s="351"/>
      <c r="BA37" s="351"/>
      <c r="BB37" s="351"/>
      <c r="BC37" s="444"/>
      <c r="BD37" s="443"/>
      <c r="BE37" s="351"/>
      <c r="BF37" s="351"/>
      <c r="BG37" s="351"/>
      <c r="BH37" s="351"/>
      <c r="BI37" s="352"/>
    </row>
    <row r="38" spans="1:62" s="1" customFormat="1" ht="15" customHeight="1" thickBot="1">
      <c r="A38" s="570">
        <f t="shared" si="0"/>
        <v>33</v>
      </c>
      <c r="B38" s="571"/>
      <c r="C38" s="486"/>
      <c r="D38" s="354"/>
      <c r="E38" s="354"/>
      <c r="F38" s="354"/>
      <c r="G38" s="354"/>
      <c r="H38" s="354"/>
      <c r="I38" s="354"/>
      <c r="J38" s="354"/>
      <c r="K38" s="354"/>
      <c r="L38" s="354"/>
      <c r="M38" s="354"/>
      <c r="N38" s="354"/>
      <c r="O38" s="354"/>
      <c r="P38" s="354"/>
      <c r="Q38" s="354"/>
      <c r="R38" s="487"/>
      <c r="S38" s="492"/>
      <c r="T38" s="493"/>
      <c r="U38" s="493"/>
      <c r="V38" s="493"/>
      <c r="W38" s="493"/>
      <c r="X38" s="493"/>
      <c r="Y38" s="493"/>
      <c r="Z38" s="494"/>
      <c r="AA38" s="486"/>
      <c r="AB38" s="354"/>
      <c r="AC38" s="354"/>
      <c r="AD38" s="354"/>
      <c r="AE38" s="354"/>
      <c r="AF38" s="354"/>
      <c r="AG38" s="354"/>
      <c r="AH38" s="354"/>
      <c r="AI38" s="354"/>
      <c r="AJ38" s="354"/>
      <c r="AK38" s="354"/>
      <c r="AL38" s="354"/>
      <c r="AM38" s="354"/>
      <c r="AN38" s="354"/>
      <c r="AO38" s="354"/>
      <c r="AP38" s="354"/>
      <c r="AQ38" s="354"/>
      <c r="AR38" s="354"/>
      <c r="AS38" s="354"/>
      <c r="AT38" s="354"/>
      <c r="AU38" s="354"/>
      <c r="AV38" s="354"/>
      <c r="AW38" s="354"/>
      <c r="AX38" s="354"/>
      <c r="AY38" s="354"/>
      <c r="AZ38" s="354"/>
      <c r="BA38" s="354"/>
      <c r="BB38" s="354"/>
      <c r="BC38" s="487"/>
      <c r="BD38" s="486"/>
      <c r="BE38" s="354"/>
      <c r="BF38" s="354"/>
      <c r="BG38" s="354"/>
      <c r="BH38" s="354"/>
      <c r="BI38" s="355"/>
    </row>
    <row r="39" spans="1:62" s="1" customFormat="1" ht="15" customHeight="1">
      <c r="A39" s="82"/>
      <c r="B39" s="82"/>
      <c r="C39" s="82"/>
      <c r="D39" s="82"/>
      <c r="E39" s="82"/>
      <c r="F39" s="82"/>
      <c r="G39" s="82"/>
      <c r="H39" s="82"/>
      <c r="I39" s="82"/>
      <c r="J39" s="82"/>
      <c r="K39" s="82"/>
      <c r="L39" s="82"/>
      <c r="M39" s="82"/>
      <c r="N39" s="82"/>
      <c r="O39" s="82"/>
      <c r="P39" s="82"/>
      <c r="Q39" s="82"/>
      <c r="R39" s="82"/>
      <c r="S39" s="82"/>
      <c r="T39" s="82"/>
      <c r="U39" s="82"/>
      <c r="V39" s="82"/>
      <c r="W39" s="82"/>
      <c r="X39" s="82"/>
      <c r="Y39" s="82"/>
      <c r="Z39" s="82"/>
      <c r="AA39" s="82"/>
      <c r="AB39" s="82"/>
      <c r="AC39" s="82"/>
      <c r="AD39" s="82"/>
      <c r="AE39" s="82"/>
      <c r="AF39" s="82"/>
      <c r="AG39" s="82"/>
      <c r="AH39" s="82"/>
      <c r="AI39" s="82"/>
      <c r="AJ39" s="82"/>
      <c r="AK39" s="82"/>
      <c r="AL39" s="82"/>
      <c r="AM39" s="82"/>
      <c r="AN39" s="82"/>
      <c r="AO39" s="82"/>
      <c r="AP39" s="82"/>
      <c r="AQ39" s="82"/>
      <c r="AR39" s="82"/>
      <c r="AS39" s="82"/>
      <c r="AT39" s="82"/>
      <c r="AU39" s="82"/>
      <c r="AV39" s="82"/>
      <c r="AW39" s="82"/>
      <c r="AX39" s="82"/>
      <c r="AY39" s="82"/>
      <c r="AZ39" s="82"/>
      <c r="BA39" s="82"/>
      <c r="BB39" s="82"/>
      <c r="BC39" s="82"/>
      <c r="BD39" s="82"/>
      <c r="BE39" s="82"/>
      <c r="BF39" s="82"/>
      <c r="BG39" s="82"/>
      <c r="BH39" s="82"/>
      <c r="BI39" s="82"/>
      <c r="BJ39" s="82"/>
    </row>
  </sheetData>
  <mergeCells count="187">
    <mergeCell ref="AA36:BC36"/>
    <mergeCell ref="AA37:BC37"/>
    <mergeCell ref="AA38:BC38"/>
    <mergeCell ref="A33:B33"/>
    <mergeCell ref="C33:R33"/>
    <mergeCell ref="S33:Z33"/>
    <mergeCell ref="AA33:BC33"/>
    <mergeCell ref="AA30:BC30"/>
    <mergeCell ref="AA31:BC31"/>
    <mergeCell ref="AA32:BC32"/>
    <mergeCell ref="AA34:BC34"/>
    <mergeCell ref="AA35:BC35"/>
    <mergeCell ref="A34:B34"/>
    <mergeCell ref="C34:R34"/>
    <mergeCell ref="S34:Z34"/>
    <mergeCell ref="AA10:BC10"/>
    <mergeCell ref="AA11:BC11"/>
    <mergeCell ref="AA12:BC12"/>
    <mergeCell ref="AA13:BC13"/>
    <mergeCell ref="AA14:BC14"/>
    <mergeCell ref="AA6:BC6"/>
    <mergeCell ref="AA7:BC7"/>
    <mergeCell ref="AA8:BC8"/>
    <mergeCell ref="AA9:BC9"/>
    <mergeCell ref="BD34:BI34"/>
    <mergeCell ref="A35:B35"/>
    <mergeCell ref="C35:R35"/>
    <mergeCell ref="S35:Z35"/>
    <mergeCell ref="BD35:BI35"/>
    <mergeCell ref="A31:B31"/>
    <mergeCell ref="C31:R31"/>
    <mergeCell ref="S31:Z31"/>
    <mergeCell ref="BD31:BI31"/>
    <mergeCell ref="A32:B32"/>
    <mergeCell ref="C32:R32"/>
    <mergeCell ref="S32:Z32"/>
    <mergeCell ref="BD32:BI32"/>
    <mergeCell ref="A28:B28"/>
    <mergeCell ref="C28:R28"/>
    <mergeCell ref="S28:Z28"/>
    <mergeCell ref="BD28:BI28"/>
    <mergeCell ref="A29:B29"/>
    <mergeCell ref="C29:R29"/>
    <mergeCell ref="S29:Z29"/>
    <mergeCell ref="BD29:BI29"/>
    <mergeCell ref="AA28:BC28"/>
    <mergeCell ref="AA29:BC29"/>
    <mergeCell ref="C26:R26"/>
    <mergeCell ref="S26:Z26"/>
    <mergeCell ref="BD26:BI26"/>
    <mergeCell ref="A27:B27"/>
    <mergeCell ref="C27:R27"/>
    <mergeCell ref="S27:Z27"/>
    <mergeCell ref="BD27:BI27"/>
    <mergeCell ref="AA26:BC26"/>
    <mergeCell ref="AA27:BC27"/>
    <mergeCell ref="C24:R24"/>
    <mergeCell ref="S24:Z24"/>
    <mergeCell ref="BD24:BI24"/>
    <mergeCell ref="A25:B25"/>
    <mergeCell ref="C25:R25"/>
    <mergeCell ref="S25:Z25"/>
    <mergeCell ref="BD25:BI25"/>
    <mergeCell ref="AA24:BC24"/>
    <mergeCell ref="AA25:BC25"/>
    <mergeCell ref="S19:Z19"/>
    <mergeCell ref="BD19:BI19"/>
    <mergeCell ref="A20:B20"/>
    <mergeCell ref="C20:R20"/>
    <mergeCell ref="S20:Z20"/>
    <mergeCell ref="BD20:BI20"/>
    <mergeCell ref="AA19:BC19"/>
    <mergeCell ref="AA20:BC20"/>
    <mergeCell ref="C23:R23"/>
    <mergeCell ref="S23:Z23"/>
    <mergeCell ref="BD23:BI23"/>
    <mergeCell ref="AA23:BC23"/>
    <mergeCell ref="C21:R21"/>
    <mergeCell ref="S21:Z21"/>
    <mergeCell ref="BD21:BI21"/>
    <mergeCell ref="A22:B22"/>
    <mergeCell ref="C22:R22"/>
    <mergeCell ref="S22:Z22"/>
    <mergeCell ref="BD22:BI22"/>
    <mergeCell ref="AA21:BC21"/>
    <mergeCell ref="AA22:BC22"/>
    <mergeCell ref="BD16:BI16"/>
    <mergeCell ref="AA15:BC15"/>
    <mergeCell ref="AA16:BC16"/>
    <mergeCell ref="C17:R17"/>
    <mergeCell ref="S17:Z17"/>
    <mergeCell ref="BD17:BI17"/>
    <mergeCell ref="A18:B18"/>
    <mergeCell ref="C18:R18"/>
    <mergeCell ref="S18:Z18"/>
    <mergeCell ref="BD18:BI18"/>
    <mergeCell ref="AA17:BC17"/>
    <mergeCell ref="AA18:BC18"/>
    <mergeCell ref="BD14:BI14"/>
    <mergeCell ref="A38:B38"/>
    <mergeCell ref="A10:B10"/>
    <mergeCell ref="A30:B30"/>
    <mergeCell ref="A36:B36"/>
    <mergeCell ref="A37:B37"/>
    <mergeCell ref="A11:B11"/>
    <mergeCell ref="A12:B12"/>
    <mergeCell ref="A13:B13"/>
    <mergeCell ref="A15:B15"/>
    <mergeCell ref="A17:B17"/>
    <mergeCell ref="A19:B19"/>
    <mergeCell ref="A21:B21"/>
    <mergeCell ref="A23:B23"/>
    <mergeCell ref="A24:B24"/>
    <mergeCell ref="A26:B26"/>
    <mergeCell ref="BD38:BI38"/>
    <mergeCell ref="BD33:BI33"/>
    <mergeCell ref="C15:R15"/>
    <mergeCell ref="S15:Z15"/>
    <mergeCell ref="BD15:BI15"/>
    <mergeCell ref="A16:B16"/>
    <mergeCell ref="C16:R16"/>
    <mergeCell ref="S16:Z16"/>
    <mergeCell ref="A5:B5"/>
    <mergeCell ref="A6:B6"/>
    <mergeCell ref="A7:B7"/>
    <mergeCell ref="A8:B8"/>
    <mergeCell ref="A9:B9"/>
    <mergeCell ref="S38:Z38"/>
    <mergeCell ref="S9:Z9"/>
    <mergeCell ref="C7:R7"/>
    <mergeCell ref="C8:R8"/>
    <mergeCell ref="S7:Z7"/>
    <mergeCell ref="S8:Z8"/>
    <mergeCell ref="C9:R9"/>
    <mergeCell ref="C38:R38"/>
    <mergeCell ref="C10:R10"/>
    <mergeCell ref="C30:R30"/>
    <mergeCell ref="C36:R36"/>
    <mergeCell ref="C37:R37"/>
    <mergeCell ref="C11:R11"/>
    <mergeCell ref="S11:Z11"/>
    <mergeCell ref="S13:Z13"/>
    <mergeCell ref="A14:B14"/>
    <mergeCell ref="C14:R14"/>
    <mergeCell ref="S14:Z14"/>
    <mergeCell ref="C19:R19"/>
    <mergeCell ref="AA5:BC5"/>
    <mergeCell ref="C5:R5"/>
    <mergeCell ref="BD37:BI37"/>
    <mergeCell ref="BD36:BI36"/>
    <mergeCell ref="BD10:BI10"/>
    <mergeCell ref="S10:Z10"/>
    <mergeCell ref="S30:Z30"/>
    <mergeCell ref="S36:Z36"/>
    <mergeCell ref="S37:Z37"/>
    <mergeCell ref="C6:R6"/>
    <mergeCell ref="S5:Z5"/>
    <mergeCell ref="S6:Z6"/>
    <mergeCell ref="C12:R12"/>
    <mergeCell ref="S12:Z12"/>
    <mergeCell ref="C13:R13"/>
    <mergeCell ref="BD6:BI6"/>
    <mergeCell ref="BD5:BI5"/>
    <mergeCell ref="BD8:BI8"/>
    <mergeCell ref="BD7:BI7"/>
    <mergeCell ref="BD9:BI9"/>
    <mergeCell ref="BD11:BI11"/>
    <mergeCell ref="BD12:BI12"/>
    <mergeCell ref="BD30:BI30"/>
    <mergeCell ref="BD13:BI13"/>
    <mergeCell ref="A1:E3"/>
    <mergeCell ref="F1:P1"/>
    <mergeCell ref="Q1:V1"/>
    <mergeCell ref="W1:AD1"/>
    <mergeCell ref="AE1:AS1"/>
    <mergeCell ref="AT1:BA1"/>
    <mergeCell ref="BB1:BI1"/>
    <mergeCell ref="F2:P3"/>
    <mergeCell ref="Q2:V3"/>
    <mergeCell ref="W2:AD3"/>
    <mergeCell ref="AE2:AS3"/>
    <mergeCell ref="AT2:AU2"/>
    <mergeCell ref="AV2:BA2"/>
    <mergeCell ref="BB2:BI2"/>
    <mergeCell ref="AT3:AU3"/>
    <mergeCell ref="AV3:BA3"/>
    <mergeCell ref="BB3:BI3"/>
  </mergeCells>
  <phoneticPr fontId="2"/>
  <dataValidations count="1">
    <dataValidation type="list" allowBlank="1" showInputMessage="1" showErrorMessage="1" sqref="S6:Z38" xr:uid="{F45C40A7-D7F6-4178-B1D9-F244887307E6}">
      <formula1>オブジェクト一覧</formula1>
    </dataValidation>
  </dataValidations>
  <printOptions horizontalCentered="1"/>
  <pageMargins left="0.23622047244094491" right="0.23622047244094491" top="0.74803149606299213" bottom="0.74803149606299213" header="0.31496062992125984" footer="0.31496062992125984"/>
  <pageSetup paperSize="9" scale="85" orientation="landscape"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BBDFD-A451-4EE7-ACDE-5890AE242007}">
  <dimension ref="A1:BI302"/>
  <sheetViews>
    <sheetView showGridLines="0" zoomScale="70" zoomScaleNormal="70" workbookViewId="0">
      <pane ySplit="5" topLeftCell="A6" activePane="bottomLeft" state="frozen"/>
      <selection pane="bottomLeft" sqref="A1:E3"/>
    </sheetView>
  </sheetViews>
  <sheetFormatPr defaultColWidth="2.5" defaultRowHeight="15" customHeight="1"/>
  <cols>
    <col min="1" max="16384" width="2.5" style="1"/>
  </cols>
  <sheetData>
    <row r="1" spans="1:61" ht="15" customHeight="1" thickBot="1">
      <c r="A1" s="294" t="s">
        <v>427</v>
      </c>
      <c r="B1" s="295"/>
      <c r="C1" s="295"/>
      <c r="D1" s="295"/>
      <c r="E1" s="296"/>
      <c r="F1" s="303" t="str">
        <f>変更履歴!F1</f>
        <v>システム名</v>
      </c>
      <c r="G1" s="304"/>
      <c r="H1" s="304"/>
      <c r="I1" s="304"/>
      <c r="J1" s="304"/>
      <c r="K1" s="304"/>
      <c r="L1" s="304"/>
      <c r="M1" s="304"/>
      <c r="N1" s="304"/>
      <c r="O1" s="304"/>
      <c r="P1" s="305"/>
      <c r="Q1" s="306" t="str">
        <f>変更履歴!Q1</f>
        <v>機能分類</v>
      </c>
      <c r="R1" s="307"/>
      <c r="S1" s="307"/>
      <c r="T1" s="307"/>
      <c r="U1" s="307"/>
      <c r="V1" s="308"/>
      <c r="W1" s="303" t="str">
        <f>変更履歴!W1</f>
        <v>機能ＩＤ</v>
      </c>
      <c r="X1" s="304"/>
      <c r="Y1" s="304"/>
      <c r="Z1" s="304"/>
      <c r="AA1" s="304"/>
      <c r="AB1" s="304"/>
      <c r="AC1" s="304"/>
      <c r="AD1" s="305"/>
      <c r="AE1" s="303" t="str">
        <f>変更履歴!AE1</f>
        <v>機能名称</v>
      </c>
      <c r="AF1" s="304"/>
      <c r="AG1" s="304"/>
      <c r="AH1" s="304"/>
      <c r="AI1" s="304"/>
      <c r="AJ1" s="304"/>
      <c r="AK1" s="304"/>
      <c r="AL1" s="304"/>
      <c r="AM1" s="304"/>
      <c r="AN1" s="304"/>
      <c r="AO1" s="304"/>
      <c r="AP1" s="304"/>
      <c r="AQ1" s="304"/>
      <c r="AR1" s="304"/>
      <c r="AS1" s="305"/>
      <c r="AT1" s="309" t="str">
        <f>変更履歴!AT1</f>
        <v>日付</v>
      </c>
      <c r="AU1" s="310"/>
      <c r="AV1" s="310"/>
      <c r="AW1" s="310"/>
      <c r="AX1" s="310"/>
      <c r="AY1" s="310"/>
      <c r="AZ1" s="310"/>
      <c r="BA1" s="311"/>
      <c r="BB1" s="266" t="str">
        <f>変更履歴!BB1</f>
        <v>更新者</v>
      </c>
      <c r="BC1" s="268"/>
      <c r="BD1" s="268"/>
      <c r="BE1" s="268"/>
      <c r="BF1" s="268"/>
      <c r="BG1" s="268"/>
      <c r="BH1" s="268"/>
      <c r="BI1" s="269"/>
    </row>
    <row r="2" spans="1:61" ht="15" customHeight="1">
      <c r="A2" s="297"/>
      <c r="B2" s="298"/>
      <c r="C2" s="298"/>
      <c r="D2" s="298"/>
      <c r="E2" s="299"/>
      <c r="F2" s="270" t="str">
        <f>変更履歴!F2</f>
        <v>Dynamics365 for Finance and Operations</v>
      </c>
      <c r="G2" s="271"/>
      <c r="H2" s="271"/>
      <c r="I2" s="271"/>
      <c r="J2" s="271"/>
      <c r="K2" s="271"/>
      <c r="L2" s="271"/>
      <c r="M2" s="271"/>
      <c r="N2" s="271"/>
      <c r="O2" s="271"/>
      <c r="P2" s="272"/>
      <c r="Q2" s="270" t="str">
        <f>変更履歴!Q2</f>
        <v>システム共通</v>
      </c>
      <c r="R2" s="271"/>
      <c r="S2" s="271"/>
      <c r="T2" s="271"/>
      <c r="U2" s="271"/>
      <c r="V2" s="272"/>
      <c r="W2" s="276" t="str">
        <f>変更履歴!W2</f>
        <v>FO-088</v>
      </c>
      <c r="X2" s="277"/>
      <c r="Y2" s="277"/>
      <c r="Z2" s="277"/>
      <c r="AA2" s="277"/>
      <c r="AB2" s="277"/>
      <c r="AC2" s="277"/>
      <c r="AD2" s="278"/>
      <c r="AE2" s="270" t="str">
        <f>変更履歴!AE2</f>
        <v>AzureFiles連携共通インターフェース</v>
      </c>
      <c r="AF2" s="271"/>
      <c r="AG2" s="271"/>
      <c r="AH2" s="271"/>
      <c r="AI2" s="271"/>
      <c r="AJ2" s="271"/>
      <c r="AK2" s="271"/>
      <c r="AL2" s="271"/>
      <c r="AM2" s="271"/>
      <c r="AN2" s="271"/>
      <c r="AO2" s="271"/>
      <c r="AP2" s="271"/>
      <c r="AQ2" s="271"/>
      <c r="AR2" s="271"/>
      <c r="AS2" s="272"/>
      <c r="AT2" s="282" t="str">
        <f>変更履歴!AT2</f>
        <v>作成</v>
      </c>
      <c r="AU2" s="283"/>
      <c r="AV2" s="284">
        <f>変更履歴!AV2</f>
        <v>45453</v>
      </c>
      <c r="AW2" s="284"/>
      <c r="AX2" s="284"/>
      <c r="AY2" s="284"/>
      <c r="AZ2" s="284"/>
      <c r="BA2" s="285"/>
      <c r="BB2" s="286" t="str">
        <f>変更履歴!BB2</f>
        <v>JBS石岡</v>
      </c>
      <c r="BC2" s="288"/>
      <c r="BD2" s="288"/>
      <c r="BE2" s="288"/>
      <c r="BF2" s="288"/>
      <c r="BG2" s="288"/>
      <c r="BH2" s="288"/>
      <c r="BI2" s="289"/>
    </row>
    <row r="3" spans="1:61" ht="15" customHeight="1" thickBot="1">
      <c r="A3" s="300"/>
      <c r="B3" s="301"/>
      <c r="C3" s="301"/>
      <c r="D3" s="301"/>
      <c r="E3" s="302"/>
      <c r="F3" s="273"/>
      <c r="G3" s="274"/>
      <c r="H3" s="274"/>
      <c r="I3" s="274"/>
      <c r="J3" s="274"/>
      <c r="K3" s="274"/>
      <c r="L3" s="274"/>
      <c r="M3" s="274"/>
      <c r="N3" s="274"/>
      <c r="O3" s="274"/>
      <c r="P3" s="275"/>
      <c r="Q3" s="273"/>
      <c r="R3" s="274"/>
      <c r="S3" s="274"/>
      <c r="T3" s="274"/>
      <c r="U3" s="274"/>
      <c r="V3" s="275"/>
      <c r="W3" s="279"/>
      <c r="X3" s="280"/>
      <c r="Y3" s="280"/>
      <c r="Z3" s="280"/>
      <c r="AA3" s="280"/>
      <c r="AB3" s="280"/>
      <c r="AC3" s="280"/>
      <c r="AD3" s="281"/>
      <c r="AE3" s="273"/>
      <c r="AF3" s="274"/>
      <c r="AG3" s="274"/>
      <c r="AH3" s="274"/>
      <c r="AI3" s="274"/>
      <c r="AJ3" s="274"/>
      <c r="AK3" s="274"/>
      <c r="AL3" s="274"/>
      <c r="AM3" s="274"/>
      <c r="AN3" s="274"/>
      <c r="AO3" s="274"/>
      <c r="AP3" s="274"/>
      <c r="AQ3" s="274"/>
      <c r="AR3" s="274"/>
      <c r="AS3" s="275"/>
      <c r="AT3" s="290" t="str">
        <f>変更履歴!AT3</f>
        <v>更新</v>
      </c>
      <c r="AU3" s="291"/>
      <c r="AV3" s="316">
        <f ca="1">変更履歴!AV3</f>
        <v>45726</v>
      </c>
      <c r="AW3" s="317"/>
      <c r="AX3" s="317"/>
      <c r="AY3" s="317"/>
      <c r="AZ3" s="317"/>
      <c r="BA3" s="318"/>
      <c r="BB3" s="313" t="str">
        <f ca="1">変更履歴!BB3</f>
        <v>JBS石岡</v>
      </c>
      <c r="BC3" s="314"/>
      <c r="BD3" s="314"/>
      <c r="BE3" s="314"/>
      <c r="BF3" s="314"/>
      <c r="BG3" s="314"/>
      <c r="BH3" s="314"/>
      <c r="BI3" s="315"/>
    </row>
    <row r="4" spans="1:61" ht="15" customHeight="1" thickBot="1"/>
    <row r="5" spans="1:61" ht="15" customHeight="1" thickBot="1">
      <c r="A5" s="319" t="s">
        <v>428</v>
      </c>
      <c r="B5" s="320"/>
      <c r="C5" s="320"/>
      <c r="D5" s="320"/>
      <c r="E5" s="320"/>
      <c r="F5" s="320"/>
      <c r="G5" s="320"/>
      <c r="H5" s="320"/>
      <c r="I5" s="320"/>
      <c r="J5" s="320"/>
      <c r="K5" s="320"/>
      <c r="L5" s="320"/>
      <c r="M5" s="320"/>
      <c r="N5" s="320"/>
      <c r="O5" s="320"/>
      <c r="P5" s="320"/>
      <c r="Q5" s="320"/>
      <c r="R5" s="320"/>
      <c r="S5" s="320"/>
      <c r="T5" s="320"/>
      <c r="U5" s="320"/>
      <c r="V5" s="320"/>
      <c r="W5" s="320"/>
      <c r="X5" s="320"/>
      <c r="Y5" s="320"/>
      <c r="Z5" s="320"/>
      <c r="AA5" s="320"/>
      <c r="AB5" s="320"/>
      <c r="AC5" s="320"/>
      <c r="AD5" s="320"/>
      <c r="AE5" s="320"/>
      <c r="AF5" s="320"/>
      <c r="AG5" s="320"/>
      <c r="AH5" s="320"/>
      <c r="AI5" s="320"/>
      <c r="AJ5" s="320"/>
      <c r="AK5" s="320"/>
      <c r="AL5" s="320"/>
      <c r="AM5" s="320"/>
      <c r="AN5" s="320"/>
      <c r="AO5" s="320"/>
      <c r="AP5" s="320"/>
      <c r="AQ5" s="320"/>
      <c r="AR5" s="320"/>
      <c r="AS5" s="320"/>
      <c r="AT5" s="320"/>
      <c r="AU5" s="320"/>
      <c r="AV5" s="320"/>
      <c r="AW5" s="320"/>
      <c r="AX5" s="320"/>
      <c r="AY5" s="320"/>
      <c r="AZ5" s="320"/>
      <c r="BA5" s="320"/>
      <c r="BB5" s="320"/>
      <c r="BC5" s="320"/>
      <c r="BD5" s="320"/>
      <c r="BE5" s="320"/>
      <c r="BF5" s="320"/>
      <c r="BG5" s="320"/>
      <c r="BH5" s="320"/>
      <c r="BI5" s="321"/>
    </row>
    <row r="6" spans="1:61" ht="15" customHeight="1">
      <c r="A6" s="15"/>
      <c r="BI6" s="26"/>
    </row>
    <row r="7" spans="1:61" ht="15" customHeight="1">
      <c r="A7" s="15"/>
      <c r="B7" s="1" t="s">
        <v>472</v>
      </c>
      <c r="BI7" s="26"/>
    </row>
    <row r="8" spans="1:61" ht="15" customHeight="1">
      <c r="A8" s="15"/>
      <c r="BI8" s="26"/>
    </row>
    <row r="9" spans="1:61" ht="15" customHeight="1">
      <c r="A9" s="15"/>
      <c r="BI9" s="26"/>
    </row>
    <row r="10" spans="1:61" ht="15" customHeight="1">
      <c r="A10" s="15"/>
      <c r="BI10" s="26"/>
    </row>
    <row r="11" spans="1:61" ht="15" customHeight="1">
      <c r="A11" s="15"/>
      <c r="BI11" s="26"/>
    </row>
    <row r="12" spans="1:61" ht="15" customHeight="1">
      <c r="A12" s="15"/>
      <c r="BI12" s="26"/>
    </row>
    <row r="13" spans="1:61" ht="15" customHeight="1">
      <c r="A13" s="15"/>
      <c r="BI13" s="26"/>
    </row>
    <row r="14" spans="1:61" ht="15" customHeight="1">
      <c r="A14" s="15"/>
      <c r="BI14" s="26"/>
    </row>
    <row r="15" spans="1:61" ht="15" customHeight="1">
      <c r="A15" s="15"/>
      <c r="BI15" s="26"/>
    </row>
    <row r="16" spans="1:61" ht="15" customHeight="1">
      <c r="A16" s="15"/>
      <c r="BI16" s="26"/>
    </row>
    <row r="17" spans="1:61" ht="15" customHeight="1">
      <c r="A17" s="15"/>
      <c r="BI17" s="26"/>
    </row>
    <row r="18" spans="1:61" ht="15" customHeight="1">
      <c r="A18" s="15"/>
      <c r="BI18" s="26"/>
    </row>
    <row r="19" spans="1:61" ht="15" customHeight="1">
      <c r="A19" s="15"/>
      <c r="BI19" s="26"/>
    </row>
    <row r="20" spans="1:61" ht="15" customHeight="1">
      <c r="A20" s="15"/>
      <c r="BI20" s="26"/>
    </row>
    <row r="21" spans="1:61" ht="15" customHeight="1">
      <c r="A21" s="15"/>
      <c r="BI21" s="26"/>
    </row>
    <row r="22" spans="1:61" ht="15" customHeight="1">
      <c r="A22" s="15"/>
      <c r="BI22" s="26"/>
    </row>
    <row r="23" spans="1:61" ht="15" customHeight="1">
      <c r="A23" s="15"/>
      <c r="BI23" s="26"/>
    </row>
    <row r="24" spans="1:61" ht="15" customHeight="1">
      <c r="A24" s="15"/>
      <c r="BI24" s="26"/>
    </row>
    <row r="25" spans="1:61" ht="15" customHeight="1">
      <c r="A25" s="15"/>
      <c r="BI25" s="26"/>
    </row>
    <row r="26" spans="1:61" ht="15" customHeight="1">
      <c r="A26" s="15"/>
      <c r="BI26" s="26"/>
    </row>
    <row r="27" spans="1:61" ht="15" customHeight="1">
      <c r="A27" s="15"/>
      <c r="BI27" s="26"/>
    </row>
    <row r="28" spans="1:61" ht="15" customHeight="1">
      <c r="A28" s="15"/>
      <c r="BI28" s="26"/>
    </row>
    <row r="29" spans="1:61" ht="15" customHeight="1">
      <c r="A29" s="15"/>
      <c r="BI29" s="26"/>
    </row>
    <row r="30" spans="1:61" ht="15" customHeight="1">
      <c r="A30" s="15"/>
      <c r="BI30" s="26"/>
    </row>
    <row r="31" spans="1:61" ht="15" customHeight="1">
      <c r="A31" s="15"/>
      <c r="BI31" s="26"/>
    </row>
    <row r="32" spans="1:61" ht="15" customHeight="1">
      <c r="A32" s="15"/>
      <c r="BI32" s="26"/>
    </row>
    <row r="33" spans="1:61" ht="15" customHeight="1">
      <c r="A33" s="15"/>
      <c r="BI33" s="26"/>
    </row>
    <row r="34" spans="1:61" ht="15" customHeight="1">
      <c r="A34" s="15"/>
      <c r="BI34" s="26"/>
    </row>
    <row r="35" spans="1:61" ht="15" customHeight="1">
      <c r="A35" s="15"/>
      <c r="BI35" s="26"/>
    </row>
    <row r="36" spans="1:61" ht="15" customHeight="1">
      <c r="A36" s="15"/>
      <c r="BI36" s="26"/>
    </row>
    <row r="37" spans="1:61" ht="15" customHeight="1">
      <c r="A37" s="15"/>
      <c r="BI37" s="26"/>
    </row>
    <row r="38" spans="1:61" ht="15" customHeight="1">
      <c r="A38" s="15"/>
      <c r="BI38" s="26"/>
    </row>
    <row r="39" spans="1:61" ht="15" customHeight="1">
      <c r="A39" s="15"/>
      <c r="BI39" s="26"/>
    </row>
    <row r="40" spans="1:61" ht="15" customHeight="1">
      <c r="A40" s="15"/>
      <c r="BI40" s="26"/>
    </row>
    <row r="41" spans="1:61" ht="15" customHeight="1">
      <c r="A41" s="15"/>
      <c r="BI41" s="26"/>
    </row>
    <row r="42" spans="1:61" ht="15" customHeight="1">
      <c r="A42" s="15"/>
      <c r="BI42" s="26"/>
    </row>
    <row r="43" spans="1:61" ht="15" customHeight="1">
      <c r="A43" s="15"/>
      <c r="BI43" s="26"/>
    </row>
    <row r="44" spans="1:61" ht="15" customHeight="1">
      <c r="A44" s="15"/>
      <c r="BI44" s="26"/>
    </row>
    <row r="45" spans="1:61" ht="15" customHeight="1">
      <c r="A45" s="15"/>
      <c r="BI45" s="26"/>
    </row>
    <row r="46" spans="1:61" ht="15" customHeight="1">
      <c r="A46" s="15"/>
      <c r="BI46" s="26"/>
    </row>
    <row r="47" spans="1:61" ht="15" customHeight="1">
      <c r="A47" s="15"/>
      <c r="BI47" s="26"/>
    </row>
    <row r="48" spans="1:61" ht="15" customHeight="1">
      <c r="A48" s="15"/>
      <c r="BI48" s="26"/>
    </row>
    <row r="49" spans="1:61" ht="15" customHeight="1">
      <c r="A49" s="15"/>
      <c r="BI49" s="26"/>
    </row>
    <row r="50" spans="1:61" ht="15" customHeight="1">
      <c r="A50" s="15"/>
      <c r="BI50" s="26"/>
    </row>
    <row r="51" spans="1:61" ht="15" customHeight="1">
      <c r="A51" s="15"/>
      <c r="BI51" s="26"/>
    </row>
    <row r="52" spans="1:61" ht="15" customHeight="1">
      <c r="A52" s="15"/>
      <c r="BI52" s="26"/>
    </row>
    <row r="53" spans="1:61" ht="15" customHeight="1">
      <c r="A53" s="15"/>
      <c r="BI53" s="26"/>
    </row>
    <row r="54" spans="1:61" ht="15" customHeight="1">
      <c r="A54" s="15"/>
      <c r="BI54" s="26"/>
    </row>
    <row r="55" spans="1:61" ht="15" customHeight="1">
      <c r="A55" s="15"/>
      <c r="BI55" s="26"/>
    </row>
    <row r="56" spans="1:61" ht="15" customHeight="1">
      <c r="A56" s="15"/>
      <c r="BI56" s="26"/>
    </row>
    <row r="57" spans="1:61" ht="15" customHeight="1">
      <c r="A57" s="15"/>
      <c r="BI57" s="26"/>
    </row>
    <row r="58" spans="1:61" ht="15" customHeight="1">
      <c r="A58" s="15"/>
      <c r="BI58" s="26"/>
    </row>
    <row r="59" spans="1:61" ht="15" customHeight="1">
      <c r="A59" s="15"/>
      <c r="BI59" s="26"/>
    </row>
    <row r="60" spans="1:61" ht="15" customHeight="1">
      <c r="A60" s="15"/>
      <c r="BI60" s="26"/>
    </row>
    <row r="61" spans="1:61" ht="15" customHeight="1">
      <c r="A61" s="15"/>
      <c r="BI61" s="26"/>
    </row>
    <row r="62" spans="1:61" ht="15" customHeight="1">
      <c r="A62" s="15"/>
      <c r="BI62" s="26"/>
    </row>
    <row r="63" spans="1:61" ht="15" customHeight="1">
      <c r="A63" s="15"/>
      <c r="BI63" s="26"/>
    </row>
    <row r="64" spans="1:61" ht="15" customHeight="1">
      <c r="A64" s="15"/>
      <c r="BI64" s="26"/>
    </row>
    <row r="65" spans="1:61" ht="15" customHeight="1">
      <c r="A65" s="15"/>
      <c r="BI65" s="26"/>
    </row>
    <row r="66" spans="1:61" ht="15" customHeight="1">
      <c r="A66" s="15"/>
      <c r="BI66" s="26"/>
    </row>
    <row r="67" spans="1:61" ht="15" customHeight="1">
      <c r="A67" s="15"/>
      <c r="BI67" s="26"/>
    </row>
    <row r="68" spans="1:61" ht="15" customHeight="1">
      <c r="A68" s="15"/>
      <c r="BI68" s="26"/>
    </row>
    <row r="69" spans="1:61" ht="15" customHeight="1">
      <c r="A69" s="15"/>
      <c r="BI69" s="26"/>
    </row>
    <row r="70" spans="1:61" ht="15" customHeight="1">
      <c r="A70" s="15"/>
      <c r="BI70" s="26"/>
    </row>
    <row r="71" spans="1:61" ht="15" customHeight="1">
      <c r="A71" s="15"/>
      <c r="BI71" s="26"/>
    </row>
    <row r="72" spans="1:61" ht="15" customHeight="1">
      <c r="A72" s="15"/>
      <c r="BI72" s="26"/>
    </row>
    <row r="73" spans="1:61" ht="15" customHeight="1">
      <c r="A73" s="15"/>
      <c r="BI73" s="26"/>
    </row>
    <row r="74" spans="1:61" ht="15" customHeight="1">
      <c r="A74" s="15"/>
      <c r="BI74" s="26"/>
    </row>
    <row r="75" spans="1:61" ht="15" customHeight="1">
      <c r="A75" s="15"/>
      <c r="BI75" s="26"/>
    </row>
    <row r="76" spans="1:61" ht="15" customHeight="1">
      <c r="A76" s="15"/>
      <c r="BI76" s="26"/>
    </row>
    <row r="77" spans="1:61" ht="15" customHeight="1">
      <c r="A77" s="15"/>
      <c r="BI77" s="26"/>
    </row>
    <row r="78" spans="1:61" ht="15" customHeight="1">
      <c r="A78" s="15"/>
      <c r="BI78" s="26"/>
    </row>
    <row r="79" spans="1:61" ht="15" customHeight="1">
      <c r="A79" s="15"/>
      <c r="BI79" s="26"/>
    </row>
    <row r="80" spans="1:61" ht="15" customHeight="1">
      <c r="A80" s="15"/>
      <c r="BI80" s="26"/>
    </row>
    <row r="81" spans="1:61" ht="15" customHeight="1">
      <c r="A81" s="15"/>
      <c r="BI81" s="26"/>
    </row>
    <row r="82" spans="1:61" ht="15" customHeight="1">
      <c r="A82" s="15"/>
      <c r="BI82" s="26"/>
    </row>
    <row r="83" spans="1:61" ht="15" customHeight="1">
      <c r="A83" s="15"/>
      <c r="BI83" s="26"/>
    </row>
    <row r="84" spans="1:61" ht="15" customHeight="1">
      <c r="A84" s="15"/>
      <c r="BI84" s="26"/>
    </row>
    <row r="85" spans="1:61" ht="15" customHeight="1">
      <c r="A85" s="15"/>
      <c r="BI85" s="26"/>
    </row>
    <row r="86" spans="1:61" ht="15" customHeight="1">
      <c r="A86" s="15"/>
      <c r="BI86" s="26"/>
    </row>
    <row r="87" spans="1:61" ht="15" customHeight="1">
      <c r="A87" s="15"/>
      <c r="BI87" s="26"/>
    </row>
    <row r="88" spans="1:61" ht="15" customHeight="1">
      <c r="A88" s="15"/>
      <c r="BI88" s="26"/>
    </row>
    <row r="89" spans="1:61" ht="15" customHeight="1">
      <c r="A89" s="15"/>
      <c r="BI89" s="26"/>
    </row>
    <row r="90" spans="1:61" ht="15" customHeight="1">
      <c r="A90" s="15"/>
      <c r="BI90" s="26"/>
    </row>
    <row r="91" spans="1:61" ht="15" customHeight="1">
      <c r="A91" s="15"/>
      <c r="BI91" s="26"/>
    </row>
    <row r="92" spans="1:61" ht="15" customHeight="1">
      <c r="A92" s="15"/>
      <c r="BI92" s="26"/>
    </row>
    <row r="93" spans="1:61" ht="15" customHeight="1">
      <c r="A93" s="15"/>
      <c r="BI93" s="26"/>
    </row>
    <row r="94" spans="1:61" ht="15" customHeight="1">
      <c r="A94" s="15"/>
      <c r="BI94" s="26"/>
    </row>
    <row r="95" spans="1:61" ht="15" customHeight="1">
      <c r="A95" s="15"/>
      <c r="BI95" s="26"/>
    </row>
    <row r="96" spans="1:61" ht="15" customHeight="1">
      <c r="A96" s="15"/>
      <c r="BI96" s="26"/>
    </row>
    <row r="97" spans="1:61" ht="15" customHeight="1">
      <c r="A97" s="15"/>
      <c r="BI97" s="26"/>
    </row>
    <row r="98" spans="1:61" ht="15" customHeight="1">
      <c r="A98" s="15"/>
      <c r="BI98" s="26"/>
    </row>
    <row r="99" spans="1:61" ht="15" customHeight="1">
      <c r="A99" s="15"/>
      <c r="BI99" s="26"/>
    </row>
    <row r="100" spans="1:61" ht="15" customHeight="1">
      <c r="A100" s="15"/>
      <c r="BI100" s="26"/>
    </row>
    <row r="101" spans="1:61" ht="15" customHeight="1">
      <c r="A101" s="15"/>
      <c r="BI101" s="26"/>
    </row>
    <row r="102" spans="1:61" ht="15" customHeight="1">
      <c r="A102" s="15"/>
      <c r="BI102" s="26"/>
    </row>
    <row r="103" spans="1:61" ht="15" customHeight="1">
      <c r="A103" s="15"/>
      <c r="BI103" s="26"/>
    </row>
    <row r="104" spans="1:61" ht="15" customHeight="1">
      <c r="A104" s="15"/>
      <c r="BI104" s="26"/>
    </row>
    <row r="105" spans="1:61" ht="15" customHeight="1">
      <c r="A105" s="15"/>
      <c r="BI105" s="26"/>
    </row>
    <row r="106" spans="1:61" ht="15" customHeight="1">
      <c r="A106" s="15"/>
      <c r="BI106" s="26"/>
    </row>
    <row r="107" spans="1:61" ht="15" customHeight="1">
      <c r="A107" s="15"/>
      <c r="BI107" s="26"/>
    </row>
    <row r="108" spans="1:61" ht="15" customHeight="1">
      <c r="A108" s="15"/>
      <c r="BI108" s="26"/>
    </row>
    <row r="109" spans="1:61" ht="15" customHeight="1">
      <c r="A109" s="15"/>
      <c r="BI109" s="26"/>
    </row>
    <row r="110" spans="1:61" ht="15" customHeight="1">
      <c r="A110" s="15"/>
      <c r="B110" s="1" t="s">
        <v>474</v>
      </c>
      <c r="BI110" s="26"/>
    </row>
    <row r="111" spans="1:61" ht="15" customHeight="1">
      <c r="A111" s="15"/>
      <c r="BI111" s="26"/>
    </row>
    <row r="112" spans="1:61" ht="15" customHeight="1">
      <c r="A112" s="15"/>
      <c r="BI112" s="26"/>
    </row>
    <row r="113" spans="1:61" ht="15" customHeight="1">
      <c r="A113" s="15"/>
      <c r="BI113" s="26"/>
    </row>
    <row r="114" spans="1:61" ht="15" customHeight="1">
      <c r="A114" s="15"/>
      <c r="BI114" s="26"/>
    </row>
    <row r="115" spans="1:61" ht="15" customHeight="1">
      <c r="A115" s="15"/>
      <c r="BI115" s="26"/>
    </row>
    <row r="116" spans="1:61" ht="15" customHeight="1">
      <c r="A116" s="15"/>
      <c r="BI116" s="26"/>
    </row>
    <row r="117" spans="1:61" ht="15" customHeight="1">
      <c r="A117" s="15"/>
      <c r="BI117" s="26"/>
    </row>
    <row r="118" spans="1:61" ht="15" customHeight="1">
      <c r="A118" s="15"/>
      <c r="BI118" s="26"/>
    </row>
    <row r="119" spans="1:61" ht="15" customHeight="1">
      <c r="A119" s="15"/>
      <c r="BI119" s="26"/>
    </row>
    <row r="120" spans="1:61" ht="15" customHeight="1">
      <c r="A120" s="15"/>
      <c r="BI120" s="26"/>
    </row>
    <row r="121" spans="1:61" ht="15" customHeight="1">
      <c r="A121" s="15"/>
      <c r="BI121" s="26"/>
    </row>
    <row r="122" spans="1:61" ht="15" customHeight="1">
      <c r="A122" s="15"/>
      <c r="BI122" s="26"/>
    </row>
    <row r="123" spans="1:61" ht="15" customHeight="1">
      <c r="A123" s="15"/>
      <c r="BI123" s="26"/>
    </row>
    <row r="124" spans="1:61" ht="15" customHeight="1">
      <c r="A124" s="15"/>
      <c r="BI124" s="26"/>
    </row>
    <row r="125" spans="1:61" ht="15" customHeight="1">
      <c r="A125" s="15"/>
      <c r="BI125" s="26"/>
    </row>
    <row r="126" spans="1:61" ht="15" customHeight="1">
      <c r="A126" s="15"/>
      <c r="BI126" s="26"/>
    </row>
    <row r="127" spans="1:61" ht="15" customHeight="1">
      <c r="A127" s="15"/>
      <c r="BI127" s="26"/>
    </row>
    <row r="128" spans="1:61" ht="15" customHeight="1">
      <c r="A128" s="15"/>
      <c r="BI128" s="26"/>
    </row>
    <row r="129" spans="1:61" ht="15" customHeight="1">
      <c r="A129" s="15"/>
      <c r="BI129" s="26"/>
    </row>
    <row r="130" spans="1:61" ht="15" customHeight="1">
      <c r="A130" s="15"/>
      <c r="BI130" s="26"/>
    </row>
    <row r="131" spans="1:61" ht="15" customHeight="1">
      <c r="A131" s="15"/>
      <c r="BI131" s="26"/>
    </row>
    <row r="132" spans="1:61" ht="15" customHeight="1">
      <c r="A132" s="15"/>
      <c r="BI132" s="26"/>
    </row>
    <row r="133" spans="1:61" ht="15" customHeight="1">
      <c r="A133" s="15"/>
      <c r="V133" s="1" t="s">
        <v>480</v>
      </c>
      <c r="BI133" s="26"/>
    </row>
    <row r="134" spans="1:61" ht="15" customHeight="1">
      <c r="A134" s="15"/>
      <c r="BI134" s="26"/>
    </row>
    <row r="135" spans="1:61" ht="15" customHeight="1">
      <c r="A135" s="15"/>
      <c r="BI135" s="26"/>
    </row>
    <row r="136" spans="1:61" ht="15" customHeight="1">
      <c r="A136" s="15"/>
      <c r="BI136" s="26"/>
    </row>
    <row r="137" spans="1:61" ht="15" customHeight="1">
      <c r="A137" s="15"/>
      <c r="BI137" s="26"/>
    </row>
    <row r="138" spans="1:61" ht="15" customHeight="1">
      <c r="A138" s="15"/>
      <c r="BI138" s="26"/>
    </row>
    <row r="139" spans="1:61" ht="15" customHeight="1">
      <c r="A139" s="15"/>
      <c r="BI139" s="26"/>
    </row>
    <row r="140" spans="1:61" ht="15" customHeight="1">
      <c r="A140" s="15"/>
      <c r="BI140" s="26"/>
    </row>
    <row r="141" spans="1:61" ht="15" customHeight="1">
      <c r="A141" s="15"/>
      <c r="BI141" s="26"/>
    </row>
    <row r="142" spans="1:61" ht="15" customHeight="1">
      <c r="A142" s="15"/>
      <c r="BI142" s="26"/>
    </row>
    <row r="143" spans="1:61" ht="15" customHeight="1">
      <c r="A143" s="15"/>
      <c r="BI143" s="26"/>
    </row>
    <row r="144" spans="1:61" ht="15" customHeight="1">
      <c r="A144" s="15"/>
      <c r="BI144" s="26"/>
    </row>
    <row r="145" spans="1:61" ht="15" customHeight="1">
      <c r="A145" s="15"/>
      <c r="BI145" s="26"/>
    </row>
    <row r="146" spans="1:61" ht="15" customHeight="1">
      <c r="A146" s="15"/>
      <c r="BI146" s="26"/>
    </row>
    <row r="147" spans="1:61" ht="15" customHeight="1">
      <c r="A147" s="15"/>
      <c r="BI147" s="26"/>
    </row>
    <row r="148" spans="1:61" ht="15" customHeight="1">
      <c r="A148" s="15"/>
      <c r="BI148" s="26"/>
    </row>
    <row r="149" spans="1:61" ht="15" customHeight="1">
      <c r="A149" s="15"/>
      <c r="BI149" s="26"/>
    </row>
    <row r="150" spans="1:61" ht="15" customHeight="1">
      <c r="A150" s="15"/>
      <c r="BI150" s="26"/>
    </row>
    <row r="151" spans="1:61" ht="15" customHeight="1">
      <c r="A151" s="15"/>
      <c r="BI151" s="26"/>
    </row>
    <row r="152" spans="1:61" ht="15" customHeight="1">
      <c r="A152" s="15"/>
      <c r="BI152" s="26"/>
    </row>
    <row r="153" spans="1:61" ht="15" customHeight="1">
      <c r="A153" s="15"/>
      <c r="BI153" s="26"/>
    </row>
    <row r="154" spans="1:61" ht="15" customHeight="1">
      <c r="A154" s="15"/>
      <c r="BI154" s="26"/>
    </row>
    <row r="155" spans="1:61" ht="15" customHeight="1">
      <c r="A155" s="15"/>
      <c r="BI155" s="26"/>
    </row>
    <row r="156" spans="1:61" ht="15" customHeight="1">
      <c r="A156" s="15"/>
      <c r="BI156" s="26"/>
    </row>
    <row r="157" spans="1:61" ht="15" customHeight="1">
      <c r="A157" s="15"/>
      <c r="BI157" s="26"/>
    </row>
    <row r="158" spans="1:61" ht="15" customHeight="1">
      <c r="A158" s="15"/>
      <c r="BI158" s="26"/>
    </row>
    <row r="159" spans="1:61" ht="15" customHeight="1">
      <c r="A159" s="15"/>
      <c r="BI159" s="26"/>
    </row>
    <row r="160" spans="1:61" ht="15" customHeight="1">
      <c r="A160" s="15"/>
      <c r="BI160" s="26"/>
    </row>
    <row r="161" spans="1:61" ht="15" customHeight="1">
      <c r="A161" s="15"/>
      <c r="BI161" s="26"/>
    </row>
    <row r="162" spans="1:61" ht="15" customHeight="1">
      <c r="A162" s="15"/>
      <c r="BI162" s="26"/>
    </row>
    <row r="163" spans="1:61" ht="15" customHeight="1">
      <c r="A163" s="15"/>
      <c r="BI163" s="26"/>
    </row>
    <row r="164" spans="1:61" ht="15" customHeight="1">
      <c r="A164" s="15"/>
      <c r="BI164" s="26"/>
    </row>
    <row r="165" spans="1:61" ht="15" customHeight="1">
      <c r="A165" s="15"/>
      <c r="BI165" s="26"/>
    </row>
    <row r="166" spans="1:61" ht="15" customHeight="1">
      <c r="A166" s="15"/>
      <c r="BI166" s="26"/>
    </row>
    <row r="167" spans="1:61" ht="15" customHeight="1">
      <c r="A167" s="15"/>
      <c r="BI167" s="26"/>
    </row>
    <row r="168" spans="1:61" ht="15" customHeight="1">
      <c r="A168" s="15"/>
      <c r="BI168" s="26"/>
    </row>
    <row r="169" spans="1:61" ht="15" customHeight="1">
      <c r="A169" s="15"/>
      <c r="BI169" s="26"/>
    </row>
    <row r="170" spans="1:61" ht="15" customHeight="1">
      <c r="A170" s="15"/>
      <c r="BI170" s="26"/>
    </row>
    <row r="171" spans="1:61" ht="15" customHeight="1">
      <c r="A171" s="15"/>
      <c r="BI171" s="26"/>
    </row>
    <row r="172" spans="1:61" ht="15" customHeight="1">
      <c r="A172" s="15"/>
      <c r="BI172" s="26"/>
    </row>
    <row r="173" spans="1:61" ht="15" customHeight="1">
      <c r="A173" s="15"/>
      <c r="BI173" s="26"/>
    </row>
    <row r="174" spans="1:61" ht="15" customHeight="1">
      <c r="A174" s="15"/>
      <c r="BI174" s="26"/>
    </row>
    <row r="175" spans="1:61" ht="15" customHeight="1">
      <c r="A175" s="15"/>
      <c r="BI175" s="26"/>
    </row>
    <row r="176" spans="1:61" ht="15" customHeight="1">
      <c r="A176" s="15"/>
      <c r="BI176" s="26"/>
    </row>
    <row r="177" spans="1:61" ht="15" customHeight="1">
      <c r="A177" s="15"/>
      <c r="BI177" s="26"/>
    </row>
    <row r="178" spans="1:61" ht="15" customHeight="1">
      <c r="A178" s="15"/>
      <c r="BI178" s="26"/>
    </row>
    <row r="179" spans="1:61" ht="15" customHeight="1">
      <c r="A179" s="15"/>
      <c r="BI179" s="26"/>
    </row>
    <row r="180" spans="1:61" ht="15" customHeight="1">
      <c r="A180" s="15"/>
      <c r="BI180" s="26"/>
    </row>
    <row r="181" spans="1:61" ht="15" customHeight="1">
      <c r="A181" s="15"/>
      <c r="BI181" s="26"/>
    </row>
    <row r="182" spans="1:61" ht="15" customHeight="1">
      <c r="A182" s="15"/>
      <c r="BI182" s="26"/>
    </row>
    <row r="183" spans="1:61" ht="15" customHeight="1">
      <c r="A183" s="15"/>
      <c r="BI183" s="26"/>
    </row>
    <row r="184" spans="1:61" ht="15" customHeight="1">
      <c r="A184" s="15"/>
      <c r="BI184" s="26"/>
    </row>
    <row r="185" spans="1:61" ht="15" customHeight="1">
      <c r="A185" s="15"/>
      <c r="BI185" s="26"/>
    </row>
    <row r="186" spans="1:61" ht="15" customHeight="1">
      <c r="A186" s="15"/>
      <c r="BI186" s="26"/>
    </row>
    <row r="187" spans="1:61" ht="15" customHeight="1">
      <c r="A187" s="15"/>
      <c r="BI187" s="26"/>
    </row>
    <row r="188" spans="1:61" ht="15" customHeight="1">
      <c r="A188" s="15"/>
      <c r="BI188" s="26"/>
    </row>
    <row r="189" spans="1:61" ht="15" customHeight="1">
      <c r="A189" s="15"/>
      <c r="BI189" s="26"/>
    </row>
    <row r="190" spans="1:61" ht="15" customHeight="1">
      <c r="A190" s="15"/>
      <c r="BI190" s="26"/>
    </row>
    <row r="191" spans="1:61" ht="15" customHeight="1">
      <c r="A191" s="15"/>
      <c r="BI191" s="26"/>
    </row>
    <row r="192" spans="1:61" ht="15" customHeight="1">
      <c r="A192" s="15"/>
      <c r="BI192" s="26"/>
    </row>
    <row r="193" spans="1:61" ht="15" customHeight="1">
      <c r="A193" s="15"/>
      <c r="BI193" s="26"/>
    </row>
    <row r="194" spans="1:61" ht="15" customHeight="1">
      <c r="A194" s="15"/>
      <c r="BI194" s="26"/>
    </row>
    <row r="195" spans="1:61" ht="15" customHeight="1">
      <c r="A195" s="15"/>
      <c r="BI195" s="26"/>
    </row>
    <row r="196" spans="1:61" ht="15" customHeight="1">
      <c r="A196" s="15"/>
      <c r="BI196" s="26"/>
    </row>
    <row r="197" spans="1:61" ht="15" customHeight="1">
      <c r="A197" s="15"/>
      <c r="BI197" s="26"/>
    </row>
    <row r="198" spans="1:61" ht="15" customHeight="1">
      <c r="A198" s="15"/>
      <c r="BI198" s="26"/>
    </row>
    <row r="199" spans="1:61" ht="15" customHeight="1">
      <c r="A199" s="15"/>
      <c r="BI199" s="26"/>
    </row>
    <row r="200" spans="1:61" ht="15" customHeight="1">
      <c r="A200" s="15"/>
      <c r="BI200" s="26"/>
    </row>
    <row r="201" spans="1:61" ht="15" customHeight="1">
      <c r="A201" s="15"/>
      <c r="BI201" s="26"/>
    </row>
    <row r="202" spans="1:61" ht="15" customHeight="1">
      <c r="A202" s="15"/>
      <c r="BI202" s="26"/>
    </row>
    <row r="203" spans="1:61" ht="15" customHeight="1">
      <c r="A203" s="15"/>
      <c r="BI203" s="26"/>
    </row>
    <row r="204" spans="1:61" ht="15" customHeight="1">
      <c r="A204" s="15"/>
      <c r="BI204" s="26"/>
    </row>
    <row r="205" spans="1:61" ht="15" customHeight="1">
      <c r="A205" s="15"/>
      <c r="BI205" s="26"/>
    </row>
    <row r="206" spans="1:61" ht="15" customHeight="1">
      <c r="A206" s="15"/>
      <c r="BI206" s="26"/>
    </row>
    <row r="207" spans="1:61" ht="15" customHeight="1">
      <c r="A207" s="15"/>
      <c r="BI207" s="26"/>
    </row>
    <row r="208" spans="1:61" ht="15" customHeight="1">
      <c r="A208" s="15"/>
      <c r="BI208" s="26"/>
    </row>
    <row r="209" spans="1:61" ht="15" customHeight="1">
      <c r="A209" s="15"/>
      <c r="BI209" s="26"/>
    </row>
    <row r="210" spans="1:61" ht="15" customHeight="1">
      <c r="A210" s="15"/>
      <c r="BI210" s="26"/>
    </row>
    <row r="211" spans="1:61" ht="15" customHeight="1">
      <c r="A211" s="15"/>
      <c r="BI211" s="26"/>
    </row>
    <row r="212" spans="1:61" ht="15" customHeight="1">
      <c r="A212" s="15"/>
      <c r="BI212" s="26"/>
    </row>
    <row r="213" spans="1:61" ht="15" customHeight="1">
      <c r="A213" s="15"/>
      <c r="BI213" s="26"/>
    </row>
    <row r="214" spans="1:61" ht="15" customHeight="1">
      <c r="A214" s="15"/>
      <c r="BI214" s="26"/>
    </row>
    <row r="215" spans="1:61" ht="15" customHeight="1">
      <c r="A215" s="15"/>
      <c r="BI215" s="26"/>
    </row>
    <row r="216" spans="1:61" ht="15" customHeight="1">
      <c r="A216" s="15"/>
      <c r="BI216" s="26"/>
    </row>
    <row r="217" spans="1:61" ht="15" customHeight="1">
      <c r="A217" s="15"/>
      <c r="BI217" s="26"/>
    </row>
    <row r="218" spans="1:61" ht="15" customHeight="1">
      <c r="A218" s="15"/>
      <c r="BI218" s="26"/>
    </row>
    <row r="219" spans="1:61" ht="15" customHeight="1">
      <c r="A219" s="15"/>
      <c r="BI219" s="26"/>
    </row>
    <row r="220" spans="1:61" ht="15" customHeight="1">
      <c r="A220" s="15"/>
      <c r="BI220" s="26"/>
    </row>
    <row r="221" spans="1:61" ht="15" customHeight="1">
      <c r="A221" s="15"/>
      <c r="BI221" s="26"/>
    </row>
    <row r="222" spans="1:61" ht="15" customHeight="1">
      <c r="A222" s="15"/>
      <c r="BI222" s="26"/>
    </row>
    <row r="223" spans="1:61" ht="15" customHeight="1">
      <c r="A223" s="15"/>
      <c r="BI223" s="26"/>
    </row>
    <row r="224" spans="1:61" ht="15" customHeight="1">
      <c r="A224" s="15"/>
      <c r="BI224" s="26"/>
    </row>
    <row r="225" spans="1:61" ht="15" customHeight="1">
      <c r="A225" s="15"/>
      <c r="BI225" s="26"/>
    </row>
    <row r="226" spans="1:61" ht="15" customHeight="1">
      <c r="A226" s="15"/>
      <c r="BI226" s="26"/>
    </row>
    <row r="227" spans="1:61" ht="15" customHeight="1">
      <c r="A227" s="15"/>
      <c r="BI227" s="26"/>
    </row>
    <row r="228" spans="1:61" ht="15" customHeight="1">
      <c r="A228" s="15"/>
      <c r="BI228" s="26"/>
    </row>
    <row r="229" spans="1:61" ht="15" customHeight="1">
      <c r="A229" s="15"/>
      <c r="BI229" s="26"/>
    </row>
    <row r="230" spans="1:61" ht="15" customHeight="1">
      <c r="A230" s="15"/>
      <c r="BI230" s="26"/>
    </row>
    <row r="231" spans="1:61" ht="15" customHeight="1">
      <c r="A231" s="15"/>
      <c r="BI231" s="26"/>
    </row>
    <row r="232" spans="1:61" ht="15" customHeight="1">
      <c r="A232" s="15"/>
      <c r="BI232" s="26"/>
    </row>
    <row r="233" spans="1:61" ht="15" customHeight="1">
      <c r="A233" s="15"/>
      <c r="BI233" s="26"/>
    </row>
    <row r="234" spans="1:61" ht="15" customHeight="1">
      <c r="A234" s="15"/>
      <c r="BI234" s="26"/>
    </row>
    <row r="235" spans="1:61" ht="15" customHeight="1">
      <c r="A235" s="15"/>
      <c r="BI235" s="26"/>
    </row>
    <row r="236" spans="1:61" ht="15" customHeight="1">
      <c r="A236" s="15"/>
      <c r="BI236" s="26"/>
    </row>
    <row r="237" spans="1:61" ht="15" customHeight="1">
      <c r="A237" s="15"/>
      <c r="BI237" s="26"/>
    </row>
    <row r="238" spans="1:61" ht="15" customHeight="1">
      <c r="A238" s="15"/>
      <c r="BI238" s="26"/>
    </row>
    <row r="239" spans="1:61" ht="15" customHeight="1">
      <c r="A239" s="15"/>
      <c r="BI239" s="26"/>
    </row>
    <row r="240" spans="1:61" ht="15" customHeight="1">
      <c r="A240" s="15"/>
      <c r="BI240" s="26"/>
    </row>
    <row r="241" spans="1:61" ht="15" customHeight="1">
      <c r="A241" s="15"/>
      <c r="BI241" s="26"/>
    </row>
    <row r="242" spans="1:61" ht="15" customHeight="1">
      <c r="A242" s="15"/>
      <c r="BI242" s="26"/>
    </row>
    <row r="243" spans="1:61" ht="15" customHeight="1">
      <c r="A243" s="15"/>
      <c r="BI243" s="26"/>
    </row>
    <row r="244" spans="1:61" ht="15" customHeight="1">
      <c r="A244" s="15"/>
      <c r="BI244" s="26"/>
    </row>
    <row r="245" spans="1:61" ht="15" customHeight="1">
      <c r="A245" s="15"/>
      <c r="BI245" s="26"/>
    </row>
    <row r="246" spans="1:61" ht="15" customHeight="1">
      <c r="A246" s="15"/>
      <c r="BI246" s="26"/>
    </row>
    <row r="247" spans="1:61" ht="15" customHeight="1">
      <c r="A247" s="15"/>
      <c r="BI247" s="26"/>
    </row>
    <row r="248" spans="1:61" ht="15" customHeight="1">
      <c r="A248" s="15"/>
      <c r="BI248" s="26"/>
    </row>
    <row r="249" spans="1:61" ht="15" customHeight="1">
      <c r="A249" s="15"/>
      <c r="BI249" s="26"/>
    </row>
    <row r="250" spans="1:61" ht="15" customHeight="1">
      <c r="A250" s="15"/>
      <c r="BI250" s="26"/>
    </row>
    <row r="251" spans="1:61" ht="15" customHeight="1">
      <c r="A251" s="15"/>
      <c r="BI251" s="26"/>
    </row>
    <row r="252" spans="1:61" ht="15" customHeight="1">
      <c r="A252" s="15"/>
      <c r="BI252" s="26"/>
    </row>
    <row r="253" spans="1:61" ht="15" customHeight="1">
      <c r="A253" s="15"/>
      <c r="BI253" s="26"/>
    </row>
    <row r="254" spans="1:61" ht="15" customHeight="1">
      <c r="A254" s="15"/>
      <c r="BI254" s="26"/>
    </row>
    <row r="255" spans="1:61" ht="15" customHeight="1">
      <c r="A255" s="15"/>
      <c r="BI255" s="26"/>
    </row>
    <row r="256" spans="1:61" ht="15" customHeight="1">
      <c r="A256" s="15"/>
      <c r="B256" s="1" t="s">
        <v>473</v>
      </c>
      <c r="BI256" s="26"/>
    </row>
    <row r="257" spans="1:61" ht="15" customHeight="1">
      <c r="A257" s="15"/>
      <c r="BI257" s="26"/>
    </row>
    <row r="258" spans="1:61" ht="15" customHeight="1">
      <c r="A258" s="15"/>
      <c r="BI258" s="26"/>
    </row>
    <row r="259" spans="1:61" ht="15" customHeight="1">
      <c r="A259" s="15"/>
      <c r="BI259" s="26"/>
    </row>
    <row r="260" spans="1:61" ht="15" customHeight="1">
      <c r="A260" s="15"/>
      <c r="BI260" s="26"/>
    </row>
    <row r="261" spans="1:61" ht="15" customHeight="1">
      <c r="A261" s="15"/>
      <c r="BI261" s="26"/>
    </row>
    <row r="262" spans="1:61" ht="15" customHeight="1">
      <c r="A262" s="15"/>
      <c r="BI262" s="26"/>
    </row>
    <row r="263" spans="1:61" ht="15" customHeight="1">
      <c r="A263" s="15"/>
      <c r="BI263" s="26"/>
    </row>
    <row r="264" spans="1:61" ht="15" customHeight="1">
      <c r="A264" s="15"/>
      <c r="BI264" s="26"/>
    </row>
    <row r="265" spans="1:61" ht="15" customHeight="1">
      <c r="A265" s="15"/>
      <c r="BI265" s="26"/>
    </row>
    <row r="266" spans="1:61" ht="15" customHeight="1">
      <c r="A266" s="15"/>
      <c r="BI266" s="26"/>
    </row>
    <row r="267" spans="1:61" ht="15" customHeight="1">
      <c r="A267" s="15"/>
      <c r="BI267" s="26"/>
    </row>
    <row r="268" spans="1:61" ht="15" customHeight="1">
      <c r="A268" s="15"/>
      <c r="BI268" s="26"/>
    </row>
    <row r="269" spans="1:61" ht="15" customHeight="1">
      <c r="A269" s="15"/>
      <c r="BI269" s="26"/>
    </row>
    <row r="270" spans="1:61" ht="15" customHeight="1">
      <c r="A270" s="15"/>
      <c r="BI270" s="26"/>
    </row>
    <row r="271" spans="1:61" ht="15" customHeight="1">
      <c r="A271" s="15"/>
      <c r="BI271" s="26"/>
    </row>
    <row r="272" spans="1:61" ht="15" customHeight="1">
      <c r="A272" s="15"/>
      <c r="BI272" s="26"/>
    </row>
    <row r="273" spans="1:61" ht="15" customHeight="1">
      <c r="A273" s="15"/>
      <c r="BI273" s="26"/>
    </row>
    <row r="274" spans="1:61" ht="15" customHeight="1">
      <c r="A274" s="15"/>
      <c r="BI274" s="26"/>
    </row>
    <row r="275" spans="1:61" ht="15" customHeight="1">
      <c r="A275" s="15"/>
      <c r="BI275" s="26"/>
    </row>
    <row r="276" spans="1:61" ht="15" customHeight="1">
      <c r="A276" s="15"/>
      <c r="BI276" s="26"/>
    </row>
    <row r="277" spans="1:61" ht="15" customHeight="1">
      <c r="A277" s="15"/>
      <c r="BI277" s="26"/>
    </row>
    <row r="278" spans="1:61" ht="15" customHeight="1">
      <c r="A278" s="15"/>
      <c r="BI278" s="26"/>
    </row>
    <row r="279" spans="1:61" ht="15" customHeight="1">
      <c r="A279" s="15"/>
      <c r="BI279" s="26"/>
    </row>
    <row r="280" spans="1:61" ht="15" customHeight="1">
      <c r="A280" s="15"/>
      <c r="BI280" s="26"/>
    </row>
    <row r="281" spans="1:61" ht="15" customHeight="1">
      <c r="A281" s="15"/>
      <c r="BI281" s="26"/>
    </row>
    <row r="282" spans="1:61" ht="15" customHeight="1">
      <c r="A282" s="15"/>
      <c r="BI282" s="26"/>
    </row>
    <row r="283" spans="1:61" ht="15" customHeight="1">
      <c r="A283" s="15"/>
      <c r="BI283" s="26"/>
    </row>
    <row r="284" spans="1:61" ht="15" customHeight="1">
      <c r="A284" s="15"/>
      <c r="BI284" s="26"/>
    </row>
    <row r="285" spans="1:61" ht="15" customHeight="1">
      <c r="A285" s="15"/>
      <c r="BI285" s="26"/>
    </row>
    <row r="286" spans="1:61" ht="15" customHeight="1">
      <c r="A286" s="15"/>
      <c r="BI286" s="26"/>
    </row>
    <row r="287" spans="1:61" ht="15" customHeight="1">
      <c r="A287" s="15"/>
      <c r="BI287" s="26"/>
    </row>
    <row r="288" spans="1:61" ht="15" customHeight="1">
      <c r="A288" s="15"/>
      <c r="BI288" s="26"/>
    </row>
    <row r="289" spans="1:61" ht="15" customHeight="1">
      <c r="A289" s="15"/>
      <c r="BI289" s="26"/>
    </row>
    <row r="290" spans="1:61" ht="15" customHeight="1">
      <c r="A290" s="15"/>
      <c r="BI290" s="26"/>
    </row>
    <row r="291" spans="1:61" ht="15" customHeight="1">
      <c r="A291" s="15"/>
      <c r="BI291" s="26"/>
    </row>
    <row r="292" spans="1:61" ht="15" customHeight="1" thickBot="1">
      <c r="A292" s="19"/>
      <c r="B292" s="27"/>
      <c r="C292" s="27"/>
      <c r="D292" s="27"/>
      <c r="E292" s="27"/>
      <c r="F292" s="27"/>
      <c r="G292" s="27"/>
      <c r="H292" s="27"/>
      <c r="I292" s="27"/>
      <c r="J292" s="27"/>
      <c r="K292" s="27"/>
      <c r="L292" s="27"/>
      <c r="M292" s="27"/>
      <c r="N292" s="27"/>
      <c r="O292" s="27"/>
      <c r="P292" s="27"/>
      <c r="Q292" s="27"/>
      <c r="R292" s="27"/>
      <c r="S292" s="27"/>
      <c r="T292" s="27"/>
      <c r="U292" s="27"/>
      <c r="V292" s="27"/>
      <c r="W292" s="27"/>
      <c r="X292" s="27"/>
      <c r="Y292" s="27"/>
      <c r="Z292" s="27"/>
      <c r="AA292" s="27"/>
      <c r="AB292" s="27"/>
      <c r="AC292" s="27"/>
      <c r="AD292" s="27"/>
      <c r="AE292" s="27"/>
      <c r="AF292" s="27"/>
      <c r="AG292" s="27"/>
      <c r="AH292" s="27"/>
      <c r="AI292" s="27"/>
      <c r="AJ292" s="27"/>
      <c r="AK292" s="27"/>
      <c r="AL292" s="27"/>
      <c r="AM292" s="27"/>
      <c r="AN292" s="27"/>
      <c r="AO292" s="27"/>
      <c r="AP292" s="27"/>
      <c r="AQ292" s="27"/>
      <c r="AR292" s="27"/>
      <c r="AS292" s="27"/>
      <c r="AT292" s="27"/>
      <c r="AU292" s="27"/>
      <c r="AV292" s="27"/>
      <c r="AW292" s="27"/>
      <c r="AX292" s="27"/>
      <c r="AY292" s="27"/>
      <c r="AZ292" s="27"/>
      <c r="BA292" s="27"/>
      <c r="BB292" s="27"/>
      <c r="BC292" s="27"/>
      <c r="BD292" s="27"/>
      <c r="BE292" s="27"/>
      <c r="BF292" s="27"/>
      <c r="BG292" s="27"/>
      <c r="BH292" s="27"/>
      <c r="BI292" s="28"/>
    </row>
    <row r="293" spans="1:61" ht="15" customHeight="1" thickBot="1">
      <c r="A293" s="319" t="s">
        <v>75</v>
      </c>
      <c r="B293" s="320"/>
      <c r="C293" s="320"/>
      <c r="D293" s="320"/>
      <c r="E293" s="320"/>
      <c r="F293" s="320"/>
      <c r="G293" s="320"/>
      <c r="H293" s="320"/>
      <c r="I293" s="320"/>
      <c r="J293" s="320"/>
      <c r="K293" s="320"/>
      <c r="L293" s="320"/>
      <c r="M293" s="320"/>
      <c r="N293" s="320"/>
      <c r="O293" s="320"/>
      <c r="P293" s="320"/>
      <c r="Q293" s="320"/>
      <c r="R293" s="320"/>
      <c r="S293" s="320"/>
      <c r="T293" s="320"/>
      <c r="U293" s="320"/>
      <c r="V293" s="320"/>
      <c r="W293" s="320"/>
      <c r="X293" s="320"/>
      <c r="Y293" s="320"/>
      <c r="Z293" s="320"/>
      <c r="AA293" s="320"/>
      <c r="AB293" s="320"/>
      <c r="AC293" s="320"/>
      <c r="AD293" s="320"/>
      <c r="AE293" s="320"/>
      <c r="AF293" s="320"/>
      <c r="AG293" s="320"/>
      <c r="AH293" s="320"/>
      <c r="AI293" s="320"/>
      <c r="AJ293" s="320"/>
      <c r="AK293" s="320"/>
      <c r="AL293" s="320"/>
      <c r="AM293" s="320"/>
      <c r="AN293" s="320"/>
      <c r="AO293" s="320"/>
      <c r="AP293" s="320"/>
      <c r="AQ293" s="320"/>
      <c r="AR293" s="320"/>
      <c r="AS293" s="320"/>
      <c r="AT293" s="320"/>
      <c r="AU293" s="320"/>
      <c r="AV293" s="320"/>
      <c r="AW293" s="320"/>
      <c r="AX293" s="320"/>
      <c r="AY293" s="320"/>
      <c r="AZ293" s="320"/>
      <c r="BA293" s="320"/>
      <c r="BB293" s="320"/>
      <c r="BC293" s="320"/>
      <c r="BD293" s="320"/>
      <c r="BE293" s="320"/>
      <c r="BF293" s="320"/>
      <c r="BG293" s="320"/>
      <c r="BH293" s="320"/>
      <c r="BI293" s="321"/>
    </row>
    <row r="294" spans="1:61" ht="15" customHeight="1">
      <c r="A294" s="341" t="s">
        <v>76</v>
      </c>
      <c r="B294" s="358"/>
      <c r="C294" s="358"/>
      <c r="D294" s="358"/>
      <c r="E294" s="358"/>
      <c r="F294" s="358"/>
      <c r="G294" s="358"/>
      <c r="H294" s="358"/>
      <c r="I294" s="358"/>
      <c r="J294" s="358"/>
      <c r="K294" s="358"/>
      <c r="L294" s="358"/>
      <c r="M294" s="358"/>
      <c r="N294" s="358"/>
      <c r="O294" s="358"/>
      <c r="P294" s="358"/>
      <c r="Q294" s="358"/>
      <c r="R294" s="358"/>
      <c r="S294" s="358"/>
      <c r="T294" s="358"/>
      <c r="U294" s="358"/>
      <c r="V294" s="358"/>
      <c r="W294" s="358"/>
      <c r="X294" s="358"/>
      <c r="Y294" s="358"/>
      <c r="Z294" s="358"/>
      <c r="AA294" s="358"/>
      <c r="AB294" s="358"/>
      <c r="AC294" s="358"/>
      <c r="AD294" s="358"/>
      <c r="AE294" s="358"/>
      <c r="AF294" s="358"/>
      <c r="AG294" s="358"/>
      <c r="AH294" s="358"/>
      <c r="AI294" s="358"/>
      <c r="AJ294" s="358"/>
      <c r="AK294" s="358"/>
      <c r="AL294" s="358"/>
      <c r="AM294" s="358"/>
      <c r="AN294" s="358"/>
      <c r="AO294" s="358"/>
      <c r="AP294" s="358"/>
      <c r="AQ294" s="358"/>
      <c r="AR294" s="358"/>
      <c r="AS294" s="358"/>
      <c r="AT294" s="358"/>
      <c r="AU294" s="358"/>
      <c r="AV294" s="358"/>
      <c r="AW294" s="358"/>
      <c r="AX294" s="358"/>
      <c r="AY294" s="358"/>
      <c r="AZ294" s="358"/>
      <c r="BA294" s="358"/>
      <c r="BB294" s="358"/>
      <c r="BC294" s="358"/>
      <c r="BD294" s="358"/>
      <c r="BE294" s="358"/>
      <c r="BF294" s="358"/>
      <c r="BG294" s="358"/>
      <c r="BH294" s="358"/>
      <c r="BI294" s="342"/>
    </row>
    <row r="295" spans="1:61" ht="15" customHeight="1">
      <c r="A295" s="572"/>
      <c r="B295" s="465"/>
      <c r="C295" s="465"/>
      <c r="D295" s="465"/>
      <c r="E295" s="465"/>
      <c r="F295" s="465"/>
      <c r="G295" s="465"/>
      <c r="H295" s="465"/>
      <c r="I295" s="465"/>
      <c r="J295" s="465"/>
      <c r="K295" s="465"/>
      <c r="L295" s="465"/>
      <c r="M295" s="465"/>
      <c r="N295" s="465"/>
      <c r="O295" s="465"/>
      <c r="P295" s="465"/>
      <c r="Q295" s="465"/>
      <c r="R295" s="465"/>
      <c r="S295" s="465"/>
      <c r="T295" s="465"/>
      <c r="U295" s="465"/>
      <c r="V295" s="465"/>
      <c r="W295" s="465"/>
      <c r="X295" s="465"/>
      <c r="Y295" s="465"/>
      <c r="Z295" s="465"/>
      <c r="AA295" s="465"/>
      <c r="AB295" s="465"/>
      <c r="AC295" s="465"/>
      <c r="AD295" s="465"/>
      <c r="AE295" s="465"/>
      <c r="AF295" s="465"/>
      <c r="AG295" s="465"/>
      <c r="AH295" s="465"/>
      <c r="AI295" s="465"/>
      <c r="AJ295" s="465"/>
      <c r="AK295" s="465"/>
      <c r="AL295" s="465"/>
      <c r="AM295" s="465"/>
      <c r="AN295" s="465"/>
      <c r="AO295" s="465"/>
      <c r="AP295" s="465"/>
      <c r="AQ295" s="465"/>
      <c r="AR295" s="465"/>
      <c r="AS295" s="465"/>
      <c r="AT295" s="465"/>
      <c r="AU295" s="465"/>
      <c r="AV295" s="465"/>
      <c r="AW295" s="465"/>
      <c r="AX295" s="465"/>
      <c r="AY295" s="465"/>
      <c r="AZ295" s="465"/>
      <c r="BA295" s="465"/>
      <c r="BB295" s="465"/>
      <c r="BC295" s="465"/>
      <c r="BD295" s="465"/>
      <c r="BE295" s="465"/>
      <c r="BF295" s="465"/>
      <c r="BG295" s="465"/>
      <c r="BH295" s="465"/>
      <c r="BI295" s="575"/>
    </row>
    <row r="296" spans="1:61" ht="15" customHeight="1">
      <c r="A296" s="572"/>
      <c r="B296" s="465"/>
      <c r="C296" s="465"/>
      <c r="D296" s="465"/>
      <c r="E296" s="465"/>
      <c r="F296" s="465"/>
      <c r="G296" s="465"/>
      <c r="H296" s="465"/>
      <c r="I296" s="465"/>
      <c r="J296" s="465"/>
      <c r="K296" s="465"/>
      <c r="L296" s="465"/>
      <c r="M296" s="465"/>
      <c r="N296" s="465"/>
      <c r="O296" s="465"/>
      <c r="P296" s="465"/>
      <c r="Q296" s="465"/>
      <c r="R296" s="465"/>
      <c r="S296" s="465"/>
      <c r="T296" s="465"/>
      <c r="U296" s="465"/>
      <c r="V296" s="465"/>
      <c r="W296" s="465"/>
      <c r="X296" s="465"/>
      <c r="Y296" s="465"/>
      <c r="Z296" s="465"/>
      <c r="AA296" s="465"/>
      <c r="AB296" s="465"/>
      <c r="AC296" s="465"/>
      <c r="AD296" s="465"/>
      <c r="AE296" s="465"/>
      <c r="AF296" s="465"/>
      <c r="AG296" s="465"/>
      <c r="AH296" s="465"/>
      <c r="AI296" s="465"/>
      <c r="AJ296" s="465"/>
      <c r="AK296" s="465"/>
      <c r="AL296" s="465"/>
      <c r="AM296" s="465"/>
      <c r="AN296" s="465"/>
      <c r="AO296" s="465"/>
      <c r="AP296" s="465"/>
      <c r="AQ296" s="465"/>
      <c r="AR296" s="465"/>
      <c r="AS296" s="465"/>
      <c r="AT296" s="465"/>
      <c r="AU296" s="465"/>
      <c r="AV296" s="465"/>
      <c r="AW296" s="465"/>
      <c r="AX296" s="465"/>
      <c r="AY296" s="465"/>
      <c r="AZ296" s="465"/>
      <c r="BA296" s="465"/>
      <c r="BB296" s="465"/>
      <c r="BC296" s="465"/>
      <c r="BD296" s="465"/>
      <c r="BE296" s="465"/>
      <c r="BF296" s="465"/>
      <c r="BG296" s="465"/>
      <c r="BH296" s="465"/>
      <c r="BI296" s="575"/>
    </row>
    <row r="297" spans="1:61" ht="15" customHeight="1">
      <c r="A297" s="572"/>
      <c r="B297" s="465"/>
      <c r="C297" s="465"/>
      <c r="D297" s="465"/>
      <c r="E297" s="465"/>
      <c r="F297" s="465"/>
      <c r="G297" s="465"/>
      <c r="H297" s="465"/>
      <c r="I297" s="465"/>
      <c r="J297" s="465"/>
      <c r="K297" s="465"/>
      <c r="L297" s="465"/>
      <c r="M297" s="465"/>
      <c r="N297" s="465"/>
      <c r="O297" s="465"/>
      <c r="P297" s="465"/>
      <c r="Q297" s="465"/>
      <c r="R297" s="465"/>
      <c r="S297" s="465"/>
      <c r="T297" s="465"/>
      <c r="U297" s="465"/>
      <c r="V297" s="465"/>
      <c r="W297" s="465"/>
      <c r="X297" s="465"/>
      <c r="Y297" s="465"/>
      <c r="Z297" s="465"/>
      <c r="AA297" s="465"/>
      <c r="AB297" s="465"/>
      <c r="AC297" s="465"/>
      <c r="AD297" s="465"/>
      <c r="AE297" s="465"/>
      <c r="AF297" s="465"/>
      <c r="AG297" s="465"/>
      <c r="AH297" s="465"/>
      <c r="AI297" s="465"/>
      <c r="AJ297" s="465"/>
      <c r="AK297" s="465"/>
      <c r="AL297" s="465"/>
      <c r="AM297" s="465"/>
      <c r="AN297" s="465"/>
      <c r="AO297" s="465"/>
      <c r="AP297" s="465"/>
      <c r="AQ297" s="465"/>
      <c r="AR297" s="465"/>
      <c r="AS297" s="465"/>
      <c r="AT297" s="465"/>
      <c r="AU297" s="465"/>
      <c r="AV297" s="465"/>
      <c r="AW297" s="465"/>
      <c r="AX297" s="465"/>
      <c r="AY297" s="465"/>
      <c r="AZ297" s="465"/>
      <c r="BA297" s="465"/>
      <c r="BB297" s="465"/>
      <c r="BC297" s="465"/>
      <c r="BD297" s="465"/>
      <c r="BE297" s="465"/>
      <c r="BF297" s="465"/>
      <c r="BG297" s="465"/>
      <c r="BH297" s="465"/>
      <c r="BI297" s="575"/>
    </row>
    <row r="298" spans="1:61" ht="15" customHeight="1">
      <c r="A298" s="572"/>
      <c r="B298" s="465"/>
      <c r="C298" s="465"/>
      <c r="D298" s="465"/>
      <c r="E298" s="465"/>
      <c r="F298" s="465"/>
      <c r="G298" s="465"/>
      <c r="H298" s="465"/>
      <c r="I298" s="465"/>
      <c r="J298" s="465"/>
      <c r="K298" s="465"/>
      <c r="L298" s="465"/>
      <c r="M298" s="465"/>
      <c r="N298" s="465"/>
      <c r="O298" s="465"/>
      <c r="P298" s="465"/>
      <c r="Q298" s="465"/>
      <c r="R298" s="465"/>
      <c r="S298" s="465"/>
      <c r="T298" s="465"/>
      <c r="U298" s="465"/>
      <c r="V298" s="465"/>
      <c r="W298" s="465"/>
      <c r="X298" s="465"/>
      <c r="Y298" s="465"/>
      <c r="Z298" s="465"/>
      <c r="AA298" s="465"/>
      <c r="AB298" s="465"/>
      <c r="AC298" s="465"/>
      <c r="AD298" s="465"/>
      <c r="AE298" s="465"/>
      <c r="AF298" s="465"/>
      <c r="AG298" s="465"/>
      <c r="AH298" s="465"/>
      <c r="AI298" s="465"/>
      <c r="AJ298" s="465"/>
      <c r="AK298" s="465"/>
      <c r="AL298" s="465"/>
      <c r="AM298" s="465"/>
      <c r="AN298" s="465"/>
      <c r="AO298" s="465"/>
      <c r="AP298" s="465"/>
      <c r="AQ298" s="465"/>
      <c r="AR298" s="465"/>
      <c r="AS298" s="465"/>
      <c r="AT298" s="465"/>
      <c r="AU298" s="465"/>
      <c r="AV298" s="465"/>
      <c r="AW298" s="465"/>
      <c r="AX298" s="465"/>
      <c r="AY298" s="465"/>
      <c r="AZ298" s="465"/>
      <c r="BA298" s="465"/>
      <c r="BB298" s="465"/>
      <c r="BC298" s="465"/>
      <c r="BD298" s="465"/>
      <c r="BE298" s="465"/>
      <c r="BF298" s="465"/>
      <c r="BG298" s="465"/>
      <c r="BH298" s="465"/>
      <c r="BI298" s="575"/>
    </row>
    <row r="299" spans="1:61" ht="15" customHeight="1">
      <c r="A299" s="572"/>
      <c r="B299" s="465"/>
      <c r="C299" s="465"/>
      <c r="D299" s="465"/>
      <c r="E299" s="465"/>
      <c r="F299" s="465"/>
      <c r="G299" s="465"/>
      <c r="H299" s="465"/>
      <c r="I299" s="465"/>
      <c r="J299" s="465"/>
      <c r="K299" s="465"/>
      <c r="L299" s="465"/>
      <c r="M299" s="465"/>
      <c r="N299" s="465"/>
      <c r="O299" s="465"/>
      <c r="P299" s="465"/>
      <c r="Q299" s="465"/>
      <c r="R299" s="465"/>
      <c r="S299" s="465"/>
      <c r="T299" s="465"/>
      <c r="U299" s="465"/>
      <c r="V299" s="465"/>
      <c r="W299" s="465"/>
      <c r="X299" s="465"/>
      <c r="Y299" s="465"/>
      <c r="Z299" s="465"/>
      <c r="AA299" s="465"/>
      <c r="AB299" s="465"/>
      <c r="AC299" s="465"/>
      <c r="AD299" s="465"/>
      <c r="AE299" s="465"/>
      <c r="AF299" s="465"/>
      <c r="AG299" s="465"/>
      <c r="AH299" s="465"/>
      <c r="AI299" s="465"/>
      <c r="AJ299" s="465"/>
      <c r="AK299" s="465"/>
      <c r="AL299" s="465"/>
      <c r="AM299" s="465"/>
      <c r="AN299" s="465"/>
      <c r="AO299" s="23"/>
      <c r="AP299" s="23"/>
      <c r="AQ299" s="23"/>
      <c r="AR299" s="23"/>
      <c r="AS299" s="23"/>
      <c r="AT299" s="23"/>
      <c r="AU299" s="23"/>
      <c r="AV299" s="23"/>
      <c r="AW299" s="23"/>
      <c r="AX299" s="23"/>
      <c r="AY299" s="23"/>
      <c r="AZ299" s="23"/>
      <c r="BA299" s="23"/>
      <c r="BB299" s="23"/>
      <c r="BC299" s="23"/>
      <c r="BD299" s="23"/>
      <c r="BE299" s="23"/>
      <c r="BF299" s="23"/>
      <c r="BG299" s="23"/>
      <c r="BH299" s="23"/>
      <c r="BI299" s="24"/>
    </row>
    <row r="300" spans="1:61" ht="15" customHeight="1">
      <c r="A300" s="572"/>
      <c r="B300" s="465"/>
      <c r="C300" s="465"/>
      <c r="D300" s="465"/>
      <c r="E300" s="465"/>
      <c r="F300" s="465"/>
      <c r="G300" s="465"/>
      <c r="H300" s="465"/>
      <c r="I300" s="465"/>
      <c r="J300" s="465"/>
      <c r="K300" s="465"/>
      <c r="L300" s="465"/>
      <c r="M300" s="465"/>
      <c r="N300" s="465"/>
      <c r="O300" s="465"/>
      <c r="P300" s="465"/>
      <c r="Q300" s="465"/>
      <c r="R300" s="465"/>
      <c r="S300" s="465"/>
      <c r="T300" s="465"/>
      <c r="U300" s="465"/>
      <c r="V300" s="465"/>
      <c r="W300" s="465"/>
      <c r="X300" s="465"/>
      <c r="Y300" s="465"/>
      <c r="Z300" s="465"/>
      <c r="AA300" s="465"/>
      <c r="AB300" s="465"/>
      <c r="AC300" s="465"/>
      <c r="AD300" s="465"/>
      <c r="AE300" s="465"/>
      <c r="AF300" s="465"/>
      <c r="AG300" s="465"/>
      <c r="AH300" s="465"/>
      <c r="AI300" s="465"/>
      <c r="AJ300" s="465"/>
      <c r="AK300" s="465"/>
      <c r="AL300" s="465"/>
      <c r="AM300" s="465"/>
      <c r="AN300" s="465"/>
      <c r="BI300" s="26"/>
    </row>
    <row r="301" spans="1:61" ht="15" customHeight="1">
      <c r="A301" s="572"/>
      <c r="B301" s="465"/>
      <c r="C301" s="465"/>
      <c r="D301" s="465"/>
      <c r="E301" s="465"/>
      <c r="F301" s="465"/>
      <c r="G301" s="465"/>
      <c r="H301" s="465"/>
      <c r="I301" s="465"/>
      <c r="J301" s="465"/>
      <c r="K301" s="465"/>
      <c r="L301" s="465"/>
      <c r="M301" s="465"/>
      <c r="N301" s="465"/>
      <c r="O301" s="465"/>
      <c r="P301" s="465"/>
      <c r="Q301" s="465"/>
      <c r="R301" s="465"/>
      <c r="S301" s="465"/>
      <c r="T301" s="465"/>
      <c r="U301" s="465"/>
      <c r="V301" s="465"/>
      <c r="W301" s="465"/>
      <c r="X301" s="465"/>
      <c r="Y301" s="465"/>
      <c r="Z301" s="465"/>
      <c r="AA301" s="465"/>
      <c r="AB301" s="465"/>
      <c r="AC301" s="465"/>
      <c r="AD301" s="465"/>
      <c r="AE301" s="465"/>
      <c r="AF301" s="465"/>
      <c r="AG301" s="465"/>
      <c r="AH301" s="465"/>
      <c r="AI301" s="465"/>
      <c r="AJ301" s="465"/>
      <c r="AK301" s="465"/>
      <c r="AL301" s="465"/>
      <c r="AM301" s="465"/>
      <c r="AN301" s="465"/>
      <c r="BI301" s="26"/>
    </row>
    <row r="302" spans="1:61" ht="15" customHeight="1" thickBot="1">
      <c r="A302" s="573"/>
      <c r="B302" s="574"/>
      <c r="C302" s="574"/>
      <c r="D302" s="574"/>
      <c r="E302" s="574"/>
      <c r="F302" s="574"/>
      <c r="G302" s="574"/>
      <c r="H302" s="574"/>
      <c r="I302" s="574"/>
      <c r="J302" s="574"/>
      <c r="K302" s="574"/>
      <c r="L302" s="574"/>
      <c r="M302" s="574"/>
      <c r="N302" s="574"/>
      <c r="O302" s="574"/>
      <c r="P302" s="574"/>
      <c r="Q302" s="574"/>
      <c r="R302" s="574"/>
      <c r="S302" s="574"/>
      <c r="T302" s="574"/>
      <c r="U302" s="574"/>
      <c r="V302" s="574"/>
      <c r="W302" s="574"/>
      <c r="X302" s="574"/>
      <c r="Y302" s="574"/>
      <c r="Z302" s="574"/>
      <c r="AA302" s="574"/>
      <c r="AB302" s="574"/>
      <c r="AC302" s="574"/>
      <c r="AD302" s="574"/>
      <c r="AE302" s="574"/>
      <c r="AF302" s="574"/>
      <c r="AG302" s="574"/>
      <c r="AH302" s="574"/>
      <c r="AI302" s="574"/>
      <c r="AJ302" s="574"/>
      <c r="AK302" s="574"/>
      <c r="AL302" s="574"/>
      <c r="AM302" s="574"/>
      <c r="AN302" s="574"/>
      <c r="AO302" s="27"/>
      <c r="AP302" s="27"/>
      <c r="AQ302" s="27"/>
      <c r="AR302" s="27"/>
      <c r="AS302" s="27"/>
      <c r="AT302" s="27"/>
      <c r="AU302" s="27"/>
      <c r="AV302" s="27"/>
      <c r="AW302" s="27"/>
      <c r="AX302" s="27"/>
      <c r="AY302" s="27"/>
      <c r="AZ302" s="27"/>
      <c r="BA302" s="27"/>
      <c r="BB302" s="27"/>
      <c r="BC302" s="27"/>
      <c r="BD302" s="27"/>
      <c r="BE302" s="27"/>
      <c r="BF302" s="27"/>
      <c r="BG302" s="27"/>
      <c r="BH302" s="27"/>
      <c r="BI302" s="28"/>
    </row>
  </sheetData>
  <mergeCells count="30">
    <mergeCell ref="AT3:AU3"/>
    <mergeCell ref="AV3:BA3"/>
    <mergeCell ref="BB3:BI3"/>
    <mergeCell ref="A299:J302"/>
    <mergeCell ref="K299:T302"/>
    <mergeCell ref="U299:AD302"/>
    <mergeCell ref="A5:BI5"/>
    <mergeCell ref="A293:BI293"/>
    <mergeCell ref="A294:BI294"/>
    <mergeCell ref="A295:J298"/>
    <mergeCell ref="K295:T298"/>
    <mergeCell ref="U295:AD298"/>
    <mergeCell ref="AE295:AN298"/>
    <mergeCell ref="AO295:AX298"/>
    <mergeCell ref="AY295:BI298"/>
    <mergeCell ref="AE299:AN302"/>
    <mergeCell ref="AT1:BA1"/>
    <mergeCell ref="BB1:BI1"/>
    <mergeCell ref="AT2:AU2"/>
    <mergeCell ref="AV2:BA2"/>
    <mergeCell ref="BB2:BI2"/>
    <mergeCell ref="F1:P1"/>
    <mergeCell ref="Q1:V1"/>
    <mergeCell ref="W1:AD1"/>
    <mergeCell ref="A1:E3"/>
    <mergeCell ref="AE1:AS1"/>
    <mergeCell ref="F2:P3"/>
    <mergeCell ref="Q2:V3"/>
    <mergeCell ref="W2:AD3"/>
    <mergeCell ref="AE2:AS3"/>
  </mergeCells>
  <phoneticPr fontId="2"/>
  <printOptions horizontalCentered="1"/>
  <pageMargins left="0.23622047244094491" right="0.23622047244094491" top="0.74803149606299213" bottom="0.74803149606299213" header="0.31496062992125984" footer="0.31496062992125984"/>
  <pageSetup paperSize="9" scale="85" orientation="landscape"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84FE2-F1B3-4C60-BC9F-513F726A97F5}">
  <dimension ref="A2:H20"/>
  <sheetViews>
    <sheetView workbookViewId="0"/>
  </sheetViews>
  <sheetFormatPr defaultColWidth="9" defaultRowHeight="15"/>
  <cols>
    <col min="1" max="4" width="9" style="20"/>
    <col min="5" max="5" width="25.5" style="20" customWidth="1"/>
    <col min="6" max="6" width="20.5" style="20" customWidth="1"/>
    <col min="7" max="7" width="13.296875" style="20" bestFit="1" customWidth="1"/>
    <col min="8" max="8" width="20.59765625" style="20" bestFit="1" customWidth="1"/>
    <col min="9" max="16384" width="9" style="20"/>
  </cols>
  <sheetData>
    <row r="2" spans="1:8" ht="30.6" thickBot="1">
      <c r="A2" s="20" t="s">
        <v>429</v>
      </c>
      <c r="B2" s="20" t="s">
        <v>340</v>
      </c>
      <c r="C2" s="20" t="s">
        <v>342</v>
      </c>
      <c r="D2" s="20" t="s">
        <v>343</v>
      </c>
      <c r="E2" s="30" t="s">
        <v>430</v>
      </c>
      <c r="F2" s="30" t="s">
        <v>431</v>
      </c>
      <c r="G2" s="20" t="s">
        <v>432</v>
      </c>
      <c r="H2" s="20" t="s">
        <v>433</v>
      </c>
    </row>
    <row r="3" spans="1:8">
      <c r="A3" s="12" t="s">
        <v>434</v>
      </c>
      <c r="B3" s="31" t="s">
        <v>435</v>
      </c>
      <c r="C3" s="12" t="s">
        <v>436</v>
      </c>
      <c r="D3" s="32" t="s">
        <v>436</v>
      </c>
      <c r="E3" s="12" t="s">
        <v>437</v>
      </c>
      <c r="F3" s="33" t="s">
        <v>438</v>
      </c>
      <c r="G3" s="12" t="s">
        <v>439</v>
      </c>
      <c r="H3" s="12" t="s">
        <v>440</v>
      </c>
    </row>
    <row r="4" spans="1:8" ht="15.6" thickBot="1">
      <c r="A4" s="13" t="s">
        <v>441</v>
      </c>
      <c r="B4" s="10" t="s">
        <v>442</v>
      </c>
      <c r="C4" s="13" t="s">
        <v>443</v>
      </c>
      <c r="D4" s="7" t="s">
        <v>443</v>
      </c>
      <c r="E4" s="14" t="s">
        <v>353</v>
      </c>
      <c r="F4" s="8" t="s">
        <v>444</v>
      </c>
      <c r="G4" s="14" t="s">
        <v>445</v>
      </c>
      <c r="H4" s="13" t="s">
        <v>446</v>
      </c>
    </row>
    <row r="5" spans="1:8" ht="15.6" thickBot="1">
      <c r="A5" s="14" t="s">
        <v>447</v>
      </c>
      <c r="B5" s="11" t="s">
        <v>448</v>
      </c>
      <c r="C5" s="13" t="s">
        <v>449</v>
      </c>
      <c r="D5" s="7" t="s">
        <v>450</v>
      </c>
      <c r="H5" s="13" t="s">
        <v>451</v>
      </c>
    </row>
    <row r="6" spans="1:8" ht="15.6" thickBot="1">
      <c r="C6" s="14" t="s">
        <v>452</v>
      </c>
      <c r="D6" s="9" t="s">
        <v>453</v>
      </c>
      <c r="H6" s="13" t="s">
        <v>454</v>
      </c>
    </row>
    <row r="7" spans="1:8">
      <c r="H7" s="13" t="s">
        <v>455</v>
      </c>
    </row>
    <row r="8" spans="1:8">
      <c r="H8" s="13" t="s">
        <v>456</v>
      </c>
    </row>
    <row r="9" spans="1:8">
      <c r="H9" s="13" t="s">
        <v>457</v>
      </c>
    </row>
    <row r="10" spans="1:8">
      <c r="H10" s="13" t="s">
        <v>458</v>
      </c>
    </row>
    <row r="11" spans="1:8">
      <c r="H11" s="13" t="s">
        <v>459</v>
      </c>
    </row>
    <row r="12" spans="1:8">
      <c r="H12" s="13" t="s">
        <v>460</v>
      </c>
    </row>
    <row r="13" spans="1:8">
      <c r="H13" s="13" t="s">
        <v>461</v>
      </c>
    </row>
    <row r="14" spans="1:8">
      <c r="H14" s="13" t="s">
        <v>462</v>
      </c>
    </row>
    <row r="15" spans="1:8">
      <c r="H15" s="13" t="s">
        <v>463</v>
      </c>
    </row>
    <row r="16" spans="1:8">
      <c r="H16" s="13" t="s">
        <v>464</v>
      </c>
    </row>
    <row r="17" spans="8:8">
      <c r="H17" s="13" t="s">
        <v>465</v>
      </c>
    </row>
    <row r="18" spans="8:8">
      <c r="H18" s="13" t="s">
        <v>466</v>
      </c>
    </row>
    <row r="19" spans="8:8">
      <c r="H19" s="13" t="s">
        <v>467</v>
      </c>
    </row>
    <row r="20" spans="8:8" ht="15.6" thickBot="1">
      <c r="H20" s="14" t="s">
        <v>468</v>
      </c>
    </row>
  </sheetData>
  <phoneticPr fontId="2"/>
  <pageMargins left="0.7" right="0.7" top="0.75" bottom="0.75" header="0.3" footer="0.3"/>
  <pageSetup paperSize="9" orientation="portrait"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2927D8DE12D48B47B0D44EEF0BC44240" ma:contentTypeVersion="7" ma:contentTypeDescription="新しいドキュメントを作成します。" ma:contentTypeScope="" ma:versionID="eb2c6aaa4f11c9ec3f65575caeec9635">
  <xsd:schema xmlns:xsd="http://www.w3.org/2001/XMLSchema" xmlns:xs="http://www.w3.org/2001/XMLSchema" xmlns:p="http://schemas.microsoft.com/office/2006/metadata/properties" xmlns:ns2="cfe21c4c-392e-4d25-9e26-4c8da30b5bfc" targetNamespace="http://schemas.microsoft.com/office/2006/metadata/properties" ma:root="true" ma:fieldsID="9c02081431634b31a602b5209939e0f2" ns2:_="">
    <xsd:import namespace="cfe21c4c-392e-4d25-9e26-4c8da30b5bfc"/>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fe21c4c-392e-4d25-9e26-4c8da30b5bf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378F893-0B45-4883-A780-766892CBAD86}">
  <ds:schemaRefs>
    <ds:schemaRef ds:uri="http://schemas.microsoft.com/sharepoint/v3/contenttype/forms"/>
  </ds:schemaRefs>
</ds:datastoreItem>
</file>

<file path=customXml/itemProps2.xml><?xml version="1.0" encoding="utf-8"?>
<ds:datastoreItem xmlns:ds="http://schemas.openxmlformats.org/officeDocument/2006/customXml" ds:itemID="{CDC09644-FFA4-4F30-A48B-F99A42147C02}">
  <ds:schemaRefs>
    <ds:schemaRef ds:uri="337c9669-7545-402d-a50a-1c173d0fc4c6"/>
    <ds:schemaRef ds:uri="http://schemas.microsoft.com/office/infopath/2007/PartnerControls"/>
    <ds:schemaRef ds:uri="http://schemas.microsoft.com/office/2006/documentManagement/types"/>
    <ds:schemaRef ds:uri="http://purl.org/dc/terms/"/>
    <ds:schemaRef ds:uri="http://purl.org/dc/elements/1.1/"/>
    <ds:schemaRef ds:uri="http://www.w3.org/XML/1998/namespace"/>
    <ds:schemaRef ds:uri="http://purl.org/dc/dcmitype/"/>
    <ds:schemaRef ds:uri="http://schemas.openxmlformats.org/package/2006/metadata/core-properties"/>
    <ds:schemaRef ds:uri="11a06735-eb40-4925-8cde-3ab8c03b2281"/>
    <ds:schemaRef ds:uri="http://schemas.microsoft.com/office/2006/metadata/properties"/>
  </ds:schemaRefs>
</ds:datastoreItem>
</file>

<file path=customXml/itemProps3.xml><?xml version="1.0" encoding="utf-8"?>
<ds:datastoreItem xmlns:ds="http://schemas.openxmlformats.org/officeDocument/2006/customXml" ds:itemID="{F3AD5FD7-FF48-4CC4-A46C-A9F03D4F5327}"/>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4" baseType="variant">
      <vt:variant>
        <vt:lpstr>ワークシート</vt:lpstr>
      </vt:variant>
      <vt:variant>
        <vt:i4>17</vt:i4>
      </vt:variant>
      <vt:variant>
        <vt:lpstr>名前付き一覧</vt:lpstr>
      </vt:variant>
      <vt:variant>
        <vt:i4>11</vt:i4>
      </vt:variant>
    </vt:vector>
  </HeadingPairs>
  <TitlesOfParts>
    <vt:vector size="28" baseType="lpstr">
      <vt:lpstr>表紙</vt:lpstr>
      <vt:lpstr>変更履歴</vt:lpstr>
      <vt:lpstr>処理概要</vt:lpstr>
      <vt:lpstr>テーブル一覧</vt:lpstr>
      <vt:lpstr>DFD</vt:lpstr>
      <vt:lpstr>イベント説明</vt:lpstr>
      <vt:lpstr>補足説明</vt:lpstr>
      <vt:lpstr>画面レイアウト</vt:lpstr>
      <vt:lpstr>画面項目説明</vt:lpstr>
      <vt:lpstr>帳票レイアウト</vt:lpstr>
      <vt:lpstr>帳票出力仕様</vt:lpstr>
      <vt:lpstr>ファイルレイアウト</vt:lpstr>
      <vt:lpstr>テーブル出力項目</vt:lpstr>
      <vt:lpstr>レビュー指摘事項</vt:lpstr>
      <vt:lpstr>オブジェクト一覧</vt:lpstr>
      <vt:lpstr>プログラムフロー図</vt:lpstr>
      <vt:lpstr>マスタ</vt:lpstr>
      <vt:lpstr>io</vt:lpstr>
      <vt:lpstr>DFD!Print_Area</vt:lpstr>
      <vt:lpstr>Visivility</vt:lpstr>
      <vt:lpstr>オブジェクト</vt:lpstr>
      <vt:lpstr>オブジェクト一覧</vt:lpstr>
      <vt:lpstr>テーブル種別</vt:lpstr>
      <vt:lpstr>マスタ</vt:lpstr>
      <vt:lpstr>横位置</vt:lpstr>
      <vt:lpstr>縦位置</vt:lpstr>
      <vt:lpstr>書式</vt:lpstr>
      <vt:lpstr>折り返して全体を表示する</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Ishioka, Takumi</dc:creator>
  <cp:keywords/>
  <dc:description/>
  <cp:lastModifiedBy>Kitai, Makoto</cp:lastModifiedBy>
  <cp:revision/>
  <dcterms:created xsi:type="dcterms:W3CDTF">2015-06-05T18:19:34Z</dcterms:created>
  <dcterms:modified xsi:type="dcterms:W3CDTF">2025-03-18T02:54:31Z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0x0101002927D8DE12D48B47B0D44EEF0BC44240</vt:lpwstr>
  </property>
  <property fmtid="{D5CDD505-2E9C-101B-9397-08002B2CF9AE}" pid="3" name="Workbook id">
    <vt:lpwstr>747cd6ea-0415-4c70-a927-7fcd14e2e863</vt:lpwstr>
  </property>
  <property fmtid="{D5CDD505-2E9C-101B-9397-08002B2CF9AE}" pid="4" name="Workbook type">
    <vt:lpwstr>Custom</vt:lpwstr>
  </property>
  <property fmtid="{D5CDD505-2E9C-101B-9397-08002B2CF9AE}" pid="5" name="Workbook version">
    <vt:lpwstr>Custom</vt:lpwstr>
  </property>
  <property fmtid="{D5CDD505-2E9C-101B-9397-08002B2CF9AE}" pid="6" name="Order">
    <vt:r8>44386100</vt:r8>
  </property>
  <property fmtid="{D5CDD505-2E9C-101B-9397-08002B2CF9AE}" pid="7" name="xd_Signature">
    <vt:bool>false</vt:bool>
  </property>
  <property fmtid="{D5CDD505-2E9C-101B-9397-08002B2CF9AE}" pid="8" name="xd_ProgID">
    <vt:lpwstr/>
  </property>
  <property fmtid="{D5CDD505-2E9C-101B-9397-08002B2CF9AE}" pid="9" name="ComplianceAssetId">
    <vt:lpwstr/>
  </property>
  <property fmtid="{D5CDD505-2E9C-101B-9397-08002B2CF9AE}" pid="10" name="TemplateUrl">
    <vt:lpwstr/>
  </property>
  <property fmtid="{D5CDD505-2E9C-101B-9397-08002B2CF9AE}" pid="11" name="_ExtendedDescription">
    <vt:lpwstr/>
  </property>
  <property fmtid="{D5CDD505-2E9C-101B-9397-08002B2CF9AE}" pid="12" name="TriggerFlowInfo">
    <vt:lpwstr/>
  </property>
  <property fmtid="{D5CDD505-2E9C-101B-9397-08002B2CF9AE}" pid="13" name="MediaServiceImageTags">
    <vt:lpwstr/>
  </property>
</Properties>
</file>