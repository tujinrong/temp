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fileSharing readOnlyRecommended="1"/>
  <workbookPr updateLinks="never" codeName="ThisWorkbook" defaultThemeVersion="166925"/>
  <mc:AlternateContent xmlns:mc="http://schemas.openxmlformats.org/markup-compatibility/2006">
    <mc:Choice Requires="x15">
      <x15ac:absPath xmlns:x15ac="http://schemas.microsoft.com/office/spreadsheetml/2010/11/ac" url="https://jbsbpos1.sharepoint.com/sites/msteams_358ee9/Shared Documents/General/01_LIBRA/04_要件定義/12_パラメータ定義書/02_SEJ/"/>
    </mc:Choice>
  </mc:AlternateContent>
  <xr:revisionPtr revIDLastSave="1076" documentId="14_{E78A5C25-2365-40AC-8A3F-434B8724E648}" xr6:coauthVersionLast="47" xr6:coauthVersionMax="47" xr10:uidLastSave="{F596BC45-AA94-413D-A751-3416B6304ED2}"/>
  <bookViews>
    <workbookView xWindow="28680" yWindow="-120" windowWidth="29040" windowHeight="15720" tabRatio="878" firstSheet="1" activeTab="24" xr2:uid="{FF37A431-138E-498D-9932-FE4CAD8F52B8}"/>
  </bookViews>
  <sheets>
    <sheet name="表紙" sheetId="491" r:id="rId1"/>
    <sheet name="パラメータ設定一覧" sheetId="476" r:id="rId2"/>
    <sheet name="法人" sheetId="202" state="hidden" r:id="rId3"/>
    <sheet name="法人-設定値" sheetId="203" state="hidden" r:id="rId4"/>
    <sheet name="法人-住所" sheetId="477" state="hidden" r:id="rId5"/>
    <sheet name="法人-連絡先情報" sheetId="478" state="hidden" r:id="rId6"/>
    <sheet name="法人-番号順序 " sheetId="204" state="hidden" r:id="rId7"/>
    <sheet name="法人-規制施設" sheetId="479" state="hidden" r:id="rId8"/>
    <sheet name="法人-TransportationPermission" sheetId="480" state="hidden" r:id="rId9"/>
    <sheet name="グローバルアドレス帳パラメーター" sheetId="205" state="hidden" r:id="rId10"/>
    <sheet name="アドレス帳" sheetId="206" state="hidden" r:id="rId11"/>
    <sheet name="名前の順序" sheetId="207" state="hidden" r:id="rId12"/>
    <sheet name="名前の順序-設定値" sheetId="208" state="hidden" r:id="rId13"/>
    <sheet name="住所と連絡先情報の目的" sheetId="209" state="hidden" r:id="rId14"/>
    <sheet name="住所と連絡先情報の目的-設定値" sheetId="210" state="hidden" r:id="rId15"/>
    <sheet name="組織階層" sheetId="254" state="hidden" r:id="rId16"/>
    <sheet name="組織階層-設定値" sheetId="255" state="hidden" r:id="rId17"/>
    <sheet name="組織階層の目的" sheetId="256" state="hidden" r:id="rId18"/>
    <sheet name="組織階層の目的-設定値" sheetId="257" state="hidden" r:id="rId19"/>
    <sheet name="番号順序" sheetId="150" state="hidden" r:id="rId20"/>
    <sheet name="番号順序-設定値" sheetId="151" state="hidden" r:id="rId21"/>
    <sheet name="ドキュメント タイプ" sheetId="481" state="hidden" r:id="rId22"/>
    <sheet name="ドキュメント タイプ-設定値" sheetId="482" state="hidden" r:id="rId23"/>
    <sheet name="組織の電子メール テンプレート" sheetId="487" r:id="rId24"/>
    <sheet name="組織の電子メール テンプレート-設定値" sheetId="488" r:id="rId25"/>
    <sheet name="作業時間カレンダー" sheetId="492" r:id="rId26"/>
    <sheet name="作業時間カレンダー-設定値" sheetId="493" r:id="rId27"/>
    <sheet name="作業時間テンプレート" sheetId="494" r:id="rId28"/>
    <sheet name="作業時間テンプレート-設定値" sheetId="495" r:id="rId29"/>
  </sheets>
  <externalReferences>
    <externalReference r:id="rId30"/>
  </externalReferences>
  <definedNames>
    <definedName name="_Fill" localSheetId="4" hidden="1">[1]テーブル仕様!#REF!</definedName>
    <definedName name="_Fill" localSheetId="5" hidden="1">[1]テーブル仕様!#REF!</definedName>
    <definedName name="_Fill" hidden="1">[1]テーブル仕様!#REF!</definedName>
    <definedName name="_xlnm._FilterDatabase" localSheetId="20" hidden="1">'番号順序-設定値'!$A$7:$AG$25</definedName>
    <definedName name="_Order1" hidden="1">255</definedName>
    <definedName name="_Order2" hidden="1">255</definedName>
    <definedName name="_Regression_X" localSheetId="4" hidden="1">#REF!</definedName>
    <definedName name="_Regression_X" localSheetId="5" hidden="1">#REF!</definedName>
    <definedName name="_Regression_X" hidden="1">#REF!</definedName>
    <definedName name="A" localSheetId="0" hidden="1">#REF!</definedName>
    <definedName name="A" hidden="1">#REF!</definedName>
    <definedName name="adf" localSheetId="0" hidden="1">#REF!</definedName>
    <definedName name="adf" hidden="1">#REF!</definedName>
    <definedName name="AS2DocOpenMode" hidden="1">"AS2DocumentEdit"</definedName>
    <definedName name="AX" localSheetId="4" hidden="1">#REF!</definedName>
    <definedName name="AX" localSheetId="5" hidden="1">#REF!</definedName>
    <definedName name="AX" hidden="1">#REF!</definedName>
    <definedName name="AZ" localSheetId="4" hidden="1">#REF!</definedName>
    <definedName name="AZ" localSheetId="5" hidden="1">#REF!</definedName>
    <definedName name="AZ" hidden="1">#REF!</definedName>
    <definedName name="bbb" localSheetId="0" hidden="1">[1]テーブル仕様!#REF!</definedName>
    <definedName name="bbb" localSheetId="4" hidden="1">[1]テーブル仕様!#REF!</definedName>
    <definedName name="bbb" localSheetId="5" hidden="1">[1]テーブル仕様!#REF!</definedName>
    <definedName name="bbb" hidden="1">[1]テーブル仕様!#REF!</definedName>
    <definedName name="ＧＷメッセージ一覧" localSheetId="4" hidden="1">#REF!</definedName>
    <definedName name="ＧＷメッセージ一覧" localSheetId="5" hidden="1">#REF!</definedName>
    <definedName name="ＧＷメッセージ一覧" hidden="1">#REF!</definedName>
    <definedName name="H" localSheetId="4" hidden="1">{"'Sheet1'!$B$5:$H$34"}</definedName>
    <definedName name="H" localSheetId="5" hidden="1">{"'Sheet1'!$B$5:$H$34"}</definedName>
    <definedName name="H" hidden="1">{"'Sheet1'!$B$5:$H$34"}</definedName>
    <definedName name="HTML_CodePage" hidden="1">932</definedName>
    <definedName name="HTML_Control" localSheetId="0" hidden="1">{"'分担ﾙｰﾙ'!$A$1:$M$72","'分担ﾙｰﾙ'!$A$19:$M$71"}</definedName>
    <definedName name="HTML_Control" localSheetId="4" hidden="1">{"'分担ﾙｰﾙ'!$A$1:$M$72","'分担ﾙｰﾙ'!$A$19:$M$71"}</definedName>
    <definedName name="HTML_Control" localSheetId="5" hidden="1">{"'分担ﾙｰﾙ'!$A$1:$M$72","'分担ﾙｰﾙ'!$A$19:$M$71"}</definedName>
    <definedName name="HTML_Control" hidden="1">{"'分担ﾙｰﾙ'!$A$1:$M$72","'分担ﾙｰﾙ'!$A$19:$M$71"}</definedName>
    <definedName name="HTML_Control_copy" localSheetId="4" hidden="1">{"'Sheet1'!$B$5:$H$34"}</definedName>
    <definedName name="HTML_Control_copy" localSheetId="5" hidden="1">{"'Sheet1'!$B$5:$H$34"}</definedName>
    <definedName name="HTML_Control_copy" hidden="1">{"'Sheet1'!$B$5:$H$34"}</definedName>
    <definedName name="HTML_Control_Copy2" localSheetId="4" hidden="1">{"'Sheet1'!$B$5:$H$34"}</definedName>
    <definedName name="HTML_Control_Copy2" localSheetId="5" hidden="1">{"'Sheet1'!$B$5:$H$34"}</definedName>
    <definedName name="HTML_Control_Copy2" hidden="1">{"'Sheet1'!$B$5:$H$34"}</definedName>
    <definedName name="HTML_Control1" localSheetId="0" hidden="1">{"'分担ﾙｰﾙ'!$A$1:$M$72","'分担ﾙｰﾙ'!$A$19:$M$71"}</definedName>
    <definedName name="HTML_Control1" localSheetId="4" hidden="1">{"'分担ﾙｰﾙ'!$A$1:$M$72","'分担ﾙｰﾙ'!$A$19:$M$71"}</definedName>
    <definedName name="HTML_Control1" localSheetId="5" hidden="1">{"'分担ﾙｰﾙ'!$A$1:$M$72","'分担ﾙｰﾙ'!$A$19:$M$71"}</definedName>
    <definedName name="HTML_Control1" hidden="1">{"'分担ﾙｰﾙ'!$A$1:$M$72","'分担ﾙｰﾙ'!$A$19:$M$71"}</definedName>
    <definedName name="HTML_Control2" localSheetId="4" hidden="1">{"'Sheet1'!$B$5:$H$34"}</definedName>
    <definedName name="HTML_Control2" localSheetId="5" hidden="1">{"'Sheet1'!$B$5:$H$34"}</definedName>
    <definedName name="HTML_Control2" hidden="1">{"'Sheet1'!$B$5:$H$34"}</definedName>
    <definedName name="HTML_Description" hidden="1">""</definedName>
    <definedName name="HTML_Email" hidden="1">""</definedName>
    <definedName name="HTML_Header" hidden="1">"開閉栓作業分担ﾙｰﾙ"</definedName>
    <definedName name="HTML_LastUpdate" hidden="1">"00/01/05"</definedName>
    <definedName name="HTML_LineAfter" hidden="1">TRUE</definedName>
    <definedName name="HTML_LineBefore" hidden="1">TRUE</definedName>
    <definedName name="HTML_Name" hidden="1">"東京ガス株式会社"</definedName>
    <definedName name="HTML_OBDlg2" hidden="1">TRUE</definedName>
    <definedName name="HTML_OBDlg4" hidden="1">TRUE</definedName>
    <definedName name="HTML_OS" hidden="1">0</definedName>
    <definedName name="HTML_PathFile" hidden="1">"H:\F305\ｲﾝﾄﾗ\okyakusa\Content\thanksqanda\manual\khrule.htm"</definedName>
    <definedName name="HTML_Title" hidden="1">"開閉ﾙｰﾙ"</definedName>
    <definedName name="HTML1_1" hidden="1">"[FOLLOW.XLS]場所マスタ!$A$1:$C$33"</definedName>
    <definedName name="HTML1_10" hidden="1">""</definedName>
    <definedName name="HTML1_11" hidden="1">1</definedName>
    <definedName name="HTML1_12" hidden="1">"F:\COMMON\SIZAI\KAGAKU\HTML\KAIHATU\follow.htm"</definedName>
    <definedName name="HTML1_2" hidden="1">1</definedName>
    <definedName name="HTML1_3" hidden="1">"回答状況"</definedName>
    <definedName name="HTML1_4" hidden="1">"回答状況"</definedName>
    <definedName name="HTML1_5" hidden="1">""</definedName>
    <definedName name="HTML1_6" hidden="1">-4146</definedName>
    <definedName name="HTML1_7" hidden="1">-4146</definedName>
    <definedName name="HTML1_8" hidden="1">""</definedName>
    <definedName name="HTML1_9" hidden="1">""</definedName>
    <definedName name="HTMLCount" hidden="1">1</definedName>
    <definedName name="ｋ" localSheetId="4" hidden="1">#REF!</definedName>
    <definedName name="ｋ" localSheetId="5" hidden="1">#REF!</definedName>
    <definedName name="ｋ" hidden="1">#REF!</definedName>
    <definedName name="ｐ" localSheetId="4" hidden="1">#REF!</definedName>
    <definedName name="ｐ" localSheetId="5" hidden="1">#REF!</definedName>
    <definedName name="ｐ" hidden="1">#REF!</definedName>
    <definedName name="s" localSheetId="4" hidden="1">{"'Sheet1'!$B$5:$H$34"}</definedName>
    <definedName name="s" localSheetId="5" hidden="1">{"'Sheet1'!$B$5:$H$34"}</definedName>
    <definedName name="s" hidden="1">{"'Sheet1'!$B$5:$H$34"}</definedName>
    <definedName name="t" localSheetId="4" hidden="1">{"'Sheet1'!$B$5:$H$34"}</definedName>
    <definedName name="t" localSheetId="5" hidden="1">{"'Sheet1'!$B$5:$H$34"}</definedName>
    <definedName name="t" hidden="1">{"'Sheet1'!$B$5:$H$34"}</definedName>
    <definedName name="TEST" localSheetId="4" hidden="1">{"'Sheet1'!$B$5:$H$34"}</definedName>
    <definedName name="TEST" localSheetId="5" hidden="1">{"'Sheet1'!$B$5:$H$34"}</definedName>
    <definedName name="TEST" hidden="1">{"'Sheet1'!$B$5:$H$34"}</definedName>
    <definedName name="VV" localSheetId="4" hidden="1">#REF!</definedName>
    <definedName name="VV" localSheetId="5" hidden="1">#REF!</definedName>
    <definedName name="VV" hidden="1">#REF!</definedName>
    <definedName name="ｗ" localSheetId="4" hidden="1">{"'Sheet1'!$B$5:$H$34"}</definedName>
    <definedName name="ｗ" localSheetId="5" hidden="1">{"'Sheet1'!$B$5:$H$34"}</definedName>
    <definedName name="ｗ" hidden="1">{"'Sheet1'!$B$5:$H$34"}</definedName>
    <definedName name="work" localSheetId="4" hidden="1">#REF!</definedName>
    <definedName name="work" localSheetId="5" hidden="1">#REF!</definedName>
    <definedName name="work" hidden="1">#REF!</definedName>
    <definedName name="Z_5FB70CD0_6C58_413B_B7A8_B2222A9FFAB3_.wvu.FilterData" localSheetId="4" hidden="1">#REF!</definedName>
    <definedName name="Z_5FB70CD0_6C58_413B_B7A8_B2222A9FFAB3_.wvu.FilterData" localSheetId="5" hidden="1">#REF!</definedName>
    <definedName name="Z_5FB70CD0_6C58_413B_B7A8_B2222A9FFAB3_.wvu.FilterData" hidden="1">#REF!</definedName>
    <definedName name="Z_85CF1BE9_3199_4F5A_9707_53025D8196D4_.wvu.FilterData" localSheetId="4" hidden="1">#REF!</definedName>
    <definedName name="Z_85CF1BE9_3199_4F5A_9707_53025D8196D4_.wvu.FilterData" localSheetId="5" hidden="1">#REF!</definedName>
    <definedName name="Z_85CF1BE9_3199_4F5A_9707_53025D8196D4_.wvu.FilterData" hidden="1">#REF!</definedName>
    <definedName name="Z_A42E5BFB_D110_4A4D_A35F_734243F40A17_.wvu.FilterData" localSheetId="4" hidden="1">#REF!</definedName>
    <definedName name="Z_A42E5BFB_D110_4A4D_A35F_734243F40A17_.wvu.FilterData" localSheetId="5" hidden="1">#REF!</definedName>
    <definedName name="Z_A42E5BFB_D110_4A4D_A35F_734243F40A17_.wvu.FilterData" hidden="1">#REF!</definedName>
    <definedName name="Z_CF1E67FB_0D25_4F96_A0AC_373637B05BD1_.wvu.FilterData" localSheetId="4" hidden="1">#REF!</definedName>
    <definedName name="Z_CF1E67FB_0D25_4F96_A0AC_373637B05BD1_.wvu.FilterData" localSheetId="5" hidden="1">#REF!</definedName>
    <definedName name="Z_CF1E67FB_0D25_4F96_A0AC_373637B05BD1_.wvu.FilterData" hidden="1">#REF!</definedName>
    <definedName name="Z_CF1E67FB_0D25_4F96_A0AC_373637B05BD1_.wvu.PrintArea" localSheetId="4" hidden="1">#REF!</definedName>
    <definedName name="Z_CF1E67FB_0D25_4F96_A0AC_373637B05BD1_.wvu.PrintArea" localSheetId="5" hidden="1">#REF!</definedName>
    <definedName name="Z_CF1E67FB_0D25_4F96_A0AC_373637B05BD1_.wvu.PrintArea" hidden="1">#REF!</definedName>
    <definedName name="あ" localSheetId="4" hidden="1">#REF!</definedName>
    <definedName name="あ" localSheetId="5" hidden="1">#REF!</definedName>
    <definedName name="あ" hidden="1">#REF!</definedName>
    <definedName name="あああ" localSheetId="0" hidden="1">[1]テーブル仕様!#REF!</definedName>
    <definedName name="あああ" localSheetId="4" hidden="1">[1]テーブル仕様!#REF!</definedName>
    <definedName name="あああ" localSheetId="5" hidden="1">[1]テーブル仕様!#REF!</definedName>
    <definedName name="あああ" hidden="1">[1]テーブル仕様!#REF!</definedName>
    <definedName name="い" localSheetId="4" hidden="1">#REF!</definedName>
    <definedName name="い" localSheetId="5" hidden="1">#REF!</definedName>
    <definedName name="い" hidden="1">#REF!</definedName>
    <definedName name="う" localSheetId="4" hidden="1">#REF!</definedName>
    <definedName name="う" localSheetId="5" hidden="1">#REF!</definedName>
    <definedName name="う" hidden="1">#REF!</definedName>
    <definedName name="ええ" localSheetId="4" hidden="1">{"'Sheet1'!$B$5:$H$34"}</definedName>
    <definedName name="ええ" localSheetId="5" hidden="1">{"'Sheet1'!$B$5:$H$34"}</definedName>
    <definedName name="ええ" hidden="1">{"'Sheet1'!$B$5:$H$34"}</definedName>
    <definedName name="えええ" localSheetId="0" hidden="1">{"'9.項目'!$B$5:$AW$60"}</definedName>
    <definedName name="えええ" localSheetId="4" hidden="1">{"'9.項目'!$B$5:$AW$60"}</definedName>
    <definedName name="えええ" localSheetId="5" hidden="1">{"'9.項目'!$B$5:$AW$60"}</definedName>
    <definedName name="えええ" hidden="1">{"'9.項目'!$B$5:$AW$60"}</definedName>
    <definedName name="お" localSheetId="4" hidden="1">{"'Sheet1'!$B$5:$H$34"}</definedName>
    <definedName name="お" localSheetId="5" hidden="1">{"'Sheet1'!$B$5:$H$34"}</definedName>
    <definedName name="お" hidden="1">{"'Sheet1'!$B$5:$H$34"}</definedName>
    <definedName name="サンプル" localSheetId="4" hidden="1">#REF!</definedName>
    <definedName name="サンプル" localSheetId="5" hidden="1">#REF!</definedName>
    <definedName name="サンプル" hidden="1">#REF!</definedName>
    <definedName name="タスクドキュメント１" localSheetId="4" hidden="1">#REF!</definedName>
    <definedName name="タスクドキュメント１" localSheetId="5" hidden="1">#REF!</definedName>
    <definedName name="タスクドキュメント１" hidden="1">#REF!</definedName>
    <definedName name="安藤" localSheetId="4" hidden="1">#REF!</definedName>
    <definedName name="安藤" localSheetId="5" hidden="1">#REF!</definedName>
    <definedName name="安藤" hidden="1">#REF!</definedName>
    <definedName name="関連" localSheetId="4" hidden="1">#REF!</definedName>
    <definedName name="関連" localSheetId="5" hidden="1">#REF!</definedName>
    <definedName name="関連" hidden="1">#REF!</definedName>
    <definedName name="関連表" localSheetId="4" hidden="1">#REF!</definedName>
    <definedName name="関連表" localSheetId="5" hidden="1">#REF!</definedName>
    <definedName name="関連表" hidden="1">#REF!</definedName>
    <definedName name="仕様書" localSheetId="4" hidden="1">#REF!</definedName>
    <definedName name="仕様書" localSheetId="5" hidden="1">#REF!</definedName>
    <definedName name="仕様書" hidden="1">#REF!</definedName>
    <definedName name="束原" localSheetId="4" hidden="1">#REF!</definedName>
    <definedName name="束原" localSheetId="5" hidden="1">#REF!</definedName>
    <definedName name="束原" hidden="1">#REF!</definedName>
    <definedName name="導入時期う" localSheetId="4" hidden="1">#REF!</definedName>
    <definedName name="導入時期う" localSheetId="5" hidden="1">#REF!</definedName>
    <definedName name="導入時期う" hidden="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4" i="495" l="1"/>
  <c r="B23" i="495"/>
  <c r="B22" i="495"/>
  <c r="B21" i="495"/>
  <c r="B20" i="495"/>
  <c r="B19" i="495"/>
  <c r="B18" i="495"/>
  <c r="B17" i="495"/>
  <c r="B16" i="495"/>
  <c r="B15" i="495"/>
  <c r="B14" i="495"/>
  <c r="B13" i="495"/>
  <c r="B12" i="495"/>
  <c r="B11" i="495"/>
  <c r="B10" i="495"/>
  <c r="B9" i="495"/>
  <c r="B8" i="495"/>
  <c r="B7" i="495"/>
  <c r="B35" i="494"/>
  <c r="B34" i="494"/>
  <c r="B33" i="494"/>
  <c r="B32" i="494"/>
  <c r="B31" i="494"/>
  <c r="B30" i="494"/>
  <c r="B29" i="494"/>
  <c r="B28" i="494"/>
  <c r="B27" i="494"/>
  <c r="B26" i="494"/>
  <c r="B25" i="494"/>
  <c r="B24" i="494"/>
  <c r="B23" i="494"/>
  <c r="B22" i="494"/>
  <c r="B21" i="494"/>
  <c r="B20" i="494"/>
  <c r="B19" i="494"/>
  <c r="B18" i="494"/>
  <c r="B17" i="494"/>
  <c r="B16" i="494"/>
  <c r="B15" i="494"/>
  <c r="B14" i="494"/>
  <c r="B13" i="494"/>
  <c r="B12" i="494"/>
  <c r="B11" i="494"/>
  <c r="B10" i="494"/>
  <c r="B9" i="494"/>
  <c r="B8" i="494"/>
  <c r="B7" i="494"/>
  <c r="B6" i="494"/>
  <c r="B24" i="493"/>
  <c r="B23" i="493"/>
  <c r="B22" i="493"/>
  <c r="B21" i="493"/>
  <c r="B20" i="493"/>
  <c r="B19" i="493"/>
  <c r="B18" i="493"/>
  <c r="B17" i="493"/>
  <c r="B16" i="493"/>
  <c r="B15" i="493"/>
  <c r="B14" i="493"/>
  <c r="B13" i="493"/>
  <c r="B12" i="493"/>
  <c r="B11" i="493"/>
  <c r="B10" i="493"/>
  <c r="B9" i="493"/>
  <c r="B8" i="493"/>
  <c r="B7" i="493"/>
  <c r="B9" i="492"/>
  <c r="B8" i="492"/>
  <c r="B7" i="492"/>
  <c r="B6" i="492"/>
  <c r="B19" i="476"/>
  <c r="B18" i="476"/>
  <c r="B24" i="488"/>
  <c r="B23" i="488"/>
  <c r="B22" i="488"/>
  <c r="B21" i="488"/>
  <c r="B20" i="488"/>
  <c r="B19" i="488"/>
  <c r="B18" i="488"/>
  <c r="B17" i="488"/>
  <c r="B16" i="488"/>
  <c r="B15" i="488"/>
  <c r="B14" i="488"/>
  <c r="B13" i="488"/>
  <c r="B12" i="488"/>
  <c r="B11" i="488"/>
  <c r="B10" i="488"/>
  <c r="B9" i="488"/>
  <c r="B8" i="488"/>
  <c r="B7" i="488"/>
  <c r="B24" i="482"/>
  <c r="B23" i="482"/>
  <c r="B22" i="482"/>
  <c r="B21" i="482"/>
  <c r="B20" i="482"/>
  <c r="B19" i="482"/>
  <c r="B18" i="482"/>
  <c r="B17" i="482"/>
  <c r="B16" i="482"/>
  <c r="B15" i="482"/>
  <c r="B14" i="482"/>
  <c r="B13" i="482"/>
  <c r="B12" i="482"/>
  <c r="B11" i="482"/>
  <c r="B10" i="482"/>
  <c r="B9" i="482"/>
  <c r="B8" i="482"/>
  <c r="B7" i="482"/>
  <c r="B24" i="257"/>
  <c r="B23" i="257"/>
  <c r="B22" i="257"/>
  <c r="B21" i="257"/>
  <c r="B20" i="257"/>
  <c r="B19" i="257"/>
  <c r="B18" i="257"/>
  <c r="B17" i="257"/>
  <c r="B16" i="257"/>
  <c r="B15" i="257"/>
  <c r="B14" i="257"/>
  <c r="B13" i="257"/>
  <c r="B12" i="257"/>
  <c r="B11" i="257"/>
  <c r="B10" i="257"/>
  <c r="B9" i="257"/>
  <c r="B8" i="257"/>
  <c r="B7" i="257"/>
  <c r="B8" i="255"/>
  <c r="B9" i="255"/>
  <c r="B10" i="255"/>
  <c r="B11" i="255"/>
  <c r="B7" i="255"/>
  <c r="B15" i="208"/>
  <c r="B14" i="208"/>
  <c r="B13" i="208"/>
  <c r="B12" i="208"/>
  <c r="B11" i="208"/>
  <c r="B10" i="208"/>
  <c r="B9" i="208"/>
  <c r="B8" i="208"/>
  <c r="B7" i="208"/>
  <c r="B15" i="150"/>
  <c r="B28" i="202" l="1"/>
  <c r="B15" i="487" l="1"/>
  <c r="B14" i="487"/>
  <c r="B13" i="487"/>
  <c r="B12" i="487"/>
  <c r="B11" i="487"/>
  <c r="B10" i="487"/>
  <c r="B9" i="487"/>
  <c r="B8" i="487"/>
  <c r="B7" i="487"/>
  <c r="B6" i="487"/>
  <c r="B16" i="476"/>
  <c r="B10" i="481"/>
  <c r="B11" i="481"/>
  <c r="B12" i="481"/>
  <c r="B13" i="481"/>
  <c r="B14" i="481"/>
  <c r="B9" i="481"/>
  <c r="B8" i="481"/>
  <c r="B7" i="481"/>
  <c r="B6" i="481"/>
  <c r="B13" i="205" l="1"/>
  <c r="B14" i="205"/>
  <c r="B23" i="480"/>
  <c r="B22" i="480"/>
  <c r="B21" i="480"/>
  <c r="B20" i="480"/>
  <c r="B19" i="480"/>
  <c r="B18" i="480"/>
  <c r="B17" i="480"/>
  <c r="B16" i="480"/>
  <c r="B15" i="480"/>
  <c r="B14" i="480"/>
  <c r="B13" i="480"/>
  <c r="B12" i="480"/>
  <c r="B11" i="480"/>
  <c r="B10" i="480"/>
  <c r="B9" i="480"/>
  <c r="B8" i="480"/>
  <c r="B7" i="480"/>
  <c r="B6" i="480"/>
  <c r="B171" i="202"/>
  <c r="B170" i="202"/>
  <c r="B23" i="479"/>
  <c r="B22" i="479"/>
  <c r="B21" i="479"/>
  <c r="B20" i="479"/>
  <c r="B19" i="479"/>
  <c r="B18" i="479"/>
  <c r="B17" i="479"/>
  <c r="B16" i="479"/>
  <c r="B15" i="479"/>
  <c r="B14" i="479"/>
  <c r="B13" i="479"/>
  <c r="B12" i="479"/>
  <c r="B11" i="479"/>
  <c r="B10" i="479"/>
  <c r="B9" i="479"/>
  <c r="B8" i="479"/>
  <c r="B7" i="479"/>
  <c r="B6" i="479"/>
  <c r="B133" i="202"/>
  <c r="B134" i="202"/>
  <c r="B135" i="202"/>
  <c r="B136" i="202"/>
  <c r="B137" i="202"/>
  <c r="B138" i="202"/>
  <c r="B139" i="202"/>
  <c r="B47" i="202"/>
  <c r="B48" i="202"/>
  <c r="B43" i="202"/>
  <c r="B44" i="202"/>
  <c r="B40" i="202"/>
  <c r="B41" i="202"/>
  <c r="B42" i="202"/>
  <c r="B22" i="202"/>
  <c r="B23" i="202"/>
  <c r="B24" i="202"/>
  <c r="B33" i="202"/>
  <c r="B12" i="150"/>
  <c r="B10" i="150"/>
  <c r="B9" i="150"/>
  <c r="B13" i="150"/>
  <c r="B14" i="150"/>
  <c r="B11" i="478"/>
  <c r="B10" i="478"/>
  <c r="B9" i="478"/>
  <c r="B8" i="478"/>
  <c r="B8" i="477"/>
  <c r="B9" i="477"/>
  <c r="B10" i="477"/>
  <c r="B11" i="477"/>
  <c r="B10" i="476"/>
  <c r="B11" i="476"/>
  <c r="B12" i="476"/>
  <c r="B13" i="476"/>
  <c r="B14" i="476"/>
  <c r="B17" i="476"/>
  <c r="B15" i="476"/>
  <c r="B9" i="476"/>
  <c r="B8" i="476"/>
  <c r="B7" i="476"/>
  <c r="B6" i="476"/>
  <c r="B5" i="476"/>
  <c r="B4" i="476"/>
  <c r="B20" i="204" l="1"/>
  <c r="B23" i="204"/>
  <c r="B22" i="204"/>
  <c r="B21" i="204"/>
  <c r="B19" i="204"/>
  <c r="B18" i="204"/>
  <c r="B17" i="204"/>
  <c r="B16" i="204"/>
  <c r="B15" i="204"/>
  <c r="B14" i="204"/>
  <c r="B13" i="204"/>
  <c r="B12" i="204"/>
  <c r="B11" i="204"/>
  <c r="B9" i="256" l="1"/>
  <c r="B8" i="256"/>
  <c r="B7" i="256"/>
  <c r="B6" i="256"/>
  <c r="B8" i="254"/>
  <c r="B7" i="254"/>
  <c r="B6" i="254"/>
  <c r="B25" i="210" l="1"/>
  <c r="B24" i="210"/>
  <c r="B23" i="210"/>
  <c r="B22" i="210"/>
  <c r="B21" i="210"/>
  <c r="B20" i="210"/>
  <c r="B19" i="210"/>
  <c r="B18" i="210"/>
  <c r="B17" i="210"/>
  <c r="B16" i="210"/>
  <c r="B15" i="210"/>
  <c r="B14" i="210"/>
  <c r="B13" i="210"/>
  <c r="B12" i="210"/>
  <c r="B11" i="210"/>
  <c r="B10" i="210"/>
  <c r="B9" i="210"/>
  <c r="B8" i="210"/>
  <c r="B7" i="210"/>
  <c r="B6" i="210"/>
  <c r="B9" i="209"/>
  <c r="B8" i="209"/>
  <c r="B7" i="209"/>
  <c r="B6" i="209"/>
  <c r="B15" i="207"/>
  <c r="B14" i="207"/>
  <c r="B13" i="207"/>
  <c r="B12" i="207"/>
  <c r="B11" i="207"/>
  <c r="B10" i="207"/>
  <c r="B9" i="207"/>
  <c r="B8" i="207"/>
  <c r="B7" i="207"/>
  <c r="B6" i="207"/>
  <c r="B9" i="206"/>
  <c r="B8" i="206"/>
  <c r="B7" i="206"/>
  <c r="B6" i="206"/>
  <c r="B26" i="205"/>
  <c r="B19" i="205"/>
  <c r="B18" i="205"/>
  <c r="B17" i="205"/>
  <c r="B16" i="205"/>
  <c r="B15" i="205"/>
  <c r="B12" i="205"/>
  <c r="B11" i="205"/>
  <c r="B10" i="205"/>
  <c r="B9" i="205"/>
  <c r="B8" i="205"/>
  <c r="B7" i="205"/>
  <c r="B6" i="205"/>
  <c r="B10" i="204"/>
  <c r="B9" i="204"/>
  <c r="B8" i="204"/>
  <c r="B7" i="204"/>
  <c r="B6" i="204"/>
  <c r="B8" i="203"/>
  <c r="B169" i="202"/>
  <c r="B168" i="202"/>
  <c r="B167" i="202"/>
  <c r="B166" i="202"/>
  <c r="B165" i="202"/>
  <c r="B164" i="202"/>
  <c r="B163" i="202"/>
  <c r="B162" i="202"/>
  <c r="B161" i="202"/>
  <c r="B160" i="202"/>
  <c r="B159" i="202"/>
  <c r="B158" i="202"/>
  <c r="B157" i="202"/>
  <c r="B156" i="202"/>
  <c r="B155" i="202"/>
  <c r="B154" i="202"/>
  <c r="B153" i="202"/>
  <c r="B152" i="202"/>
  <c r="B151" i="202"/>
  <c r="B150" i="202"/>
  <c r="B149" i="202"/>
  <c r="B148" i="202"/>
  <c r="B147" i="202"/>
  <c r="B146" i="202"/>
  <c r="B145" i="202"/>
  <c r="B144" i="202"/>
  <c r="B143" i="202"/>
  <c r="B142" i="202"/>
  <c r="B141" i="202"/>
  <c r="B140" i="202"/>
  <c r="B132" i="202"/>
  <c r="B131" i="202"/>
  <c r="B130" i="202"/>
  <c r="B129" i="202"/>
  <c r="B128" i="202"/>
  <c r="B127" i="202"/>
  <c r="B126" i="202"/>
  <c r="B125" i="202"/>
  <c r="B124" i="202"/>
  <c r="B123" i="202"/>
  <c r="B122" i="202"/>
  <c r="B121" i="202"/>
  <c r="B120" i="202"/>
  <c r="B119" i="202"/>
  <c r="B118" i="202"/>
  <c r="B117" i="202"/>
  <c r="B116" i="202"/>
  <c r="B115" i="202"/>
  <c r="B114" i="202"/>
  <c r="B113" i="202"/>
  <c r="B112" i="202"/>
  <c r="B111" i="202"/>
  <c r="B110" i="202"/>
  <c r="B109" i="202"/>
  <c r="B108" i="202"/>
  <c r="B107" i="202"/>
  <c r="B106" i="202"/>
  <c r="B105" i="202"/>
  <c r="B104" i="202"/>
  <c r="B103" i="202"/>
  <c r="B102" i="202"/>
  <c r="B101" i="202"/>
  <c r="B100" i="202"/>
  <c r="B99" i="202"/>
  <c r="B98" i="202"/>
  <c r="B97" i="202"/>
  <c r="B96" i="202"/>
  <c r="B95" i="202"/>
  <c r="B94" i="202"/>
  <c r="B93" i="202"/>
  <c r="B92" i="202"/>
  <c r="B91" i="202"/>
  <c r="B90" i="202"/>
  <c r="B89" i="202"/>
  <c r="B88" i="202"/>
  <c r="B87" i="202"/>
  <c r="B86" i="202"/>
  <c r="B85" i="202"/>
  <c r="B84" i="202"/>
  <c r="B83" i="202"/>
  <c r="B82" i="202"/>
  <c r="B81" i="202"/>
  <c r="B80" i="202"/>
  <c r="B79" i="202"/>
  <c r="B78" i="202"/>
  <c r="B77" i="202"/>
  <c r="B76" i="202"/>
  <c r="B75" i="202"/>
  <c r="B74" i="202"/>
  <c r="B73" i="202"/>
  <c r="B72" i="202"/>
  <c r="B71" i="202"/>
  <c r="B70" i="202"/>
  <c r="B69" i="202"/>
  <c r="B68" i="202"/>
  <c r="B67" i="202"/>
  <c r="B66" i="202"/>
  <c r="B65" i="202"/>
  <c r="B64" i="202"/>
  <c r="B63" i="202"/>
  <c r="B62" i="202"/>
  <c r="B61" i="202"/>
  <c r="B60" i="202"/>
  <c r="B59" i="202"/>
  <c r="B58" i="202"/>
  <c r="B57" i="202"/>
  <c r="B56" i="202"/>
  <c r="B55" i="202"/>
  <c r="B54" i="202"/>
  <c r="B53" i="202"/>
  <c r="B52" i="202"/>
  <c r="B51" i="202"/>
  <c r="B50" i="202"/>
  <c r="B49" i="202"/>
  <c r="B46" i="202"/>
  <c r="B45" i="202"/>
  <c r="B39" i="202"/>
  <c r="B38" i="202"/>
  <c r="B37" i="202"/>
  <c r="B36" i="202"/>
  <c r="B35" i="202"/>
  <c r="B34" i="202"/>
  <c r="B32" i="202"/>
  <c r="B31" i="202"/>
  <c r="B30" i="202"/>
  <c r="B29" i="202"/>
  <c r="B27" i="202"/>
  <c r="B26" i="202"/>
  <c r="B25" i="202"/>
  <c r="B21" i="202"/>
  <c r="B20" i="202"/>
  <c r="B19" i="202"/>
  <c r="B18" i="202"/>
  <c r="B17" i="202"/>
  <c r="B16" i="202"/>
  <c r="B15" i="202"/>
  <c r="B14" i="202"/>
  <c r="B13" i="202"/>
  <c r="B12" i="202"/>
  <c r="B11" i="202"/>
  <c r="B10" i="202"/>
  <c r="B9" i="202"/>
  <c r="B8" i="202"/>
  <c r="B7" i="202"/>
  <c r="B6" i="202"/>
  <c r="B36" i="150" l="1"/>
  <c r="B35" i="150"/>
  <c r="B34" i="150"/>
  <c r="B33" i="150"/>
  <c r="B32" i="150"/>
  <c r="B31" i="150"/>
  <c r="B30" i="150"/>
  <c r="B29" i="150"/>
  <c r="B28" i="150"/>
  <c r="B27" i="150"/>
  <c r="B26" i="150"/>
  <c r="B25" i="150"/>
  <c r="B24" i="150"/>
  <c r="B23" i="150"/>
  <c r="B22" i="150"/>
  <c r="B21" i="150"/>
  <c r="B20" i="150"/>
  <c r="B19" i="150"/>
  <c r="B18" i="150"/>
  <c r="B17" i="150"/>
  <c r="B16" i="150"/>
  <c r="B8" i="150"/>
  <c r="B7" i="150"/>
  <c r="B6" i="150"/>
</calcChain>
</file>

<file path=xl/sharedStrings.xml><?xml version="1.0" encoding="utf-8"?>
<sst xmlns="http://schemas.openxmlformats.org/spreadsheetml/2006/main" count="4437" uniqueCount="817">
  <si>
    <t>No</t>
  </si>
  <si>
    <t>#</t>
  </si>
  <si>
    <t>該当モジュール</t>
  </si>
  <si>
    <t>設定項目</t>
  </si>
  <si>
    <t>説明</t>
  </si>
  <si>
    <t>パス</t>
    <phoneticPr fontId="13"/>
  </si>
  <si>
    <t>組織管理</t>
  </si>
  <si>
    <t>法人</t>
  </si>
  <si>
    <t>グローバルアドレス帳パラメーター</t>
  </si>
  <si>
    <t>アドレス帳</t>
  </si>
  <si>
    <t>名前の順序</t>
  </si>
  <si>
    <t>住所と連絡先情報の目的</t>
  </si>
  <si>
    <t>住所の設定</t>
  </si>
  <si>
    <t>単位</t>
  </si>
  <si>
    <t>組織階層</t>
  </si>
  <si>
    <t>組織階層の目的</t>
  </si>
  <si>
    <t>番号順序</t>
    <rPh sb="0" eb="2">
      <t>バンゴウ</t>
    </rPh>
    <rPh sb="2" eb="4">
      <t>ジュンジョ</t>
    </rPh>
    <phoneticPr fontId="13"/>
  </si>
  <si>
    <t>作業単位</t>
    <rPh sb="0" eb="2">
      <t>サギョウ</t>
    </rPh>
    <rPh sb="2" eb="4">
      <t>タンイ</t>
    </rPh>
    <phoneticPr fontId="13"/>
  </si>
  <si>
    <t>参照</t>
  </si>
  <si>
    <t>番号順序コード</t>
    <rPh sb="2" eb="4">
      <t>ジュンジョ</t>
    </rPh>
    <phoneticPr fontId="21"/>
  </si>
  <si>
    <t>番号を再利用</t>
  </si>
  <si>
    <t>同じ番号の利用元</t>
  </si>
  <si>
    <t>説明</t>
    <rPh sb="0" eb="2">
      <t>セツメイ</t>
    </rPh>
    <phoneticPr fontId="21"/>
  </si>
  <si>
    <t>（システム自動入力）</t>
  </si>
  <si>
    <t>これはシステムの一般的な ID ジェネレーターです。固有 ID を生成するときに、システム全体が参照されます。</t>
  </si>
  <si>
    <t>連絡先の固有 ID です。</t>
    <phoneticPr fontId="13"/>
  </si>
  <si>
    <t>要素番号の固有キー</t>
  </si>
  <si>
    <t>階層 ID の固有キーです。</t>
  </si>
  <si>
    <t>活動 ID を表す固有キーです。活動を作成するときに使用します。</t>
  </si>
  <si>
    <t>ケース ID</t>
  </si>
  <si>
    <t>ケースに割り当てられる ID 番号</t>
  </si>
  <si>
    <t>組織管理＞組織＞法人</t>
    <phoneticPr fontId="16"/>
  </si>
  <si>
    <t>タブ</t>
  </si>
  <si>
    <t>タブ説明</t>
    <rPh sb="2" eb="4">
      <t>セツメイ</t>
    </rPh>
    <phoneticPr fontId="21"/>
  </si>
  <si>
    <t>項目分類</t>
    <rPh sb="0" eb="2">
      <t>コウモク</t>
    </rPh>
    <rPh sb="2" eb="4">
      <t>ブンルイ</t>
    </rPh>
    <phoneticPr fontId="16"/>
  </si>
  <si>
    <t>項目</t>
  </si>
  <si>
    <t>項目説明</t>
    <rPh sb="0" eb="2">
      <t>コウモク</t>
    </rPh>
    <rPh sb="2" eb="4">
      <t>セツメイ</t>
    </rPh>
    <phoneticPr fontId="16"/>
  </si>
  <si>
    <t>設定可能値</t>
  </si>
  <si>
    <t>デフォルト値</t>
    <rPh sb="5" eb="6">
      <t>チ</t>
    </rPh>
    <phoneticPr fontId="21"/>
  </si>
  <si>
    <t>備考</t>
  </si>
  <si>
    <t>設定値</t>
  </si>
  <si>
    <t>設定基準</t>
  </si>
  <si>
    <t>概要</t>
    <rPh sb="0" eb="2">
      <t>ガイヨウ</t>
    </rPh>
    <phoneticPr fontId="21"/>
  </si>
  <si>
    <t>名前</t>
    <rPh sb="0" eb="2">
      <t>ナマエ</t>
    </rPh>
    <phoneticPr fontId="13"/>
  </si>
  <si>
    <t>文字列</t>
    <rPh sb="0" eb="3">
      <t>モジレツ</t>
    </rPh>
    <phoneticPr fontId="13"/>
  </si>
  <si>
    <t>ー</t>
  </si>
  <si>
    <t>会社</t>
    <rPh sb="0" eb="2">
      <t>カイシャ</t>
    </rPh>
    <phoneticPr fontId="13"/>
  </si>
  <si>
    <t>法人に関連付けられている会社コード ID。会社とは、法人の 1 つのタイプです。会社はユーザーが作成できる唯一の法人であり、すべての法人は会社 ID と関連付けられています。この関連付けは、プログラム内の一部の機能エリアで法人 ID (データモデルでは DataAreaId) が使用されているために設けられています。これらの機能エリアでは、データのセキュリティ区分として法人が使用されています。ユーザーは、現在ログオン中の会社のデータにのみアクセスできます。</t>
  </si>
  <si>
    <t>カナ名</t>
    <rPh sb="2" eb="3">
      <t>メイ</t>
    </rPh>
    <phoneticPr fontId="13"/>
  </si>
  <si>
    <t>一般</t>
    <rPh sb="0" eb="2">
      <t>イッパン</t>
    </rPh>
    <phoneticPr fontId="13"/>
  </si>
  <si>
    <t>メモ</t>
    <phoneticPr fontId="13"/>
  </si>
  <si>
    <t>法人に関する注記の入力します。</t>
    <phoneticPr fontId="13"/>
  </si>
  <si>
    <t>検索名</t>
    <rPh sb="0" eb="2">
      <t>ケンサク</t>
    </rPh>
    <rPh sb="2" eb="3">
      <t>メイ</t>
    </rPh>
    <phoneticPr fontId="13"/>
  </si>
  <si>
    <t>階層</t>
    <rPh sb="0" eb="2">
      <t>カイソウ</t>
    </rPh>
    <phoneticPr fontId="13"/>
  </si>
  <si>
    <t>選択したオプションは法人が組織階層に属していることを示します。</t>
    <phoneticPr fontId="13"/>
  </si>
  <si>
    <t>はい/いいえ</t>
    <phoneticPr fontId="13"/>
  </si>
  <si>
    <t>いいえ</t>
    <phoneticPr fontId="13"/>
  </si>
  <si>
    <t>組織階層に所属させることで「はい」となる</t>
    <rPh sb="0" eb="2">
      <t>ソシキ</t>
    </rPh>
    <rPh sb="2" eb="4">
      <t>カイソウ</t>
    </rPh>
    <rPh sb="5" eb="7">
      <t>ショゾク</t>
    </rPh>
    <phoneticPr fontId="13"/>
  </si>
  <si>
    <t>財務連結処理に使用</t>
    <phoneticPr fontId="13"/>
  </si>
  <si>
    <t>この法人の元帳が子会社法人の財務データを連結する場合は、このオプションを選択します。</t>
  </si>
  <si>
    <t>財務消去プロセスで使用</t>
    <phoneticPr fontId="13"/>
  </si>
  <si>
    <t>この法人の元帳に作成する消去エントリを有効にするには、このオプションを選択します。[財務連結処理に使用] オプションが選択されていないときに、トランザクションが存在する場合、このフィールドを変更できません。</t>
  </si>
  <si>
    <t>完全名</t>
    <rPh sb="0" eb="2">
      <t>カンゼン</t>
    </rPh>
    <rPh sb="2" eb="3">
      <t>メイ</t>
    </rPh>
    <phoneticPr fontId="13"/>
  </si>
  <si>
    <t>ローカライズされた機能の地域</t>
  </si>
  <si>
    <t>地域（システム定義）</t>
    <phoneticPr fontId="13"/>
  </si>
  <si>
    <t>言語</t>
    <rPh sb="0" eb="2">
      <t>ゲンゴ</t>
    </rPh>
    <phoneticPr fontId="13"/>
  </si>
  <si>
    <t>言語（システム定義）</t>
    <phoneticPr fontId="13"/>
  </si>
  <si>
    <t>会社の住所を使用して検出</t>
    <rPh sb="0" eb="2">
      <t>カイシャ</t>
    </rPh>
    <rPh sb="3" eb="5">
      <t>ジュウショ</t>
    </rPh>
    <rPh sb="6" eb="8">
      <t>シヨウ</t>
    </rPh>
    <rPh sb="10" eb="12">
      <t>ケンシュツ</t>
    </rPh>
    <phoneticPr fontId="13"/>
  </si>
  <si>
    <t>住所</t>
    <rPh sb="0" eb="2">
      <t>ジュウショ</t>
    </rPh>
    <phoneticPr fontId="21"/>
  </si>
  <si>
    <t>名前または説明</t>
    <phoneticPr fontId="13"/>
  </si>
  <si>
    <t>住所</t>
    <rPh sb="0" eb="2">
      <t>ジュウショ</t>
    </rPh>
    <phoneticPr fontId="13"/>
  </si>
  <si>
    <t>番地、郵便番号、市区町村名などを入力します。住所情報は、この後、レポートで使用されます。それぞれのフィールドの外にフォーカスを移動すると、市町村、市区郡、都道府県、および国/地域情報の値が自動的に挿入されます。住所が承認されると、市区町村、郵便番号、郡、都道府県、国の各フィールドにデータが入力されます。これらのフィールドの内容は、検索および並べ替えのみに使用されるため、[アドレス] フィールドの内容に関係なく変更できます。</t>
  </si>
  <si>
    <t>詳細オプションより以下を入力することで反映される
国/地域
郵便番号
住所
市町村
都道府県</t>
    <rPh sb="0" eb="2">
      <t>ショウサイ</t>
    </rPh>
    <rPh sb="9" eb="11">
      <t>イカ</t>
    </rPh>
    <rPh sb="25" eb="26">
      <t>クニ</t>
    </rPh>
    <rPh sb="27" eb="29">
      <t>チイキ</t>
    </rPh>
    <rPh sb="35" eb="37">
      <t>ジュウショ</t>
    </rPh>
    <rPh sb="42" eb="46">
      <t>トドウフケン</t>
    </rPh>
    <phoneticPr fontId="13"/>
  </si>
  <si>
    <t>目的</t>
    <rPh sb="0" eb="2">
      <t>モクテキ</t>
    </rPh>
    <phoneticPr fontId="13"/>
  </si>
  <si>
    <t>業務
委託販売
配送
固定資産
本社
ホーム
請求書
船荷
その他
支払
実際の場所
採用
送金先
サービス
安定した組織
ステートメント
SWIFT
船降</t>
    <rPh sb="0" eb="2">
      <t>ギョウム</t>
    </rPh>
    <rPh sb="3" eb="5">
      <t>イタク</t>
    </rPh>
    <rPh sb="5" eb="7">
      <t>ハンバイ</t>
    </rPh>
    <rPh sb="8" eb="10">
      <t>ハイソウ</t>
    </rPh>
    <rPh sb="11" eb="13">
      <t>コテイ</t>
    </rPh>
    <rPh sb="13" eb="15">
      <t>シサン</t>
    </rPh>
    <rPh sb="16" eb="18">
      <t>ホンシャ</t>
    </rPh>
    <rPh sb="23" eb="26">
      <t>セイキュウショ</t>
    </rPh>
    <rPh sb="27" eb="29">
      <t>フナニ</t>
    </rPh>
    <rPh sb="32" eb="33">
      <t>タ</t>
    </rPh>
    <rPh sb="34" eb="36">
      <t>シハライ</t>
    </rPh>
    <rPh sb="37" eb="39">
      <t>ジッサイ</t>
    </rPh>
    <rPh sb="40" eb="42">
      <t>バショ</t>
    </rPh>
    <rPh sb="43" eb="45">
      <t>サイヨウ</t>
    </rPh>
    <rPh sb="46" eb="48">
      <t>ソウキン</t>
    </rPh>
    <rPh sb="48" eb="49">
      <t>サキ</t>
    </rPh>
    <rPh sb="55" eb="57">
      <t>アンテイ</t>
    </rPh>
    <rPh sb="59" eb="61">
      <t>ソシキ</t>
    </rPh>
    <rPh sb="76" eb="77">
      <t>フネ</t>
    </rPh>
    <rPh sb="77" eb="78">
      <t>コウ</t>
    </rPh>
    <phoneticPr fontId="13"/>
  </si>
  <si>
    <t>主要</t>
    <rPh sb="0" eb="2">
      <t>シュヨウ</t>
    </rPh>
    <phoneticPr fontId="13"/>
  </si>
  <si>
    <t>詳細オプション</t>
    <rPh sb="0" eb="2">
      <t>ショウサイ</t>
    </rPh>
    <phoneticPr fontId="13"/>
  </si>
  <si>
    <t>国/地域</t>
    <rPh sb="0" eb="1">
      <t>クニ</t>
    </rPh>
    <rPh sb="2" eb="4">
      <t>チイキ</t>
    </rPh>
    <phoneticPr fontId="13"/>
  </si>
  <si>
    <t>国/地域（システム定義）</t>
    <phoneticPr fontId="13"/>
  </si>
  <si>
    <t>「詳細オプション＞詳細」より編集可能</t>
    <rPh sb="1" eb="3">
      <t>ショウサイ</t>
    </rPh>
    <rPh sb="9" eb="11">
      <t>ショウサイ</t>
    </rPh>
    <phoneticPr fontId="13"/>
  </si>
  <si>
    <t>郵便番号</t>
    <rPh sb="0" eb="4">
      <t>ユウビンバンゴウ</t>
    </rPh>
    <phoneticPr fontId="13"/>
  </si>
  <si>
    <t>数字</t>
    <rPh sb="0" eb="2">
      <t>スウジ</t>
    </rPh>
    <phoneticPr fontId="13"/>
  </si>
  <si>
    <t>住所（カナ）</t>
    <rPh sb="0" eb="2">
      <t>ジュウショ</t>
    </rPh>
    <phoneticPr fontId="13"/>
  </si>
  <si>
    <t>市町村</t>
    <rPh sb="0" eb="3">
      <t>シチョウソンチョウソン</t>
    </rPh>
    <phoneticPr fontId="13"/>
  </si>
  <si>
    <t>市町村（カナ）</t>
    <rPh sb="0" eb="3">
      <t>シチョウソンチョウソン</t>
    </rPh>
    <phoneticPr fontId="13"/>
  </si>
  <si>
    <t>都道府県</t>
    <rPh sb="0" eb="4">
      <t>トドウフケン</t>
    </rPh>
    <phoneticPr fontId="13"/>
  </si>
  <si>
    <t>国/地域に関する基本事項</t>
    <rPh sb="0" eb="1">
      <t>クニ</t>
    </rPh>
    <rPh sb="2" eb="4">
      <t>チイキ</t>
    </rPh>
    <rPh sb="5" eb="6">
      <t>カン</t>
    </rPh>
    <rPh sb="8" eb="10">
      <t>キホン</t>
    </rPh>
    <rPh sb="10" eb="12">
      <t>ジコウ</t>
    </rPh>
    <phoneticPr fontId="13"/>
  </si>
  <si>
    <t>連絡先情報</t>
    <rPh sb="0" eb="2">
      <t>レンラク</t>
    </rPh>
    <rPh sb="2" eb="3">
      <t>サキ</t>
    </rPh>
    <rPh sb="3" eb="5">
      <t>ジョウホウ</t>
    </rPh>
    <phoneticPr fontId="21"/>
  </si>
  <si>
    <t>説明</t>
    <rPh sb="0" eb="2">
      <t>セツメイ</t>
    </rPh>
    <phoneticPr fontId="13"/>
  </si>
  <si>
    <t>タイプ</t>
    <phoneticPr fontId="13"/>
  </si>
  <si>
    <t>電話
電子メールアドレス
URL
テレックス
FAX
Facebook
Twitter
LinkedIn</t>
    <rPh sb="0" eb="2">
      <t>デンワ</t>
    </rPh>
    <rPh sb="3" eb="5">
      <t>デンシ</t>
    </rPh>
    <phoneticPr fontId="13"/>
  </si>
  <si>
    <t>連絡先の電話番号/住所</t>
    <rPh sb="0" eb="2">
      <t>レンラク</t>
    </rPh>
    <rPh sb="2" eb="3">
      <t>サキ</t>
    </rPh>
    <rPh sb="4" eb="6">
      <t>デンワ</t>
    </rPh>
    <rPh sb="6" eb="8">
      <t>バンゴウ</t>
    </rPh>
    <rPh sb="9" eb="11">
      <t>ジュウショ</t>
    </rPh>
    <phoneticPr fontId="13"/>
  </si>
  <si>
    <t>選択した通信タイプに基づいて通信番号またはアドレスを入力します。[Tax 1099 データ形式の検証] オプションが [Tax 1099] クイック タブで選択されている場合、[連絡先情報] ページに主な会社の電話番号を入力します。</t>
  </si>
  <si>
    <t>内線</t>
    <rPh sb="0" eb="2">
      <t>ナイセン</t>
    </rPh>
    <phoneticPr fontId="13"/>
  </si>
  <si>
    <t>タイプで以下を設定した場合に設定
電話
FAX</t>
  </si>
  <si>
    <t>[内線] フィールドの電話番号が法人の主な通信番号であることを示すには、このオプションを選択します。</t>
  </si>
  <si>
    <t>詳細</t>
    <rPh sb="0" eb="2">
      <t>ショウサイ</t>
    </rPh>
    <phoneticPr fontId="13"/>
  </si>
  <si>
    <t>国際電話用コード</t>
    <rPh sb="0" eb="2">
      <t>コクサイ</t>
    </rPh>
    <rPh sb="2" eb="4">
      <t>デンワ</t>
    </rPh>
    <rPh sb="4" eb="5">
      <t>ヨウ</t>
    </rPh>
    <phoneticPr fontId="13"/>
  </si>
  <si>
    <t>「詳細」より編集可能
電話
FAX</t>
    <rPh sb="1" eb="3">
      <t>ショウサイ</t>
    </rPh>
    <rPh sb="6" eb="8">
      <t>ヘンシュウ</t>
    </rPh>
    <rPh sb="8" eb="10">
      <t>カノウ</t>
    </rPh>
    <phoneticPr fontId="13"/>
  </si>
  <si>
    <t>業務
ホーム
請求書
その他
採用
SMS</t>
    <rPh sb="0" eb="2">
      <t>ギョウム</t>
    </rPh>
    <rPh sb="7" eb="10">
      <t>セイキュウショ</t>
    </rPh>
    <rPh sb="13" eb="14">
      <t>タ</t>
    </rPh>
    <rPh sb="15" eb="17">
      <t>サイヨウ</t>
    </rPh>
    <phoneticPr fontId="13"/>
  </si>
  <si>
    <t>「詳細」より編集可能</t>
    <rPh sb="1" eb="3">
      <t>ショウサイ</t>
    </rPh>
    <rPh sb="6" eb="8">
      <t>ヘンシュウ</t>
    </rPh>
    <rPh sb="8" eb="10">
      <t>カノウ</t>
    </rPh>
    <phoneticPr fontId="13"/>
  </si>
  <si>
    <t>携帯電話</t>
    <rPh sb="0" eb="2">
      <t>ケイタイ</t>
    </rPh>
    <rPh sb="2" eb="4">
      <t>デンワ</t>
    </rPh>
    <phoneticPr fontId="13"/>
  </si>
  <si>
    <t>「詳細」より編集可能
タイプで以下を設定した場合に設定
電話</t>
    <rPh sb="1" eb="3">
      <t>ショウサイ</t>
    </rPh>
    <rPh sb="6" eb="8">
      <t>ヘンシュウ</t>
    </rPh>
    <rPh sb="8" eb="10">
      <t>カノウ</t>
    </rPh>
    <rPh sb="15" eb="17">
      <t>イカ</t>
    </rPh>
    <rPh sb="18" eb="20">
      <t>セッテイ</t>
    </rPh>
    <rPh sb="22" eb="24">
      <t>バアイ</t>
    </rPh>
    <rPh sb="25" eb="27">
      <t>セッテイ</t>
    </rPh>
    <rPh sb="28" eb="30">
      <t>デンワ</t>
    </rPh>
    <phoneticPr fontId="13"/>
  </si>
  <si>
    <t>インスタントメッセージ</t>
  </si>
  <si>
    <t>「詳細」より編集可能
タイプで以下を設定した場合に設定
電子メールアドレス</t>
    <rPh sb="1" eb="3">
      <t>ショウサイ</t>
    </rPh>
    <rPh sb="6" eb="8">
      <t>ヘンシュウ</t>
    </rPh>
    <rPh sb="8" eb="10">
      <t>カノウ</t>
    </rPh>
    <rPh sb="15" eb="17">
      <t>イカ</t>
    </rPh>
    <rPh sb="18" eb="20">
      <t>セッテイ</t>
    </rPh>
    <rPh sb="22" eb="24">
      <t>バアイ</t>
    </rPh>
    <rPh sb="25" eb="27">
      <t>セッテイ</t>
    </rPh>
    <rPh sb="28" eb="30">
      <t>デンシ</t>
    </rPh>
    <phoneticPr fontId="13"/>
  </si>
  <si>
    <t>国家機関のレポート</t>
  </si>
  <si>
    <t>支店/関連会社</t>
    <phoneticPr fontId="13"/>
  </si>
  <si>
    <t>課税控除番号に使用される支店または関連会社を指定します。</t>
    <phoneticPr fontId="13"/>
  </si>
  <si>
    <t>DUNS 番号</t>
    <phoneticPr fontId="13"/>
  </si>
  <si>
    <t>数値</t>
    <rPh sb="0" eb="2">
      <t>スウチ</t>
    </rPh>
    <phoneticPr fontId="13"/>
  </si>
  <si>
    <t>NAICS</t>
    <phoneticPr fontId="13"/>
  </si>
  <si>
    <t>6桁の数値</t>
    <rPh sb="3" eb="5">
      <t>スウチ</t>
    </rPh>
    <phoneticPr fontId="13"/>
  </si>
  <si>
    <t>税申告担当者</t>
    <phoneticPr fontId="13"/>
  </si>
  <si>
    <t>登録番号</t>
    <rPh sb="0" eb="2">
      <t>トウロク</t>
    </rPh>
    <rPh sb="2" eb="4">
      <t>バンゴウ</t>
    </rPh>
    <phoneticPr fontId="13"/>
  </si>
  <si>
    <t>日本向けの申告</t>
    <rPh sb="0" eb="2">
      <t>ニホン</t>
    </rPh>
    <rPh sb="2" eb="3">
      <t>ム</t>
    </rPh>
    <rPh sb="5" eb="7">
      <t>シンコク</t>
    </rPh>
    <phoneticPr fontId="13"/>
  </si>
  <si>
    <t>経理担当者</t>
    <rPh sb="0" eb="2">
      <t>ケイリ</t>
    </rPh>
    <rPh sb="2" eb="4">
      <t>タントウ</t>
    </rPh>
    <rPh sb="4" eb="5">
      <t>シャ</t>
    </rPh>
    <phoneticPr fontId="13"/>
  </si>
  <si>
    <t>代表者氏名</t>
    <rPh sb="0" eb="3">
      <t>ダイヒョウシャ</t>
    </rPh>
    <rPh sb="3" eb="5">
      <t>シメイ</t>
    </rPh>
    <phoneticPr fontId="13"/>
  </si>
  <si>
    <t>ブラジル</t>
    <phoneticPr fontId="13"/>
  </si>
  <si>
    <t>CNPJ/CPF</t>
    <phoneticPr fontId="13"/>
  </si>
  <si>
    <t>CCM</t>
    <phoneticPr fontId="13"/>
  </si>
  <si>
    <t>IE</t>
    <phoneticPr fontId="13"/>
  </si>
  <si>
    <t>CNAE</t>
    <phoneticPr fontId="13"/>
  </si>
  <si>
    <t>カナダ</t>
    <phoneticPr fontId="13"/>
  </si>
  <si>
    <t>登録番号</t>
    <phoneticPr fontId="13"/>
  </si>
  <si>
    <t>カナダ歳入庁 (CRA) によって会社に提供される登録番号を入力します。</t>
    <phoneticPr fontId="13"/>
  </si>
  <si>
    <t>ソフトウェアの ID コード</t>
  </si>
  <si>
    <t>8 文字の英数字のソフトウェアの ID コードを入力します。最初の 2 つの文字はレターで、最後の 6 つの文字は番号です。これらの値は、商品やサービスの売上税または統合売上税 (GST/HST) の還付を処理できるように正確でなければなりません</t>
  </si>
  <si>
    <t>GST/HST 勘定 ID</t>
    <phoneticPr fontId="13"/>
  </si>
  <si>
    <t>英国</t>
    <rPh sb="0" eb="2">
      <t>エイコク</t>
    </rPh>
    <phoneticPr fontId="13"/>
  </si>
  <si>
    <t>勘定オフィス参照番号</t>
    <phoneticPr fontId="13"/>
  </si>
  <si>
    <t>フランス</t>
    <phoneticPr fontId="13"/>
  </si>
  <si>
    <t>商業登記</t>
    <phoneticPr fontId="13"/>
  </si>
  <si>
    <t>会社が登録されているフランスの機関の名前を入力します (たとえば、Registre du commerce et des sociétés)。</t>
    <phoneticPr fontId="13"/>
  </si>
  <si>
    <t>法定書式</t>
    <phoneticPr fontId="13"/>
  </si>
  <si>
    <t>会社の法的種別を入力します (たとえば、非営利組織、製造会社、金融機関)。</t>
    <phoneticPr fontId="13"/>
  </si>
  <si>
    <t>NAF コード</t>
  </si>
  <si>
    <t>データベースのレコードの固有 ID</t>
  </si>
  <si>
    <t>アイスランド</t>
    <phoneticPr fontId="13"/>
  </si>
  <si>
    <t>国内での登録番号</t>
    <phoneticPr fontId="13"/>
  </si>
  <si>
    <t>イタリア</t>
    <phoneticPr fontId="13"/>
  </si>
  <si>
    <t>会計年度コード</t>
  </si>
  <si>
    <t>法的性質</t>
    <phoneticPr fontId="13"/>
  </si>
  <si>
    <t>たとえば、限定された共有パートナーシップ、有限責任会社 (SRL)、または公開有限会社 (SPA) など、政府に登録された法人の法的構造を選択します。</t>
  </si>
  <si>
    <t>CUC</t>
    <phoneticPr fontId="13"/>
  </si>
  <si>
    <t>国外組織</t>
    <rPh sb="0" eb="2">
      <t>コクガイ</t>
    </rPh>
    <rPh sb="2" eb="4">
      <t>ソシキ</t>
    </rPh>
    <phoneticPr fontId="13"/>
  </si>
  <si>
    <t>会社名</t>
    <rPh sb="0" eb="2">
      <t>カイシャ</t>
    </rPh>
    <rPh sb="2" eb="3">
      <t>メイ</t>
    </rPh>
    <phoneticPr fontId="13"/>
  </si>
  <si>
    <t>国/地域</t>
    <phoneticPr fontId="13"/>
  </si>
  <si>
    <t>レポート フォルダー</t>
  </si>
  <si>
    <t>ロシア</t>
    <phoneticPr fontId="13"/>
  </si>
  <si>
    <t>会社の住所への INN/KPP の印刷</t>
    <phoneticPr fontId="13"/>
  </si>
  <si>
    <t>日本</t>
    <rPh sb="0" eb="2">
      <t>ニホン</t>
    </rPh>
    <phoneticPr fontId="13"/>
  </si>
  <si>
    <t>事業開始年月</t>
    <phoneticPr fontId="13"/>
  </si>
  <si>
    <t>年月日</t>
    <rPh sb="0" eb="2">
      <t>ネンゲツ</t>
    </rPh>
    <rPh sb="2" eb="3">
      <t>ニチ</t>
    </rPh>
    <phoneticPr fontId="13"/>
  </si>
  <si>
    <t>初期資本投資</t>
    <phoneticPr fontId="13"/>
  </si>
  <si>
    <t>標準通貨金額 (国の通貨)</t>
    <phoneticPr fontId="13"/>
  </si>
  <si>
    <t>税理士等の氏名</t>
    <phoneticPr fontId="13"/>
  </si>
  <si>
    <t>法人にあってはその名称及び代表者の氏名</t>
    <phoneticPr fontId="13"/>
  </si>
  <si>
    <t>この申告に応答する者の係及び氏名</t>
    <phoneticPr fontId="13"/>
  </si>
  <si>
    <t>事業種目</t>
    <phoneticPr fontId="13"/>
  </si>
  <si>
    <t>ノルウェー</t>
  </si>
  <si>
    <t>販売ドキュメントへの Foretaksregisteret の印刷</t>
    <phoneticPr fontId="13"/>
  </si>
  <si>
    <t>メキシコ</t>
    <phoneticPr fontId="13"/>
  </si>
  <si>
    <t>会社のタイプ</t>
    <phoneticPr fontId="13"/>
  </si>
  <si>
    <t>RFC 番号</t>
    <phoneticPr fontId="13"/>
  </si>
  <si>
    <t>CURP 番号</t>
    <phoneticPr fontId="13"/>
  </si>
  <si>
    <t>州表記</t>
    <phoneticPr fontId="13"/>
  </si>
  <si>
    <t>税の登録をする担当者または会社の州表記番号を入力します。</t>
    <phoneticPr fontId="13"/>
  </si>
  <si>
    <t>法的代表者</t>
    <phoneticPr fontId="13"/>
  </si>
  <si>
    <t>法的代表者の RFC</t>
    <phoneticPr fontId="13"/>
  </si>
  <si>
    <t>法的代表者の CURP</t>
    <phoneticPr fontId="13"/>
  </si>
  <si>
    <t>Tax regime</t>
    <phoneticPr fontId="13"/>
  </si>
  <si>
    <t>External classification code</t>
    <phoneticPr fontId="13"/>
  </si>
  <si>
    <t>TDMI</t>
    <phoneticPr fontId="13"/>
  </si>
  <si>
    <t>銀行口座情報</t>
    <rPh sb="0" eb="2">
      <t>ギンコウ</t>
    </rPh>
    <rPh sb="2" eb="4">
      <t>コウザ</t>
    </rPh>
    <rPh sb="4" eb="6">
      <t>ジョウホウ</t>
    </rPh>
    <phoneticPr fontId="13"/>
  </si>
  <si>
    <t>コード</t>
  </si>
  <si>
    <t>銀行支店コード</t>
    <rPh sb="0" eb="2">
      <t>ギンコウ</t>
    </rPh>
    <rPh sb="2" eb="4">
      <t>シテン</t>
    </rPh>
    <phoneticPr fontId="13"/>
  </si>
  <si>
    <t>中央銀行目的コード</t>
  </si>
  <si>
    <t>通知内容</t>
    <phoneticPr fontId="13"/>
  </si>
  <si>
    <t>FI 債権者 ID</t>
    <phoneticPr fontId="13"/>
  </si>
  <si>
    <t>金融機関によって指定された債権者の固有の ID 番号を入力します。債権者の ID 番号は 8 桁の数値が含まれている必要があります</t>
    <phoneticPr fontId="13"/>
  </si>
  <si>
    <t>8桁の数値</t>
    <phoneticPr fontId="13"/>
  </si>
  <si>
    <t>SIA</t>
    <phoneticPr fontId="13"/>
  </si>
  <si>
    <t>SIA コード</t>
  </si>
  <si>
    <t>為替手形および約束手形送金に使用される会社の Società Interbancaria per l'Automazione (SIA) コードを入力します。SIA コードは、SIA から会社に割り当てられます</t>
  </si>
  <si>
    <t>署名の発行</t>
    <phoneticPr fontId="13"/>
  </si>
  <si>
    <t>銀行での識別に使用される、送金用の会社署名を入力します。署名は、為替手形の送金エクスポート ファイルに格納され、顧客送金レポートに印刷されます。</t>
  </si>
  <si>
    <t>BTL91</t>
    <phoneticPr fontId="13"/>
  </si>
  <si>
    <t>DNB 銀行支店コード</t>
  </si>
  <si>
    <t>対外支払を分類するための DNB (オランダ中央銀行) の登録番号を入力します。</t>
    <phoneticPr fontId="13"/>
  </si>
  <si>
    <t>貿易業者番号</t>
    <phoneticPr fontId="13"/>
  </si>
  <si>
    <t>通過貿易業者であることを示す DNB のコードを入力します。</t>
  </si>
  <si>
    <t>支払指示コード 1</t>
  </si>
  <si>
    <t>支払指示コード 2</t>
  </si>
  <si>
    <t>支払指示コード 3</t>
  </si>
  <si>
    <t>支払指示コード 4</t>
  </si>
  <si>
    <t>銀行口座</t>
    <phoneticPr fontId="13"/>
  </si>
  <si>
    <t>振替口座</t>
    <phoneticPr fontId="13"/>
  </si>
  <si>
    <t>居住者</t>
    <phoneticPr fontId="13"/>
  </si>
  <si>
    <t>対外貿易およびロジスティクス</t>
    <phoneticPr fontId="13"/>
  </si>
  <si>
    <t>ID</t>
    <phoneticPr fontId="13"/>
  </si>
  <si>
    <t>DVR</t>
    <phoneticPr fontId="13"/>
  </si>
  <si>
    <t>DVR (DatenVerarbeitungsRegister) から支給されたデータ処理登録番号を入力します。</t>
  </si>
  <si>
    <t>配送番号</t>
    <phoneticPr fontId="13"/>
  </si>
  <si>
    <t>会社が通常使用するクーリエ サービス用に指定し、関連する外部レポートで使用される勘定番号を入力します。</t>
  </si>
  <si>
    <t>活動コード</t>
  </si>
  <si>
    <t>財務活動グループの ID を入力します。</t>
  </si>
  <si>
    <t>梱包材費用</t>
    <phoneticPr fontId="13"/>
  </si>
  <si>
    <t>梱包材費用ライセンス番号</t>
    <phoneticPr fontId="13"/>
  </si>
  <si>
    <t>リサイクル会社の梱包材費用ライセンス番号を入力します。これは ARA 届書レポートで使用されます。</t>
  </si>
  <si>
    <t>イントラスタット</t>
    <phoneticPr fontId="13"/>
  </si>
  <si>
    <t>VAT 課税控除番号のエクスポート</t>
  </si>
  <si>
    <t>欧州連合に関連する転送および外部レポートで使用される番号を選択します。フィンランド向けのイントラスタット レポートを印刷するには、輸出番号が必要です。</t>
  </si>
  <si>
    <t>支店番号の内線番号のエクスポート</t>
  </si>
  <si>
    <t>輸出の課税控除番号に使用される支店または関連会社を指定します。</t>
    <phoneticPr fontId="13"/>
  </si>
  <si>
    <t>VAT 課税控除番号のインポート</t>
  </si>
  <si>
    <t>外部レポートおよび欧州連合に関連する転送で使用される番号を選択します。フィンランド向けのイントラスタット レポートを印刷するには、輸入番号が必要です。</t>
  </si>
  <si>
    <t>支店番号の内線番号のインポート</t>
  </si>
  <si>
    <t>輸入の課税控除番号に使用される支店または関連会社を指定します。</t>
    <phoneticPr fontId="13"/>
  </si>
  <si>
    <t>イントラスタット コード</t>
  </si>
  <si>
    <t>ドイツ</t>
    <phoneticPr fontId="13"/>
  </si>
  <si>
    <t>Print corrective invoice on sales credit memo</t>
    <phoneticPr fontId="13"/>
  </si>
  <si>
    <t>開始日</t>
    <phoneticPr fontId="13"/>
  </si>
  <si>
    <t>出荷</t>
    <rPh sb="0" eb="2">
      <t>シュッカ</t>
    </rPh>
    <phoneticPr fontId="13"/>
  </si>
  <si>
    <t>出荷カレンダー</t>
  </si>
  <si>
    <t>番号順序を使用するドキュメント タイプまたはレコード。</t>
  </si>
  <si>
    <t>（システム自動入力）</t>
    <phoneticPr fontId="13"/>
  </si>
  <si>
    <t>番号順序コード</t>
  </si>
  <si>
    <t>番号順序に対するコードを選択します。リストにあるコードは [番号順序] ページで設定されます</t>
  </si>
  <si>
    <t>チェック有/チェック無</t>
  </si>
  <si>
    <t>追加の登録</t>
    <rPh sb="0" eb="2">
      <t>ツイカ</t>
    </rPh>
    <rPh sb="3" eb="5">
      <t>トウロク</t>
    </rPh>
    <phoneticPr fontId="13"/>
  </si>
  <si>
    <t>社会保険</t>
    <phoneticPr fontId="13"/>
  </si>
  <si>
    <t>所属のコード</t>
  </si>
  <si>
    <t>字数制限有</t>
    <rPh sb="0" eb="2">
      <t>ジスウ</t>
    </rPh>
    <rPh sb="2" eb="4">
      <t>セイゲン</t>
    </rPh>
    <rPh sb="4" eb="5">
      <t>アリ</t>
    </rPh>
    <phoneticPr fontId="13"/>
  </si>
  <si>
    <t>保険業者の所轄機関</t>
    <phoneticPr fontId="13"/>
  </si>
  <si>
    <t>年金基金</t>
    <phoneticPr fontId="13"/>
  </si>
  <si>
    <t>登録年金基金番号</t>
    <phoneticPr fontId="13"/>
  </si>
  <si>
    <t>その他</t>
    <rPh sb="2" eb="3">
      <t>タ</t>
    </rPh>
    <phoneticPr fontId="13"/>
  </si>
  <si>
    <t>組織の法定書式</t>
    <phoneticPr fontId="13"/>
  </si>
  <si>
    <t>ダッシュボードの画像</t>
    <rPh sb="8" eb="10">
      <t>ガゾウ</t>
    </rPh>
    <phoneticPr fontId="13"/>
  </si>
  <si>
    <t>変更</t>
    <rPh sb="0" eb="2">
      <t>ヘンコウ</t>
    </rPh>
    <phoneticPr fontId="13"/>
  </si>
  <si>
    <t>設定する画像を変更</t>
    <rPh sb="0" eb="2">
      <t>セッテイ</t>
    </rPh>
    <rPh sb="4" eb="6">
      <t>ガゾウ</t>
    </rPh>
    <rPh sb="7" eb="9">
      <t>ヘンコウ</t>
    </rPh>
    <phoneticPr fontId="13"/>
  </si>
  <si>
    <t>ボタン</t>
    <phoneticPr fontId="13"/>
  </si>
  <si>
    <t>「ダッシュボードの会社の画像タイプ」を以下にした場合にクリック可能
バナー
ロゴ</t>
    <rPh sb="19" eb="21">
      <t>イカ</t>
    </rPh>
    <rPh sb="31" eb="33">
      <t>カノウ</t>
    </rPh>
    <phoneticPr fontId="13"/>
  </si>
  <si>
    <t>削除</t>
    <rPh sb="0" eb="2">
      <t>サクジョ</t>
    </rPh>
    <phoneticPr fontId="13"/>
  </si>
  <si>
    <t>設定している画像を削除</t>
    <rPh sb="0" eb="2">
      <t>セッテイ</t>
    </rPh>
    <rPh sb="6" eb="8">
      <t>ガゾウ</t>
    </rPh>
    <rPh sb="9" eb="11">
      <t>サクジョ</t>
    </rPh>
    <phoneticPr fontId="13"/>
  </si>
  <si>
    <t>ダッシュボードの会社の画像タイプ</t>
  </si>
  <si>
    <t>既定
なし
バナー
ロゴ</t>
    <rPh sb="0" eb="2">
      <t>キテイ</t>
    </rPh>
    <phoneticPr fontId="13"/>
  </si>
  <si>
    <t>既定</t>
    <rPh sb="0" eb="2">
      <t>キテイ</t>
    </rPh>
    <phoneticPr fontId="13"/>
  </si>
  <si>
    <t>レポートの会社のロゴ画像</t>
  </si>
  <si>
    <t>既定の出力先</t>
    <rPh sb="0" eb="2">
      <t>キテイ</t>
    </rPh>
    <rPh sb="3" eb="5">
      <t>シュツリョク</t>
    </rPh>
    <rPh sb="5" eb="6">
      <t>サキ</t>
    </rPh>
    <phoneticPr fontId="13"/>
  </si>
  <si>
    <t>出力先</t>
    <phoneticPr fontId="13"/>
  </si>
  <si>
    <t>画面
PDFファイル</t>
    <rPh sb="0" eb="2">
      <t>ガメン</t>
    </rPh>
    <phoneticPr fontId="13"/>
  </si>
  <si>
    <t>画面</t>
    <rPh sb="0" eb="2">
      <t>ガメン</t>
    </rPh>
    <phoneticPr fontId="13"/>
  </si>
  <si>
    <t>税登録</t>
    <rPh sb="0" eb="1">
      <t>ゼイ</t>
    </rPh>
    <rPh sb="1" eb="3">
      <t>トウロク</t>
    </rPh>
    <phoneticPr fontId="13"/>
  </si>
  <si>
    <t>税務登録番号</t>
    <phoneticPr fontId="13"/>
  </si>
  <si>
    <t>ザカート</t>
  </si>
  <si>
    <t>ザカート ファイル番号</t>
  </si>
  <si>
    <t>事業活動の説明:</t>
    <phoneticPr fontId="13"/>
  </si>
  <si>
    <t>事業活動:</t>
    <phoneticPr fontId="13"/>
  </si>
  <si>
    <t>金税</t>
    <rPh sb="0" eb="1">
      <t>カネ</t>
    </rPh>
    <rPh sb="1" eb="2">
      <t>ゼイ</t>
    </rPh>
    <phoneticPr fontId="13"/>
  </si>
  <si>
    <t>VAT 登録タイプ</t>
    <phoneticPr fontId="13"/>
  </si>
  <si>
    <t>税金 1099</t>
    <phoneticPr fontId="13"/>
  </si>
  <si>
    <t>連邦税 ID</t>
    <phoneticPr fontId="13"/>
  </si>
  <si>
    <t>Tax 1099 データ形式の検証</t>
  </si>
  <si>
    <t>DBA</t>
    <phoneticPr fontId="13"/>
  </si>
  <si>
    <t>名前コントロール</t>
  </si>
  <si>
    <t>TCC</t>
    <phoneticPr fontId="13"/>
  </si>
  <si>
    <t>最終提出インジケーター</t>
  </si>
  <si>
    <t>連邦税/州税の一括提出者</t>
    <phoneticPr fontId="13"/>
  </si>
  <si>
    <t>国外エンティティ インジケーター</t>
  </si>
  <si>
    <t>1099 支払に使用される銀行口座</t>
    <phoneticPr fontId="13"/>
  </si>
  <si>
    <t>税金情報</t>
    <rPh sb="0" eb="2">
      <t>ゼイキン</t>
    </rPh>
    <rPh sb="2" eb="4">
      <t>ジョウホウ</t>
    </rPh>
    <phoneticPr fontId="13"/>
  </si>
  <si>
    <t>PAN 情報</t>
    <phoneticPr fontId="13"/>
  </si>
  <si>
    <t>ステータス</t>
  </si>
  <si>
    <t>PAN (Permanent Account Number)</t>
    <phoneticPr fontId="13"/>
  </si>
  <si>
    <t>課税担当者番号</t>
    <phoneticPr fontId="13"/>
  </si>
  <si>
    <t>サークル番号</t>
  </si>
  <si>
    <t>区番号</t>
    <phoneticPr fontId="13"/>
  </si>
  <si>
    <t>源泉徴収税</t>
    <phoneticPr fontId="13"/>
  </si>
  <si>
    <t>控除担当者のタイプ</t>
    <phoneticPr fontId="13"/>
  </si>
  <si>
    <t>出納勘定オフィス (PAO) コード</t>
  </si>
  <si>
    <t>引出出金担当者 (DDO) コード</t>
  </si>
  <si>
    <t>PAO 登録番号</t>
    <phoneticPr fontId="13"/>
  </si>
  <si>
    <t>DDO 登録番号</t>
    <phoneticPr fontId="13"/>
  </si>
  <si>
    <t>官庁詳細</t>
    <phoneticPr fontId="13"/>
  </si>
  <si>
    <t>官庁コード</t>
  </si>
  <si>
    <t>官庁名</t>
    <phoneticPr fontId="13"/>
  </si>
  <si>
    <t>都道府県コード</t>
  </si>
  <si>
    <t>一般</t>
    <rPh sb="0" eb="2">
      <t>イッパン</t>
    </rPh>
    <phoneticPr fontId="21"/>
  </si>
  <si>
    <t>連絡先情報</t>
    <rPh sb="0" eb="2">
      <t>レンラク</t>
    </rPh>
    <rPh sb="2" eb="3">
      <t>サキ</t>
    </rPh>
    <rPh sb="3" eb="5">
      <t>ジョウホウ</t>
    </rPh>
    <phoneticPr fontId="13"/>
  </si>
  <si>
    <t>地域（システム定義）</t>
    <rPh sb="0" eb="2">
      <t>チイキ</t>
    </rPh>
    <phoneticPr fontId="13"/>
  </si>
  <si>
    <t>活動番号</t>
  </si>
  <si>
    <t>チェック無</t>
    <rPh sb="4" eb="5">
      <t>ナシ</t>
    </rPh>
    <phoneticPr fontId="13"/>
  </si>
  <si>
    <t>連絡先 ID</t>
  </si>
  <si>
    <t>システム ID</t>
  </si>
  <si>
    <t>要素番号</t>
  </si>
  <si>
    <t>階層 ID</t>
  </si>
  <si>
    <t>組織管理＞グローバルアドレス帳＞グローバルアドレス帳パラメーター</t>
  </si>
  <si>
    <t>関係者レコードの既定値および設定を定義
関係者レコードの既定値および設定の選択</t>
  </si>
  <si>
    <t>既定のパラメーター</t>
    <rPh sb="0" eb="2">
      <t>キテイ</t>
    </rPh>
    <phoneticPr fontId="13"/>
  </si>
  <si>
    <t>名前の順序</t>
    <rPh sb="0" eb="2">
      <t>ナマエ</t>
    </rPh>
    <rPh sb="3" eb="5">
      <t>ジュンジョ</t>
    </rPh>
    <phoneticPr fontId="13"/>
  </si>
  <si>
    <t>FirstLast
FirstLastMiddle
FirstMiddleLast
LastCommaFirst
LastCommaFirstMiddle
LastFast
LastFirstMiddle
LastMiddleFirst
LastSpaceFirst</t>
  </si>
  <si>
    <t>FirstMiddleLast</t>
    <phoneticPr fontId="13"/>
  </si>
  <si>
    <t>関係者情報</t>
    <rPh sb="0" eb="3">
      <t>カンケイシャ</t>
    </rPh>
    <rPh sb="3" eb="5">
      <t>ジョウホウ</t>
    </rPh>
    <phoneticPr fontId="13"/>
  </si>
  <si>
    <t>ロールのない関係者の削除</t>
    <rPh sb="6" eb="8">
      <t>カンケイ</t>
    </rPh>
    <rPh sb="8" eb="9">
      <t>シャ</t>
    </rPh>
    <rPh sb="10" eb="12">
      <t>サクジョ</t>
    </rPh>
    <phoneticPr fontId="13"/>
  </si>
  <si>
    <t>重複チェックを使用</t>
    <rPh sb="0" eb="2">
      <t>ジュウフク</t>
    </rPh>
    <rPh sb="7" eb="9">
      <t>シヨウ</t>
    </rPh>
    <phoneticPr fontId="13"/>
  </si>
  <si>
    <t>新しいレコードの作成時にアドレス帳の重複レコードを検索します。</t>
  </si>
  <si>
    <t>はい</t>
    <phoneticPr fontId="13"/>
  </si>
  <si>
    <t>DUNS情報</t>
    <rPh sb="4" eb="6">
      <t>ジョウホウ</t>
    </rPh>
    <phoneticPr fontId="13"/>
  </si>
  <si>
    <t>アドレスにDUNS番号を表示</t>
    <rPh sb="9" eb="11">
      <t>バンゴウ</t>
    </rPh>
    <rPh sb="12" eb="14">
      <t>ヒョウジ</t>
    </rPh>
    <phoneticPr fontId="13"/>
  </si>
  <si>
    <t>固有のDUNS番号の確認</t>
    <rPh sb="0" eb="2">
      <t>コユウ</t>
    </rPh>
    <rPh sb="7" eb="9">
      <t>バンゴウ</t>
    </rPh>
    <rPh sb="10" eb="12">
      <t>カクニン</t>
    </rPh>
    <phoneticPr fontId="13"/>
  </si>
  <si>
    <t>既定のレコードタイプの選択</t>
    <rPh sb="0" eb="2">
      <t>キテイ</t>
    </rPh>
    <rPh sb="11" eb="13">
      <t>センタク</t>
    </rPh>
    <phoneticPr fontId="13"/>
  </si>
  <si>
    <t>関係者</t>
    <rPh sb="0" eb="3">
      <t>カンケイシャ</t>
    </rPh>
    <phoneticPr fontId="13"/>
  </si>
  <si>
    <t>個人
組織</t>
    <rPh sb="0" eb="2">
      <t>コジン</t>
    </rPh>
    <rPh sb="3" eb="5">
      <t>ソシキ</t>
    </rPh>
    <phoneticPr fontId="13"/>
  </si>
  <si>
    <t>組織</t>
    <rPh sb="0" eb="2">
      <t>ソシキ</t>
    </rPh>
    <phoneticPr fontId="13"/>
  </si>
  <si>
    <t>外部管理フィールド</t>
    <rPh sb="0" eb="2">
      <t>ガイブ</t>
    </rPh>
    <rPh sb="2" eb="4">
      <t>カンリ</t>
    </rPh>
    <phoneticPr fontId="13"/>
  </si>
  <si>
    <t>外部管理フィールドの編集を有効化</t>
    <rPh sb="0" eb="2">
      <t>ガイブ</t>
    </rPh>
    <rPh sb="2" eb="4">
      <t>カンリ</t>
    </rPh>
    <rPh sb="10" eb="12">
      <t>ヘンシュウ</t>
    </rPh>
    <rPh sb="13" eb="16">
      <t>ユウコウカ</t>
    </rPh>
    <phoneticPr fontId="13"/>
  </si>
  <si>
    <t>このパラメーターを使用して、外部管理フィールドを編集できます。統合シナリオにおいて、このような値は外部システムで管理されることが見込まれるため、グローバル アドレス帳は外部管理としてマークされます。</t>
  </si>
  <si>
    <t>エンティティの既定のレコードタイプを選択</t>
    <rPh sb="7" eb="9">
      <t>キテイ</t>
    </rPh>
    <rPh sb="18" eb="20">
      <t>センタク</t>
    </rPh>
    <phoneticPr fontId="13"/>
  </si>
  <si>
    <t>顧客</t>
    <rPh sb="0" eb="2">
      <t>コキャク</t>
    </rPh>
    <phoneticPr fontId="13"/>
  </si>
  <si>
    <t>仕入先</t>
    <rPh sb="0" eb="3">
      <t>シイレサキ</t>
    </rPh>
    <phoneticPr fontId="13"/>
  </si>
  <si>
    <t>見込顧客</t>
    <rPh sb="0" eb="2">
      <t>ミコミ</t>
    </rPh>
    <rPh sb="2" eb="4">
      <t>コキャク</t>
    </rPh>
    <phoneticPr fontId="13"/>
  </si>
  <si>
    <t>競合他社</t>
    <rPh sb="0" eb="2">
      <t>キョウゴウ</t>
    </rPh>
    <rPh sb="2" eb="4">
      <t>タシャ</t>
    </rPh>
    <phoneticPr fontId="13"/>
  </si>
  <si>
    <t>プライベートな場所のセキュリティ</t>
    <rPh sb="7" eb="9">
      <t>バショ</t>
    </rPh>
    <phoneticPr fontId="13"/>
  </si>
  <si>
    <t>利用可能なロール</t>
    <rPh sb="0" eb="2">
      <t>リヨウ</t>
    </rPh>
    <rPh sb="2" eb="4">
      <t>カノウ</t>
    </rPh>
    <phoneticPr fontId="13"/>
  </si>
  <si>
    <t>「利用可能なロール」から「選択されたロール」へ項目を移動可能。逆に「選択されたロール」から「利用可能なロール」への移動も可能。</t>
    <rPh sb="1" eb="3">
      <t>リヨウ</t>
    </rPh>
    <rPh sb="3" eb="5">
      <t>カノウ</t>
    </rPh>
    <rPh sb="13" eb="15">
      <t>センタク</t>
    </rPh>
    <rPh sb="23" eb="25">
      <t>コウモク</t>
    </rPh>
    <rPh sb="26" eb="28">
      <t>イドウ</t>
    </rPh>
    <rPh sb="28" eb="30">
      <t>カノウ</t>
    </rPh>
    <rPh sb="31" eb="32">
      <t>ギャク</t>
    </rPh>
    <rPh sb="34" eb="36">
      <t>センタク</t>
    </rPh>
    <rPh sb="46" eb="48">
      <t>リヨウ</t>
    </rPh>
    <rPh sb="48" eb="50">
      <t>カノウ</t>
    </rPh>
    <rPh sb="57" eb="59">
      <t>イドウ</t>
    </rPh>
    <rPh sb="60" eb="62">
      <t>カノウ</t>
    </rPh>
    <phoneticPr fontId="13"/>
  </si>
  <si>
    <t>選択されたロール</t>
    <rPh sb="0" eb="2">
      <t>センタク</t>
    </rPh>
    <phoneticPr fontId="13"/>
  </si>
  <si>
    <t>組織管理＞グローバルアドレス帳＞アドレス帳</t>
  </si>
  <si>
    <t>アドレス帳</t>
    <rPh sb="4" eb="5">
      <t>チョウ</t>
    </rPh>
    <phoneticPr fontId="13"/>
  </si>
  <si>
    <t>-</t>
    <phoneticPr fontId="13"/>
  </si>
  <si>
    <t>選択したアドレス帳の簡単な説明を入力または表示します。</t>
  </si>
  <si>
    <t>アドレス帳にチームを割り当てます</t>
    <rPh sb="4" eb="5">
      <t>チョウ</t>
    </rPh>
    <rPh sb="10" eb="11">
      <t>ワ</t>
    </rPh>
    <rPh sb="12" eb="13">
      <t>ア</t>
    </rPh>
    <phoneticPr fontId="13"/>
  </si>
  <si>
    <t>利用できるチーム</t>
    <rPh sb="0" eb="2">
      <t>リヨウ</t>
    </rPh>
    <phoneticPr fontId="13"/>
  </si>
  <si>
    <t>取立</t>
    <rPh sb="0" eb="2">
      <t>トリタテ</t>
    </rPh>
    <phoneticPr fontId="13"/>
  </si>
  <si>
    <t>「利用できるチーム」から「選択したチーム」へ項目を移動可能。逆に「選択されたロール」から「利用可能なロール」への移動も可能。</t>
    <rPh sb="13" eb="15">
      <t>センタク</t>
    </rPh>
    <phoneticPr fontId="13"/>
  </si>
  <si>
    <t>選択したチーム</t>
    <rPh sb="0" eb="2">
      <t>センタク</t>
    </rPh>
    <phoneticPr fontId="13"/>
  </si>
  <si>
    <t>組織管理＞グローバルアドレス帳＞名前の順序</t>
  </si>
  <si>
    <t>デフォルトでの名前の順序。新規作成可能。</t>
    <rPh sb="7" eb="9">
      <t>ナマエ</t>
    </rPh>
    <rPh sb="10" eb="12">
      <t>ジュンジョ</t>
    </rPh>
    <rPh sb="13" eb="15">
      <t>シンキ</t>
    </rPh>
    <rPh sb="15" eb="17">
      <t>サクセイ</t>
    </rPh>
    <rPh sb="17" eb="19">
      <t>カノウ</t>
    </rPh>
    <phoneticPr fontId="13"/>
  </si>
  <si>
    <t>・@SYS300037(FirstLast)
・@SYS115485(FirstLastMiddle)
・@SYS115484(FirstMiddleLast)
・@SYS300039(LastCommaFirst)
・@SYS115490(LastCommaFirstMiddle)
・@SYS300040(LastFast)
・@SYS115489(LastFirstMiddle)
・@SYS115491(LastMiddleFirst)
・@SYS300038(LastSpaceFirst)</t>
    <phoneticPr fontId="13"/>
  </si>
  <si>
    <t>デフォルトで入力されているのはシステム自動入力</t>
    <rPh sb="6" eb="8">
      <t>ニュウリョク</t>
    </rPh>
    <rPh sb="19" eb="23">
      <t>ジドウニュウリョク</t>
    </rPh>
    <phoneticPr fontId="13"/>
  </si>
  <si>
    <t>・なし
・名
・ミドルネーム
・姓の接頭語
・呼称</t>
    <rPh sb="5" eb="6">
      <t>ナ</t>
    </rPh>
    <rPh sb="16" eb="17">
      <t>セイ</t>
    </rPh>
    <rPh sb="18" eb="21">
      <t>セットウゴ</t>
    </rPh>
    <rPh sb="23" eb="25">
      <t>コショウ</t>
    </rPh>
    <phoneticPr fontId="13"/>
  </si>
  <si>
    <t>名前の順序の種類によってデフォルト値は異なる。</t>
    <rPh sb="0" eb="2">
      <t>ナマエ</t>
    </rPh>
    <rPh sb="3" eb="5">
      <t>ジュンジョ</t>
    </rPh>
    <rPh sb="6" eb="8">
      <t>シュルイ</t>
    </rPh>
    <rPh sb="17" eb="18">
      <t>チ</t>
    </rPh>
    <rPh sb="19" eb="20">
      <t>コト</t>
    </rPh>
    <phoneticPr fontId="13"/>
  </si>
  <si>
    <t>区切り</t>
    <rPh sb="0" eb="2">
      <t>クギ</t>
    </rPh>
    <phoneticPr fontId="13"/>
  </si>
  <si>
    <t>・なし
・ミドルネーム
・姓の接頭語
・呼称</t>
    <rPh sb="13" eb="14">
      <t>セイ</t>
    </rPh>
    <rPh sb="15" eb="18">
      <t>セットウゴ</t>
    </rPh>
    <rPh sb="20" eb="22">
      <t>コショウ</t>
    </rPh>
    <phoneticPr fontId="13"/>
  </si>
  <si>
    <t>文字列
or
・なし
・姓の接頭辞
・呼称</t>
    <rPh sb="0" eb="3">
      <t>モジレツ</t>
    </rPh>
    <rPh sb="12" eb="13">
      <t>セイ</t>
    </rPh>
    <rPh sb="14" eb="17">
      <t>セットウジ</t>
    </rPh>
    <rPh sb="19" eb="21">
      <t>コショウ</t>
    </rPh>
    <phoneticPr fontId="13"/>
  </si>
  <si>
    <t>プレビュー</t>
  </si>
  <si>
    <t>設定値のプレビューがここに表示される</t>
    <rPh sb="0" eb="3">
      <t>セッテイチ</t>
    </rPh>
    <rPh sb="13" eb="15">
      <t>ヒョウジ</t>
    </rPh>
    <phoneticPr fontId="13"/>
  </si>
  <si>
    <t>※1~9はデフォルトの設定</t>
    <rPh sb="11" eb="13">
      <t>セッテイ</t>
    </rPh>
    <phoneticPr fontId="13"/>
  </si>
  <si>
    <t>（システム自動入力）</t>
    <rPh sb="5" eb="7">
      <t>ジドウ</t>
    </rPh>
    <rPh sb="7" eb="9">
      <t>ニュウリョク</t>
    </rPh>
    <phoneticPr fontId="13"/>
  </si>
  <si>
    <t>FirstLast</t>
  </si>
  <si>
    <t>FirstLastMiddle</t>
  </si>
  <si>
    <t>FirstMiddleLast</t>
  </si>
  <si>
    <t>LastCommaFirst</t>
  </si>
  <si>
    <t>LastCommaFirstMiddle</t>
  </si>
  <si>
    <t>LastFirst</t>
  </si>
  <si>
    <t>LastFirstMiddle</t>
  </si>
  <si>
    <t>LastMiddleFirst</t>
  </si>
  <si>
    <t>LastSpaceFirst</t>
  </si>
  <si>
    <t>組織管理＞グローバルアドレス帳＞住所と連絡先情報の目的</t>
  </si>
  <si>
    <t>Organisation administration &gt; Global address book &gt; Address and contact information purpose</t>
    <phoneticPr fontId="13"/>
  </si>
  <si>
    <t>住所と連作先情報の目的</t>
    <rPh sb="0" eb="2">
      <t>ジュウショ</t>
    </rPh>
    <rPh sb="3" eb="5">
      <t>レンサク</t>
    </rPh>
    <rPh sb="5" eb="6">
      <t>サキ</t>
    </rPh>
    <rPh sb="6" eb="8">
      <t>ジョウホウ</t>
    </rPh>
    <rPh sb="9" eb="11">
      <t>モクテキ</t>
    </rPh>
    <phoneticPr fontId="13"/>
  </si>
  <si>
    <t>配送先住所</t>
    <rPh sb="0" eb="2">
      <t>ハイソウ</t>
    </rPh>
    <rPh sb="2" eb="3">
      <t>サキ</t>
    </rPh>
    <rPh sb="3" eb="5">
      <t>ジュウショ</t>
    </rPh>
    <phoneticPr fontId="13"/>
  </si>
  <si>
    <t>チェック有/チェック無</t>
    <phoneticPr fontId="13"/>
  </si>
  <si>
    <t>連絡先情報</t>
    <rPh sb="0" eb="3">
      <t>レンラクサキ</t>
    </rPh>
    <rPh sb="3" eb="5">
      <t>ジョウホウ</t>
    </rPh>
    <phoneticPr fontId="13"/>
  </si>
  <si>
    <t>Business</t>
    <phoneticPr fontId="13"/>
  </si>
  <si>
    <t>業務</t>
  </si>
  <si>
    <t>チェック有</t>
  </si>
  <si>
    <t>Consignment</t>
    <phoneticPr fontId="13"/>
  </si>
  <si>
    <t>委託販売</t>
  </si>
  <si>
    <t>Delivery</t>
    <phoneticPr fontId="13"/>
  </si>
  <si>
    <t>配送</t>
  </si>
  <si>
    <t>Fixed asset</t>
  </si>
  <si>
    <t>固定資産</t>
  </si>
  <si>
    <t>Head company</t>
  </si>
  <si>
    <t>本社</t>
  </si>
  <si>
    <t>Home</t>
  </si>
  <si>
    <t>ホーム</t>
  </si>
  <si>
    <t>Invoice</t>
  </si>
  <si>
    <t>請求書</t>
  </si>
  <si>
    <t>Lading</t>
  </si>
  <si>
    <t>船荷</t>
  </si>
  <si>
    <t>One-time</t>
  </si>
  <si>
    <t>一時</t>
  </si>
  <si>
    <t>Other</t>
  </si>
  <si>
    <t>その他</t>
  </si>
  <si>
    <t>Payment</t>
  </si>
  <si>
    <t>支払</t>
  </si>
  <si>
    <t>Real location</t>
  </si>
  <si>
    <t>実際の場所</t>
  </si>
  <si>
    <t>Recruit</t>
  </si>
  <si>
    <t>採用</t>
  </si>
  <si>
    <t>Remit to</t>
  </si>
  <si>
    <t>送金先</t>
  </si>
  <si>
    <t>Service</t>
  </si>
  <si>
    <t>サービス</t>
  </si>
  <si>
    <t>SMS</t>
  </si>
  <si>
    <t>Stable organization</t>
  </si>
  <si>
    <t>安定した組織</t>
  </si>
  <si>
    <t>Statement</t>
  </si>
  <si>
    <t>ステートメント</t>
  </si>
  <si>
    <t>SWIFT</t>
  </si>
  <si>
    <t>Unlading</t>
  </si>
  <si>
    <t>船降</t>
  </si>
  <si>
    <t>なし</t>
    <phoneticPr fontId="13"/>
  </si>
  <si>
    <t>SAT code</t>
    <phoneticPr fontId="13"/>
  </si>
  <si>
    <t>追加</t>
    <rPh sb="0" eb="2">
      <t>ツイカ</t>
    </rPh>
    <phoneticPr fontId="13"/>
  </si>
  <si>
    <t>長さ</t>
    <rPh sb="0" eb="1">
      <t>ナガ</t>
    </rPh>
    <phoneticPr fontId="13"/>
  </si>
  <si>
    <t>組織管理＞組織＞組織階層</t>
    <phoneticPr fontId="16"/>
  </si>
  <si>
    <t>組織階層</t>
    <rPh sb="0" eb="2">
      <t>ソシキ</t>
    </rPh>
    <rPh sb="2" eb="4">
      <t>カイソウ</t>
    </rPh>
    <phoneticPr fontId="13"/>
  </si>
  <si>
    <t>目的の割り当て</t>
    <rPh sb="0" eb="2">
      <t>モクテキ</t>
    </rPh>
    <rPh sb="3" eb="4">
      <t>ワ</t>
    </rPh>
    <rPh sb="5" eb="6">
      <t>ア</t>
    </rPh>
    <phoneticPr fontId="13"/>
  </si>
  <si>
    <t>許可済み組織タイプ</t>
    <rPh sb="0" eb="2">
      <t>キョカ</t>
    </rPh>
    <rPh sb="2" eb="3">
      <t>ズ</t>
    </rPh>
    <rPh sb="4" eb="6">
      <t>ソシキ</t>
    </rPh>
    <phoneticPr fontId="13"/>
  </si>
  <si>
    <t>組織管理＞組織＞組織階層の目的</t>
    <phoneticPr fontId="16"/>
  </si>
  <si>
    <t>組織階層の目的</t>
    <rPh sb="0" eb="2">
      <t>ソシキ</t>
    </rPh>
    <rPh sb="2" eb="4">
      <t>カイソウ</t>
    </rPh>
    <rPh sb="5" eb="7">
      <t>モクテキ</t>
    </rPh>
    <phoneticPr fontId="13"/>
  </si>
  <si>
    <t>（システム自動入力）
・調達内部統制
・経費内部統制
・組織図
・署名権限の内部統制
・仕入先支払いの内部統制
・監査内部統制
・集中支払
・セキュリティ
・小売品揃え
・小売補充
・小売レポート
・給付金の適格性制御
・予算計画
・Retail POSの転記
・プロジェクト管理
・割増所得の生成
・配分済み注文の管理</t>
    <rPh sb="5" eb="7">
      <t>ジドウ</t>
    </rPh>
    <rPh sb="7" eb="9">
      <t>ニュウリョク</t>
    </rPh>
    <phoneticPr fontId="13"/>
  </si>
  <si>
    <t>「目的」の各項目の名前がデフォルト値として設定される</t>
    <rPh sb="1" eb="3">
      <t>モクテキ</t>
    </rPh>
    <rPh sb="5" eb="8">
      <t>カクコウモク</t>
    </rPh>
    <rPh sb="9" eb="11">
      <t>ナマエ</t>
    </rPh>
    <rPh sb="17" eb="18">
      <t>チ</t>
    </rPh>
    <rPh sb="21" eb="23">
      <t>セッテイ</t>
    </rPh>
    <phoneticPr fontId="13"/>
  </si>
  <si>
    <t>割り当て済みの階層</t>
    <rPh sb="0" eb="1">
      <t>ワ</t>
    </rPh>
    <rPh sb="2" eb="3">
      <t>ア</t>
    </rPh>
    <rPh sb="4" eb="5">
      <t>ズ</t>
    </rPh>
    <rPh sb="7" eb="9">
      <t>カイソウ</t>
    </rPh>
    <phoneticPr fontId="13"/>
  </si>
  <si>
    <t>「目的」の各項目によってデフォルト値は異なる</t>
    <rPh sb="1" eb="3">
      <t>モクテキ</t>
    </rPh>
    <rPh sb="5" eb="8">
      <t>カクコウモク</t>
    </rPh>
    <rPh sb="17" eb="18">
      <t>チ</t>
    </rPh>
    <rPh sb="19" eb="20">
      <t>コト</t>
    </rPh>
    <phoneticPr fontId="13"/>
  </si>
  <si>
    <t>割り当て済の階層</t>
    <rPh sb="0" eb="1">
      <t>ワ</t>
    </rPh>
    <rPh sb="2" eb="3">
      <t>ア</t>
    </rPh>
    <rPh sb="4" eb="5">
      <t>ズミ</t>
    </rPh>
    <rPh sb="6" eb="8">
      <t>カイソウ</t>
    </rPh>
    <phoneticPr fontId="13"/>
  </si>
  <si>
    <t>・Auto - Business Unit
・Budgeting - Departments
・Contoso Holdings
・Department
・Home - Business Unit
・Retail Stores by Business Unit
・Retail Stores by Region
・Retail Stores by Type (AW)
・Retail Stores by Type (Fabrikam)</t>
    <rPh sb="0" eb="217">
      <t>コウリ</t>
    </rPh>
    <phoneticPr fontId="13"/>
  </si>
  <si>
    <t>組織管理＞番号順序＞番号順序</t>
    <phoneticPr fontId="16"/>
  </si>
  <si>
    <t>番号順序コード</t>
    <rPh sb="0" eb="4">
      <t>バンゴウジュンジョ</t>
    </rPh>
    <phoneticPr fontId="13"/>
  </si>
  <si>
    <t>スコープパラメーター</t>
  </si>
  <si>
    <t>スコープ</t>
  </si>
  <si>
    <t>・共有
・会社
・法人
・作業単位
・会社および会計カレンダー期間
・法人および会計カレンダー期間
・作業単位のタイプ</t>
    <rPh sb="1" eb="3">
      <t>キョウユウ</t>
    </rPh>
    <rPh sb="5" eb="7">
      <t>カイシャ</t>
    </rPh>
    <rPh sb="9" eb="11">
      <t>ホウジン</t>
    </rPh>
    <rPh sb="13" eb="15">
      <t>サギョウ</t>
    </rPh>
    <rPh sb="15" eb="17">
      <t>タンイ</t>
    </rPh>
    <rPh sb="19" eb="21">
      <t>カイシャ</t>
    </rPh>
    <rPh sb="24" eb="26">
      <t>カイケイ</t>
    </rPh>
    <rPh sb="31" eb="33">
      <t>キカン</t>
    </rPh>
    <rPh sb="35" eb="37">
      <t>ホウジン</t>
    </rPh>
    <rPh sb="40" eb="42">
      <t>カイケイ</t>
    </rPh>
    <rPh sb="47" eb="49">
      <t>キカン</t>
    </rPh>
    <rPh sb="51" eb="53">
      <t>サギョウ</t>
    </rPh>
    <rPh sb="53" eb="55">
      <t>タンイ</t>
    </rPh>
    <phoneticPr fontId="13"/>
  </si>
  <si>
    <t>共有</t>
    <rPh sb="0" eb="2">
      <t>キョウユウ</t>
    </rPh>
    <phoneticPr fontId="13"/>
  </si>
  <si>
    <t>区分</t>
    <rPh sb="0" eb="2">
      <t>クブン</t>
    </rPh>
    <phoneticPr fontId="13"/>
  </si>
  <si>
    <t>・英数字
・定数</t>
    <rPh sb="1" eb="4">
      <t>エイスウジ</t>
    </rPh>
    <rPh sb="6" eb="8">
      <t>テイスウ</t>
    </rPh>
    <phoneticPr fontId="13"/>
  </si>
  <si>
    <t>英数字</t>
    <rPh sb="0" eb="3">
      <t>エイスウジ</t>
    </rPh>
    <phoneticPr fontId="13"/>
  </si>
  <si>
    <t>値</t>
    <rPh sb="0" eb="1">
      <t>アタイ</t>
    </rPh>
    <phoneticPr fontId="13"/>
  </si>
  <si>
    <t>入力不可</t>
    <rPh sb="0" eb="4">
      <t>ニュウリョクフカ</t>
    </rPh>
    <phoneticPr fontId="13"/>
  </si>
  <si>
    <t>形式</t>
    <rPh sb="0" eb="2">
      <t>ケイシキ</t>
    </rPh>
    <phoneticPr fontId="13"/>
  </si>
  <si>
    <t>区分に対して入力した情報に基づく番号順序の形式のプレビュー。番号のインクリメントの場合、番号の記号 (#) が表示されます。文字のインクリメントの場合、アンパサンド (&amp;) が表示されます。</t>
  </si>
  <si>
    <t>参照</t>
    <rPh sb="0" eb="2">
      <t>サンショウ</t>
    </rPh>
    <phoneticPr fontId="13"/>
  </si>
  <si>
    <t>領域</t>
    <rPh sb="0" eb="2">
      <t>リョウイキ</t>
    </rPh>
    <phoneticPr fontId="13"/>
  </si>
  <si>
    <t>この番号順序を使用することになる参照を選択してください。関連するドキュメントに対して同じ番号を使用するには、番号の再利用オプションを選択します。オプションを使用できない場合、選択した参照に対して番号を再利用することはできません。</t>
  </si>
  <si>
    <t>・小売り用店舗在庫パラメーター
・工順
・旅費交通費
・時刻と出金
・注文処理
・消費税支払
・生産
・生産管理
・税申告
・管理
・組織
・給与
・署名活動
・製品コンプライアンス
・警告
・販売
・販売とマーケティング
・買掛金管理
・購買
・輸送管理
・部品表
・銀行</t>
    <rPh sb="1" eb="3">
      <t>コウ</t>
    </rPh>
    <rPh sb="4" eb="5">
      <t>ヨウ</t>
    </rPh>
    <rPh sb="5" eb="7">
      <t>テンポ</t>
    </rPh>
    <rPh sb="7" eb="9">
      <t>ザイコ</t>
    </rPh>
    <rPh sb="17" eb="19">
      <t>コウジュン</t>
    </rPh>
    <rPh sb="21" eb="23">
      <t>リョヒ</t>
    </rPh>
    <rPh sb="23" eb="26">
      <t>コウツウヒ</t>
    </rPh>
    <rPh sb="28" eb="30">
      <t>ジコク</t>
    </rPh>
    <rPh sb="31" eb="33">
      <t>シュッキン</t>
    </rPh>
    <rPh sb="35" eb="37">
      <t>チュウモン</t>
    </rPh>
    <rPh sb="37" eb="39">
      <t>ショリ</t>
    </rPh>
    <rPh sb="41" eb="44">
      <t>ショウヒゼイ</t>
    </rPh>
    <rPh sb="44" eb="46">
      <t>シハライ</t>
    </rPh>
    <rPh sb="48" eb="50">
      <t>セイサン</t>
    </rPh>
    <rPh sb="52" eb="54">
      <t>セイサン</t>
    </rPh>
    <rPh sb="54" eb="56">
      <t>カンリ</t>
    </rPh>
    <rPh sb="58" eb="59">
      <t>ゼイ</t>
    </rPh>
    <rPh sb="59" eb="61">
      <t>シンコク</t>
    </rPh>
    <rPh sb="63" eb="65">
      <t>カンリ</t>
    </rPh>
    <rPh sb="67" eb="69">
      <t>ソシキ</t>
    </rPh>
    <rPh sb="71" eb="73">
      <t>キュウヨ</t>
    </rPh>
    <rPh sb="75" eb="77">
      <t>ショメイ</t>
    </rPh>
    <rPh sb="77" eb="79">
      <t>カツドウ</t>
    </rPh>
    <rPh sb="81" eb="83">
      <t>セイヒン</t>
    </rPh>
    <rPh sb="93" eb="95">
      <t>ケイコク</t>
    </rPh>
    <rPh sb="97" eb="99">
      <t>ハンバイ</t>
    </rPh>
    <rPh sb="101" eb="103">
      <t>ハンバイ</t>
    </rPh>
    <rPh sb="113" eb="116">
      <t>カイカケキン</t>
    </rPh>
    <rPh sb="116" eb="118">
      <t>カンリ</t>
    </rPh>
    <rPh sb="120" eb="122">
      <t>コウバイ</t>
    </rPh>
    <rPh sb="124" eb="126">
      <t>ユソウ</t>
    </rPh>
    <rPh sb="126" eb="128">
      <t>カンリ</t>
    </rPh>
    <rPh sb="130" eb="132">
      <t>ブヒン</t>
    </rPh>
    <rPh sb="132" eb="133">
      <t>ヒョウ</t>
    </rPh>
    <rPh sb="135" eb="137">
      <t>ギンコウ</t>
    </rPh>
    <phoneticPr fontId="13"/>
  </si>
  <si>
    <t>番号を再利用</t>
    <rPh sb="0" eb="2">
      <t>バンゴウ</t>
    </rPh>
    <rPh sb="3" eb="6">
      <t>サイリヨウ</t>
    </rPh>
    <phoneticPr fontId="13"/>
  </si>
  <si>
    <t>同じ番号の利用元</t>
    <rPh sb="0" eb="1">
      <t>オナ</t>
    </rPh>
    <rPh sb="2" eb="4">
      <t>バンゴウ</t>
    </rPh>
    <rPh sb="5" eb="7">
      <t>リヨウ</t>
    </rPh>
    <rPh sb="7" eb="8">
      <t>モト</t>
    </rPh>
    <phoneticPr fontId="13"/>
  </si>
  <si>
    <t>入力不可</t>
    <rPh sb="0" eb="2">
      <t>ニュウリョク</t>
    </rPh>
    <rPh sb="2" eb="4">
      <t>フカ</t>
    </rPh>
    <phoneticPr fontId="13"/>
  </si>
  <si>
    <t>設定</t>
    <rPh sb="0" eb="2">
      <t>セッテイ</t>
    </rPh>
    <phoneticPr fontId="13"/>
  </si>
  <si>
    <t>使用中</t>
    <rPh sb="0" eb="3">
      <t>シヨウチュウ</t>
    </rPh>
    <phoneticPr fontId="13"/>
  </si>
  <si>
    <t>停止済</t>
    <rPh sb="0" eb="2">
      <t>テイシ</t>
    </rPh>
    <rPh sb="2" eb="3">
      <t>ズ</t>
    </rPh>
    <phoneticPr fontId="13"/>
  </si>
  <si>
    <t>手動</t>
    <rPh sb="0" eb="2">
      <t>シュドウ</t>
    </rPh>
    <phoneticPr fontId="13"/>
  </si>
  <si>
    <t>継続</t>
    <rPh sb="0" eb="2">
      <t>ケイゾク</t>
    </rPh>
    <phoneticPr fontId="13"/>
  </si>
  <si>
    <t>ユーザーによる変更の許可</t>
    <rPh sb="7" eb="9">
      <t>ヘンコウ</t>
    </rPh>
    <rPh sb="10" eb="12">
      <t>キョカ</t>
    </rPh>
    <phoneticPr fontId="13"/>
  </si>
  <si>
    <t>より小さい番号へ</t>
    <rPh sb="2" eb="3">
      <t>チイ</t>
    </rPh>
    <rPh sb="5" eb="7">
      <t>バンゴウ</t>
    </rPh>
    <phoneticPr fontId="13"/>
  </si>
  <si>
    <t>より大きい場号へ</t>
    <rPh sb="2" eb="3">
      <t>オオ</t>
    </rPh>
    <rPh sb="5" eb="6">
      <t>バ</t>
    </rPh>
    <rPh sb="6" eb="7">
      <t>ゴウ</t>
    </rPh>
    <phoneticPr fontId="13"/>
  </si>
  <si>
    <t>番号の割り当て</t>
    <rPh sb="0" eb="2">
      <t>バンゴウ</t>
    </rPh>
    <rPh sb="3" eb="4">
      <t>ワ</t>
    </rPh>
    <rPh sb="5" eb="6">
      <t>ア</t>
    </rPh>
    <phoneticPr fontId="13"/>
  </si>
  <si>
    <t>最小</t>
    <rPh sb="0" eb="2">
      <t>サイショウ</t>
    </rPh>
    <phoneticPr fontId="13"/>
  </si>
  <si>
    <t>最大</t>
    <rPh sb="0" eb="2">
      <t>サイダイ</t>
    </rPh>
    <phoneticPr fontId="13"/>
  </si>
  <si>
    <t>次</t>
    <rPh sb="0" eb="1">
      <t>ツギ</t>
    </rPh>
    <phoneticPr fontId="13"/>
  </si>
  <si>
    <t>パフォーマンス</t>
  </si>
  <si>
    <t>多くの場合、番号順序が連続的でなければならないという特定の要件はありません。これは、データベースのデータを関連付けることだけを目的とするシステム キーに使用されるすべての番号順序に当てはまります。[連続] チェック ボックスをオンにしていない場合は、[事前割り当て] オプションを有効にできます。事前割り当てを行う番号の数 (10 個など) を指定する必要があります。システムにより一度に 10 個の番号が自動的に選択され、コンピューターのメモリに格納されます。つまり、コンピューター側では、番号が 10 回要求されるたびに、データベースから新しい番号の組み合わせを 1 つ選択することになります。この機能は、システムの全体的な速度向上のために非常に重要です。これは、データベースから番号を選択する処理には、コンピューターのメモリから番号を選択する処理に比べて大幅に時間がかかるからです。</t>
  </si>
  <si>
    <t>事前割り当て有効化</t>
    <rPh sb="0" eb="3">
      <t>ジゼンワ</t>
    </rPh>
    <rPh sb="4" eb="5">
      <t>ア</t>
    </rPh>
    <rPh sb="6" eb="9">
      <t>ユウコウカ</t>
    </rPh>
    <phoneticPr fontId="13"/>
  </si>
  <si>
    <t>事前割り当て</t>
    <rPh sb="0" eb="2">
      <t>ジゼン</t>
    </rPh>
    <rPh sb="2" eb="3">
      <t>ワ</t>
    </rPh>
    <rPh sb="4" eb="5">
      <t>ア</t>
    </rPh>
    <phoneticPr fontId="13"/>
  </si>
  <si>
    <t>割り当てられた番号</t>
    <rPh sb="0" eb="1">
      <t>ワ</t>
    </rPh>
    <rPh sb="2" eb="3">
      <t>ア</t>
    </rPh>
    <rPh sb="7" eb="9">
      <t>バンゴウ</t>
    </rPh>
    <phoneticPr fontId="13"/>
  </si>
  <si>
    <t>番号の数量</t>
    <rPh sb="0" eb="2">
      <t>バンゴウ</t>
    </rPh>
    <rPh sb="3" eb="5">
      <t>スウリョウ</t>
    </rPh>
    <phoneticPr fontId="13"/>
  </si>
  <si>
    <t>自動採番する際に設定が必要</t>
    <rPh sb="0" eb="2">
      <t>ジドウ</t>
    </rPh>
    <rPh sb="2" eb="4">
      <t>サイバン</t>
    </rPh>
    <rPh sb="6" eb="7">
      <t>サイ</t>
    </rPh>
    <rPh sb="8" eb="10">
      <t>セッテイ</t>
    </rPh>
    <rPh sb="11" eb="13">
      <t>ヒツヨウ</t>
    </rPh>
    <phoneticPr fontId="13"/>
  </si>
  <si>
    <t>他のパラメータ設定で自動反映されるので、入力不要</t>
    <rPh sb="0" eb="1">
      <t>ホカ</t>
    </rPh>
    <rPh sb="7" eb="9">
      <t>セッテイ</t>
    </rPh>
    <rPh sb="10" eb="12">
      <t>ジドウ</t>
    </rPh>
    <rPh sb="12" eb="14">
      <t>ハンエイ</t>
    </rPh>
    <rPh sb="20" eb="22">
      <t>ニュウリョク</t>
    </rPh>
    <rPh sb="22" eb="24">
      <t>フヨウ</t>
    </rPh>
    <phoneticPr fontId="13"/>
  </si>
  <si>
    <t>使用中となったら自動反映のため入力不要</t>
    <rPh sb="0" eb="2">
      <t>シヨウ</t>
    </rPh>
    <rPh sb="2" eb="3">
      <t>チュウ</t>
    </rPh>
    <rPh sb="8" eb="10">
      <t>ジドウ</t>
    </rPh>
    <rPh sb="10" eb="12">
      <t>ハンエイ</t>
    </rPh>
    <rPh sb="15" eb="17">
      <t>ニュウリョク</t>
    </rPh>
    <rPh sb="17" eb="19">
      <t>フヨウ</t>
    </rPh>
    <phoneticPr fontId="13"/>
  </si>
  <si>
    <t>事前割り当ての有効化</t>
    <rPh sb="0" eb="3">
      <t>ジゼンワ</t>
    </rPh>
    <rPh sb="4" eb="5">
      <t>ア</t>
    </rPh>
    <rPh sb="7" eb="10">
      <t>ユウコウカ</t>
    </rPh>
    <phoneticPr fontId="13"/>
  </si>
  <si>
    <t>番号順序コード</t>
    <rPh sb="0" eb="2">
      <t>バンゴウ</t>
    </rPh>
    <rPh sb="2" eb="4">
      <t>ジュンジョ</t>
    </rPh>
    <phoneticPr fontId="13"/>
  </si>
  <si>
    <t>参照　</t>
    <rPh sb="0" eb="2">
      <t>サンショウ</t>
    </rPh>
    <phoneticPr fontId="13"/>
  </si>
  <si>
    <t>同じ番号の利用元</t>
    <rPh sb="0" eb="1">
      <t>オナ</t>
    </rPh>
    <rPh sb="2" eb="4">
      <t>バンゴウ</t>
    </rPh>
    <rPh sb="5" eb="8">
      <t>リヨウモト</t>
    </rPh>
    <phoneticPr fontId="13"/>
  </si>
  <si>
    <t>より大きい番号へ</t>
    <rPh sb="2" eb="3">
      <t>オオ</t>
    </rPh>
    <rPh sb="5" eb="7">
      <t>バンゴウ</t>
    </rPh>
    <phoneticPr fontId="13"/>
  </si>
  <si>
    <t>事前割り当て</t>
    <rPh sb="0" eb="3">
      <t>ジゼンワ</t>
    </rPh>
    <rPh sb="4" eb="5">
      <t>ア</t>
    </rPh>
    <phoneticPr fontId="13"/>
  </si>
  <si>
    <t>英数字/区分</t>
    <rPh sb="0" eb="3">
      <t>エイスウジ</t>
    </rPh>
    <rPh sb="4" eb="6">
      <t>クブン</t>
    </rPh>
    <phoneticPr fontId="13"/>
  </si>
  <si>
    <t>自動入力</t>
    <rPh sb="0" eb="2">
      <t>ジドウ</t>
    </rPh>
    <rPh sb="2" eb="4">
      <t>ニュウリョク</t>
    </rPh>
    <phoneticPr fontId="13"/>
  </si>
  <si>
    <t>数値
(許容範囲:2147483647)</t>
    <rPh sb="0" eb="2">
      <t>スウチ</t>
    </rPh>
    <rPh sb="4" eb="8">
      <t>キョヨウハンイ</t>
    </rPh>
    <phoneticPr fontId="13"/>
  </si>
  <si>
    <t>場所</t>
    <rPh sb="0" eb="2">
      <t>バショ</t>
    </rPh>
    <phoneticPr fontId="13"/>
  </si>
  <si>
    <t>グループ</t>
  </si>
  <si>
    <t>カテゴリ</t>
    <phoneticPr fontId="13"/>
  </si>
  <si>
    <t>標準</t>
    <rPh sb="0" eb="2">
      <t>ヒョウジュン</t>
    </rPh>
    <phoneticPr fontId="13"/>
  </si>
  <si>
    <t>なし</t>
  </si>
  <si>
    <t>法人</t>
    <rPh sb="0" eb="2">
      <t>ホウジン</t>
    </rPh>
    <phoneticPr fontId="13"/>
  </si>
  <si>
    <t>作業単位のタイプ</t>
    <rPh sb="0" eb="4">
      <t>サギョウタンイ</t>
    </rPh>
    <phoneticPr fontId="13"/>
  </si>
  <si>
    <t>ミドルネーム</t>
  </si>
  <si>
    <t>カテゴリ</t>
  </si>
  <si>
    <t>インスタントメッセージ</t>
    <phoneticPr fontId="13"/>
  </si>
  <si>
    <t>国地域（システム定義）</t>
    <rPh sb="0" eb="3">
      <t>クニチイキ</t>
    </rPh>
    <rPh sb="8" eb="10">
      <t>テイギ</t>
    </rPh>
    <phoneticPr fontId="13"/>
  </si>
  <si>
    <t>法人共通/個別</t>
    <rPh sb="0" eb="4">
      <t>ホウジンキョウツウ</t>
    </rPh>
    <rPh sb="5" eb="7">
      <t>コベツ</t>
    </rPh>
    <phoneticPr fontId="13"/>
  </si>
  <si>
    <t>共通</t>
  </si>
  <si>
    <t>会計カレンダー</t>
    <rPh sb="0" eb="2">
      <t>カイケイ</t>
    </rPh>
    <phoneticPr fontId="13"/>
  </si>
  <si>
    <t>会計暦年</t>
    <rPh sb="0" eb="2">
      <t>カイケイ</t>
    </rPh>
    <rPh sb="2" eb="4">
      <t>レキネン</t>
    </rPh>
    <phoneticPr fontId="13"/>
  </si>
  <si>
    <t>会計カレンダー期間</t>
    <phoneticPr fontId="13"/>
  </si>
  <si>
    <t>番号順序が使用されている会計カレンダーに基づいて番号順序の一覧をフィルタ処理します。このオプションは、[会計カレンダー期間] を含む範囲がある参照でのみ使用できます。</t>
    <phoneticPr fontId="13"/>
  </si>
  <si>
    <t>番号順序が使用されている会計暦年に基づいて番号順序の一覧をフィルタ処理します。このオプションは、[会計カレンダー期間] を含む範囲がある参照でのみ使用できます。</t>
    <phoneticPr fontId="13"/>
  </si>
  <si>
    <t>番号順序が使用されている会計カレンダー期間に基づいて番号順序の一覧をフィルタ処理します。このオプションは、[会計カレンダー期間] を含む範囲がある参照でのみ使用できます。</t>
    <phoneticPr fontId="13"/>
  </si>
  <si>
    <t>作業単位</t>
    <rPh sb="0" eb="4">
      <t>サギョウタンイ</t>
    </rPh>
    <phoneticPr fontId="13"/>
  </si>
  <si>
    <t>[スコープ] が「作業単位」の時のみ選択可能。</t>
    <rPh sb="9" eb="13">
      <t>サギョウタンイ</t>
    </rPh>
    <rPh sb="15" eb="16">
      <t>トキ</t>
    </rPh>
    <rPh sb="18" eb="22">
      <t>センタクカノウ</t>
    </rPh>
    <phoneticPr fontId="13"/>
  </si>
  <si>
    <t>[スコープ] が「会社」「会社および会計カレンダー期間」の時のみ選択可能。</t>
    <rPh sb="9" eb="11">
      <t>カイシャ</t>
    </rPh>
    <rPh sb="29" eb="30">
      <t>トキ</t>
    </rPh>
    <rPh sb="32" eb="36">
      <t>センタクカノウ</t>
    </rPh>
    <phoneticPr fontId="13"/>
  </si>
  <si>
    <t>[スコープ] が「法人」「法人および会計カレンダー期間」の時のみ選択可能。</t>
    <rPh sb="9" eb="11">
      <t>ホウジン</t>
    </rPh>
    <rPh sb="29" eb="30">
      <t>トキ</t>
    </rPh>
    <rPh sb="32" eb="36">
      <t>センタクカノウ</t>
    </rPh>
    <phoneticPr fontId="13"/>
  </si>
  <si>
    <t>・なし
・部門
・原価部門
・バリューストーム
・事業単位
・小売チャネル</t>
    <rPh sb="5" eb="7">
      <t>ブモン</t>
    </rPh>
    <rPh sb="9" eb="13">
      <t>ゲンカブモン</t>
    </rPh>
    <rPh sb="25" eb="29">
      <t>ジギョウタンイ</t>
    </rPh>
    <rPh sb="31" eb="33">
      <t>コウリ</t>
    </rPh>
    <phoneticPr fontId="13"/>
  </si>
  <si>
    <t>[スコープ] が「作業単位のタイプ」の時のみ選択可能。</t>
    <rPh sb="9" eb="11">
      <t>サギョウ</t>
    </rPh>
    <rPh sb="11" eb="13">
      <t>タンイ</t>
    </rPh>
    <rPh sb="19" eb="20">
      <t>トキ</t>
    </rPh>
    <rPh sb="22" eb="26">
      <t>センタクカノウ</t>
    </rPh>
    <phoneticPr fontId="13"/>
  </si>
  <si>
    <t>[スコープ] が「会社および会計カレンダー期間」「法人および会計カレンダー期間」の時のみ選択可能。</t>
    <rPh sb="9" eb="11">
      <t>カイシャ</t>
    </rPh>
    <rPh sb="14" eb="16">
      <t>カイケイ</t>
    </rPh>
    <rPh sb="21" eb="23">
      <t>キカン</t>
    </rPh>
    <rPh sb="41" eb="42">
      <t>トキ</t>
    </rPh>
    <rPh sb="44" eb="48">
      <t>センタクカノウ</t>
    </rPh>
    <phoneticPr fontId="13"/>
  </si>
  <si>
    <t>会計暦年</t>
    <phoneticPr fontId="13"/>
  </si>
  <si>
    <t>作業単位のタイプ</t>
    <phoneticPr fontId="13"/>
  </si>
  <si>
    <t>場所ID</t>
    <rPh sb="0" eb="2">
      <t>バショ</t>
    </rPh>
    <phoneticPr fontId="13"/>
  </si>
  <si>
    <t>文字列</t>
  </si>
  <si>
    <t>業務
委託販売
配送
固定資産
本社
ホーム
請求書
船荷
その他
支払
実際の場所
採用
送金先
サービス
安定した組織
ステートメント
SWIFT
船降</t>
    <phoneticPr fontId="13"/>
  </si>
  <si>
    <t>名前または説明</t>
    <rPh sb="0" eb="2">
      <t>ナマエ</t>
    </rPh>
    <rPh sb="5" eb="7">
      <t>セツメイ</t>
    </rPh>
    <phoneticPr fontId="13"/>
  </si>
  <si>
    <t>連絡先の電話番号/住所</t>
    <phoneticPr fontId="13"/>
  </si>
  <si>
    <t>マーケティングのオプトイン</t>
    <phoneticPr fontId="13"/>
  </si>
  <si>
    <t>この連絡先でマーケティング資料を受け取ることに関する顧客の同意を記録するには、このフィールドを [はい] に設定します。</t>
    <phoneticPr fontId="13"/>
  </si>
  <si>
    <t>初期資本</t>
    <phoneticPr fontId="13"/>
  </si>
  <si>
    <t>企業の会計通貨で、事業に投資される初期資本。</t>
    <phoneticPr fontId="13"/>
  </si>
  <si>
    <t>規制施設</t>
    <rPh sb="0" eb="4">
      <t>キセイシセツ</t>
    </rPh>
    <phoneticPr fontId="13"/>
  </si>
  <si>
    <t>Regulatory establishment</t>
  </si>
  <si>
    <t>Regulatory establishment</t>
    <phoneticPr fontId="13"/>
  </si>
  <si>
    <t>DUNS 番号</t>
  </si>
  <si>
    <t>本社</t>
    <rPh sb="0" eb="2">
      <t>ホンシャ</t>
    </rPh>
    <phoneticPr fontId="13"/>
  </si>
  <si>
    <t>NAICS</t>
  </si>
  <si>
    <t>ユニット番号</t>
    <rPh sb="4" eb="6">
      <t>バンゴウ</t>
    </rPh>
    <phoneticPr fontId="13"/>
  </si>
  <si>
    <t>雇用主 ID 番号</t>
  </si>
  <si>
    <t>雇用主 ID 番号</t>
    <phoneticPr fontId="13"/>
  </si>
  <si>
    <t>業種の説明</t>
  </si>
  <si>
    <t>業種の説明</t>
    <phoneticPr fontId="13"/>
  </si>
  <si>
    <t>Dallas
Denver
New Brunzwick
Seattle</t>
    <phoneticPr fontId="13"/>
  </si>
  <si>
    <t>文字列</t>
    <phoneticPr fontId="13"/>
  </si>
  <si>
    <t>1099 ソフトウェア仕入先</t>
    <phoneticPr fontId="13"/>
  </si>
  <si>
    <t>1099 送信者</t>
    <phoneticPr fontId="13"/>
  </si>
  <si>
    <t>Transportation permissions</t>
    <phoneticPr fontId="13"/>
  </si>
  <si>
    <t>Transportation permission ID</t>
    <phoneticPr fontId="13"/>
  </si>
  <si>
    <t>Transportation permission unique identifier</t>
    <phoneticPr fontId="13"/>
  </si>
  <si>
    <t>・調達内部統制
・経費内部統制
・組織図
・署名権限の内部統制
・仕入先支払の内部統制
・監査内部統制
・集中支払
・セキュリティ
・小売品揃え
・小売補充
・小売レポート
・給付金の適格性制御
・予算計画
・Retail POSの転記
・プロジェクト管理
・割増所得の生成
・小売自動請求
・配分済み注文の管理</t>
    <rPh sb="1" eb="3">
      <t>チョウタツ</t>
    </rPh>
    <rPh sb="3" eb="5">
      <t>ナイブ</t>
    </rPh>
    <rPh sb="5" eb="7">
      <t>トウセイ</t>
    </rPh>
    <rPh sb="9" eb="11">
      <t>ケイヒ</t>
    </rPh>
    <rPh sb="11" eb="13">
      <t>ナイブ</t>
    </rPh>
    <rPh sb="13" eb="15">
      <t>トウセイ</t>
    </rPh>
    <rPh sb="17" eb="20">
      <t>ソシキズ</t>
    </rPh>
    <rPh sb="22" eb="24">
      <t>ショメイ</t>
    </rPh>
    <rPh sb="24" eb="26">
      <t>ケンゲン</t>
    </rPh>
    <rPh sb="27" eb="29">
      <t>ナイブ</t>
    </rPh>
    <rPh sb="29" eb="31">
      <t>トウセイ</t>
    </rPh>
    <rPh sb="45" eb="47">
      <t>カンサ</t>
    </rPh>
    <rPh sb="47" eb="49">
      <t>ナイブ</t>
    </rPh>
    <rPh sb="49" eb="51">
      <t>トウセイ</t>
    </rPh>
    <rPh sb="53" eb="55">
      <t>シュウチュウ</t>
    </rPh>
    <rPh sb="55" eb="57">
      <t>シハライ</t>
    </rPh>
    <rPh sb="67" eb="69">
      <t>コウリ</t>
    </rPh>
    <rPh sb="69" eb="70">
      <t>ヒン</t>
    </rPh>
    <rPh sb="70" eb="71">
      <t>ソロ</t>
    </rPh>
    <rPh sb="74" eb="76">
      <t>コウリ</t>
    </rPh>
    <rPh sb="76" eb="78">
      <t>ホジュウ</t>
    </rPh>
    <rPh sb="80" eb="82">
      <t>コウリ</t>
    </rPh>
    <rPh sb="88" eb="91">
      <t>キュウフキン</t>
    </rPh>
    <rPh sb="92" eb="95">
      <t>テキカクセイ</t>
    </rPh>
    <rPh sb="95" eb="97">
      <t>セイギョ</t>
    </rPh>
    <rPh sb="99" eb="101">
      <t>ヨサン</t>
    </rPh>
    <rPh sb="101" eb="103">
      <t>ケイカク</t>
    </rPh>
    <rPh sb="116" eb="118">
      <t>テンキ</t>
    </rPh>
    <rPh sb="126" eb="128">
      <t>カンリ</t>
    </rPh>
    <rPh sb="130" eb="132">
      <t>ワリマシ</t>
    </rPh>
    <rPh sb="132" eb="134">
      <t>ショトク</t>
    </rPh>
    <rPh sb="135" eb="137">
      <t>セイセイ</t>
    </rPh>
    <rPh sb="147" eb="149">
      <t>ハイブン</t>
    </rPh>
    <rPh sb="149" eb="150">
      <t>ズ</t>
    </rPh>
    <rPh sb="151" eb="153">
      <t>チュウモン</t>
    </rPh>
    <rPh sb="154" eb="156">
      <t>カンリ</t>
    </rPh>
    <phoneticPr fontId="13"/>
  </si>
  <si>
    <t>・部門
・原価部門
・バリューストリーム
・事業単位
・小売チャネル
・法人</t>
    <rPh sb="1" eb="3">
      <t>ブモン</t>
    </rPh>
    <rPh sb="5" eb="7">
      <t>ゲンカ</t>
    </rPh>
    <rPh sb="7" eb="9">
      <t>ブモン</t>
    </rPh>
    <rPh sb="22" eb="24">
      <t>ジギョウ</t>
    </rPh>
    <rPh sb="24" eb="26">
      <t>タンイ</t>
    </rPh>
    <rPh sb="28" eb="30">
      <t>コウリ</t>
    </rPh>
    <rPh sb="36" eb="38">
      <t>ホウジン</t>
    </rPh>
    <phoneticPr fontId="13"/>
  </si>
  <si>
    <t>FirstLast
FirstLastMiddle
FirstMiddleLast
LastCommaFirst
LastCommaFirstMiddle
LastFast
LastFirstMiddle
LastMiddleFirst
LastSpaceFirst</t>
    <phoneticPr fontId="13"/>
  </si>
  <si>
    <t>検証フィールド</t>
    <phoneticPr fontId="13"/>
  </si>
  <si>
    <t>システムが生成したリレーションシップ</t>
    <phoneticPr fontId="13"/>
  </si>
  <si>
    <t>メールアドレス</t>
    <phoneticPr fontId="13"/>
  </si>
  <si>
    <t>システム リレーションシップを有効化する</t>
    <phoneticPr fontId="13"/>
  </si>
  <si>
    <t>このパラメーターを使用して、メール アドレス フィールドの検証を有効化または無効化できます。</t>
    <phoneticPr fontId="13"/>
  </si>
  <si>
    <t>このパラメーターを使用して、システムが生成したリレーションシップを有効化または無効化できます。</t>
    <phoneticPr fontId="13"/>
  </si>
  <si>
    <t>ロール別に個人情報へのアクセスを定義
フォームが含む個人住所と連絡先情報にアクセスできるロールをすべて選択します。これはエンティティに適用されません。エンティティはセキュリティ構成を使用して保護してください。</t>
    <rPh sb="3" eb="4">
      <t>ベツ</t>
    </rPh>
    <rPh sb="5" eb="7">
      <t>コジン</t>
    </rPh>
    <rPh sb="7" eb="9">
      <t>ジョウホウ</t>
    </rPh>
    <rPh sb="16" eb="18">
      <t>テイギ</t>
    </rPh>
    <phoneticPr fontId="13"/>
  </si>
  <si>
    <t>Applicant anonymous (external)
Auditor
Product designer
Product design manager
Budget clerk
Budget manager
Collections agent
Collections manager
Chief executive officer
Chief financial officer
Marketing coordinator
Marketing manager
Accounts receivable clerk
Accounts receivable manager
Electronic reporting developer
Electronic reporting functional consultant
Tax accountant
Guest
Contractor
Employee
FMLA administrator
Manager
Training manager
Inventory accountant
Inventory accountant clerk
Materials manager
Quality control clerk
Quality control manager
Receiving clerk
Shipping clerk
Time registration user
Machine operator
Shop supervisor
Waterspider
Accountant
Accounting manager
Accounting supervisor
Financial controller
Accounts payable centralized payments clerk
Accounts payable payments clerk
Accounts receivable centralized payments clerk
Accounts receivable payments clerk
Treasurer
Production manager
Production supervisor
Project accountant
Project assistant
Project manager
Project supervisor
Project timesheet user
Production planner
Retail catalog manager
Retail merchandising manager
Retail operations manager
Retail service
Retail store IT
Retail store manager
Retail warehouse clerk
Retail warehouse manager
Process engineer
Process engineering manager
Service dispatcher
Field service technician
Service delivery manager
BusinessConnector Role
Security administrator
Information technology manager
System user
TestEssentialsRole
Logistics manager
Transportation coordinator
Buying agent
Customer service manager
Purchasing manager
Sales clerk
Sales manager
Sales representative
Accounts payable clerk
Accounts payable manager
Purchasing agent
Purchasing Agent - Public Sector
Vendor account manager
Warehouse mobile device user
Warehouse planner
Warehouse manager
Warehouse worker
Accounts payable positive payment clerk
System document branding administrator
Vendor contact (external)
Customer service representative
Data management administrator
Data management migration user
Data management operations user
Document routing client
Maintenance mode user
Cost accounting manager
Resource manager
Tax engine developer
Tax engine functional consultant
System tracing user
Vendor admin (external)
DiagnosticsValidationRole
Office integration power user
System external user
Cost accountant
Cost accountant clerk
Cost object controller
System health ping role
Timesheet delegate user
Pending worker
Budget contributor
Cost accounting data connector service
Trial administrator
DOM administrator
Vendor prospect (external)
Runtime customization power user
Batch job manager
System report editor
SourceDocumentLineProcessingBatchRole
Electronic messages operator
Maintenance worker
Maintenance clerk
Maintenance manager
Maintenance requester
Feature viewer
Feature manager
External Workflow User
Credit management manager
Credit management clerk
Revenue recognition manager
Electronic reporting for Retail developer
Material handling manager
Electronic document clerk
Electronic document manager
Manage Country of Origin and Dual Use functionality
View Country of Origin and Dual Use functionality
Deleted documents administrator form
Saved views administrator
Maintain and update Customer payment predictions
Retail task manager
Power Automate administrator
Manager of advanced documents notes
Hazardous materials viewer
Hazardous materials manager
Customer intent letter manager
Dataverse Virtual entity integration app
Lease accountant
Lease manager
Finance Insights administrator
Manufacturing execution workload shop supervisor
Manufacturing execution workload machine operator
Scale unit management
Maintains supply chain insights (preview)
Guide Manager
Warehouse manager on workload
Hub scale unit admin
Dataverse Virtual entity authenticated user
Dataverse Virtual entity anonymous user
Expense administrator
Product engineering manager
Integration priority manager
Lease clerk
Kit manager
Kit approver
Landed cost manager
Landed cost agent
Engineering change request clerk
Product engineer
Session token extension configurator
Workload administrator
Material handling interface user
Business events viewer
Business events security role
Message service user
Subscription billing allocation user
Subscription billing deferral user
Subscription billing module user with capabilities including billing, allocation, and deferral features
Subscription billing allocation, deferral, and billing manager
Subscription billing user
Subscription billing manager
Subscription billing allocation manager
Subscription billing deferral manager
Dataverse data sync framework application role.
Recruiting application
Self-service contractor
Restrict access to workers
Self-service employee
Self-service manager
Payroll application
Dynamics Maintenance User Role
System notification administrator
IoT messaging service role
Benefits management assistant
Benefits management flex credit assistant
Benefits management eligibility processor
Monitoring and telemetry administrator
SysMonSecurityRole
Document history administrator
Leave and absence manager
ScaleUnitDataPipelineRole
Scale unit administrator
Learning integration
TrvExpTableMobileEntitySecurityRole
Provides full access to LATAM Globalization objects
View LATAM tax reporting
View Globalization LATAM entities
Maintain Globalization LATAM entities
TrvExpTransMobileV2EntitySecurityRole
TrvExpTransMobileEntitySecurityRole</t>
    <phoneticPr fontId="13"/>
  </si>
  <si>
    <t>Compensation and benefits manager
Human resource assistant
Human resource manager
Payroll administrator
Payroll manager
Recruiter</t>
    <phoneticPr fontId="13"/>
  </si>
  <si>
    <t>この住所が連絡先情報のタイプに使用される場合は、このオプションを選択します。</t>
    <phoneticPr fontId="13"/>
  </si>
  <si>
    <t>ドキュメント タイプ</t>
    <phoneticPr fontId="13"/>
  </si>
  <si>
    <t>タイプ</t>
  </si>
  <si>
    <t>ー</t>
    <phoneticPr fontId="13"/>
  </si>
  <si>
    <t>クラス</t>
  </si>
  <si>
    <t>クラス</t>
    <phoneticPr fontId="13"/>
  </si>
  <si>
    <t>グループ</t>
    <phoneticPr fontId="13"/>
  </si>
  <si>
    <t>・URL の添付
・ファイルの添付
・簡易メモ</t>
    <phoneticPr fontId="13"/>
  </si>
  <si>
    <t>ファイルの添付</t>
    <phoneticPr fontId="13"/>
  </si>
  <si>
    <t>・注記
・ファイル
・画像
・文書
・ワークシート
・URL</t>
    <rPh sb="1" eb="3">
      <t>チュウキ</t>
    </rPh>
    <rPh sb="11" eb="13">
      <t>ガゾウ</t>
    </rPh>
    <rPh sb="15" eb="17">
      <t>ブンショ</t>
    </rPh>
    <phoneticPr fontId="13"/>
  </si>
  <si>
    <t>注記</t>
    <rPh sb="0" eb="2">
      <t>チュウキ</t>
    </rPh>
    <phoneticPr fontId="13"/>
  </si>
  <si>
    <t>・なし
・詳細
・データ シート
・パンフレット
・カタログ
・図面
・契約
・Q＆A
・分析
・テクニカル
・ガイド
・管理
・メモ
・受入</t>
    <rPh sb="5" eb="7">
      <t>ショウサイ</t>
    </rPh>
    <rPh sb="32" eb="34">
      <t>ズメン</t>
    </rPh>
    <rPh sb="36" eb="38">
      <t>ケイヤク</t>
    </rPh>
    <rPh sb="45" eb="47">
      <t>ブンセキ</t>
    </rPh>
    <rPh sb="61" eb="63">
      <t>カンリ</t>
    </rPh>
    <rPh sb="69" eb="71">
      <t>ウケイレ</t>
    </rPh>
    <phoneticPr fontId="13"/>
  </si>
  <si>
    <t>・Azure Storage
・データベース
・SharePoint</t>
    <phoneticPr fontId="13"/>
  </si>
  <si>
    <t>SharePoint アドレス</t>
  </si>
  <si>
    <t>SharePoint アドレス</t>
    <phoneticPr fontId="13"/>
  </si>
  <si>
    <t>ドキュメント削除オプション</t>
    <rPh sb="6" eb="8">
      <t>サクジョ</t>
    </rPh>
    <phoneticPr fontId="13"/>
  </si>
  <si>
    <t>確認の要求</t>
    <rPh sb="0" eb="2">
      <t>カクニン</t>
    </rPh>
    <rPh sb="3" eb="5">
      <t>ヨウキュウ</t>
    </rPh>
    <phoneticPr fontId="13"/>
  </si>
  <si>
    <t>・ドキュメントのみ
・ドキュメントと物理ファイル</t>
    <rPh sb="18" eb="20">
      <t>ブツリ</t>
    </rPh>
    <phoneticPr fontId="13"/>
  </si>
  <si>
    <t>ドキュメントと物理ファイル</t>
    <phoneticPr fontId="13"/>
  </si>
  <si>
    <t>組織管理</t>
    <phoneticPr fontId="13"/>
  </si>
  <si>
    <t>単位換算</t>
    <rPh sb="0" eb="4">
      <t>タンイカンサン</t>
    </rPh>
    <phoneticPr fontId="13"/>
  </si>
  <si>
    <t>組織管理＞ドキュメント管理＞ドキュメント タイプ</t>
    <phoneticPr fontId="16"/>
  </si>
  <si>
    <t>組織の電子メールテンプレート</t>
    <phoneticPr fontId="13"/>
  </si>
  <si>
    <t>個別</t>
  </si>
  <si>
    <t>組織管理＞設定＞組織の電子メール テンプレート</t>
    <phoneticPr fontId="13"/>
  </si>
  <si>
    <t>電子メール ID</t>
    <phoneticPr fontId="13"/>
  </si>
  <si>
    <t>電子メールの説明</t>
    <phoneticPr fontId="13"/>
  </si>
  <si>
    <t>送信者名</t>
    <phoneticPr fontId="13"/>
  </si>
  <si>
    <t>送信者の電子メール</t>
    <phoneticPr fontId="13"/>
  </si>
  <si>
    <t>既定の言語コード</t>
    <rPh sb="0" eb="2">
      <t>キテイ</t>
    </rPh>
    <rPh sb="3" eb="5">
      <t>ゲンゴ</t>
    </rPh>
    <phoneticPr fontId="13"/>
  </si>
  <si>
    <t>優先順位</t>
    <rPh sb="0" eb="4">
      <t>ユウセンジュンイ</t>
    </rPh>
    <phoneticPr fontId="13"/>
  </si>
  <si>
    <t>バッチ グループ</t>
    <phoneticPr fontId="13"/>
  </si>
  <si>
    <t>・低
・標準
・高</t>
    <rPh sb="1" eb="2">
      <t>テイ</t>
    </rPh>
    <rPh sb="4" eb="6">
      <t>ヒョウジュン</t>
    </rPh>
    <rPh sb="8" eb="9">
      <t>コウ</t>
    </rPh>
    <phoneticPr fontId="13"/>
  </si>
  <si>
    <t>（システム定義）</t>
    <rPh sb="5" eb="7">
      <t>テイギ</t>
    </rPh>
    <phoneticPr fontId="13"/>
  </si>
  <si>
    <t>バッチグループ（ユーザー定義）</t>
    <rPh sb="12" eb="14">
      <t>テイギ</t>
    </rPh>
    <phoneticPr fontId="13"/>
  </si>
  <si>
    <t>電子メール メッセージのコンテンツ</t>
    <rPh sb="0" eb="2">
      <t>デンシ</t>
    </rPh>
    <phoneticPr fontId="13"/>
  </si>
  <si>
    <t>件名</t>
    <rPh sb="0" eb="2">
      <t>ケンメイ</t>
    </rPh>
    <phoneticPr fontId="13"/>
  </si>
  <si>
    <t>本文</t>
    <rPh sb="0" eb="2">
      <t>ホンブン</t>
    </rPh>
    <phoneticPr fontId="13"/>
  </si>
  <si>
    <t>チェック無し</t>
    <rPh sb="4" eb="5">
      <t>ナ</t>
    </rPh>
    <phoneticPr fontId="13"/>
  </si>
  <si>
    <t>電子メール メッセージのコンテンツ</t>
    <phoneticPr fontId="13"/>
  </si>
  <si>
    <t>※システム定義</t>
    <rPh sb="5" eb="7">
      <t>テイギ</t>
    </rPh>
    <phoneticPr fontId="13"/>
  </si>
  <si>
    <t>チェック有/チェック無</t>
    <rPh sb="4" eb="5">
      <t>ア</t>
    </rPh>
    <rPh sb="10" eb="11">
      <t>ナ</t>
    </rPh>
    <phoneticPr fontId="13"/>
  </si>
  <si>
    <t>番号順序-設定値</t>
    <phoneticPr fontId="13"/>
  </si>
  <si>
    <t>番号順序</t>
    <phoneticPr fontId="13"/>
  </si>
  <si>
    <t>組織階層の目的-設定値</t>
    <phoneticPr fontId="13"/>
  </si>
  <si>
    <t>組織階層の目的</t>
    <phoneticPr fontId="13"/>
  </si>
  <si>
    <t>組織階層-設定値</t>
    <phoneticPr fontId="13"/>
  </si>
  <si>
    <t>組織階層</t>
    <phoneticPr fontId="13"/>
  </si>
  <si>
    <t>「ドキュメント タイプ-設定値」を参照</t>
  </si>
  <si>
    <t>ドキュメント タイプ</t>
  </si>
  <si>
    <t>ドキュメント タイプ-設定値</t>
  </si>
  <si>
    <t>「組織の電子メール テンプレート-設定値」を参照</t>
    <rPh sb="22" eb="24">
      <t>サンショウ</t>
    </rPh>
    <phoneticPr fontId="13"/>
  </si>
  <si>
    <t>組織の電子メール テンプレート</t>
  </si>
  <si>
    <t>組織の電子メール テンプレート-設定値</t>
  </si>
  <si>
    <t>「番号順序-設定値」を参照</t>
    <rPh sb="1" eb="3">
      <t>バンゴウ</t>
    </rPh>
    <rPh sb="3" eb="5">
      <t>ジュンジョ</t>
    </rPh>
    <phoneticPr fontId="13"/>
  </si>
  <si>
    <t>「組織階層の目的-設定値」を参照</t>
  </si>
  <si>
    <t>「組織階層-設定値」を参照</t>
  </si>
  <si>
    <t>「住所と連絡先情報の目的-設定値」を参照</t>
    <rPh sb="18" eb="20">
      <t>サンショウ</t>
    </rPh>
    <phoneticPr fontId="13"/>
  </si>
  <si>
    <t>住所と連絡先情報の目的-設定値</t>
  </si>
  <si>
    <t>「名前の順序-設定値」</t>
  </si>
  <si>
    <t>名前の順序-設定値</t>
  </si>
  <si>
    <t>「法人-規制施設」を参照</t>
  </si>
  <si>
    <t>「法人-TransportationPermission」を参照</t>
  </si>
  <si>
    <t>法人-設定値</t>
  </si>
  <si>
    <t xml:space="preserve">法人-番号順序 </t>
  </si>
  <si>
    <t>法人-規制施設</t>
    <rPh sb="3" eb="7">
      <t>キセイシセツ</t>
    </rPh>
    <phoneticPr fontId="13"/>
  </si>
  <si>
    <t>法人-Transportation permissions</t>
  </si>
  <si>
    <t>「法人-設定値」を参照</t>
  </si>
  <si>
    <t>「法人-住所」を参照</t>
    <rPh sb="4" eb="6">
      <t>ジュウショ</t>
    </rPh>
    <phoneticPr fontId="16"/>
  </si>
  <si>
    <t>「法人-連絡先情報」を参照</t>
    <rPh sb="4" eb="9">
      <t>レンラクサキジョウホウ</t>
    </rPh>
    <phoneticPr fontId="16"/>
  </si>
  <si>
    <t>「法人-番号順序」を参照</t>
  </si>
  <si>
    <t>法人-住所</t>
    <rPh sb="3" eb="5">
      <t>ジュウショ</t>
    </rPh>
    <phoneticPr fontId="13"/>
  </si>
  <si>
    <t>法人-連絡先情報</t>
    <rPh sb="3" eb="6">
      <t>レンラクサキ</t>
    </rPh>
    <rPh sb="6" eb="8">
      <t>ジョウホウ</t>
    </rPh>
    <phoneticPr fontId="13"/>
  </si>
  <si>
    <t>名 姓</t>
    <rPh sb="0" eb="1">
      <t>メイ</t>
    </rPh>
    <rPh sb="2" eb="3">
      <t>セイ</t>
    </rPh>
    <phoneticPr fontId="13"/>
  </si>
  <si>
    <t>名、姓、ミドルネーム</t>
    <rPh sb="0" eb="1">
      <t>メイ</t>
    </rPh>
    <rPh sb="2" eb="3">
      <t>セイ</t>
    </rPh>
    <phoneticPr fontId="13"/>
  </si>
  <si>
    <t>名、ミドルネーム、姓</t>
    <rPh sb="0" eb="1">
      <t>メイ</t>
    </rPh>
    <rPh sb="9" eb="10">
      <t>セイ</t>
    </rPh>
    <phoneticPr fontId="13"/>
  </si>
  <si>
    <t>姓、名</t>
    <rPh sb="0" eb="1">
      <t>セイ</t>
    </rPh>
    <rPh sb="2" eb="3">
      <t>メイ</t>
    </rPh>
    <phoneticPr fontId="13"/>
  </si>
  <si>
    <t>姓、名、ミドルネーム</t>
    <rPh sb="0" eb="1">
      <t>セイ</t>
    </rPh>
    <rPh sb="2" eb="3">
      <t>メイ</t>
    </rPh>
    <phoneticPr fontId="13"/>
  </si>
  <si>
    <t>姓 名 ミドルネーム</t>
    <rPh sb="0" eb="1">
      <t>セイ</t>
    </rPh>
    <rPh sb="2" eb="3">
      <t>メイ</t>
    </rPh>
    <phoneticPr fontId="13"/>
  </si>
  <si>
    <t>姓、ミドルネーム、名</t>
    <rPh sb="0" eb="1">
      <t>セイ</t>
    </rPh>
    <rPh sb="9" eb="10">
      <t>メイ</t>
    </rPh>
    <phoneticPr fontId="13"/>
  </si>
  <si>
    <t>姓 名</t>
    <rPh sb="0" eb="1">
      <t>セイ</t>
    </rPh>
    <rPh sb="2" eb="3">
      <t>メイ</t>
    </rPh>
    <phoneticPr fontId="11"/>
  </si>
  <si>
    <t>姓 名</t>
    <rPh sb="0" eb="1">
      <t>セイ</t>
    </rPh>
    <rPh sb="2" eb="3">
      <t>メイ</t>
    </rPh>
    <phoneticPr fontId="13"/>
  </si>
  <si>
    <t>名</t>
    <rPh sb="0" eb="1">
      <t>メイ</t>
    </rPh>
    <phoneticPr fontId="11"/>
  </si>
  <si>
    <t>姓</t>
    <rPh sb="0" eb="1">
      <t>セイ</t>
    </rPh>
    <phoneticPr fontId="11"/>
  </si>
  <si>
    <t>名 性</t>
    <rPh sb="0" eb="1">
      <t>メイ</t>
    </rPh>
    <rPh sb="2" eb="3">
      <t>セイ</t>
    </rPh>
    <phoneticPr fontId="11"/>
  </si>
  <si>
    <t>名 姓 ミドルネーム</t>
    <rPh sb="2" eb="3">
      <t>セイ</t>
    </rPh>
    <phoneticPr fontId="11"/>
  </si>
  <si>
    <t>名 ミドルネーム 姓</t>
    <rPh sb="0" eb="1">
      <t>メイ</t>
    </rPh>
    <rPh sb="9" eb="10">
      <t>セイ</t>
    </rPh>
    <phoneticPr fontId="11"/>
  </si>
  <si>
    <t>姓, 名</t>
    <rPh sb="0" eb="1">
      <t>セイ</t>
    </rPh>
    <rPh sb="3" eb="4">
      <t>メイ</t>
    </rPh>
    <phoneticPr fontId="11"/>
  </si>
  <si>
    <t>姓, 名 ミドルネーム</t>
    <rPh sb="0" eb="1">
      <t>セイ</t>
    </rPh>
    <rPh sb="3" eb="4">
      <t>メイ</t>
    </rPh>
    <phoneticPr fontId="11"/>
  </si>
  <si>
    <t>姓名</t>
    <rPh sb="0" eb="1">
      <t>セイ</t>
    </rPh>
    <rPh sb="1" eb="2">
      <t>メイ</t>
    </rPh>
    <phoneticPr fontId="11"/>
  </si>
  <si>
    <t>,</t>
  </si>
  <si>
    <t>姓 名 ミドルネーム</t>
  </si>
  <si>
    <t>姓 ミドルネーム 名</t>
  </si>
  <si>
    <t xml:space="preserve"> </t>
    <phoneticPr fontId="13"/>
  </si>
  <si>
    <t>組織管理＞組織＞法人
Organization administration &gt; Organizations &gt; Legal entities</t>
    <phoneticPr fontId="13"/>
  </si>
  <si>
    <t>組織管理＞グローバルアドレス帳＞グローバルアドレス帳パラメーター
Organization administration &gt; Global address book &gt; Global address book parameters</t>
    <phoneticPr fontId="13"/>
  </si>
  <si>
    <t>組織管理＞グローバルアドレス帳＞名前の順序
Organization administration &gt; Global address book &gt; Name title and suffix</t>
    <phoneticPr fontId="13"/>
  </si>
  <si>
    <t>組織管理＞グローバルアドレス帳＞住所と連絡先情報の目的
Organization administration &gt; Global address book &gt; Address and contact information purpose</t>
    <phoneticPr fontId="13"/>
  </si>
  <si>
    <t>組織管理＞組織＞組織階層
Organization administration &gt; Organizations &gt; Organization hierarchies</t>
    <phoneticPr fontId="13"/>
  </si>
  <si>
    <t>組織管理＞組織＞組織階層の目的
Organization administration &gt; Organizations &gt; Organization hierarchy purposes</t>
    <phoneticPr fontId="13"/>
  </si>
  <si>
    <t>組織管理＞番号順序＞番号順序
Organization administration &gt; Number sequences &gt; Number sequences</t>
    <phoneticPr fontId="13"/>
  </si>
  <si>
    <t>組織管理＞ドキュメント管理＞ドキュメント タイプ
Organization administration &gt; Document management &gt; Document types</t>
    <rPh sb="11" eb="13">
      <t>カンリ</t>
    </rPh>
    <phoneticPr fontId="13"/>
  </si>
  <si>
    <t xml:space="preserve">
建物名 (補足)</t>
    <rPh sb="1" eb="3">
      <t>タテモノ</t>
    </rPh>
    <rPh sb="3" eb="4">
      <t>メイ</t>
    </rPh>
    <rPh sb="6" eb="8">
      <t>ホソク</t>
    </rPh>
    <phoneticPr fontId="13"/>
  </si>
  <si>
    <t>建物名 (補足)</t>
    <rPh sb="0" eb="2">
      <t>タテモノ</t>
    </rPh>
    <rPh sb="2" eb="3">
      <t>メイ</t>
    </rPh>
    <rPh sb="5" eb="7">
      <t>ホソク</t>
    </rPh>
    <phoneticPr fontId="13"/>
  </si>
  <si>
    <t>Organization administration &gt; Organizations &gt; Legal entities</t>
    <phoneticPr fontId="13"/>
  </si>
  <si>
    <t>Organization administration &gt; Global address book &gt; Global address book parameters</t>
    <phoneticPr fontId="13"/>
  </si>
  <si>
    <t>Organization administration &gt; Global address book &gt; Name title and suffix</t>
    <phoneticPr fontId="13"/>
  </si>
  <si>
    <t>Organization administration &gt; Organizations &gt; Organization hierarchies</t>
    <phoneticPr fontId="13"/>
  </si>
  <si>
    <t>Organization administration &gt; Organizations &gt; Organization hierarchy purposes</t>
    <phoneticPr fontId="13"/>
  </si>
  <si>
    <t>Organization administration &gt; Number sequences &gt; Number sequences</t>
    <phoneticPr fontId="13"/>
  </si>
  <si>
    <t>Organization administration &gt; Document management &gt; Document types</t>
    <phoneticPr fontId="13"/>
  </si>
  <si>
    <t>組織管理＞設定＞組織の電子メール テンプレート
Organization administration &gt; Setup &gt; Organization email templates</t>
    <phoneticPr fontId="13"/>
  </si>
  <si>
    <t>Organization administration &gt; Setup &gt; Organization email templates</t>
    <phoneticPr fontId="13"/>
  </si>
  <si>
    <t>Organization administration &gt; Global address book &gt; Address book</t>
    <phoneticPr fontId="13"/>
  </si>
  <si>
    <t>組織管理＞グローバルアドレス帳＞アドレス帳
Organization administration &gt; Global address book &gt; Address book</t>
    <phoneticPr fontId="13"/>
  </si>
  <si>
    <t>支店目的コード（ユーザー定義）</t>
    <rPh sb="0" eb="2">
      <t>シテン</t>
    </rPh>
    <phoneticPr fontId="13"/>
  </si>
  <si>
    <t>銀行口座（ユーザー定義）</t>
    <rPh sb="0" eb="2">
      <t>ギンコウ</t>
    </rPh>
    <rPh sb="2" eb="4">
      <t>コウザ</t>
    </rPh>
    <phoneticPr fontId="13"/>
  </si>
  <si>
    <t>課税控除番号（ユーザー定義）</t>
    <rPh sb="0" eb="2">
      <t>カゼイ</t>
    </rPh>
    <rPh sb="2" eb="4">
      <t>コウジョ</t>
    </rPh>
    <rPh sb="4" eb="6">
      <t>バンゴウ</t>
    </rPh>
    <phoneticPr fontId="13"/>
  </si>
  <si>
    <t>カレンダー
（ユーザー定義）</t>
  </si>
  <si>
    <t>番号順序（ユーザー定義）</t>
  </si>
  <si>
    <t>領域に基づいた文字列（ユーザー定義）</t>
    <rPh sb="0" eb="2">
      <t>リョウイキ</t>
    </rPh>
    <rPh sb="3" eb="4">
      <t>モト</t>
    </rPh>
    <rPh sb="7" eb="10">
      <t>モジレツ</t>
    </rPh>
    <phoneticPr fontId="13"/>
  </si>
  <si>
    <t>カレンダー（ユーザー定義）</t>
  </si>
  <si>
    <t>第1.0版</t>
  </si>
  <si>
    <t>日本ビジネスシステムズ株式会社</t>
    <rPh sb="0" eb="2">
      <t>ニホン</t>
    </rPh>
    <rPh sb="11" eb="15">
      <t>カブシキガイシャ</t>
    </rPh>
    <phoneticPr fontId="29"/>
  </si>
  <si>
    <t>作成者</t>
    <rPh sb="0" eb="3">
      <t>サクセイシャ</t>
    </rPh>
    <phoneticPr fontId="29"/>
  </si>
  <si>
    <t>JBS承認者</t>
    <rPh sb="3" eb="6">
      <t>ショウニンシャ</t>
    </rPh>
    <phoneticPr fontId="29"/>
  </si>
  <si>
    <t>氏名</t>
    <rPh sb="0" eb="2">
      <t>シメイ</t>
    </rPh>
    <phoneticPr fontId="29"/>
  </si>
  <si>
    <t xml:space="preserve">法人（ユーザー定義）
</t>
    <rPh sb="0" eb="2">
      <t>ホウジン</t>
    </rPh>
    <phoneticPr fontId="13"/>
  </si>
  <si>
    <t xml:space="preserve">作業単位（ユーザー定義）
</t>
    <rPh sb="0" eb="4">
      <t>サギョウタンイ</t>
    </rPh>
    <phoneticPr fontId="13"/>
  </si>
  <si>
    <t xml:space="preserve">会計カレンダー（ユーザー定義）
</t>
    <rPh sb="0" eb="2">
      <t>カイケイ</t>
    </rPh>
    <phoneticPr fontId="13"/>
  </si>
  <si>
    <t xml:space="preserve">会計年度（ユーザー定義）
</t>
    <rPh sb="0" eb="4">
      <t>カイケイネンド</t>
    </rPh>
    <phoneticPr fontId="13"/>
  </si>
  <si>
    <t xml:space="preserve">会計カレンダー期間（ユーザー定義）
</t>
    <rPh sb="0" eb="2">
      <t>カイケイ</t>
    </rPh>
    <rPh sb="7" eb="9">
      <t>キカン</t>
    </rPh>
    <phoneticPr fontId="13"/>
  </si>
  <si>
    <t>＜YYYY/MM/DD＞</t>
    <phoneticPr fontId="29"/>
  </si>
  <si>
    <t>パラメータ設定一覧</t>
  </si>
  <si>
    <t>パラメータ設定一覧へ</t>
  </si>
  <si>
    <t>GC設定担当者</t>
    <rPh sb="2" eb="4">
      <t>セッテイ</t>
    </rPh>
    <rPh sb="4" eb="7">
      <t>タントウシャ</t>
    </rPh>
    <phoneticPr fontId="13"/>
  </si>
  <si>
    <t>GC設定完了日</t>
    <rPh sb="2" eb="4">
      <t>セッテイ</t>
    </rPh>
    <rPh sb="4" eb="7">
      <t>カンリョウビ</t>
    </rPh>
    <phoneticPr fontId="13"/>
  </si>
  <si>
    <t>「FOパラメータ定義書-法人_99.マスタ」側に記載</t>
    <rPh sb="22" eb="23">
      <t>ガワ</t>
    </rPh>
    <rPh sb="24" eb="26">
      <t>キサイ</t>
    </rPh>
    <phoneticPr fontId="13"/>
  </si>
  <si>
    <t>半角英数字4ケタまでしか入らないため、グループ会社展開など複数社導入を考えると、1000,2000など意味を持たせない数値での管理の方が良い（法人選択時にここの文字列が出てくるため、わかりやすい英字が良い場合はJPMFのように設定する）</t>
    <rPh sb="0" eb="2">
      <t>ハンカク</t>
    </rPh>
    <rPh sb="2" eb="5">
      <t>エイスウジ</t>
    </rPh>
    <rPh sb="12" eb="13">
      <t>ハイ</t>
    </rPh>
    <rPh sb="35" eb="36">
      <t>カンガ</t>
    </rPh>
    <rPh sb="51" eb="53">
      <t>イミ</t>
    </rPh>
    <rPh sb="54" eb="55">
      <t>モ</t>
    </rPh>
    <rPh sb="59" eb="61">
      <t>スウチ</t>
    </rPh>
    <rPh sb="63" eb="65">
      <t>カンリ</t>
    </rPh>
    <rPh sb="66" eb="67">
      <t>ホウ</t>
    </rPh>
    <rPh sb="68" eb="69">
      <t>ヨ</t>
    </rPh>
    <rPh sb="71" eb="73">
      <t>ホウジン</t>
    </rPh>
    <rPh sb="73" eb="76">
      <t>センタクジ</t>
    </rPh>
    <rPh sb="80" eb="83">
      <t>モジレツ</t>
    </rPh>
    <rPh sb="84" eb="85">
      <t>デ</t>
    </rPh>
    <rPh sb="97" eb="99">
      <t>エイジ</t>
    </rPh>
    <rPh sb="100" eb="101">
      <t>ヨ</t>
    </rPh>
    <rPh sb="102" eb="104">
      <t>バアイ</t>
    </rPh>
    <rPh sb="113" eb="115">
      <t>セッテイ</t>
    </rPh>
    <phoneticPr fontId="13"/>
  </si>
  <si>
    <t>従業員の登録などで、名前の順序のデフォルト値がこの値となる。</t>
    <rPh sb="0" eb="3">
      <t>ジュウギョウイン</t>
    </rPh>
    <rPh sb="4" eb="6">
      <t>トウロク</t>
    </rPh>
    <rPh sb="10" eb="12">
      <t>ナマエ</t>
    </rPh>
    <rPh sb="13" eb="15">
      <t>ジュンジョ</t>
    </rPh>
    <rPh sb="21" eb="22">
      <t>チ</t>
    </rPh>
    <rPh sb="25" eb="26">
      <t>アタイ</t>
    </rPh>
    <phoneticPr fontId="13"/>
  </si>
  <si>
    <t>※1~20はデフォルトの設定</t>
    <rPh sb="12" eb="14">
      <t>セッテイ</t>
    </rPh>
    <phoneticPr fontId="13"/>
  </si>
  <si>
    <t>電子メールテンプレートを定義するための定義となる。
ワークフローを使用する際に、電子メールの送付が必要となる場合は、このパラメータの設定が必要。
※詳細は「D365FO_標準手順書_システム共通(承認ワークフロー)」参照</t>
    <rPh sb="12" eb="14">
      <t>テイギ</t>
    </rPh>
    <rPh sb="19" eb="21">
      <t>テイギ</t>
    </rPh>
    <rPh sb="33" eb="35">
      <t>シヨウ</t>
    </rPh>
    <rPh sb="37" eb="38">
      <t>サイ</t>
    </rPh>
    <rPh sb="40" eb="42">
      <t>デンシ</t>
    </rPh>
    <rPh sb="46" eb="48">
      <t>ソウフ</t>
    </rPh>
    <rPh sb="49" eb="51">
      <t>ヒツヨウ</t>
    </rPh>
    <rPh sb="54" eb="56">
      <t>バアイ</t>
    </rPh>
    <rPh sb="66" eb="68">
      <t>セッテイ</t>
    </rPh>
    <rPh sb="69" eb="71">
      <t>ヒツヨウ</t>
    </rPh>
    <rPh sb="74" eb="76">
      <t>ショウサイ</t>
    </rPh>
    <rPh sb="108" eb="110">
      <t>サンショウ</t>
    </rPh>
    <phoneticPr fontId="13"/>
  </si>
  <si>
    <t>※追加分のみ記載する</t>
    <rPh sb="1" eb="4">
      <t>ツイカブン</t>
    </rPh>
    <rPh sb="6" eb="8">
      <t>キサイ</t>
    </rPh>
    <phoneticPr fontId="13"/>
  </si>
  <si>
    <t>サンスター株式会社　御中</t>
    <phoneticPr fontId="29"/>
  </si>
  <si>
    <t>会計システム刷新プロジェクト（LIBRA）</t>
    <phoneticPr fontId="29"/>
  </si>
  <si>
    <t>JBS石岡</t>
    <rPh sb="3" eb="5">
      <t>イシオカ</t>
    </rPh>
    <phoneticPr fontId="29"/>
  </si>
  <si>
    <t>タイムゾーン</t>
    <phoneticPr fontId="13"/>
  </si>
  <si>
    <t>タイムゾーン（システム定義）</t>
    <phoneticPr fontId="13"/>
  </si>
  <si>
    <t>STARLECS株式会社</t>
    <phoneticPr fontId="13"/>
  </si>
  <si>
    <t>SLJ</t>
    <phoneticPr fontId="13"/>
  </si>
  <si>
    <t>スターレックス</t>
  </si>
  <si>
    <t>スターレックス</t>
    <phoneticPr fontId="13"/>
  </si>
  <si>
    <t>会社の住所を使用して検出</t>
    <phoneticPr fontId="13"/>
  </si>
  <si>
    <t>ja</t>
    <phoneticPr fontId="13"/>
  </si>
  <si>
    <t>(GMT+09:00) Osaka, Sapporo, Tokyo</t>
    <phoneticPr fontId="13"/>
  </si>
  <si>
    <t>※詳細の部分が集約</t>
  </si>
  <si>
    <t>業務</t>
    <rPh sb="0" eb="2">
      <t>ギョウム</t>
    </rPh>
    <phoneticPr fontId="13"/>
  </si>
  <si>
    <t>JPN</t>
    <phoneticPr fontId="13"/>
  </si>
  <si>
    <t>662-0088</t>
    <phoneticPr fontId="13"/>
  </si>
  <si>
    <t>兵庫県西宮市苦楽園4-8-18</t>
    <phoneticPr fontId="13"/>
  </si>
  <si>
    <t>国内その他（償却資産対象外）</t>
    <phoneticPr fontId="13"/>
  </si>
  <si>
    <t>固定資産</t>
    <rPh sb="0" eb="4">
      <t>コテイシサン</t>
    </rPh>
    <phoneticPr fontId="13"/>
  </si>
  <si>
    <t>国内</t>
    <rPh sb="0" eb="2">
      <t>コクナイ</t>
    </rPh>
    <phoneticPr fontId="13"/>
  </si>
  <si>
    <t>サンスター技研株式会社</t>
    <phoneticPr fontId="13"/>
  </si>
  <si>
    <t>SEJ</t>
    <phoneticPr fontId="13"/>
  </si>
  <si>
    <t>サンスターギケン</t>
    <phoneticPr fontId="13"/>
  </si>
  <si>
    <t>ギケン</t>
    <phoneticPr fontId="13"/>
  </si>
  <si>
    <t>大阪府高槻市朝日町3-1</t>
    <phoneticPr fontId="13"/>
  </si>
  <si>
    <t>569-1134</t>
    <phoneticPr fontId="13"/>
  </si>
  <si>
    <t>サンスター株式会社</t>
    <phoneticPr fontId="13"/>
  </si>
  <si>
    <t>SSJ</t>
    <phoneticPr fontId="13"/>
  </si>
  <si>
    <t>サンスター</t>
    <phoneticPr fontId="13"/>
  </si>
  <si>
    <t>東京都大田区</t>
  </si>
  <si>
    <t>東京都大田区</t>
    <phoneticPr fontId="13"/>
  </si>
  <si>
    <t>大田区</t>
    <rPh sb="0" eb="3">
      <t>オオタク</t>
    </rPh>
    <phoneticPr fontId="13"/>
  </si>
  <si>
    <t>東京都</t>
    <rPh sb="0" eb="3">
      <t>トウキョウト</t>
    </rPh>
    <phoneticPr fontId="13"/>
  </si>
  <si>
    <t>大阪府摂津市</t>
    <phoneticPr fontId="13"/>
  </si>
  <si>
    <t>摂津市</t>
    <phoneticPr fontId="13"/>
  </si>
  <si>
    <t>大阪府</t>
    <rPh sb="0" eb="3">
      <t>オオサカフ</t>
    </rPh>
    <phoneticPr fontId="13"/>
  </si>
  <si>
    <t>兵庫県神戸市</t>
  </si>
  <si>
    <t>兵庫県神戸市</t>
    <phoneticPr fontId="13"/>
  </si>
  <si>
    <t>神戸市</t>
    <rPh sb="0" eb="3">
      <t>コウベシ</t>
    </rPh>
    <phoneticPr fontId="13"/>
  </si>
  <si>
    <t>兵庫県</t>
    <rPh sb="0" eb="3">
      <t>ヒョウゴケン</t>
    </rPh>
    <phoneticPr fontId="13"/>
  </si>
  <si>
    <t>静岡県駿東郡</t>
  </si>
  <si>
    <t>静岡県駿東郡</t>
    <phoneticPr fontId="13"/>
  </si>
  <si>
    <t>駿東郡</t>
    <phoneticPr fontId="13"/>
  </si>
  <si>
    <t>静岡県</t>
    <rPh sb="0" eb="2">
      <t>シズオカ</t>
    </rPh>
    <rPh sb="2" eb="3">
      <t>ケン</t>
    </rPh>
    <phoneticPr fontId="13"/>
  </si>
  <si>
    <t>北海道札幌市</t>
  </si>
  <si>
    <t>北海道札幌市</t>
    <phoneticPr fontId="13"/>
  </si>
  <si>
    <t>札幌市</t>
    <rPh sb="0" eb="3">
      <t>サッポロシ</t>
    </rPh>
    <phoneticPr fontId="13"/>
  </si>
  <si>
    <t>北海道</t>
    <rPh sb="0" eb="3">
      <t>ホッカイドウ</t>
    </rPh>
    <phoneticPr fontId="13"/>
  </si>
  <si>
    <t>大阪府豊中市</t>
  </si>
  <si>
    <t>大阪府豊中市</t>
    <phoneticPr fontId="13"/>
  </si>
  <si>
    <t>豊中市</t>
    <rPh sb="0" eb="2">
      <t>トヨナカ</t>
    </rPh>
    <rPh sb="2" eb="3">
      <t>シ</t>
    </rPh>
    <phoneticPr fontId="13"/>
  </si>
  <si>
    <t>兵庫県西宮市</t>
  </si>
  <si>
    <t>兵庫県西宮市</t>
    <phoneticPr fontId="13"/>
  </si>
  <si>
    <t>西宮市</t>
    <rPh sb="0" eb="2">
      <t>ニシノミヤ</t>
    </rPh>
    <rPh sb="2" eb="3">
      <t>シ</t>
    </rPh>
    <phoneticPr fontId="13"/>
  </si>
  <si>
    <t>滋賀県米原市</t>
  </si>
  <si>
    <t>滋賀県米原市</t>
    <phoneticPr fontId="13"/>
  </si>
  <si>
    <t>米原市</t>
    <phoneticPr fontId="13"/>
  </si>
  <si>
    <t>滋賀県</t>
    <rPh sb="0" eb="3">
      <t>シガケン</t>
    </rPh>
    <phoneticPr fontId="13"/>
  </si>
  <si>
    <t>長野県軽井沢市</t>
    <phoneticPr fontId="13"/>
  </si>
  <si>
    <t>軽井沢市</t>
    <rPh sb="0" eb="3">
      <t>カルイザワ</t>
    </rPh>
    <rPh sb="3" eb="4">
      <t>シ</t>
    </rPh>
    <phoneticPr fontId="13"/>
  </si>
  <si>
    <t>長野県</t>
    <rPh sb="0" eb="3">
      <t>ナガノケン</t>
    </rPh>
    <phoneticPr fontId="13"/>
  </si>
  <si>
    <t>滋賀県草津市岡本町</t>
  </si>
  <si>
    <t>滋賀県草津市岡本町</t>
    <phoneticPr fontId="13"/>
  </si>
  <si>
    <t>草津市</t>
    <rPh sb="0" eb="3">
      <t>クサツシ</t>
    </rPh>
    <phoneticPr fontId="13"/>
  </si>
  <si>
    <t>山梨県南アルプス市</t>
  </si>
  <si>
    <t>山梨県南アルプス市</t>
    <phoneticPr fontId="13"/>
  </si>
  <si>
    <t>南アルプス市</t>
    <phoneticPr fontId="13"/>
  </si>
  <si>
    <t>山梨県</t>
    <rPh sb="0" eb="3">
      <t>ヤマナシケン</t>
    </rPh>
    <phoneticPr fontId="13"/>
  </si>
  <si>
    <t>福岡県福岡市</t>
  </si>
  <si>
    <t>福岡市</t>
    <rPh sb="0" eb="3">
      <t>フクオカシ</t>
    </rPh>
    <phoneticPr fontId="13"/>
  </si>
  <si>
    <t>福岡県</t>
    <rPh sb="0" eb="3">
      <t>フクオカケン</t>
    </rPh>
    <phoneticPr fontId="13"/>
  </si>
  <si>
    <t>広島県広島市</t>
  </si>
  <si>
    <t>広島市</t>
    <rPh sb="0" eb="3">
      <t>ヒロシマシ</t>
    </rPh>
    <phoneticPr fontId="13"/>
  </si>
  <si>
    <t>広島県</t>
    <rPh sb="0" eb="3">
      <t>ヒロシマケン</t>
    </rPh>
    <phoneticPr fontId="13"/>
  </si>
  <si>
    <t>愛知県名古屋市</t>
  </si>
  <si>
    <t>名古屋市</t>
    <rPh sb="0" eb="4">
      <t>ナゴヤシ</t>
    </rPh>
    <phoneticPr fontId="13"/>
  </si>
  <si>
    <t>愛知県</t>
    <rPh sb="0" eb="3">
      <t>アイチケン</t>
    </rPh>
    <phoneticPr fontId="13"/>
  </si>
  <si>
    <t>宮城県仙台市</t>
  </si>
  <si>
    <t>仙台市</t>
    <rPh sb="0" eb="2">
      <t>センダイ</t>
    </rPh>
    <rPh sb="2" eb="3">
      <t>シ</t>
    </rPh>
    <phoneticPr fontId="13"/>
  </si>
  <si>
    <t>宮城県</t>
    <rPh sb="0" eb="3">
      <t>ミヤギケン</t>
    </rPh>
    <phoneticPr fontId="13"/>
  </si>
  <si>
    <t>東京都港区</t>
  </si>
  <si>
    <t>港区</t>
    <rPh sb="0" eb="2">
      <t>ミナトク</t>
    </rPh>
    <phoneticPr fontId="13"/>
  </si>
  <si>
    <t>徳島県板野郡</t>
  </si>
  <si>
    <t>板野郡</t>
    <rPh sb="0" eb="3">
      <t>イタノグン</t>
    </rPh>
    <phoneticPr fontId="13"/>
  </si>
  <si>
    <t>徳島県</t>
    <rPh sb="0" eb="3">
      <t>トクシマケン</t>
    </rPh>
    <phoneticPr fontId="13"/>
  </si>
  <si>
    <t>大阪府高槻市</t>
  </si>
  <si>
    <t>大阪府高槻市</t>
    <phoneticPr fontId="13"/>
  </si>
  <si>
    <t>高槻市</t>
    <rPh sb="0" eb="3">
      <t>タカツキシ</t>
    </rPh>
    <phoneticPr fontId="13"/>
  </si>
  <si>
    <t>※DATの記載は除外</t>
    <rPh sb="5" eb="7">
      <t>キサイ</t>
    </rPh>
    <rPh sb="8" eb="10">
      <t>ジョガイ</t>
    </rPh>
    <phoneticPr fontId="13"/>
  </si>
  <si>
    <t>法人の定義を行う。
※【サンスター】FOパラメータ定義書-SSJ_01.組織管理_v1.0.xlsx　で管理を行う。</t>
    <rPh sb="0" eb="2">
      <t>ホウジン</t>
    </rPh>
    <rPh sb="3" eb="5">
      <t>テイギ</t>
    </rPh>
    <rPh sb="6" eb="7">
      <t>オコナ</t>
    </rPh>
    <rPh sb="52" eb="54">
      <t>カンリ</t>
    </rPh>
    <rPh sb="55" eb="56">
      <t>オコナ</t>
    </rPh>
    <phoneticPr fontId="13"/>
  </si>
  <si>
    <t>グローバルアドレス帳のパラメータ定義となる。
仕入先、取引などを管理する際に必要となるため、パラメータ値を設定する。
※【サンスター】FOパラメータ定義書-SSJ_01.組織管理_v1.0.xlsx　で管理を行う。</t>
    <phoneticPr fontId="13"/>
  </si>
  <si>
    <t>アドレス帳の種類定義となる。
仕入先、顧客などを定義する。
※【サンスター】FOパラメータ定義書-SSJ_01.組織管理_v1.0.xlsx　で管理を行う。</t>
    <phoneticPr fontId="13"/>
  </si>
  <si>
    <t>氏名の順序定義となる。グローバルアドレス帳を使用する際に参照する（要件には存在しない）。
「氏 - 名」の順番を設定する。
※【サンスター】FOパラメータ定義書-SSJ_01.組織管理_v1.0.xlsx　で管理を行う。</t>
    <phoneticPr fontId="13"/>
  </si>
  <si>
    <t>住所の識別定義となる。
各住所の「目的」の部分の選択項目を登録する。（デフォルト値があるが、手動で新しい項目の設定も可能）
※【サンスター】FOパラメータ定義書-SSJ_01.組織管理_v1.0.xlsx　で管理を行う。</t>
    <rPh sb="12" eb="13">
      <t>カク</t>
    </rPh>
    <rPh sb="13" eb="15">
      <t>ジュウショ</t>
    </rPh>
    <rPh sb="17" eb="19">
      <t>モクテキ</t>
    </rPh>
    <rPh sb="21" eb="23">
      <t>ブブン</t>
    </rPh>
    <rPh sb="24" eb="26">
      <t>センタク</t>
    </rPh>
    <rPh sb="26" eb="28">
      <t>コウモク</t>
    </rPh>
    <rPh sb="29" eb="31">
      <t>トウロク</t>
    </rPh>
    <rPh sb="40" eb="41">
      <t>チ</t>
    </rPh>
    <rPh sb="46" eb="48">
      <t>シュドウ</t>
    </rPh>
    <rPh sb="49" eb="50">
      <t>アタラ</t>
    </rPh>
    <rPh sb="52" eb="54">
      <t>コウモク</t>
    </rPh>
    <rPh sb="55" eb="57">
      <t>セッテイ</t>
    </rPh>
    <rPh sb="58" eb="60">
      <t>カノウ</t>
    </rPh>
    <phoneticPr fontId="13"/>
  </si>
  <si>
    <t>組織の階層を定義となる。
配分機能で使用する為、店舗倉庫として登録する。
※【サンスター】FOパラメータ定義書-SSJ_01.組織管理_v1.0.xlsx　で管理を行う。</t>
    <phoneticPr fontId="13"/>
  </si>
  <si>
    <t>組織階層の目的の定義となる。
※【サンスター】FOパラメータ定義書-SSJ_01.組織管理_v1.0.xlsx　で管理を行う。</t>
    <phoneticPr fontId="13"/>
  </si>
  <si>
    <t>番号順序の定義となる。
※【サンスター】FOパラメータ定義書-SSJ_01.組織管理_v1.0.xlsx　で管理を行う。</t>
    <rPh sb="0" eb="4">
      <t>バンゴウジュンジョ</t>
    </rPh>
    <rPh sb="5" eb="7">
      <t>テイギ</t>
    </rPh>
    <phoneticPr fontId="13"/>
  </si>
  <si>
    <t>添付ファイルなどのドキュメントのタイプの定義となる。
※【サンスター】FOパラメータ定義書-SSJ_01.組織管理_v1.0.xlsx　で管理を行う。</t>
    <rPh sb="0" eb="2">
      <t>テンプ</t>
    </rPh>
    <rPh sb="20" eb="22">
      <t>テイギ</t>
    </rPh>
    <phoneticPr fontId="13"/>
  </si>
  <si>
    <t>FOパラメータ定義書-SEJ_01.組織管理</t>
    <phoneticPr fontId="13"/>
  </si>
  <si>
    <t>作業時間カレンダー</t>
    <rPh sb="0" eb="4">
      <t>サギョウジカン</t>
    </rPh>
    <phoneticPr fontId="13"/>
  </si>
  <si>
    <t>JBS秋信</t>
    <rPh sb="3" eb="5">
      <t>アキノブ</t>
    </rPh>
    <phoneticPr fontId="13"/>
  </si>
  <si>
    <t>組織管理＞設定＞カレンダー＞カレンダー
Organization administration &gt; Setup &gt; Calendars &gt; Working time calendars</t>
    <rPh sb="0" eb="4">
      <t>ソシキカンリ</t>
    </rPh>
    <rPh sb="5" eb="7">
      <t>セッテイ</t>
    </rPh>
    <phoneticPr fontId="13"/>
  </si>
  <si>
    <t>作業時間テンプレート</t>
    <rPh sb="0" eb="4">
      <t>サギョウジカン</t>
    </rPh>
    <phoneticPr fontId="13"/>
  </si>
  <si>
    <t>組織管理＞設定＞カレンダー＞作業時間テンプレート
Organization administration &gt; Setup &gt; Calendars &gt; Working time templates</t>
    <rPh sb="0" eb="4">
      <t>ソシキカンリ</t>
    </rPh>
    <rPh sb="5" eb="7">
      <t>セッテイ</t>
    </rPh>
    <rPh sb="14" eb="18">
      <t>サギョウジカン</t>
    </rPh>
    <phoneticPr fontId="13"/>
  </si>
  <si>
    <t>組織管理＞設定＞カレンダー＞カレンダー</t>
    <rPh sb="5" eb="7">
      <t>セッテイ</t>
    </rPh>
    <phoneticPr fontId="13"/>
  </si>
  <si>
    <t>Organization administration &gt; Setup &gt; Calendars &gt; Working time calendars</t>
    <phoneticPr fontId="13"/>
  </si>
  <si>
    <t>カレンダー</t>
    <phoneticPr fontId="13"/>
  </si>
  <si>
    <t>「作業時間カレンダー-設定値」を参照</t>
    <rPh sb="1" eb="5">
      <t>サギョウジカン</t>
    </rPh>
    <rPh sb="16" eb="18">
      <t>サンショウ</t>
    </rPh>
    <phoneticPr fontId="13"/>
  </si>
  <si>
    <t>基準カレンダー</t>
    <rPh sb="0" eb="2">
      <t>キジュン</t>
    </rPh>
    <phoneticPr fontId="13"/>
  </si>
  <si>
    <t>カレンダー（ユーザー定義）</t>
    <rPh sb="10" eb="12">
      <t>テイギ</t>
    </rPh>
    <phoneticPr fontId="13"/>
  </si>
  <si>
    <t>標準作業日（時）</t>
    <rPh sb="0" eb="2">
      <t>ヒョウジュン</t>
    </rPh>
    <rPh sb="2" eb="5">
      <t>サギョウビ</t>
    </rPh>
    <rPh sb="6" eb="7">
      <t>トキ</t>
    </rPh>
    <phoneticPr fontId="13"/>
  </si>
  <si>
    <t>作業時間カレンダー-設定値</t>
    <rPh sb="0" eb="4">
      <t>サギョウジカン</t>
    </rPh>
    <phoneticPr fontId="13"/>
  </si>
  <si>
    <t>※作業時間カレンダー＞作業時間は、実設定値参照</t>
    <rPh sb="1" eb="5">
      <t>サギョウジカン</t>
    </rPh>
    <rPh sb="11" eb="15">
      <t>サギョウジカン</t>
    </rPh>
    <rPh sb="17" eb="20">
      <t>ジツセッテイ</t>
    </rPh>
    <rPh sb="20" eb="21">
      <t>チ</t>
    </rPh>
    <rPh sb="21" eb="23">
      <t>サンショウ</t>
    </rPh>
    <phoneticPr fontId="13"/>
  </si>
  <si>
    <t>WF用</t>
    <rPh sb="2" eb="3">
      <t>ヨウ</t>
    </rPh>
    <phoneticPr fontId="13"/>
  </si>
  <si>
    <t>組織管理＞設定＞カレンダー＞作業時間テンプレート</t>
    <rPh sb="5" eb="7">
      <t>セッテイ</t>
    </rPh>
    <rPh sb="14" eb="18">
      <t>サギョウジカン</t>
    </rPh>
    <phoneticPr fontId="13"/>
  </si>
  <si>
    <t>Organization administration &gt; Setup &gt; Calendars &gt; Working time templates</t>
    <phoneticPr fontId="13"/>
  </si>
  <si>
    <t>「作業時間テンプレート-設定値」を参照</t>
    <rPh sb="1" eb="5">
      <t>サギョウジカン</t>
    </rPh>
    <rPh sb="17" eb="19">
      <t>サンショウ</t>
    </rPh>
    <phoneticPr fontId="13"/>
  </si>
  <si>
    <t>月曜</t>
    <rPh sb="0" eb="2">
      <t>ゲツヨウ</t>
    </rPh>
    <phoneticPr fontId="13"/>
  </si>
  <si>
    <t>開始</t>
    <rPh sb="0" eb="2">
      <t>カイシ</t>
    </rPh>
    <phoneticPr fontId="13"/>
  </si>
  <si>
    <t>時刻</t>
    <rPh sb="0" eb="2">
      <t>ジコク</t>
    </rPh>
    <phoneticPr fontId="13"/>
  </si>
  <si>
    <t>終了</t>
    <rPh sb="0" eb="2">
      <t>シュウリョウ</t>
    </rPh>
    <phoneticPr fontId="13"/>
  </si>
  <si>
    <t>効率</t>
    <rPh sb="0" eb="2">
      <t>コウリツ</t>
    </rPh>
    <phoneticPr fontId="13"/>
  </si>
  <si>
    <t>プロパティ</t>
    <phoneticPr fontId="13"/>
  </si>
  <si>
    <t>プロパティ（ユーザー定義）</t>
    <rPh sb="10" eb="12">
      <t>テイギ</t>
    </rPh>
    <phoneticPr fontId="13"/>
  </si>
  <si>
    <t>火曜</t>
    <rPh sb="0" eb="2">
      <t>カヨウ</t>
    </rPh>
    <phoneticPr fontId="13"/>
  </si>
  <si>
    <t>水曜</t>
    <rPh sb="0" eb="2">
      <t>スイヨウ</t>
    </rPh>
    <phoneticPr fontId="13"/>
  </si>
  <si>
    <t>木曜</t>
    <rPh sb="0" eb="2">
      <t>モクヨウ</t>
    </rPh>
    <phoneticPr fontId="13"/>
  </si>
  <si>
    <t>金曜</t>
    <rPh sb="0" eb="2">
      <t>キンヨウ</t>
    </rPh>
    <phoneticPr fontId="13"/>
  </si>
  <si>
    <t>土曜</t>
    <rPh sb="0" eb="2">
      <t>ドヨウ</t>
    </rPh>
    <phoneticPr fontId="13"/>
  </si>
  <si>
    <t>日曜</t>
    <rPh sb="0" eb="2">
      <t>ニチヨウ</t>
    </rPh>
    <phoneticPr fontId="13"/>
  </si>
  <si>
    <t>作業時間テンプレート-設定値</t>
    <rPh sb="0" eb="4">
      <t>サギョウジカン</t>
    </rPh>
    <phoneticPr fontId="13"/>
  </si>
  <si>
    <t>WFEmail</t>
    <phoneticPr fontId="13"/>
  </si>
  <si>
    <t>Workflow Email Template</t>
  </si>
  <si>
    <t>Email Sender</t>
  </si>
  <si>
    <t>jp.d365.admin@jp.sunstar.com</t>
  </si>
  <si>
    <t>ja</t>
  </si>
  <si>
    <t>%subject%</t>
  </si>
  <si>
    <t>チェック有</t>
    <rPh sb="4" eb="5">
      <t>ア</t>
    </rPh>
    <phoneticPr fontId="1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</si>
</sst>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6" x14ac:knownFonts="1">
    <font>
      <sz val="11"/>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11"/>
      <color theme="1"/>
      <name val="游ゴシック"/>
      <family val="2"/>
      <charset val="128"/>
      <scheme val="minor"/>
    </font>
    <font>
      <u/>
      <sz val="14"/>
      <color theme="1"/>
      <name val="Meiryo UI"/>
      <family val="3"/>
      <charset val="128"/>
    </font>
    <font>
      <sz val="6"/>
      <name val="游ゴシック"/>
      <family val="2"/>
      <charset val="128"/>
      <scheme val="minor"/>
    </font>
    <font>
      <sz val="11"/>
      <color theme="1"/>
      <name val="Meiryo UI"/>
      <family val="3"/>
      <charset val="128"/>
    </font>
    <font>
      <sz val="10"/>
      <name val="Arial"/>
      <family val="2"/>
    </font>
    <font>
      <sz val="10"/>
      <name val="Meiryo UI"/>
      <family val="3"/>
      <charset val="128"/>
    </font>
    <font>
      <sz val="10"/>
      <color theme="1"/>
      <name val="Meiryo UI"/>
      <family val="3"/>
      <charset val="128"/>
    </font>
    <font>
      <sz val="6"/>
      <name val="Meiryo UI"/>
      <family val="3"/>
      <charset val="128"/>
    </font>
    <font>
      <b/>
      <sz val="10"/>
      <name val="Meiryo UI"/>
      <family val="3"/>
      <charset val="128"/>
    </font>
    <font>
      <u/>
      <sz val="11"/>
      <color theme="10"/>
      <name val="Meiryo UI"/>
      <family val="2"/>
      <charset val="128"/>
    </font>
    <font>
      <sz val="11"/>
      <color theme="1"/>
      <name val="Meiryo UI"/>
      <family val="2"/>
      <charset val="128"/>
    </font>
    <font>
      <sz val="11"/>
      <color theme="1"/>
      <name val="游ゴシック"/>
      <family val="2"/>
      <scheme val="minor"/>
    </font>
    <font>
      <sz val="11"/>
      <name val="ＭＳ Ｐゴシック"/>
      <family val="3"/>
      <charset val="128"/>
    </font>
    <font>
      <sz val="10"/>
      <color theme="1"/>
      <name val="Meiryo UI"/>
      <family val="2"/>
      <charset val="128"/>
    </font>
    <font>
      <u/>
      <sz val="11"/>
      <color theme="1"/>
      <name val="Meiryo UI"/>
      <family val="3"/>
      <charset val="128"/>
    </font>
    <font>
      <sz val="6"/>
      <name val="游ゴシック"/>
      <family val="3"/>
      <charset val="128"/>
      <scheme val="minor"/>
    </font>
    <font>
      <sz val="18"/>
      <color theme="1"/>
      <name val="Meiryo UI"/>
      <family val="3"/>
      <charset val="128"/>
    </font>
    <font>
      <sz val="16"/>
      <color theme="1"/>
      <name val="Meiryo UI"/>
      <family val="3"/>
      <charset val="128"/>
    </font>
    <font>
      <sz val="20"/>
      <color theme="1"/>
      <name val="Meiryo UI"/>
      <family val="3"/>
      <charset val="128"/>
    </font>
    <font>
      <sz val="12"/>
      <color theme="1"/>
      <name val="Meiryo UI"/>
      <family val="3"/>
      <charset val="128"/>
    </font>
    <font>
      <sz val="10"/>
      <color rgb="FFFF0000"/>
      <name val="Meiryo UI"/>
      <family val="3"/>
      <charset val="128"/>
    </font>
    <font>
      <sz val="11"/>
      <color rgb="FF000000"/>
      <name val="Meiryo UI"/>
      <family val="3"/>
      <charset val="128"/>
    </font>
  </fonts>
  <fills count="11">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rgb="FFFFC000"/>
        <bgColor indexed="64"/>
      </patternFill>
    </fill>
    <fill>
      <patternFill patternType="solid">
        <fgColor rgb="FFFFFF00"/>
        <bgColor indexed="64"/>
      </patternFill>
    </fill>
    <fill>
      <patternFill patternType="solid">
        <fgColor rgb="FF00B050"/>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theme="1" tint="0.499984740745262"/>
        <bgColor indexed="64"/>
      </patternFill>
    </fill>
    <fill>
      <patternFill patternType="solid">
        <fgColor theme="2" tint="-0.249977111117893"/>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hair">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top/>
      <bottom style="thin">
        <color theme="0"/>
      </bottom>
      <diagonal/>
    </border>
    <border>
      <left/>
      <right style="thin">
        <color indexed="64"/>
      </right>
      <top/>
      <bottom/>
      <diagonal/>
    </border>
  </borders>
  <cellStyleXfs count="24">
    <xf numFmtId="0" fontId="0" fillId="0" borderId="0">
      <alignment vertical="center"/>
    </xf>
    <xf numFmtId="0" fontId="14" fillId="0" borderId="0">
      <alignment vertical="center"/>
    </xf>
    <xf numFmtId="0" fontId="18" fillId="0" borderId="0"/>
    <xf numFmtId="0" fontId="23" fillId="0" borderId="0" applyNumberFormat="0" applyFill="0" applyBorder="0" applyAlignment="0" applyProtection="0">
      <alignment vertical="center"/>
    </xf>
    <xf numFmtId="9" fontId="24" fillId="0" borderId="0" applyFont="0" applyFill="0" applyBorder="0" applyAlignment="0" applyProtection="0">
      <alignment vertical="center"/>
    </xf>
    <xf numFmtId="0" fontId="12" fillId="0" borderId="0">
      <alignment vertical="center"/>
    </xf>
    <xf numFmtId="0" fontId="11" fillId="0" borderId="0">
      <alignment vertical="center"/>
    </xf>
    <xf numFmtId="0" fontId="10" fillId="0" borderId="0">
      <alignment vertical="center"/>
    </xf>
    <xf numFmtId="0" fontId="9" fillId="0" borderId="0">
      <alignment vertical="center"/>
    </xf>
    <xf numFmtId="0" fontId="9" fillId="0" borderId="0">
      <alignment vertical="center"/>
    </xf>
    <xf numFmtId="0" fontId="9" fillId="0" borderId="0">
      <alignment vertical="center"/>
    </xf>
    <xf numFmtId="0" fontId="25" fillId="0" borderId="0"/>
    <xf numFmtId="0" fontId="8" fillId="0" borderId="0">
      <alignment vertical="center"/>
    </xf>
    <xf numFmtId="0" fontId="7" fillId="0" borderId="0">
      <alignment vertical="center"/>
    </xf>
    <xf numFmtId="0" fontId="7" fillId="0" borderId="0">
      <alignment vertical="center"/>
    </xf>
    <xf numFmtId="0" fontId="7" fillId="0" borderId="0">
      <alignment vertical="center"/>
    </xf>
    <xf numFmtId="0" fontId="6" fillId="0" borderId="0">
      <alignment vertical="center"/>
    </xf>
    <xf numFmtId="0" fontId="26" fillId="0" borderId="0">
      <alignment vertical="center"/>
    </xf>
    <xf numFmtId="0" fontId="27" fillId="0" borderId="0">
      <alignment vertical="center"/>
    </xf>
    <xf numFmtId="0" fontId="5" fillId="0" borderId="0">
      <alignment vertical="center"/>
    </xf>
    <xf numFmtId="0" fontId="4" fillId="0" borderId="0">
      <alignment vertical="center"/>
    </xf>
    <xf numFmtId="0" fontId="3" fillId="0" borderId="0">
      <alignment vertical="center"/>
    </xf>
    <xf numFmtId="0" fontId="2" fillId="0" borderId="0">
      <alignment vertical="center"/>
    </xf>
    <xf numFmtId="0" fontId="1" fillId="0" borderId="0">
      <alignment vertical="center"/>
    </xf>
  </cellStyleXfs>
  <cellXfs count="274">
    <xf numFmtId="0" fontId="0" fillId="0" borderId="0" xfId="0">
      <alignment vertical="center"/>
    </xf>
    <xf numFmtId="0" fontId="20" fillId="7" borderId="1" xfId="0" applyFont="1" applyFill="1" applyBorder="1" applyAlignment="1" applyProtection="1">
      <alignment horizontal="left" vertical="top" wrapText="1"/>
      <protection locked="0"/>
    </xf>
    <xf numFmtId="0" fontId="20" fillId="7" borderId="1" xfId="0" applyFont="1" applyFill="1" applyBorder="1" applyAlignment="1" applyProtection="1">
      <alignment vertical="top" wrapText="1"/>
      <protection locked="0"/>
    </xf>
    <xf numFmtId="0" fontId="19" fillId="7" borderId="12" xfId="0" applyFont="1" applyFill="1" applyBorder="1" applyAlignment="1">
      <alignment vertical="top" wrapText="1"/>
    </xf>
    <xf numFmtId="0" fontId="19" fillId="7" borderId="1" xfId="0" applyFont="1" applyFill="1" applyBorder="1" applyAlignment="1">
      <alignment vertical="top" wrapText="1"/>
    </xf>
    <xf numFmtId="0" fontId="20" fillId="8" borderId="1" xfId="0" applyFont="1" applyFill="1" applyBorder="1" applyAlignment="1" applyProtection="1">
      <alignment horizontal="left" vertical="top" wrapText="1"/>
      <protection locked="0"/>
    </xf>
    <xf numFmtId="0" fontId="15" fillId="0" borderId="0" xfId="5" applyFont="1">
      <alignment vertical="center"/>
    </xf>
    <xf numFmtId="0" fontId="15" fillId="0" borderId="0" xfId="7" applyFont="1">
      <alignment vertical="center"/>
    </xf>
    <xf numFmtId="0" fontId="15" fillId="0" borderId="0" xfId="8" applyFont="1">
      <alignment vertical="center"/>
    </xf>
    <xf numFmtId="0" fontId="23" fillId="0" borderId="0" xfId="3" applyProtection="1">
      <alignment vertical="center"/>
    </xf>
    <xf numFmtId="0" fontId="22" fillId="4" borderId="1" xfId="0" applyFont="1" applyFill="1" applyBorder="1" applyAlignment="1">
      <alignment horizontal="center" vertical="top" wrapText="1"/>
    </xf>
    <xf numFmtId="0" fontId="22" fillId="4" borderId="10" xfId="0" applyFont="1" applyFill="1" applyBorder="1" applyAlignment="1">
      <alignment horizontal="center" vertical="top" wrapText="1"/>
    </xf>
    <xf numFmtId="0" fontId="22" fillId="6" borderId="1" xfId="0" applyFont="1" applyFill="1" applyBorder="1" applyAlignment="1">
      <alignment horizontal="center" vertical="top"/>
    </xf>
    <xf numFmtId="0" fontId="20" fillId="0" borderId="14" xfId="0" applyFont="1" applyBorder="1" applyAlignment="1">
      <alignment vertical="top"/>
    </xf>
    <xf numFmtId="0" fontId="20" fillId="0" borderId="10" xfId="0" applyFont="1" applyBorder="1" applyAlignment="1">
      <alignment vertical="top" wrapText="1"/>
    </xf>
    <xf numFmtId="0" fontId="20" fillId="0" borderId="1" xfId="0" applyFont="1" applyBorder="1" applyAlignment="1">
      <alignment vertical="top" wrapText="1"/>
    </xf>
    <xf numFmtId="0" fontId="20" fillId="7" borderId="1" xfId="0" applyFont="1" applyFill="1" applyBorder="1" applyAlignment="1">
      <alignment horizontal="left" vertical="top" wrapText="1"/>
    </xf>
    <xf numFmtId="0" fontId="20" fillId="0" borderId="9" xfId="0" applyFont="1" applyBorder="1" applyAlignment="1">
      <alignment vertical="top" wrapText="1"/>
    </xf>
    <xf numFmtId="0" fontId="22" fillId="4" borderId="1" xfId="0" applyFont="1" applyFill="1" applyBorder="1" applyAlignment="1">
      <alignment horizontal="center" vertical="top"/>
    </xf>
    <xf numFmtId="0" fontId="20" fillId="0" borderId="1" xfId="0" applyFont="1" applyBorder="1" applyAlignment="1">
      <alignment vertical="top"/>
    </xf>
    <xf numFmtId="0" fontId="19" fillId="0" borderId="1" xfId="0" applyFont="1" applyBorder="1" applyAlignment="1">
      <alignment horizontal="left" vertical="top" wrapText="1"/>
    </xf>
    <xf numFmtId="0" fontId="20" fillId="0" borderId="1" xfId="0" applyFont="1" applyBorder="1" applyAlignment="1">
      <alignment horizontal="left" vertical="top" wrapText="1"/>
    </xf>
    <xf numFmtId="0" fontId="20" fillId="7" borderId="1" xfId="0" applyFont="1" applyFill="1" applyBorder="1" applyAlignment="1">
      <alignment vertical="top" wrapText="1"/>
    </xf>
    <xf numFmtId="0" fontId="19" fillId="0" borderId="1" xfId="0" applyFont="1" applyBorder="1" applyAlignment="1">
      <alignment vertical="top" wrapText="1"/>
    </xf>
    <xf numFmtId="0" fontId="20" fillId="2" borderId="10" xfId="0" applyFont="1" applyFill="1" applyBorder="1" applyAlignment="1">
      <alignment vertical="top" wrapText="1"/>
    </xf>
    <xf numFmtId="0" fontId="19" fillId="2" borderId="1" xfId="0" applyFont="1" applyFill="1" applyBorder="1" applyAlignment="1">
      <alignment horizontal="left" vertical="top" wrapText="1"/>
    </xf>
    <xf numFmtId="0" fontId="20" fillId="2" borderId="1" xfId="0" applyFont="1" applyFill="1" applyBorder="1" applyAlignment="1">
      <alignment horizontal="left" vertical="top" wrapText="1"/>
    </xf>
    <xf numFmtId="0" fontId="20" fillId="2" borderId="11" xfId="0" applyFont="1" applyFill="1" applyBorder="1" applyAlignment="1">
      <alignment vertical="top" wrapText="1"/>
    </xf>
    <xf numFmtId="0" fontId="19" fillId="2" borderId="1" xfId="0" applyFont="1" applyFill="1" applyBorder="1" applyAlignment="1">
      <alignment vertical="top" wrapText="1"/>
    </xf>
    <xf numFmtId="0" fontId="20" fillId="2" borderId="1" xfId="0" applyFont="1" applyFill="1" applyBorder="1" applyAlignment="1">
      <alignment vertical="top" wrapText="1"/>
    </xf>
    <xf numFmtId="0" fontId="20" fillId="2" borderId="9" xfId="0" applyFont="1" applyFill="1" applyBorder="1" applyAlignment="1">
      <alignment vertical="top" wrapText="1"/>
    </xf>
    <xf numFmtId="0" fontId="20" fillId="2" borderId="10" xfId="0" applyFont="1" applyFill="1" applyBorder="1" applyAlignment="1">
      <alignment horizontal="left" vertical="top" wrapText="1"/>
    </xf>
    <xf numFmtId="0" fontId="20" fillId="2" borderId="11" xfId="0" applyFont="1" applyFill="1" applyBorder="1" applyAlignment="1">
      <alignment horizontal="left" vertical="top" wrapText="1"/>
    </xf>
    <xf numFmtId="0" fontId="20" fillId="2" borderId="1" xfId="0" quotePrefix="1" applyFont="1" applyFill="1" applyBorder="1" applyAlignment="1">
      <alignment horizontal="left" vertical="top" wrapText="1"/>
    </xf>
    <xf numFmtId="0" fontId="19" fillId="6" borderId="12" xfId="0" applyFont="1" applyFill="1" applyBorder="1" applyAlignment="1">
      <alignment vertical="top" wrapText="1"/>
    </xf>
    <xf numFmtId="0" fontId="20" fillId="0" borderId="5" xfId="0" applyFont="1" applyBorder="1" applyAlignment="1">
      <alignment vertical="top" wrapText="1"/>
    </xf>
    <xf numFmtId="0" fontId="20" fillId="0" borderId="6" xfId="0" applyFont="1" applyBorder="1" applyAlignment="1">
      <alignment vertical="top" wrapText="1"/>
    </xf>
    <xf numFmtId="0" fontId="20" fillId="0" borderId="1" xfId="0" applyFont="1" applyBorder="1" applyAlignment="1">
      <alignment horizontal="left" vertical="center" wrapText="1"/>
    </xf>
    <xf numFmtId="0" fontId="20" fillId="0" borderId="0" xfId="0" applyFont="1">
      <alignment vertical="center"/>
    </xf>
    <xf numFmtId="0" fontId="19" fillId="0" borderId="1" xfId="0" applyFont="1" applyBorder="1" applyAlignment="1">
      <alignment horizontal="left" vertical="center" wrapText="1"/>
    </xf>
    <xf numFmtId="0" fontId="20" fillId="0" borderId="0" xfId="0" applyFont="1" applyAlignment="1">
      <alignment horizontal="left" vertical="center"/>
    </xf>
    <xf numFmtId="0" fontId="22" fillId="4" borderId="1" xfId="0" applyFont="1" applyFill="1" applyBorder="1" applyAlignment="1">
      <alignment horizontal="center" vertical="center" wrapText="1"/>
    </xf>
    <xf numFmtId="0" fontId="0" fillId="0" borderId="0" xfId="0" applyAlignment="1">
      <alignment horizontal="left" vertical="center"/>
    </xf>
    <xf numFmtId="0" fontId="20" fillId="0" borderId="2" xfId="0" applyFont="1" applyBorder="1" applyAlignment="1">
      <alignment vertical="top" wrapText="1"/>
    </xf>
    <xf numFmtId="0" fontId="20" fillId="5" borderId="1" xfId="0" applyFont="1" applyFill="1" applyBorder="1" applyAlignment="1">
      <alignment horizontal="left" vertical="top" wrapText="1"/>
    </xf>
    <xf numFmtId="0" fontId="19" fillId="2" borderId="10" xfId="0" applyFont="1" applyFill="1" applyBorder="1" applyAlignment="1">
      <alignment horizontal="left" vertical="top" wrapText="1"/>
    </xf>
    <xf numFmtId="0" fontId="20" fillId="8" borderId="10" xfId="0" applyFont="1" applyFill="1" applyBorder="1" applyAlignment="1">
      <alignment vertical="top" wrapText="1"/>
    </xf>
    <xf numFmtId="0" fontId="20" fillId="8" borderId="1" xfId="0" applyFont="1" applyFill="1" applyBorder="1" applyAlignment="1">
      <alignment horizontal="left" vertical="top" wrapText="1"/>
    </xf>
    <xf numFmtId="0" fontId="19" fillId="8" borderId="1" xfId="0" applyFont="1" applyFill="1" applyBorder="1" applyAlignment="1">
      <alignment horizontal="left" vertical="top" wrapText="1"/>
    </xf>
    <xf numFmtId="0" fontId="20" fillId="8" borderId="11" xfId="0" applyFont="1" applyFill="1" applyBorder="1" applyAlignment="1">
      <alignment vertical="top" wrapText="1"/>
    </xf>
    <xf numFmtId="0" fontId="20" fillId="8" borderId="9" xfId="0" applyFont="1" applyFill="1" applyBorder="1" applyAlignment="1">
      <alignment vertical="top" wrapText="1"/>
    </xf>
    <xf numFmtId="9" fontId="20" fillId="8" borderId="10" xfId="4" applyFont="1" applyFill="1" applyBorder="1" applyAlignment="1" applyProtection="1">
      <alignment vertical="top" wrapText="1"/>
    </xf>
    <xf numFmtId="0" fontId="20" fillId="8" borderId="1" xfId="0" applyFont="1" applyFill="1" applyBorder="1" applyAlignment="1">
      <alignment vertical="top" wrapText="1"/>
    </xf>
    <xf numFmtId="0" fontId="20" fillId="0" borderId="14" xfId="0" applyFont="1" applyBorder="1" applyAlignment="1">
      <alignment vertical="top" wrapText="1"/>
    </xf>
    <xf numFmtId="0" fontId="20" fillId="0" borderId="4" xfId="0" applyFont="1" applyBorder="1" applyAlignment="1">
      <alignment vertical="top" wrapText="1"/>
    </xf>
    <xf numFmtId="0" fontId="19" fillId="0" borderId="1" xfId="0" applyFont="1" applyBorder="1" applyAlignment="1">
      <alignment vertical="center" wrapText="1"/>
    </xf>
    <xf numFmtId="0" fontId="20" fillId="2" borderId="1" xfId="0" applyFont="1" applyFill="1" applyBorder="1" applyAlignment="1">
      <alignment vertical="center" wrapText="1"/>
    </xf>
    <xf numFmtId="0" fontId="0" fillId="10" borderId="0" xfId="0" applyFill="1">
      <alignment vertical="center"/>
    </xf>
    <xf numFmtId="0" fontId="0" fillId="9" borderId="0" xfId="0" applyFill="1">
      <alignment vertical="center"/>
    </xf>
    <xf numFmtId="0" fontId="19" fillId="9" borderId="1" xfId="0" applyFont="1" applyFill="1" applyBorder="1" applyAlignment="1">
      <alignment vertical="top" wrapText="1"/>
    </xf>
    <xf numFmtId="0" fontId="0" fillId="0" borderId="1" xfId="0" applyBorder="1">
      <alignment vertical="center"/>
    </xf>
    <xf numFmtId="0" fontId="15" fillId="0" borderId="0" xfId="19" applyFont="1">
      <alignment vertical="center"/>
    </xf>
    <xf numFmtId="0" fontId="0" fillId="4" borderId="1" xfId="0" applyFill="1" applyBorder="1">
      <alignment vertical="center"/>
    </xf>
    <xf numFmtId="0" fontId="0" fillId="0" borderId="0" xfId="0" applyAlignment="1">
      <alignment vertical="center" wrapText="1"/>
    </xf>
    <xf numFmtId="0" fontId="15" fillId="0" borderId="0" xfId="20" applyFont="1">
      <alignment vertical="center"/>
    </xf>
    <xf numFmtId="0" fontId="19" fillId="6" borderId="2" xfId="0" applyFont="1" applyFill="1" applyBorder="1" applyAlignment="1">
      <alignment vertical="center" wrapText="1"/>
    </xf>
    <xf numFmtId="0" fontId="19" fillId="6" borderId="3" xfId="0" applyFont="1" applyFill="1" applyBorder="1" applyAlignment="1">
      <alignment vertical="center" wrapText="1"/>
    </xf>
    <xf numFmtId="0" fontId="19" fillId="6" borderId="4" xfId="0" applyFont="1" applyFill="1" applyBorder="1" applyAlignment="1">
      <alignment vertical="center" wrapText="1"/>
    </xf>
    <xf numFmtId="0" fontId="19" fillId="6" borderId="6" xfId="0" applyFont="1" applyFill="1" applyBorder="1" applyAlignment="1">
      <alignment vertical="center" wrapText="1"/>
    </xf>
    <xf numFmtId="0" fontId="19" fillId="6" borderId="7" xfId="0" applyFont="1" applyFill="1" applyBorder="1" applyAlignment="1">
      <alignment vertical="center" wrapText="1"/>
    </xf>
    <xf numFmtId="0" fontId="19" fillId="6" borderId="8" xfId="0" applyFont="1" applyFill="1" applyBorder="1" applyAlignment="1">
      <alignment vertical="center" wrapText="1"/>
    </xf>
    <xf numFmtId="0" fontId="0" fillId="0" borderId="0" xfId="0" applyAlignment="1">
      <alignment horizontal="center" vertical="center"/>
    </xf>
    <xf numFmtId="0" fontId="0" fillId="4" borderId="1" xfId="0" applyFill="1" applyBorder="1" applyAlignment="1">
      <alignment horizontal="center" vertical="center"/>
    </xf>
    <xf numFmtId="0" fontId="20" fillId="0" borderId="11" xfId="0" applyFont="1" applyBorder="1" applyAlignment="1">
      <alignment vertical="top" wrapText="1"/>
    </xf>
    <xf numFmtId="0" fontId="17" fillId="0" borderId="0" xfId="0" applyFont="1" applyAlignment="1"/>
    <xf numFmtId="0" fontId="17" fillId="2" borderId="0" xfId="11" applyFont="1" applyFill="1"/>
    <xf numFmtId="0" fontId="28" fillId="0" borderId="0" xfId="0" applyFont="1" applyAlignment="1"/>
    <xf numFmtId="0" fontId="28" fillId="0" borderId="0" xfId="0" applyFont="1">
      <alignment vertical="center"/>
    </xf>
    <xf numFmtId="0" fontId="30" fillId="0" borderId="0" xfId="0" applyFont="1" applyAlignment="1"/>
    <xf numFmtId="0" fontId="30" fillId="0" borderId="19" xfId="0" applyFont="1" applyBorder="1" applyAlignment="1"/>
    <xf numFmtId="0" fontId="17" fillId="0" borderId="0" xfId="0" applyFont="1">
      <alignment vertical="center"/>
    </xf>
    <xf numFmtId="0" fontId="17" fillId="0" borderId="5" xfId="0" applyFont="1" applyBorder="1">
      <alignment vertical="center"/>
    </xf>
    <xf numFmtId="0" fontId="23" fillId="0" borderId="1" xfId="3" applyBorder="1">
      <alignment vertical="center"/>
    </xf>
    <xf numFmtId="0" fontId="0" fillId="0" borderId="1" xfId="0" applyBorder="1" applyAlignment="1">
      <alignment vertical="center" wrapText="1"/>
    </xf>
    <xf numFmtId="0" fontId="0" fillId="8" borderId="1" xfId="0" applyFill="1" applyBorder="1">
      <alignment vertical="center"/>
    </xf>
    <xf numFmtId="0" fontId="0" fillId="8" borderId="1" xfId="0" applyFill="1" applyBorder="1" applyAlignment="1">
      <alignment horizontal="center" vertical="center" wrapText="1"/>
    </xf>
    <xf numFmtId="0" fontId="0" fillId="8" borderId="1" xfId="0" applyFill="1" applyBorder="1" applyAlignment="1">
      <alignment vertical="center" wrapText="1"/>
    </xf>
    <xf numFmtId="0" fontId="0" fillId="0" borderId="1" xfId="0" applyBorder="1" applyAlignment="1">
      <alignment horizontal="center" vertical="center"/>
    </xf>
    <xf numFmtId="0" fontId="15" fillId="0" borderId="0" xfId="7" applyFont="1" applyAlignment="1">
      <alignment vertical="top"/>
    </xf>
    <xf numFmtId="0" fontId="0" fillId="0" borderId="0" xfId="0" applyAlignment="1">
      <alignment vertical="top"/>
    </xf>
    <xf numFmtId="0" fontId="20" fillId="0" borderId="0" xfId="0" applyFont="1" applyAlignment="1">
      <alignment vertical="top"/>
    </xf>
    <xf numFmtId="0" fontId="20" fillId="0" borderId="0" xfId="0" applyFont="1" applyAlignment="1">
      <alignment horizontal="left" vertical="top"/>
    </xf>
    <xf numFmtId="0" fontId="23" fillId="0" borderId="0" xfId="3" applyAlignment="1" applyProtection="1">
      <alignment vertical="top"/>
    </xf>
    <xf numFmtId="0" fontId="19" fillId="6" borderId="10" xfId="0" applyFont="1" applyFill="1" applyBorder="1" applyAlignment="1">
      <alignment vertical="center" wrapText="1"/>
    </xf>
    <xf numFmtId="0" fontId="19" fillId="6" borderId="1" xfId="0" applyFont="1" applyFill="1" applyBorder="1" applyAlignment="1">
      <alignment vertical="top" wrapText="1"/>
    </xf>
    <xf numFmtId="0" fontId="19" fillId="6" borderId="9" xfId="0" applyFont="1" applyFill="1" applyBorder="1" applyAlignment="1">
      <alignment vertical="top" wrapText="1"/>
    </xf>
    <xf numFmtId="0" fontId="19" fillId="6" borderId="14" xfId="0" applyFont="1" applyFill="1" applyBorder="1" applyAlignment="1">
      <alignment vertical="top" wrapText="1"/>
    </xf>
    <xf numFmtId="0" fontId="19" fillId="6" borderId="15" xfId="0" applyFont="1" applyFill="1" applyBorder="1" applyAlignment="1">
      <alignment vertical="top" wrapText="1"/>
    </xf>
    <xf numFmtId="0" fontId="19" fillId="6" borderId="13" xfId="0" applyFont="1" applyFill="1" applyBorder="1" applyAlignment="1">
      <alignment vertical="top" wrapText="1"/>
    </xf>
    <xf numFmtId="0" fontId="20" fillId="0" borderId="10" xfId="0" applyFont="1" applyBorder="1" applyAlignment="1">
      <alignment vertical="top"/>
    </xf>
    <xf numFmtId="0" fontId="20" fillId="0" borderId="11" xfId="0" applyFont="1" applyBorder="1" applyAlignment="1">
      <alignment vertical="top"/>
    </xf>
    <xf numFmtId="0" fontId="19" fillId="0" borderId="10" xfId="0" applyFont="1" applyBorder="1" applyAlignment="1">
      <alignment horizontal="left" vertical="top" wrapText="1"/>
    </xf>
    <xf numFmtId="0" fontId="19" fillId="0" borderId="10" xfId="0" applyFont="1" applyBorder="1" applyAlignment="1">
      <alignment vertical="top" wrapText="1"/>
    </xf>
    <xf numFmtId="0" fontId="19" fillId="0" borderId="11" xfId="0" applyFont="1" applyBorder="1" applyAlignment="1">
      <alignment vertical="top" wrapText="1"/>
    </xf>
    <xf numFmtId="0" fontId="19" fillId="6" borderId="13" xfId="0" applyFont="1" applyFill="1" applyBorder="1" applyAlignment="1">
      <alignment vertical="center" wrapText="1"/>
    </xf>
    <xf numFmtId="0" fontId="19" fillId="6" borderId="14" xfId="0" applyFont="1" applyFill="1" applyBorder="1" applyAlignment="1">
      <alignment vertical="center" wrapText="1"/>
    </xf>
    <xf numFmtId="0" fontId="19" fillId="6" borderId="15" xfId="0" applyFont="1" applyFill="1" applyBorder="1" applyAlignment="1">
      <alignment vertical="center" wrapText="1"/>
    </xf>
    <xf numFmtId="0" fontId="19" fillId="6" borderId="3" xfId="0" applyFont="1" applyFill="1" applyBorder="1" applyAlignment="1">
      <alignment vertical="top" wrapText="1"/>
    </xf>
    <xf numFmtId="0" fontId="19" fillId="6" borderId="2" xfId="0" applyFont="1" applyFill="1" applyBorder="1" applyAlignment="1">
      <alignment vertical="top" wrapText="1"/>
    </xf>
    <xf numFmtId="0" fontId="19" fillId="6" borderId="6" xfId="0" applyFont="1" applyFill="1" applyBorder="1" applyAlignment="1">
      <alignment vertical="top" wrapText="1"/>
    </xf>
    <xf numFmtId="0" fontId="19" fillId="6" borderId="7" xfId="0" applyFont="1" applyFill="1" applyBorder="1" applyAlignment="1">
      <alignment vertical="top" wrapText="1"/>
    </xf>
    <xf numFmtId="0" fontId="19" fillId="6" borderId="8" xfId="0" applyFont="1" applyFill="1" applyBorder="1" applyAlignment="1">
      <alignment vertical="top" wrapText="1"/>
    </xf>
    <xf numFmtId="0" fontId="19" fillId="6" borderId="14" xfId="0" applyFont="1" applyFill="1" applyBorder="1" applyAlignment="1">
      <alignment vertical="top"/>
    </xf>
    <xf numFmtId="0" fontId="19" fillId="6" borderId="15" xfId="0" applyFont="1" applyFill="1" applyBorder="1" applyAlignment="1">
      <alignment vertical="top"/>
    </xf>
    <xf numFmtId="0" fontId="19" fillId="6" borderId="2" xfId="0" applyFont="1" applyFill="1" applyBorder="1" applyAlignment="1">
      <alignment vertical="top"/>
    </xf>
    <xf numFmtId="0" fontId="19" fillId="6" borderId="3" xfId="0" applyFont="1" applyFill="1" applyBorder="1" applyAlignment="1">
      <alignment vertical="top"/>
    </xf>
    <xf numFmtId="0" fontId="20" fillId="3" borderId="1" xfId="0" applyFont="1" applyFill="1" applyBorder="1" applyAlignment="1" applyProtection="1">
      <protection locked="0"/>
    </xf>
    <xf numFmtId="0" fontId="20" fillId="3" borderId="12" xfId="0" applyFont="1" applyFill="1" applyBorder="1" applyAlignment="1" applyProtection="1">
      <protection locked="0"/>
    </xf>
    <xf numFmtId="0" fontId="20" fillId="0" borderId="1" xfId="0" applyFont="1" applyBorder="1" applyProtection="1">
      <alignment vertical="center"/>
      <protection locked="0"/>
    </xf>
    <xf numFmtId="0" fontId="20" fillId="2" borderId="12" xfId="0" applyFont="1" applyFill="1" applyBorder="1" applyAlignment="1" applyProtection="1">
      <protection locked="0"/>
    </xf>
    <xf numFmtId="0" fontId="20" fillId="2" borderId="1" xfId="0" applyFont="1" applyFill="1" applyBorder="1" applyAlignment="1" applyProtection="1">
      <protection locked="0"/>
    </xf>
    <xf numFmtId="0" fontId="20" fillId="3" borderId="1" xfId="0" applyFont="1" applyFill="1" applyBorder="1" applyProtection="1">
      <alignment vertical="center"/>
      <protection locked="0"/>
    </xf>
    <xf numFmtId="0" fontId="20" fillId="3" borderId="13" xfId="0" applyFont="1" applyFill="1" applyBorder="1" applyProtection="1">
      <alignment vertical="center"/>
      <protection locked="0"/>
    </xf>
    <xf numFmtId="0" fontId="20" fillId="0" borderId="1" xfId="0" applyFont="1" applyBorder="1" applyAlignment="1" applyProtection="1">
      <alignment vertical="center" wrapText="1"/>
      <protection locked="0"/>
    </xf>
    <xf numFmtId="0" fontId="20" fillId="3" borderId="1" xfId="0" applyFont="1" applyFill="1" applyBorder="1" applyAlignment="1" applyProtection="1">
      <alignment vertical="top"/>
      <protection locked="0"/>
    </xf>
    <xf numFmtId="0" fontId="20" fillId="3" borderId="1" xfId="0" applyFont="1" applyFill="1" applyBorder="1" applyAlignment="1"/>
    <xf numFmtId="0" fontId="20" fillId="3" borderId="12" xfId="0" applyFont="1" applyFill="1" applyBorder="1" applyAlignment="1"/>
    <xf numFmtId="0" fontId="20" fillId="2" borderId="13" xfId="0" applyFont="1" applyFill="1" applyBorder="1" applyAlignment="1"/>
    <xf numFmtId="0" fontId="20" fillId="3" borderId="13" xfId="0" applyFont="1" applyFill="1" applyBorder="1" applyAlignment="1"/>
    <xf numFmtId="0" fontId="20" fillId="2" borderId="12" xfId="0" applyFont="1" applyFill="1" applyBorder="1" applyAlignment="1"/>
    <xf numFmtId="0" fontId="20" fillId="0" borderId="1" xfId="0" applyFont="1" applyBorder="1" applyAlignment="1" applyProtection="1">
      <protection locked="0"/>
    </xf>
    <xf numFmtId="0" fontId="20" fillId="3" borderId="1" xfId="0" applyFont="1" applyFill="1" applyBorder="1" applyAlignment="1" applyProtection="1">
      <alignment vertical="top" wrapText="1"/>
      <protection locked="0"/>
    </xf>
    <xf numFmtId="0" fontId="20" fillId="0" borderId="11" xfId="0" applyFont="1" applyBorder="1">
      <alignment vertical="center"/>
    </xf>
    <xf numFmtId="0" fontId="20" fillId="0" borderId="10" xfId="0" applyFont="1" applyBorder="1">
      <alignment vertical="center"/>
    </xf>
    <xf numFmtId="0" fontId="20" fillId="0" borderId="9" xfId="0" applyFont="1" applyBorder="1">
      <alignment vertical="center"/>
    </xf>
    <xf numFmtId="0" fontId="20" fillId="6" borderId="2" xfId="0" applyFont="1" applyFill="1" applyBorder="1">
      <alignment vertical="center"/>
    </xf>
    <xf numFmtId="0" fontId="20" fillId="6" borderId="3" xfId="0" applyFont="1" applyFill="1" applyBorder="1">
      <alignment vertical="center"/>
    </xf>
    <xf numFmtId="0" fontId="20" fillId="6" borderId="4" xfId="0" applyFont="1" applyFill="1" applyBorder="1">
      <alignment vertical="center"/>
    </xf>
    <xf numFmtId="0" fontId="20" fillId="9" borderId="2" xfId="0" applyFont="1" applyFill="1" applyBorder="1">
      <alignment vertical="center"/>
    </xf>
    <xf numFmtId="0" fontId="20" fillId="9" borderId="3" xfId="0" applyFont="1" applyFill="1" applyBorder="1">
      <alignment vertical="center"/>
    </xf>
    <xf numFmtId="0" fontId="20" fillId="9" borderId="4" xfId="0" applyFont="1" applyFill="1" applyBorder="1">
      <alignment vertical="center"/>
    </xf>
    <xf numFmtId="0" fontId="20" fillId="6" borderId="15" xfId="0" applyFont="1" applyFill="1" applyBorder="1">
      <alignment vertical="center"/>
    </xf>
    <xf numFmtId="0" fontId="20" fillId="6" borderId="13" xfId="0" applyFont="1" applyFill="1" applyBorder="1">
      <alignment vertical="center"/>
    </xf>
    <xf numFmtId="0" fontId="20" fillId="6" borderId="14" xfId="0" applyFont="1" applyFill="1" applyBorder="1">
      <alignment vertical="center"/>
    </xf>
    <xf numFmtId="0" fontId="20" fillId="6" borderId="6" xfId="0" applyFont="1" applyFill="1" applyBorder="1">
      <alignment vertical="center"/>
    </xf>
    <xf numFmtId="0" fontId="20" fillId="6" borderId="8" xfId="0" applyFont="1" applyFill="1" applyBorder="1">
      <alignment vertical="center"/>
    </xf>
    <xf numFmtId="0" fontId="20" fillId="6" borderId="7" xfId="0" applyFont="1" applyFill="1" applyBorder="1">
      <alignment vertical="center"/>
    </xf>
    <xf numFmtId="0" fontId="20" fillId="9" borderId="6" xfId="0" applyFont="1" applyFill="1" applyBorder="1">
      <alignment vertical="center"/>
    </xf>
    <xf numFmtId="0" fontId="20" fillId="9" borderId="7" xfId="0" applyFont="1" applyFill="1" applyBorder="1">
      <alignment vertical="center"/>
    </xf>
    <xf numFmtId="0" fontId="20" fillId="9" borderId="8" xfId="0" applyFont="1" applyFill="1" applyBorder="1">
      <alignment vertical="center"/>
    </xf>
    <xf numFmtId="0" fontId="20" fillId="6" borderId="1" xfId="0" applyFont="1" applyFill="1" applyBorder="1" applyAlignment="1">
      <alignment vertical="top"/>
    </xf>
    <xf numFmtId="0" fontId="20" fillId="6" borderId="1" xfId="0" applyFont="1" applyFill="1" applyBorder="1" applyAlignment="1">
      <alignment vertical="top" wrapText="1"/>
    </xf>
    <xf numFmtId="0" fontId="20" fillId="3" borderId="10" xfId="0" applyFont="1" applyFill="1" applyBorder="1" applyProtection="1">
      <alignment vertical="center"/>
      <protection locked="0"/>
    </xf>
    <xf numFmtId="0" fontId="20" fillId="0" borderId="16" xfId="0" applyFont="1" applyBorder="1" applyProtection="1">
      <alignment vertical="center"/>
      <protection locked="0"/>
    </xf>
    <xf numFmtId="49" fontId="20" fillId="0" borderId="16" xfId="0" applyNumberFormat="1" applyFont="1" applyBorder="1" applyProtection="1">
      <alignment vertical="center"/>
      <protection locked="0"/>
    </xf>
    <xf numFmtId="0" fontId="20" fillId="0" borderId="13" xfId="0" applyFont="1" applyBorder="1" applyAlignment="1" applyProtection="1">
      <alignment horizontal="left" vertical="center"/>
      <protection locked="0"/>
    </xf>
    <xf numFmtId="0" fontId="20" fillId="9" borderId="1" xfId="0" applyFont="1" applyFill="1" applyBorder="1" applyProtection="1">
      <alignment vertical="center"/>
      <protection locked="0"/>
    </xf>
    <xf numFmtId="0" fontId="20" fillId="9" borderId="1" xfId="0" applyFont="1" applyFill="1" applyBorder="1" applyAlignment="1" applyProtection="1">
      <alignment horizontal="center" vertical="center"/>
      <protection locked="0"/>
    </xf>
    <xf numFmtId="0" fontId="20" fillId="3" borderId="11" xfId="0" applyFont="1" applyFill="1" applyBorder="1" applyProtection="1">
      <alignment vertical="center"/>
      <protection locked="0"/>
    </xf>
    <xf numFmtId="0" fontId="20" fillId="0" borderId="17" xfId="0" applyFont="1" applyBorder="1" applyProtection="1">
      <alignment vertical="center"/>
      <protection locked="0"/>
    </xf>
    <xf numFmtId="49" fontId="20" fillId="0" borderId="17" xfId="0" applyNumberFormat="1" applyFont="1" applyBorder="1" applyProtection="1">
      <alignment vertical="center"/>
      <protection locked="0"/>
    </xf>
    <xf numFmtId="0" fontId="20" fillId="3" borderId="9" xfId="0" applyFont="1" applyFill="1" applyBorder="1" applyProtection="1">
      <alignment vertical="center"/>
      <protection locked="0"/>
    </xf>
    <xf numFmtId="0" fontId="20" fillId="0" borderId="18" xfId="0" applyFont="1" applyBorder="1" applyProtection="1">
      <alignment vertical="center"/>
      <protection locked="0"/>
    </xf>
    <xf numFmtId="49" fontId="20" fillId="0" borderId="18" xfId="0" applyNumberFormat="1" applyFont="1" applyBorder="1" applyProtection="1">
      <alignment vertical="center"/>
      <protection locked="0"/>
    </xf>
    <xf numFmtId="0" fontId="20" fillId="9" borderId="10" xfId="0" applyFont="1" applyFill="1" applyBorder="1" applyProtection="1">
      <alignment vertical="center"/>
      <protection locked="0"/>
    </xf>
    <xf numFmtId="0" fontId="20" fillId="9" borderId="11" xfId="0" applyFont="1" applyFill="1" applyBorder="1" applyProtection="1">
      <alignment vertical="center"/>
      <protection locked="0"/>
    </xf>
    <xf numFmtId="0" fontId="20" fillId="9" borderId="9" xfId="0" applyFont="1" applyFill="1" applyBorder="1" applyProtection="1">
      <alignment vertical="center"/>
      <protection locked="0"/>
    </xf>
    <xf numFmtId="49" fontId="20" fillId="0" borderId="0" xfId="0" applyNumberFormat="1" applyFont="1">
      <alignment vertical="center"/>
    </xf>
    <xf numFmtId="0" fontId="20" fillId="9" borderId="0" xfId="0" applyFont="1" applyFill="1">
      <alignment vertical="center"/>
    </xf>
    <xf numFmtId="0" fontId="19" fillId="6" borderId="15" xfId="0" applyFont="1" applyFill="1" applyBorder="1" applyAlignment="1">
      <alignment horizontal="left" vertical="center" wrapText="1"/>
    </xf>
    <xf numFmtId="0" fontId="19" fillId="6" borderId="13" xfId="0" applyFont="1" applyFill="1" applyBorder="1" applyAlignment="1">
      <alignment horizontal="left" vertical="center" wrapText="1"/>
    </xf>
    <xf numFmtId="0" fontId="19" fillId="6" borderId="2" xfId="0" applyFont="1" applyFill="1" applyBorder="1">
      <alignment vertical="center"/>
    </xf>
    <xf numFmtId="0" fontId="20" fillId="0" borderId="10" xfId="0" applyFont="1" applyBorder="1" applyProtection="1">
      <alignment vertical="center"/>
      <protection locked="0"/>
    </xf>
    <xf numFmtId="0" fontId="20" fillId="0" borderId="11" xfId="0" applyFont="1" applyBorder="1" applyProtection="1">
      <alignment vertical="center"/>
      <protection locked="0"/>
    </xf>
    <xf numFmtId="0" fontId="20" fillId="0" borderId="9" xfId="0" applyFont="1" applyBorder="1" applyProtection="1">
      <alignment vertical="center"/>
      <protection locked="0"/>
    </xf>
    <xf numFmtId="0" fontId="35" fillId="0" borderId="16" xfId="0" applyFont="1" applyBorder="1" applyAlignment="1">
      <alignment vertical="center" wrapText="1"/>
    </xf>
    <xf numFmtId="0" fontId="20" fillId="3" borderId="10" xfId="0" applyFont="1" applyFill="1" applyBorder="1" applyAlignment="1" applyProtection="1">
      <protection locked="0"/>
    </xf>
    <xf numFmtId="0" fontId="20" fillId="3" borderId="9" xfId="0" applyFont="1" applyFill="1" applyBorder="1" applyAlignment="1" applyProtection="1">
      <protection locked="0"/>
    </xf>
    <xf numFmtId="0" fontId="20" fillId="3" borderId="11" xfId="0" applyFont="1" applyFill="1" applyBorder="1" applyAlignment="1" applyProtection="1">
      <protection locked="0"/>
    </xf>
    <xf numFmtId="0" fontId="20" fillId="0" borderId="9" xfId="0" applyFont="1" applyBorder="1" applyAlignment="1">
      <alignment vertical="top"/>
    </xf>
    <xf numFmtId="0" fontId="23" fillId="8" borderId="1" xfId="3" applyFill="1" applyBorder="1">
      <alignment vertical="center"/>
    </xf>
    <xf numFmtId="14" fontId="0" fillId="8" borderId="1" xfId="0" applyNumberFormat="1" applyFill="1" applyBorder="1" applyAlignment="1">
      <alignment horizontal="center" vertical="center" wrapText="1"/>
    </xf>
    <xf numFmtId="0" fontId="0" fillId="0" borderId="1" xfId="0" applyBorder="1" applyAlignment="1">
      <alignment horizontal="center" vertical="center" wrapText="1"/>
    </xf>
    <xf numFmtId="14" fontId="0" fillId="0" borderId="1" xfId="0" applyNumberFormat="1" applyBorder="1" applyAlignment="1">
      <alignment horizontal="center" vertical="center"/>
    </xf>
    <xf numFmtId="0" fontId="15" fillId="0" borderId="0" xfId="23" applyFont="1">
      <alignment vertical="center"/>
    </xf>
    <xf numFmtId="0" fontId="23" fillId="0" borderId="0" xfId="3" applyFill="1" applyProtection="1">
      <alignment vertical="center"/>
    </xf>
    <xf numFmtId="0" fontId="19" fillId="6" borderId="1" xfId="0" applyFont="1" applyFill="1" applyBorder="1" applyAlignment="1">
      <alignment horizontal="left" vertical="top" wrapText="1"/>
    </xf>
    <xf numFmtId="0" fontId="19" fillId="7" borderId="1" xfId="0" applyFont="1" applyFill="1" applyBorder="1" applyAlignment="1">
      <alignment horizontal="left" vertical="center" wrapText="1"/>
    </xf>
    <xf numFmtId="18" fontId="20" fillId="0" borderId="1" xfId="0" applyNumberFormat="1" applyFont="1" applyBorder="1" applyAlignment="1">
      <alignment horizontal="left" vertical="center" wrapText="1"/>
    </xf>
    <xf numFmtId="46" fontId="20" fillId="0" borderId="1" xfId="0" applyNumberFormat="1" applyFont="1" applyBorder="1" applyAlignment="1">
      <alignment horizontal="left" vertical="center" wrapText="1"/>
    </xf>
    <xf numFmtId="18" fontId="20" fillId="8" borderId="1" xfId="0" applyNumberFormat="1" applyFont="1" applyFill="1" applyBorder="1" applyAlignment="1">
      <alignment horizontal="left" vertical="center" wrapText="1"/>
    </xf>
    <xf numFmtId="46" fontId="20" fillId="8" borderId="1" xfId="0" applyNumberFormat="1" applyFont="1" applyFill="1" applyBorder="1" applyAlignment="1">
      <alignment horizontal="left" vertical="center" wrapText="1"/>
    </xf>
    <xf numFmtId="0" fontId="20" fillId="8" borderId="1" xfId="0" applyFont="1" applyFill="1" applyBorder="1" applyAlignment="1" applyProtection="1">
      <alignment vertical="top" wrapText="1"/>
      <protection locked="0"/>
    </xf>
    <xf numFmtId="0" fontId="17" fillId="0" borderId="2" xfId="0" applyFont="1" applyBorder="1" applyAlignment="1">
      <alignment horizontal="center" vertical="center" wrapText="1"/>
    </xf>
    <xf numFmtId="0" fontId="17" fillId="0" borderId="3" xfId="0" applyFont="1" applyBorder="1" applyAlignment="1">
      <alignment horizontal="center" vertical="center" wrapText="1"/>
    </xf>
    <xf numFmtId="0" fontId="17" fillId="0" borderId="4" xfId="0" applyFont="1" applyBorder="1" applyAlignment="1">
      <alignment horizontal="center" vertical="center" wrapText="1"/>
    </xf>
    <xf numFmtId="0" fontId="17" fillId="0" borderId="5" xfId="0" applyFont="1" applyBorder="1" applyAlignment="1">
      <alignment horizontal="center" vertical="center" wrapText="1"/>
    </xf>
    <xf numFmtId="0" fontId="17" fillId="0" borderId="0" xfId="0" applyFont="1" applyAlignment="1">
      <alignment horizontal="center" vertical="center" wrapText="1"/>
    </xf>
    <xf numFmtId="0" fontId="17" fillId="0" borderId="20" xfId="0" applyFont="1" applyBorder="1" applyAlignment="1">
      <alignment horizontal="center" vertical="center" wrapText="1"/>
    </xf>
    <xf numFmtId="0" fontId="17" fillId="0" borderId="6" xfId="0" applyFont="1" applyBorder="1" applyAlignment="1">
      <alignment horizontal="center" vertical="center" wrapText="1"/>
    </xf>
    <xf numFmtId="0" fontId="17" fillId="0" borderId="7" xfId="0" applyFont="1" applyBorder="1" applyAlignment="1">
      <alignment horizontal="center" vertical="center" wrapText="1"/>
    </xf>
    <xf numFmtId="0" fontId="17" fillId="0" borderId="8" xfId="0" applyFont="1" applyBorder="1" applyAlignment="1">
      <alignment horizontal="center" vertical="center" wrapText="1"/>
    </xf>
    <xf numFmtId="0" fontId="17" fillId="0" borderId="3" xfId="0" applyFont="1" applyBorder="1" applyAlignment="1">
      <alignment horizontal="center" vertical="center"/>
    </xf>
    <xf numFmtId="0" fontId="17" fillId="0" borderId="4" xfId="0" applyFont="1" applyBorder="1" applyAlignment="1">
      <alignment horizontal="center" vertical="center"/>
    </xf>
    <xf numFmtId="0" fontId="17" fillId="0" borderId="5" xfId="0" applyFont="1" applyBorder="1" applyAlignment="1">
      <alignment horizontal="center" vertical="center"/>
    </xf>
    <xf numFmtId="0" fontId="17" fillId="0" borderId="0" xfId="0" applyFont="1" applyAlignment="1">
      <alignment horizontal="center" vertical="center"/>
    </xf>
    <xf numFmtId="0" fontId="17" fillId="0" borderId="20" xfId="0" applyFont="1" applyBorder="1" applyAlignment="1">
      <alignment horizontal="center" vertical="center"/>
    </xf>
    <xf numFmtId="0" fontId="17" fillId="0" borderId="6" xfId="0" applyFont="1" applyBorder="1" applyAlignment="1">
      <alignment horizontal="center" vertical="center"/>
    </xf>
    <xf numFmtId="0" fontId="17" fillId="0" borderId="7" xfId="0" applyFont="1" applyBorder="1" applyAlignment="1">
      <alignment horizontal="center" vertical="center"/>
    </xf>
    <xf numFmtId="0" fontId="17" fillId="0" borderId="8" xfId="0" applyFont="1" applyBorder="1" applyAlignment="1">
      <alignment horizontal="center" vertical="center"/>
    </xf>
    <xf numFmtId="14" fontId="17" fillId="0" borderId="14" xfId="0" applyNumberFormat="1" applyFont="1" applyBorder="1" applyAlignment="1">
      <alignment horizontal="center" vertical="center"/>
    </xf>
    <xf numFmtId="14" fontId="17" fillId="0" borderId="15" xfId="0" applyNumberFormat="1" applyFont="1" applyBorder="1" applyAlignment="1">
      <alignment horizontal="center" vertical="center"/>
    </xf>
    <xf numFmtId="14" fontId="17" fillId="0" borderId="13" xfId="0" applyNumberFormat="1" applyFont="1" applyBorder="1" applyAlignment="1">
      <alignment horizontal="center" vertical="center"/>
    </xf>
    <xf numFmtId="0" fontId="33" fillId="0" borderId="0" xfId="0" applyFont="1" applyAlignment="1">
      <alignment horizontal="center" vertical="center"/>
    </xf>
    <xf numFmtId="0" fontId="31" fillId="0" borderId="0" xfId="0" applyFont="1" applyAlignment="1">
      <alignment horizontal="center"/>
    </xf>
    <xf numFmtId="0" fontId="31" fillId="0" borderId="19" xfId="0" applyFont="1" applyBorder="1" applyAlignment="1">
      <alignment horizontal="center"/>
    </xf>
    <xf numFmtId="0" fontId="32" fillId="0" borderId="2" xfId="0" applyFont="1" applyBorder="1" applyAlignment="1">
      <alignment horizontal="center" vertical="center"/>
    </xf>
    <xf numFmtId="0" fontId="32" fillId="0" borderId="3" xfId="0" applyFont="1" applyBorder="1" applyAlignment="1">
      <alignment horizontal="center" vertical="center"/>
    </xf>
    <xf numFmtId="0" fontId="32" fillId="0" borderId="4" xfId="0" applyFont="1" applyBorder="1" applyAlignment="1">
      <alignment horizontal="center" vertical="center"/>
    </xf>
    <xf numFmtId="0" fontId="32" fillId="0" borderId="5" xfId="0" applyFont="1" applyBorder="1" applyAlignment="1">
      <alignment horizontal="center" vertical="center"/>
    </xf>
    <xf numFmtId="0" fontId="32" fillId="0" borderId="0" xfId="0" applyFont="1" applyAlignment="1">
      <alignment horizontal="center" vertical="center"/>
    </xf>
    <xf numFmtId="0" fontId="32" fillId="0" borderId="20" xfId="0" applyFont="1" applyBorder="1" applyAlignment="1">
      <alignment horizontal="center" vertical="center"/>
    </xf>
    <xf numFmtId="0" fontId="31" fillId="0" borderId="5" xfId="0" applyFont="1" applyBorder="1" applyAlignment="1">
      <alignment horizontal="center" vertical="center"/>
    </xf>
    <xf numFmtId="0" fontId="31" fillId="0" borderId="0" xfId="0" applyFont="1" applyAlignment="1">
      <alignment horizontal="center" vertical="center"/>
    </xf>
    <xf numFmtId="0" fontId="31" fillId="0" borderId="20" xfId="0" applyFont="1" applyBorder="1" applyAlignment="1">
      <alignment horizontal="center" vertical="center"/>
    </xf>
    <xf numFmtId="0" fontId="31" fillId="0" borderId="6" xfId="0" applyFont="1" applyBorder="1" applyAlignment="1">
      <alignment horizontal="center" vertical="center"/>
    </xf>
    <xf numFmtId="0" fontId="31" fillId="0" borderId="7" xfId="0" applyFont="1" applyBorder="1" applyAlignment="1">
      <alignment horizontal="center" vertical="center"/>
    </xf>
    <xf numFmtId="0" fontId="31" fillId="0" borderId="8" xfId="0" applyFont="1" applyBorder="1" applyAlignment="1">
      <alignment horizontal="center" vertical="center"/>
    </xf>
    <xf numFmtId="14" fontId="33" fillId="0" borderId="0" xfId="0" applyNumberFormat="1" applyFont="1" applyAlignment="1">
      <alignment horizontal="center" vertical="center"/>
    </xf>
    <xf numFmtId="0" fontId="20" fillId="6" borderId="14" xfId="0" applyFont="1" applyFill="1" applyBorder="1">
      <alignment vertical="center"/>
    </xf>
    <xf numFmtId="0" fontId="20" fillId="6" borderId="1" xfId="0" applyFont="1" applyFill="1" applyBorder="1">
      <alignment vertical="center"/>
    </xf>
    <xf numFmtId="0" fontId="19" fillId="6" borderId="14" xfId="0" applyFont="1" applyFill="1" applyBorder="1" applyAlignment="1">
      <alignment vertical="top" wrapText="1"/>
    </xf>
    <xf numFmtId="0" fontId="19" fillId="6" borderId="1" xfId="0" applyFont="1" applyFill="1" applyBorder="1" applyAlignment="1">
      <alignment vertical="top" wrapText="1"/>
    </xf>
    <xf numFmtId="0" fontId="19" fillId="6" borderId="10" xfId="0" applyFont="1" applyFill="1" applyBorder="1" applyAlignment="1">
      <alignment vertical="top" wrapText="1"/>
    </xf>
    <xf numFmtId="0" fontId="19" fillId="6" borderId="9" xfId="0" applyFont="1" applyFill="1" applyBorder="1" applyAlignment="1">
      <alignment vertical="top" wrapText="1"/>
    </xf>
    <xf numFmtId="0" fontId="19" fillId="6" borderId="10" xfId="0" applyFont="1" applyFill="1" applyBorder="1" applyAlignment="1">
      <alignment vertical="center" wrapText="1"/>
    </xf>
    <xf numFmtId="0" fontId="19" fillId="6" borderId="9" xfId="0" applyFont="1" applyFill="1" applyBorder="1" applyAlignment="1">
      <alignment vertical="center" wrapText="1"/>
    </xf>
    <xf numFmtId="0" fontId="20" fillId="6" borderId="10" xfId="0" applyFont="1" applyFill="1" applyBorder="1">
      <alignment vertical="center"/>
    </xf>
    <xf numFmtId="0" fontId="20" fillId="6" borderId="9" xfId="0" applyFont="1" applyFill="1" applyBorder="1">
      <alignment vertical="center"/>
    </xf>
    <xf numFmtId="0" fontId="20" fillId="0" borderId="10" xfId="0" applyFont="1" applyBorder="1" applyAlignment="1">
      <alignment vertical="top"/>
    </xf>
    <xf numFmtId="0" fontId="20" fillId="0" borderId="11" xfId="0" applyFont="1" applyBorder="1" applyAlignment="1">
      <alignment vertical="top"/>
    </xf>
    <xf numFmtId="0" fontId="20" fillId="0" borderId="9" xfId="0" applyFont="1" applyBorder="1" applyAlignment="1">
      <alignment vertical="top"/>
    </xf>
    <xf numFmtId="0" fontId="19" fillId="0" borderId="10" xfId="0" applyFont="1" applyBorder="1" applyAlignment="1">
      <alignment horizontal="left" vertical="top" wrapText="1"/>
    </xf>
    <xf numFmtId="0" fontId="19" fillId="0" borderId="11" xfId="0" applyFont="1" applyBorder="1" applyAlignment="1">
      <alignment horizontal="left" vertical="top" wrapText="1"/>
    </xf>
    <xf numFmtId="0" fontId="19" fillId="0" borderId="9" xfId="0" applyFont="1" applyBorder="1" applyAlignment="1">
      <alignment horizontal="left" vertical="top" wrapText="1"/>
    </xf>
    <xf numFmtId="0" fontId="20" fillId="0" borderId="10" xfId="0" applyFont="1" applyBorder="1" applyAlignment="1">
      <alignment horizontal="left" vertical="top" wrapText="1"/>
    </xf>
    <xf numFmtId="0" fontId="20" fillId="0" borderId="11" xfId="0" applyFont="1" applyBorder="1" applyAlignment="1">
      <alignment horizontal="left" vertical="top" wrapText="1"/>
    </xf>
    <xf numFmtId="0" fontId="20" fillId="0" borderId="9" xfId="0" applyFont="1" applyBorder="1" applyAlignment="1">
      <alignment horizontal="left" vertical="top" wrapText="1"/>
    </xf>
    <xf numFmtId="0" fontId="20" fillId="7" borderId="10" xfId="0" applyFont="1" applyFill="1" applyBorder="1" applyAlignment="1" applyProtection="1">
      <alignment horizontal="left" vertical="top" wrapText="1"/>
      <protection locked="0"/>
    </xf>
    <xf numFmtId="0" fontId="20" fillId="7" borderId="11" xfId="0" applyFont="1" applyFill="1" applyBorder="1" applyAlignment="1" applyProtection="1">
      <alignment horizontal="left" vertical="top" wrapText="1"/>
      <protection locked="0"/>
    </xf>
    <xf numFmtId="0" fontId="20" fillId="7" borderId="9" xfId="0" applyFont="1" applyFill="1" applyBorder="1" applyAlignment="1" applyProtection="1">
      <alignment horizontal="left" vertical="top" wrapText="1"/>
      <protection locked="0"/>
    </xf>
    <xf numFmtId="0" fontId="20" fillId="0" borderId="11" xfId="0" applyFont="1" applyBorder="1" applyAlignment="1">
      <alignment vertical="top" wrapText="1"/>
    </xf>
    <xf numFmtId="0" fontId="19" fillId="0" borderId="10" xfId="0" applyFont="1" applyBorder="1" applyAlignment="1">
      <alignment vertical="top" wrapText="1"/>
    </xf>
    <xf numFmtId="0" fontId="19" fillId="0" borderId="11" xfId="0" applyFont="1" applyBorder="1" applyAlignment="1">
      <alignment vertical="top" wrapText="1"/>
    </xf>
    <xf numFmtId="0" fontId="19" fillId="0" borderId="9" xfId="0" applyFont="1" applyBorder="1" applyAlignment="1">
      <alignment vertical="top" wrapText="1"/>
    </xf>
    <xf numFmtId="0" fontId="20" fillId="6" borderId="11" xfId="0" applyFont="1" applyFill="1" applyBorder="1">
      <alignment vertical="center"/>
    </xf>
    <xf numFmtId="0" fontId="20" fillId="0" borderId="10" xfId="0" applyFont="1" applyBorder="1" applyAlignment="1">
      <alignment horizontal="center" vertical="top" wrapText="1"/>
    </xf>
    <xf numFmtId="0" fontId="20" fillId="0" borderId="11" xfId="0" applyFont="1" applyBorder="1" applyAlignment="1">
      <alignment horizontal="center" vertical="top" wrapText="1"/>
    </xf>
    <xf numFmtId="0" fontId="20" fillId="9" borderId="10" xfId="0" applyFont="1" applyFill="1" applyBorder="1" applyAlignment="1" applyProtection="1">
      <alignment horizontal="center" vertical="center"/>
      <protection locked="0"/>
    </xf>
    <xf numFmtId="0" fontId="20" fillId="9" borderId="11" xfId="0" applyFont="1" applyFill="1" applyBorder="1" applyAlignment="1" applyProtection="1">
      <alignment horizontal="center" vertical="center"/>
      <protection locked="0"/>
    </xf>
    <xf numFmtId="0" fontId="20" fillId="9" borderId="9" xfId="0" applyFont="1" applyFill="1" applyBorder="1" applyAlignment="1" applyProtection="1">
      <alignment horizontal="center" vertical="center"/>
      <protection locked="0"/>
    </xf>
    <xf numFmtId="0" fontId="20" fillId="0" borderId="10" xfId="0" applyFont="1" applyBorder="1" applyProtection="1">
      <alignment vertical="center"/>
      <protection locked="0"/>
    </xf>
    <xf numFmtId="0" fontId="20" fillId="0" borderId="11" xfId="0" applyFont="1" applyBorder="1" applyProtection="1">
      <alignment vertical="center"/>
      <protection locked="0"/>
    </xf>
    <xf numFmtId="0" fontId="20" fillId="0" borderId="9" xfId="0" applyFont="1" applyBorder="1" applyProtection="1">
      <alignment vertical="center"/>
      <protection locked="0"/>
    </xf>
    <xf numFmtId="0" fontId="20" fillId="0" borderId="10" xfId="0" applyFont="1" applyBorder="1" applyAlignment="1" applyProtection="1">
      <alignment horizontal="left" vertical="center"/>
      <protection locked="0"/>
    </xf>
    <xf numFmtId="0" fontId="20" fillId="0" borderId="11" xfId="0" applyFont="1" applyBorder="1" applyAlignment="1" applyProtection="1">
      <alignment horizontal="left" vertical="center"/>
      <protection locked="0"/>
    </xf>
    <xf numFmtId="0" fontId="20" fillId="0" borderId="9" xfId="0" applyFont="1" applyBorder="1" applyAlignment="1" applyProtection="1">
      <alignment horizontal="left" vertical="center"/>
      <protection locked="0"/>
    </xf>
    <xf numFmtId="0" fontId="20" fillId="3" borderId="10" xfId="0" applyFont="1" applyFill="1" applyBorder="1" applyProtection="1">
      <alignment vertical="center"/>
      <protection locked="0"/>
    </xf>
    <xf numFmtId="0" fontId="20" fillId="3" borderId="11" xfId="0" applyFont="1" applyFill="1" applyBorder="1" applyProtection="1">
      <alignment vertical="center"/>
      <protection locked="0"/>
    </xf>
    <xf numFmtId="0" fontId="20" fillId="3" borderId="9" xfId="0" applyFont="1" applyFill="1" applyBorder="1" applyProtection="1">
      <alignment vertical="center"/>
      <protection locked="0"/>
    </xf>
    <xf numFmtId="0" fontId="20" fillId="0" borderId="1" xfId="0" applyFont="1" applyBorder="1">
      <alignment vertical="center"/>
    </xf>
    <xf numFmtId="0" fontId="34" fillId="3" borderId="10" xfId="0" applyFont="1" applyFill="1" applyBorder="1" applyProtection="1">
      <alignment vertical="center"/>
      <protection locked="0"/>
    </xf>
    <xf numFmtId="0" fontId="34" fillId="3" borderId="11" xfId="0" applyFont="1" applyFill="1" applyBorder="1" applyProtection="1">
      <alignment vertical="center"/>
      <protection locked="0"/>
    </xf>
    <xf numFmtId="0" fontId="34" fillId="3" borderId="9" xfId="0" applyFont="1" applyFill="1" applyBorder="1" applyProtection="1">
      <alignment vertical="center"/>
      <protection locked="0"/>
    </xf>
  </cellXfs>
  <cellStyles count="24">
    <cellStyle name="Normal 2" xfId="2" xr:uid="{27607F87-74DF-431C-BA9A-A29AE75CBB21}"/>
    <cellStyle name="パーセント" xfId="4" builtinId="5"/>
    <cellStyle name="ハイパーリンク" xfId="3" builtinId="8"/>
    <cellStyle name="標準" xfId="0" builtinId="0"/>
    <cellStyle name="標準 2" xfId="1" xr:uid="{9C6C678F-D78D-45ED-8C3A-9DDD1CABF8D9}"/>
    <cellStyle name="標準 2 2" xfId="5" xr:uid="{7D5CCFCA-9FFD-487C-A232-A75349CBE837}"/>
    <cellStyle name="標準 2 2 2" xfId="6" xr:uid="{47B1882D-DD95-48A9-9F73-2F557752BE23}"/>
    <cellStyle name="標準 2 2 2 2" xfId="7" xr:uid="{0AE5EB88-0695-4E71-968D-CFB0874A97CC}"/>
    <cellStyle name="標準 2 2 2 2 2" xfId="8" xr:uid="{4D13E008-9907-4DAC-B7DF-40C7D5469D4F}"/>
    <cellStyle name="標準 2 2 2 2 2 2" xfId="9" xr:uid="{E79910AA-DE7C-4F12-9866-043680C6BD24}"/>
    <cellStyle name="標準 2 2 2 2 2 3" xfId="10" xr:uid="{F21DC37F-6F2E-4EF0-B13D-E8150630710F}"/>
    <cellStyle name="標準 2 2 2 2 2 4" xfId="23" xr:uid="{AFBFDC3D-52C7-4485-8924-CF5C35EC9771}"/>
    <cellStyle name="標準 2 2 2 2 3" xfId="15" xr:uid="{0BC89B50-B996-4F32-A12A-F6A89F010291}"/>
    <cellStyle name="標準 2 2 2 2 3 3" xfId="19" xr:uid="{C64ED288-437C-4989-8AA9-9AF0ED7E2436}"/>
    <cellStyle name="標準 2 2 2 3 2" xfId="17" xr:uid="{D0CECAE1-B9B6-48E1-B86E-99F8DC4C48BB}"/>
    <cellStyle name="標準 2 2 3" xfId="12" xr:uid="{AB8DAD6B-6F07-4F84-AFF4-9001F04CD5BE}"/>
    <cellStyle name="標準 2 2 4" xfId="14" xr:uid="{FAA0CA57-CC80-47D6-86EC-D6EBE1EFFACE}"/>
    <cellStyle name="標準 2 3" xfId="13" xr:uid="{1C014ACD-DAA1-4DF1-9B40-427746B15741}"/>
    <cellStyle name="標準 2 4" xfId="16" xr:uid="{9F25C8E6-9714-4DB7-8282-F332EBEF3C83}"/>
    <cellStyle name="標準 2 5" xfId="20" xr:uid="{61AEE34D-F39A-40DA-B7E2-EA692E3F7590}"/>
    <cellStyle name="標準 2 6" xfId="21" xr:uid="{1C441B75-B284-42F9-9CF7-F98393D593E2}"/>
    <cellStyle name="標準 2 6 2" xfId="22" xr:uid="{F1437579-E44C-4B25-AF36-705E0127B1E0}"/>
    <cellStyle name="標準 3" xfId="11" xr:uid="{942EA3AA-1AAC-488E-A27D-5DABE16255B0}"/>
    <cellStyle name="標準 3 3" xfId="18" xr:uid="{64B06E6E-9B38-4C99-AD83-EC1A9044B12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37"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003file\Project\public\work\customer\project\tcs\&#23455;&#34892;&#31995;\2.&#35373;&#35336;\&#12450;&#12503;&#12522;\DM\&#12486;&#12540;&#12502;&#12523;&#23450;&#3268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メニュー"/>
      <sheetName val="テーブル一覧表"/>
      <sheetName val="テーブル仕様"/>
      <sheetName val="インデックス仕様"/>
      <sheetName val="関連定義"/>
      <sheetName val="SQL文"/>
      <sheetName val="社員リスト"/>
      <sheetName val="マスタ"/>
      <sheetName val="属性リスト"/>
    </sheetNames>
    <sheetDataSet>
      <sheetData sheetId="0"/>
      <sheetData sheetId="1"/>
      <sheetData sheetId="2"/>
      <sheetData sheetId="3"/>
      <sheetData sheetId="4"/>
      <sheetData sheetId="5"/>
      <sheetData sheetId="6"/>
      <sheetData sheetId="7" refreshError="1"/>
      <sheetData sheetId="8" refreshError="1"/>
      <sheetData sheetId="9" refreshError="1"/>
    </sheetDataSet>
  </externalBook>
</externalLink>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97588-7E4A-4660-B4DA-FE61973339B4}">
  <sheetPr codeName="Sheet2">
    <pageSetUpPr autoPageBreaks="0"/>
  </sheetPr>
  <dimension ref="A1:AK37"/>
  <sheetViews>
    <sheetView showGridLines="0" zoomScaleNormal="100" zoomScaleSheetLayoutView="100" workbookViewId="0"/>
  </sheetViews>
  <sheetFormatPr defaultColWidth="2.140625" defaultRowHeight="15" customHeight="1" x14ac:dyDescent="0.35"/>
  <cols>
    <col min="1" max="16384" width="2.140625" style="75"/>
  </cols>
  <sheetData>
    <row r="1" spans="1:37" ht="15" customHeight="1" x14ac:dyDescent="0.35">
      <c r="A1" s="74"/>
      <c r="B1" s="74"/>
      <c r="C1" s="74"/>
      <c r="D1" s="74"/>
      <c r="E1" s="74"/>
      <c r="F1" s="74"/>
      <c r="G1" s="74"/>
      <c r="H1" s="74"/>
      <c r="I1" s="74"/>
      <c r="J1" s="74"/>
      <c r="K1" s="74"/>
      <c r="L1" s="74"/>
      <c r="M1" s="74"/>
      <c r="N1" s="74"/>
      <c r="O1" s="74"/>
      <c r="P1" s="74"/>
      <c r="Q1" s="74"/>
      <c r="R1" s="74"/>
      <c r="S1" s="74"/>
      <c r="T1" s="74"/>
      <c r="U1" s="74"/>
      <c r="V1" s="74"/>
      <c r="W1" s="74"/>
      <c r="X1" s="74"/>
      <c r="Y1" s="74"/>
      <c r="Z1" s="74"/>
      <c r="AA1" s="74"/>
      <c r="AB1" s="74"/>
      <c r="AC1" s="74"/>
      <c r="AD1" s="74"/>
      <c r="AE1" s="74"/>
      <c r="AF1" s="74"/>
      <c r="AG1" s="74"/>
      <c r="AH1" s="74"/>
      <c r="AI1" s="74"/>
      <c r="AJ1" s="74"/>
      <c r="AK1" s="74"/>
    </row>
    <row r="2" spans="1:37" ht="15" customHeight="1" x14ac:dyDescent="0.35">
      <c r="A2" s="74"/>
      <c r="B2" s="74"/>
      <c r="C2" s="76"/>
      <c r="D2" s="76"/>
      <c r="E2" s="76"/>
      <c r="F2" s="76"/>
      <c r="G2" s="76"/>
      <c r="H2" s="76"/>
      <c r="I2" s="76"/>
      <c r="J2" s="76"/>
      <c r="K2" s="76"/>
      <c r="L2" s="76"/>
      <c r="M2" s="76"/>
      <c r="N2" s="76"/>
      <c r="O2" s="76"/>
      <c r="P2" s="76"/>
      <c r="Q2" s="76"/>
      <c r="R2" s="74"/>
      <c r="S2" s="74"/>
      <c r="T2" s="74"/>
      <c r="U2" s="74"/>
      <c r="V2" s="74"/>
      <c r="W2" s="74"/>
      <c r="X2" s="74"/>
      <c r="Y2" s="74"/>
      <c r="Z2" s="74"/>
      <c r="AA2" s="74"/>
      <c r="AB2" s="74"/>
      <c r="AC2" s="74"/>
      <c r="AD2" s="74"/>
      <c r="AE2" s="74"/>
      <c r="AF2" s="74"/>
      <c r="AG2" s="74"/>
      <c r="AH2" s="74"/>
      <c r="AI2" s="74"/>
      <c r="AJ2" s="74"/>
      <c r="AK2" s="74"/>
    </row>
    <row r="3" spans="1:37" ht="15" customHeight="1" x14ac:dyDescent="0.35">
      <c r="A3" s="74"/>
      <c r="B3" s="77" t="s">
        <v>679</v>
      </c>
      <c r="C3" s="74"/>
      <c r="D3" s="74"/>
      <c r="E3" s="74"/>
      <c r="F3" s="74"/>
      <c r="G3" s="74"/>
      <c r="H3" s="74"/>
      <c r="I3" s="74"/>
      <c r="J3" s="74"/>
      <c r="K3" s="74"/>
      <c r="L3" s="74"/>
      <c r="M3" s="74"/>
      <c r="N3" s="74"/>
      <c r="O3" s="74"/>
      <c r="P3" s="74"/>
      <c r="Q3" s="74"/>
      <c r="R3" s="74"/>
      <c r="S3" s="74"/>
      <c r="T3" s="74"/>
      <c r="U3" s="74"/>
      <c r="V3" s="74"/>
      <c r="W3" s="74"/>
      <c r="X3" s="74"/>
      <c r="Y3" s="74"/>
      <c r="Z3" s="74"/>
      <c r="AA3" s="74"/>
      <c r="AB3" s="74"/>
      <c r="AC3" s="74"/>
      <c r="AD3" s="74"/>
      <c r="AE3" s="74"/>
      <c r="AF3" s="74"/>
      <c r="AG3" s="74"/>
      <c r="AH3" s="74"/>
      <c r="AI3" s="74"/>
      <c r="AJ3" s="74"/>
      <c r="AK3" s="74"/>
    </row>
    <row r="4" spans="1:37" ht="15" customHeight="1" x14ac:dyDescent="0.55000000000000004">
      <c r="A4" s="78"/>
      <c r="B4" s="78"/>
      <c r="C4" s="78"/>
      <c r="D4" s="78"/>
      <c r="E4" s="78"/>
      <c r="F4" s="78"/>
      <c r="G4" s="78"/>
      <c r="H4" s="78"/>
      <c r="I4" s="78"/>
      <c r="J4" s="214"/>
      <c r="K4" s="214"/>
      <c r="L4" s="214"/>
      <c r="M4" s="74"/>
      <c r="N4" s="74"/>
      <c r="O4" s="74"/>
      <c r="P4" s="74"/>
      <c r="Q4" s="74"/>
      <c r="R4" s="74"/>
      <c r="S4" s="74"/>
      <c r="T4" s="74"/>
      <c r="U4" s="74"/>
      <c r="V4" s="74"/>
      <c r="W4" s="74"/>
      <c r="X4" s="74"/>
      <c r="Y4" s="74"/>
      <c r="Z4" s="74"/>
      <c r="AA4" s="74"/>
      <c r="AB4" s="74"/>
      <c r="AC4" s="74"/>
      <c r="AD4" s="74"/>
      <c r="AE4" s="74"/>
      <c r="AF4" s="74"/>
      <c r="AG4" s="74"/>
      <c r="AH4" s="74"/>
      <c r="AI4" s="74"/>
      <c r="AJ4" s="74"/>
      <c r="AK4" s="74"/>
    </row>
    <row r="5" spans="1:37" ht="15" customHeight="1" x14ac:dyDescent="0.55000000000000004">
      <c r="A5" s="79"/>
      <c r="B5" s="79"/>
      <c r="C5" s="79"/>
      <c r="D5" s="79"/>
      <c r="E5" s="79"/>
      <c r="F5" s="79"/>
      <c r="G5" s="79"/>
      <c r="H5" s="79"/>
      <c r="I5" s="79"/>
      <c r="J5" s="215"/>
      <c r="K5" s="215"/>
      <c r="L5" s="215"/>
      <c r="M5" s="74"/>
      <c r="N5" s="74"/>
      <c r="O5" s="74"/>
      <c r="P5" s="74"/>
      <c r="Q5" s="74"/>
      <c r="R5" s="74"/>
      <c r="S5" s="74"/>
      <c r="T5" s="74"/>
      <c r="U5" s="74"/>
      <c r="V5" s="74"/>
      <c r="W5" s="74"/>
      <c r="X5" s="74"/>
      <c r="Y5" s="74"/>
      <c r="Z5" s="74"/>
      <c r="AA5" s="74"/>
      <c r="AB5" s="74"/>
      <c r="AC5" s="74"/>
      <c r="AD5" s="74"/>
      <c r="AE5" s="74"/>
      <c r="AF5" s="74"/>
      <c r="AG5" s="74"/>
      <c r="AH5" s="74"/>
      <c r="AI5" s="74"/>
      <c r="AJ5" s="74"/>
      <c r="AK5" s="74"/>
    </row>
    <row r="6" spans="1:37" ht="15" customHeight="1" x14ac:dyDescent="0.35">
      <c r="A6" s="74"/>
      <c r="B6" s="74"/>
      <c r="C6" s="74"/>
      <c r="D6" s="74"/>
      <c r="E6" s="74"/>
      <c r="F6" s="74"/>
      <c r="G6" s="74"/>
      <c r="H6" s="74"/>
      <c r="I6" s="74"/>
      <c r="J6" s="74"/>
      <c r="K6" s="74"/>
      <c r="L6" s="74"/>
      <c r="M6" s="74"/>
      <c r="N6" s="74"/>
      <c r="O6" s="74"/>
      <c r="P6" s="74"/>
      <c r="Q6" s="74"/>
      <c r="R6" s="74"/>
      <c r="S6" s="74"/>
      <c r="T6" s="74"/>
      <c r="U6" s="74"/>
      <c r="V6" s="74"/>
      <c r="W6" s="74"/>
      <c r="X6" s="74"/>
      <c r="Y6" s="74"/>
      <c r="Z6" s="74"/>
      <c r="AA6" s="74"/>
      <c r="AB6" s="74"/>
      <c r="AC6" s="74"/>
      <c r="AD6" s="74"/>
      <c r="AE6" s="74"/>
      <c r="AF6" s="74"/>
      <c r="AG6" s="74"/>
      <c r="AH6" s="74"/>
      <c r="AI6" s="74"/>
      <c r="AJ6" s="74"/>
      <c r="AK6" s="74"/>
    </row>
    <row r="7" spans="1:37" ht="15" customHeight="1" x14ac:dyDescent="0.35">
      <c r="A7" s="74"/>
      <c r="B7" s="74"/>
      <c r="C7" s="74"/>
      <c r="D7" s="74"/>
      <c r="E7" s="74"/>
      <c r="F7" s="74"/>
      <c r="G7" s="74"/>
      <c r="H7" s="74"/>
      <c r="I7" s="74"/>
      <c r="J7" s="74"/>
      <c r="K7" s="74"/>
      <c r="L7" s="74"/>
      <c r="M7" s="74"/>
      <c r="N7" s="74"/>
      <c r="O7" s="74"/>
      <c r="P7" s="74"/>
      <c r="Q7" s="74"/>
      <c r="R7" s="74"/>
      <c r="S7" s="74"/>
      <c r="T7" s="74"/>
      <c r="U7" s="74"/>
      <c r="V7" s="74"/>
      <c r="W7" s="74"/>
      <c r="X7" s="74"/>
      <c r="Y7" s="74"/>
      <c r="Z7" s="74"/>
      <c r="AA7" s="74"/>
      <c r="AB7" s="74"/>
      <c r="AC7" s="74"/>
      <c r="AD7" s="74"/>
      <c r="AE7" s="74"/>
      <c r="AF7" s="74"/>
      <c r="AG7" s="74"/>
      <c r="AH7" s="74"/>
      <c r="AI7" s="74"/>
      <c r="AJ7" s="74"/>
      <c r="AK7" s="74"/>
    </row>
    <row r="8" spans="1:37" ht="15" customHeight="1" x14ac:dyDescent="0.35">
      <c r="A8" s="74"/>
      <c r="B8" s="74"/>
      <c r="C8" s="74"/>
      <c r="D8" s="74"/>
      <c r="E8" s="74"/>
      <c r="F8" s="74"/>
      <c r="G8" s="74"/>
      <c r="H8" s="74"/>
      <c r="I8" s="74"/>
      <c r="J8" s="74"/>
      <c r="K8" s="74"/>
      <c r="L8" s="74"/>
      <c r="M8" s="74"/>
      <c r="N8" s="74"/>
      <c r="O8" s="74"/>
      <c r="P8" s="74"/>
      <c r="Q8" s="74"/>
      <c r="R8" s="74"/>
      <c r="S8" s="74"/>
      <c r="T8" s="74"/>
      <c r="U8" s="74"/>
      <c r="V8" s="74"/>
      <c r="W8" s="74"/>
      <c r="X8" s="74"/>
      <c r="Y8" s="74"/>
      <c r="Z8" s="74"/>
      <c r="AA8" s="74"/>
      <c r="AB8" s="74"/>
      <c r="AC8" s="74"/>
      <c r="AD8" s="74"/>
      <c r="AE8" s="74"/>
      <c r="AF8" s="74"/>
      <c r="AG8" s="74"/>
      <c r="AH8" s="74"/>
      <c r="AI8" s="74"/>
      <c r="AJ8" s="74"/>
      <c r="AK8" s="74"/>
    </row>
    <row r="9" spans="1:37" ht="15" customHeight="1" x14ac:dyDescent="0.35">
      <c r="A9" s="74"/>
      <c r="B9" s="74"/>
      <c r="C9" s="74"/>
      <c r="D9" s="74"/>
      <c r="E9" s="74"/>
      <c r="F9" s="74"/>
      <c r="G9" s="74"/>
      <c r="H9" s="74"/>
      <c r="I9" s="74"/>
      <c r="J9" s="74"/>
      <c r="K9" s="74"/>
      <c r="L9" s="74"/>
      <c r="M9" s="74"/>
      <c r="N9" s="74"/>
      <c r="O9" s="74"/>
      <c r="P9" s="74"/>
      <c r="Q9" s="74"/>
      <c r="R9" s="74"/>
      <c r="S9" s="74"/>
      <c r="T9" s="74"/>
      <c r="U9" s="74"/>
      <c r="V9" s="74"/>
      <c r="W9" s="74"/>
      <c r="X9" s="74"/>
      <c r="Y9" s="74"/>
      <c r="Z9" s="74"/>
      <c r="AA9" s="74"/>
      <c r="AB9" s="74"/>
      <c r="AC9" s="74"/>
      <c r="AD9" s="74"/>
      <c r="AE9" s="74"/>
      <c r="AF9" s="74"/>
      <c r="AG9" s="74"/>
      <c r="AH9" s="74"/>
      <c r="AI9" s="74"/>
      <c r="AJ9" s="74"/>
      <c r="AK9" s="74"/>
    </row>
    <row r="10" spans="1:37" ht="15" customHeight="1" x14ac:dyDescent="0.35">
      <c r="A10" s="74"/>
      <c r="B10" s="216" t="s">
        <v>680</v>
      </c>
      <c r="C10" s="217"/>
      <c r="D10" s="217"/>
      <c r="E10" s="217"/>
      <c r="F10" s="217"/>
      <c r="G10" s="217"/>
      <c r="H10" s="217"/>
      <c r="I10" s="217"/>
      <c r="J10" s="217"/>
      <c r="K10" s="217"/>
      <c r="L10" s="217"/>
      <c r="M10" s="217"/>
      <c r="N10" s="217"/>
      <c r="O10" s="217"/>
      <c r="P10" s="217"/>
      <c r="Q10" s="217"/>
      <c r="R10" s="217"/>
      <c r="S10" s="217"/>
      <c r="T10" s="217"/>
      <c r="U10" s="217"/>
      <c r="V10" s="217"/>
      <c r="W10" s="217"/>
      <c r="X10" s="217"/>
      <c r="Y10" s="217"/>
      <c r="Z10" s="217"/>
      <c r="AA10" s="217"/>
      <c r="AB10" s="217"/>
      <c r="AC10" s="217"/>
      <c r="AD10" s="217"/>
      <c r="AE10" s="218"/>
      <c r="AF10" s="74"/>
      <c r="AG10" s="74"/>
      <c r="AH10" s="74"/>
      <c r="AI10" s="74"/>
      <c r="AJ10" s="74"/>
      <c r="AK10" s="74"/>
    </row>
    <row r="11" spans="1:37" ht="15" customHeight="1" x14ac:dyDescent="0.35">
      <c r="A11" s="74"/>
      <c r="B11" s="219"/>
      <c r="C11" s="220"/>
      <c r="D11" s="220"/>
      <c r="E11" s="220"/>
      <c r="F11" s="220"/>
      <c r="G11" s="220"/>
      <c r="H11" s="220"/>
      <c r="I11" s="220"/>
      <c r="J11" s="220"/>
      <c r="K11" s="220"/>
      <c r="L11" s="220"/>
      <c r="M11" s="220"/>
      <c r="N11" s="220"/>
      <c r="O11" s="220"/>
      <c r="P11" s="220"/>
      <c r="Q11" s="220"/>
      <c r="R11" s="220"/>
      <c r="S11" s="220"/>
      <c r="T11" s="220"/>
      <c r="U11" s="220"/>
      <c r="V11" s="220"/>
      <c r="W11" s="220"/>
      <c r="X11" s="220"/>
      <c r="Y11" s="220"/>
      <c r="Z11" s="220"/>
      <c r="AA11" s="220"/>
      <c r="AB11" s="220"/>
      <c r="AC11" s="220"/>
      <c r="AD11" s="220"/>
      <c r="AE11" s="221"/>
      <c r="AF11" s="74"/>
      <c r="AG11" s="74"/>
      <c r="AH11" s="74"/>
      <c r="AI11" s="74"/>
      <c r="AJ11" s="74"/>
      <c r="AK11" s="74"/>
    </row>
    <row r="12" spans="1:37" ht="15" customHeight="1" x14ac:dyDescent="0.35">
      <c r="A12" s="74"/>
      <c r="B12" s="219"/>
      <c r="C12" s="220"/>
      <c r="D12" s="220"/>
      <c r="E12" s="220"/>
      <c r="F12" s="220"/>
      <c r="G12" s="220"/>
      <c r="H12" s="220"/>
      <c r="I12" s="220"/>
      <c r="J12" s="220"/>
      <c r="K12" s="220"/>
      <c r="L12" s="220"/>
      <c r="M12" s="220"/>
      <c r="N12" s="220"/>
      <c r="O12" s="220"/>
      <c r="P12" s="220"/>
      <c r="Q12" s="220"/>
      <c r="R12" s="220"/>
      <c r="S12" s="220"/>
      <c r="T12" s="220"/>
      <c r="U12" s="220"/>
      <c r="V12" s="220"/>
      <c r="W12" s="220"/>
      <c r="X12" s="220"/>
      <c r="Y12" s="220"/>
      <c r="Z12" s="220"/>
      <c r="AA12" s="220"/>
      <c r="AB12" s="220"/>
      <c r="AC12" s="220"/>
      <c r="AD12" s="220"/>
      <c r="AE12" s="221"/>
      <c r="AF12" s="74"/>
      <c r="AG12" s="74"/>
      <c r="AH12" s="74"/>
      <c r="AI12" s="74"/>
      <c r="AJ12" s="74"/>
      <c r="AK12" s="74"/>
    </row>
    <row r="13" spans="1:37" ht="15" customHeight="1" x14ac:dyDescent="0.35">
      <c r="A13" s="74"/>
      <c r="B13" s="219"/>
      <c r="C13" s="220"/>
      <c r="D13" s="220"/>
      <c r="E13" s="220"/>
      <c r="F13" s="220"/>
      <c r="G13" s="220"/>
      <c r="H13" s="220"/>
      <c r="I13" s="220"/>
      <c r="J13" s="220"/>
      <c r="K13" s="220"/>
      <c r="L13" s="220"/>
      <c r="M13" s="220"/>
      <c r="N13" s="220"/>
      <c r="O13" s="220"/>
      <c r="P13" s="220"/>
      <c r="Q13" s="220"/>
      <c r="R13" s="220"/>
      <c r="S13" s="220"/>
      <c r="T13" s="220"/>
      <c r="U13" s="220"/>
      <c r="V13" s="220"/>
      <c r="W13" s="220"/>
      <c r="X13" s="220"/>
      <c r="Y13" s="220"/>
      <c r="Z13" s="220"/>
      <c r="AA13" s="220"/>
      <c r="AB13" s="220"/>
      <c r="AC13" s="220"/>
      <c r="AD13" s="220"/>
      <c r="AE13" s="221"/>
      <c r="AF13" s="74"/>
      <c r="AG13" s="74"/>
      <c r="AH13" s="74"/>
      <c r="AI13" s="74"/>
      <c r="AJ13" s="74"/>
      <c r="AK13" s="74"/>
    </row>
    <row r="14" spans="1:37" ht="15" customHeight="1" x14ac:dyDescent="0.35">
      <c r="A14" s="74"/>
      <c r="B14" s="222" t="s">
        <v>777</v>
      </c>
      <c r="C14" s="223"/>
      <c r="D14" s="223"/>
      <c r="E14" s="223"/>
      <c r="F14" s="223"/>
      <c r="G14" s="223"/>
      <c r="H14" s="223"/>
      <c r="I14" s="223"/>
      <c r="J14" s="223"/>
      <c r="K14" s="223"/>
      <c r="L14" s="223"/>
      <c r="M14" s="223"/>
      <c r="N14" s="223"/>
      <c r="O14" s="223"/>
      <c r="P14" s="223"/>
      <c r="Q14" s="223"/>
      <c r="R14" s="223"/>
      <c r="S14" s="223"/>
      <c r="T14" s="223"/>
      <c r="U14" s="223"/>
      <c r="V14" s="223"/>
      <c r="W14" s="223"/>
      <c r="X14" s="223"/>
      <c r="Y14" s="223"/>
      <c r="Z14" s="223"/>
      <c r="AA14" s="223"/>
      <c r="AB14" s="223"/>
      <c r="AC14" s="223"/>
      <c r="AD14" s="223"/>
      <c r="AE14" s="224"/>
      <c r="AF14" s="74"/>
      <c r="AG14" s="74"/>
      <c r="AH14" s="74"/>
      <c r="AI14" s="74"/>
      <c r="AJ14" s="74"/>
      <c r="AK14" s="74"/>
    </row>
    <row r="15" spans="1:37" ht="15" customHeight="1" x14ac:dyDescent="0.35">
      <c r="A15" s="74"/>
      <c r="B15" s="222"/>
      <c r="C15" s="223"/>
      <c r="D15" s="223"/>
      <c r="E15" s="223"/>
      <c r="F15" s="223"/>
      <c r="G15" s="223"/>
      <c r="H15" s="223"/>
      <c r="I15" s="223"/>
      <c r="J15" s="223"/>
      <c r="K15" s="223"/>
      <c r="L15" s="223"/>
      <c r="M15" s="223"/>
      <c r="N15" s="223"/>
      <c r="O15" s="223"/>
      <c r="P15" s="223"/>
      <c r="Q15" s="223"/>
      <c r="R15" s="223"/>
      <c r="S15" s="223"/>
      <c r="T15" s="223"/>
      <c r="U15" s="223"/>
      <c r="V15" s="223"/>
      <c r="W15" s="223"/>
      <c r="X15" s="223"/>
      <c r="Y15" s="223"/>
      <c r="Z15" s="223"/>
      <c r="AA15" s="223"/>
      <c r="AB15" s="223"/>
      <c r="AC15" s="223"/>
      <c r="AD15" s="223"/>
      <c r="AE15" s="224"/>
      <c r="AF15" s="74"/>
      <c r="AG15" s="74"/>
      <c r="AH15" s="74"/>
      <c r="AI15" s="74"/>
      <c r="AJ15" s="74"/>
      <c r="AK15" s="74"/>
    </row>
    <row r="16" spans="1:37" ht="15" customHeight="1" x14ac:dyDescent="0.35">
      <c r="A16" s="74"/>
      <c r="B16" s="225"/>
      <c r="C16" s="226"/>
      <c r="D16" s="226"/>
      <c r="E16" s="226"/>
      <c r="F16" s="226"/>
      <c r="G16" s="226"/>
      <c r="H16" s="226"/>
      <c r="I16" s="226"/>
      <c r="J16" s="226"/>
      <c r="K16" s="226"/>
      <c r="L16" s="226"/>
      <c r="M16" s="226"/>
      <c r="N16" s="226"/>
      <c r="O16" s="226"/>
      <c r="P16" s="226"/>
      <c r="Q16" s="226"/>
      <c r="R16" s="226"/>
      <c r="S16" s="226"/>
      <c r="T16" s="226"/>
      <c r="U16" s="226"/>
      <c r="V16" s="226"/>
      <c r="W16" s="226"/>
      <c r="X16" s="226"/>
      <c r="Y16" s="226"/>
      <c r="Z16" s="226"/>
      <c r="AA16" s="226"/>
      <c r="AB16" s="226"/>
      <c r="AC16" s="226"/>
      <c r="AD16" s="226"/>
      <c r="AE16" s="227"/>
      <c r="AF16" s="74"/>
      <c r="AG16" s="74"/>
      <c r="AH16" s="74"/>
      <c r="AI16" s="74"/>
      <c r="AJ16" s="74"/>
      <c r="AK16" s="74"/>
    </row>
    <row r="17" spans="1:37" ht="15" customHeight="1" x14ac:dyDescent="0.35">
      <c r="A17" s="74"/>
      <c r="B17" s="74"/>
      <c r="C17" s="74"/>
      <c r="D17" s="74"/>
      <c r="E17" s="74"/>
      <c r="F17" s="74"/>
      <c r="G17" s="74"/>
      <c r="H17" s="74"/>
      <c r="I17" s="74"/>
      <c r="J17" s="74"/>
      <c r="K17" s="74"/>
      <c r="L17" s="74"/>
      <c r="M17" s="74"/>
      <c r="N17" s="74"/>
      <c r="O17" s="74"/>
      <c r="P17" s="74"/>
      <c r="Q17" s="74"/>
      <c r="R17" s="74"/>
      <c r="S17" s="74"/>
      <c r="T17" s="74"/>
      <c r="U17" s="74"/>
      <c r="V17" s="74"/>
      <c r="W17" s="74"/>
      <c r="X17" s="74"/>
      <c r="Y17" s="74"/>
      <c r="Z17" s="74"/>
      <c r="AA17" s="74"/>
      <c r="AB17" s="74"/>
      <c r="AC17" s="74"/>
      <c r="AD17" s="74"/>
      <c r="AE17" s="74"/>
      <c r="AF17" s="74"/>
      <c r="AG17" s="74"/>
      <c r="AH17" s="74"/>
      <c r="AI17" s="74"/>
      <c r="AJ17" s="74"/>
      <c r="AK17" s="74"/>
    </row>
    <row r="18" spans="1:37" ht="15" customHeight="1" x14ac:dyDescent="0.35">
      <c r="A18" s="74"/>
      <c r="B18" s="74"/>
      <c r="C18" s="74"/>
      <c r="D18" s="74"/>
      <c r="E18" s="74"/>
      <c r="F18" s="74"/>
      <c r="G18" s="74"/>
      <c r="H18" s="74"/>
      <c r="I18" s="74"/>
      <c r="J18" s="74"/>
      <c r="K18" s="74"/>
      <c r="L18" s="74"/>
      <c r="M18" s="74"/>
      <c r="N18" s="74"/>
      <c r="O18" s="74"/>
      <c r="P18" s="74"/>
      <c r="Q18" s="74"/>
      <c r="R18" s="74"/>
      <c r="S18" s="74"/>
      <c r="T18" s="74"/>
      <c r="U18" s="74"/>
      <c r="V18" s="74"/>
      <c r="W18" s="74"/>
      <c r="X18" s="74"/>
      <c r="Y18" s="74"/>
      <c r="Z18" s="74"/>
      <c r="AA18" s="74"/>
      <c r="AB18" s="74"/>
      <c r="AC18" s="74"/>
      <c r="AD18" s="74"/>
      <c r="AE18" s="74"/>
      <c r="AF18" s="74"/>
      <c r="AG18" s="74"/>
      <c r="AH18" s="74"/>
      <c r="AI18" s="74"/>
      <c r="AJ18" s="74"/>
      <c r="AK18" s="74"/>
    </row>
    <row r="19" spans="1:37" ht="15" customHeight="1" x14ac:dyDescent="0.35">
      <c r="A19" s="74"/>
      <c r="B19" s="74"/>
      <c r="C19" s="74"/>
      <c r="D19" s="74"/>
      <c r="E19" s="74"/>
      <c r="F19" s="74"/>
      <c r="G19" s="74"/>
      <c r="H19" s="74"/>
      <c r="I19" s="74"/>
      <c r="J19" s="74"/>
      <c r="K19" s="74"/>
      <c r="L19" s="74"/>
      <c r="M19" s="74"/>
      <c r="N19" s="74"/>
      <c r="O19" s="74"/>
      <c r="P19" s="74"/>
      <c r="Q19" s="74"/>
      <c r="R19" s="74"/>
      <c r="S19" s="74"/>
      <c r="T19" s="74"/>
      <c r="U19" s="74"/>
      <c r="V19" s="74"/>
      <c r="W19" s="74"/>
      <c r="X19" s="74"/>
      <c r="Y19" s="74"/>
      <c r="Z19" s="74"/>
      <c r="AA19" s="74"/>
      <c r="AB19" s="74"/>
      <c r="AC19" s="74"/>
      <c r="AD19" s="74"/>
      <c r="AE19" s="74"/>
      <c r="AF19" s="74"/>
      <c r="AG19" s="74"/>
      <c r="AH19" s="74"/>
      <c r="AI19" s="74"/>
      <c r="AJ19" s="74"/>
      <c r="AK19" s="74"/>
    </row>
    <row r="20" spans="1:37" ht="15" customHeight="1" x14ac:dyDescent="0.35">
      <c r="A20" s="74"/>
      <c r="B20" s="74"/>
      <c r="C20" s="74"/>
      <c r="D20" s="74"/>
      <c r="E20" s="74"/>
      <c r="F20" s="74"/>
      <c r="G20" s="74"/>
      <c r="H20" s="74"/>
      <c r="I20" s="74"/>
      <c r="J20" s="74"/>
      <c r="K20" s="74"/>
      <c r="L20" s="74"/>
      <c r="M20" s="74"/>
      <c r="N20" s="74"/>
      <c r="O20" s="74"/>
      <c r="P20" s="74"/>
      <c r="Q20" s="74"/>
      <c r="R20" s="74"/>
      <c r="S20" s="74"/>
      <c r="T20" s="74"/>
      <c r="U20" s="74"/>
      <c r="V20" s="74"/>
      <c r="W20" s="74"/>
      <c r="X20" s="74"/>
      <c r="Y20" s="74"/>
      <c r="Z20" s="74"/>
      <c r="AA20" s="74"/>
      <c r="AB20" s="74"/>
      <c r="AC20" s="74"/>
      <c r="AD20" s="74"/>
      <c r="AE20" s="74"/>
      <c r="AF20" s="74"/>
      <c r="AG20" s="74"/>
      <c r="AH20" s="74"/>
      <c r="AI20" s="74"/>
      <c r="AJ20" s="74"/>
      <c r="AK20" s="74"/>
    </row>
    <row r="21" spans="1:37" ht="15" customHeight="1" x14ac:dyDescent="0.35">
      <c r="A21" s="74"/>
      <c r="B21" s="74"/>
      <c r="C21" s="74"/>
      <c r="D21" s="74"/>
      <c r="E21" s="74"/>
      <c r="F21" s="74"/>
      <c r="G21" s="74"/>
      <c r="H21" s="74"/>
      <c r="I21" s="74"/>
      <c r="J21" s="74"/>
      <c r="K21" s="74"/>
      <c r="L21" s="74"/>
      <c r="M21" s="74"/>
      <c r="N21" s="74"/>
      <c r="O21" s="74"/>
      <c r="P21" s="74"/>
      <c r="Q21" s="74"/>
      <c r="R21" s="74"/>
      <c r="S21" s="74"/>
      <c r="T21" s="74"/>
      <c r="U21" s="74"/>
      <c r="V21" s="74"/>
      <c r="W21" s="74"/>
      <c r="X21" s="74"/>
      <c r="Y21" s="74"/>
      <c r="Z21" s="74"/>
      <c r="AA21" s="74"/>
      <c r="AB21" s="74"/>
      <c r="AC21" s="74"/>
      <c r="AD21" s="74"/>
      <c r="AE21" s="74"/>
      <c r="AF21" s="74"/>
      <c r="AG21" s="74"/>
      <c r="AH21" s="74"/>
      <c r="AI21" s="74"/>
      <c r="AJ21" s="74"/>
      <c r="AK21" s="74"/>
    </row>
    <row r="22" spans="1:37" ht="15" customHeight="1" x14ac:dyDescent="0.35">
      <c r="A22" s="74"/>
      <c r="B22" s="213" t="s">
        <v>658</v>
      </c>
      <c r="C22" s="213"/>
      <c r="D22" s="213"/>
      <c r="E22" s="213"/>
      <c r="F22" s="213"/>
      <c r="G22" s="213"/>
      <c r="H22" s="213"/>
      <c r="I22" s="213"/>
      <c r="J22" s="213"/>
      <c r="K22" s="213"/>
      <c r="L22" s="213"/>
      <c r="M22" s="213"/>
      <c r="N22" s="213"/>
      <c r="O22" s="213"/>
      <c r="P22" s="213"/>
      <c r="Q22" s="213"/>
      <c r="R22" s="213"/>
      <c r="S22" s="213"/>
      <c r="T22" s="213"/>
      <c r="U22" s="213"/>
      <c r="V22" s="213"/>
      <c r="W22" s="213"/>
      <c r="X22" s="213"/>
      <c r="Y22" s="213"/>
      <c r="Z22" s="213"/>
      <c r="AA22" s="213"/>
      <c r="AB22" s="213"/>
      <c r="AC22" s="213"/>
      <c r="AD22" s="213"/>
      <c r="AE22" s="213"/>
      <c r="AF22" s="74"/>
      <c r="AG22" s="74"/>
      <c r="AH22" s="74"/>
      <c r="AI22" s="74"/>
      <c r="AJ22" s="74"/>
      <c r="AK22" s="74"/>
    </row>
    <row r="23" spans="1:37" ht="15" customHeight="1" x14ac:dyDescent="0.35">
      <c r="A23" s="74"/>
      <c r="B23" s="213"/>
      <c r="C23" s="213"/>
      <c r="D23" s="213"/>
      <c r="E23" s="213"/>
      <c r="F23" s="213"/>
      <c r="G23" s="213"/>
      <c r="H23" s="213"/>
      <c r="I23" s="213"/>
      <c r="J23" s="213"/>
      <c r="K23" s="213"/>
      <c r="L23" s="213"/>
      <c r="M23" s="213"/>
      <c r="N23" s="213"/>
      <c r="O23" s="213"/>
      <c r="P23" s="213"/>
      <c r="Q23" s="213"/>
      <c r="R23" s="213"/>
      <c r="S23" s="213"/>
      <c r="T23" s="213"/>
      <c r="U23" s="213"/>
      <c r="V23" s="213"/>
      <c r="W23" s="213"/>
      <c r="X23" s="213"/>
      <c r="Y23" s="213"/>
      <c r="Z23" s="213"/>
      <c r="AA23" s="213"/>
      <c r="AB23" s="213"/>
      <c r="AC23" s="213"/>
      <c r="AD23" s="213"/>
      <c r="AE23" s="213"/>
      <c r="AF23" s="74"/>
      <c r="AG23" s="74"/>
      <c r="AH23" s="74"/>
      <c r="AI23" s="74"/>
      <c r="AJ23" s="74"/>
      <c r="AK23" s="74"/>
    </row>
    <row r="24" spans="1:37" ht="15" customHeight="1" x14ac:dyDescent="0.35">
      <c r="A24" s="74"/>
      <c r="B24" s="228">
        <v>45546</v>
      </c>
      <c r="C24" s="228"/>
      <c r="D24" s="228"/>
      <c r="E24" s="228"/>
      <c r="F24" s="228"/>
      <c r="G24" s="228"/>
      <c r="H24" s="228"/>
      <c r="I24" s="228"/>
      <c r="J24" s="228"/>
      <c r="K24" s="228"/>
      <c r="L24" s="228"/>
      <c r="M24" s="228"/>
      <c r="N24" s="228"/>
      <c r="O24" s="228"/>
      <c r="P24" s="228"/>
      <c r="Q24" s="228"/>
      <c r="R24" s="228"/>
      <c r="S24" s="228"/>
      <c r="T24" s="228"/>
      <c r="U24" s="228"/>
      <c r="V24" s="228"/>
      <c r="W24" s="228"/>
      <c r="X24" s="228"/>
      <c r="Y24" s="228"/>
      <c r="Z24" s="228"/>
      <c r="AA24" s="228"/>
      <c r="AB24" s="228"/>
      <c r="AC24" s="228"/>
      <c r="AD24" s="228"/>
      <c r="AE24" s="228"/>
      <c r="AF24" s="74"/>
      <c r="AG24" s="74"/>
      <c r="AH24" s="74"/>
      <c r="AI24" s="74"/>
      <c r="AJ24" s="74"/>
      <c r="AK24" s="74"/>
    </row>
    <row r="25" spans="1:37" ht="15" customHeight="1" x14ac:dyDescent="0.35">
      <c r="A25" s="74"/>
      <c r="B25" s="228"/>
      <c r="C25" s="228"/>
      <c r="D25" s="228"/>
      <c r="E25" s="228"/>
      <c r="F25" s="228"/>
      <c r="G25" s="228"/>
      <c r="H25" s="228"/>
      <c r="I25" s="228"/>
      <c r="J25" s="228"/>
      <c r="K25" s="228"/>
      <c r="L25" s="228"/>
      <c r="M25" s="228"/>
      <c r="N25" s="228"/>
      <c r="O25" s="228"/>
      <c r="P25" s="228"/>
      <c r="Q25" s="228"/>
      <c r="R25" s="228"/>
      <c r="S25" s="228"/>
      <c r="T25" s="228"/>
      <c r="U25" s="228"/>
      <c r="V25" s="228"/>
      <c r="W25" s="228"/>
      <c r="X25" s="228"/>
      <c r="Y25" s="228"/>
      <c r="Z25" s="228"/>
      <c r="AA25" s="228"/>
      <c r="AB25" s="228"/>
      <c r="AC25" s="228"/>
      <c r="AD25" s="228"/>
      <c r="AE25" s="228"/>
      <c r="AF25" s="74"/>
      <c r="AG25" s="74"/>
      <c r="AH25" s="74"/>
      <c r="AI25" s="74"/>
      <c r="AJ25" s="74"/>
      <c r="AK25" s="74"/>
    </row>
    <row r="26" spans="1:37" ht="15" customHeight="1" x14ac:dyDescent="0.35">
      <c r="A26" s="74"/>
      <c r="B26" s="213" t="s">
        <v>659</v>
      </c>
      <c r="C26" s="213"/>
      <c r="D26" s="213"/>
      <c r="E26" s="213"/>
      <c r="F26" s="213"/>
      <c r="G26" s="213"/>
      <c r="H26" s="213"/>
      <c r="I26" s="213"/>
      <c r="J26" s="213"/>
      <c r="K26" s="213"/>
      <c r="L26" s="213"/>
      <c r="M26" s="213"/>
      <c r="N26" s="213"/>
      <c r="O26" s="213"/>
      <c r="P26" s="213"/>
      <c r="Q26" s="213"/>
      <c r="R26" s="213"/>
      <c r="S26" s="213"/>
      <c r="T26" s="213"/>
      <c r="U26" s="213"/>
      <c r="V26" s="213"/>
      <c r="W26" s="213"/>
      <c r="X26" s="213"/>
      <c r="Y26" s="213"/>
      <c r="Z26" s="213"/>
      <c r="AA26" s="213"/>
      <c r="AB26" s="213"/>
      <c r="AC26" s="213"/>
      <c r="AD26" s="213"/>
      <c r="AE26" s="213"/>
      <c r="AF26" s="74"/>
      <c r="AG26" s="74"/>
      <c r="AH26" s="74"/>
      <c r="AI26" s="74"/>
      <c r="AJ26" s="74"/>
      <c r="AK26" s="74"/>
    </row>
    <row r="27" spans="1:37" ht="15" customHeight="1" x14ac:dyDescent="0.35">
      <c r="A27" s="74"/>
      <c r="B27" s="213"/>
      <c r="C27" s="213"/>
      <c r="D27" s="213"/>
      <c r="E27" s="213"/>
      <c r="F27" s="213"/>
      <c r="G27" s="213"/>
      <c r="H27" s="213"/>
      <c r="I27" s="213"/>
      <c r="J27" s="213"/>
      <c r="K27" s="213"/>
      <c r="L27" s="213"/>
      <c r="M27" s="213"/>
      <c r="N27" s="213"/>
      <c r="O27" s="213"/>
      <c r="P27" s="213"/>
      <c r="Q27" s="213"/>
      <c r="R27" s="213"/>
      <c r="S27" s="213"/>
      <c r="T27" s="213"/>
      <c r="U27" s="213"/>
      <c r="V27" s="213"/>
      <c r="W27" s="213"/>
      <c r="X27" s="213"/>
      <c r="Y27" s="213"/>
      <c r="Z27" s="213"/>
      <c r="AA27" s="213"/>
      <c r="AB27" s="213"/>
      <c r="AC27" s="213"/>
      <c r="AD27" s="213"/>
      <c r="AE27" s="213"/>
      <c r="AF27" s="74"/>
      <c r="AG27" s="74"/>
      <c r="AH27" s="74"/>
      <c r="AI27" s="74"/>
      <c r="AJ27" s="74"/>
      <c r="AK27" s="74"/>
    </row>
    <row r="28" spans="1:37" ht="15" customHeight="1" x14ac:dyDescent="0.35">
      <c r="A28" s="74"/>
      <c r="B28" s="74"/>
      <c r="C28" s="74"/>
      <c r="D28" s="74"/>
      <c r="E28" s="74"/>
      <c r="F28" s="74"/>
      <c r="G28" s="74"/>
      <c r="H28" s="74"/>
      <c r="I28" s="74"/>
      <c r="J28" s="74"/>
      <c r="K28" s="74"/>
      <c r="L28" s="74"/>
      <c r="M28" s="74"/>
      <c r="N28" s="74"/>
      <c r="O28" s="74"/>
      <c r="P28" s="74"/>
      <c r="Q28" s="74"/>
      <c r="R28" s="74"/>
      <c r="S28" s="74"/>
      <c r="T28" s="74"/>
      <c r="U28" s="74"/>
      <c r="V28" s="74"/>
      <c r="W28" s="74"/>
      <c r="X28" s="74"/>
      <c r="Y28" s="74"/>
      <c r="Z28" s="74"/>
      <c r="AA28" s="74"/>
      <c r="AB28" s="74"/>
      <c r="AC28" s="74"/>
      <c r="AD28" s="74"/>
      <c r="AE28" s="74"/>
      <c r="AF28" s="74"/>
      <c r="AG28" s="74"/>
      <c r="AH28" s="74"/>
      <c r="AI28" s="74"/>
      <c r="AJ28" s="74"/>
      <c r="AK28" s="74"/>
    </row>
    <row r="29" spans="1:37" ht="15" customHeight="1" x14ac:dyDescent="0.35">
      <c r="A29" s="74"/>
      <c r="B29" s="74"/>
      <c r="C29" s="74"/>
      <c r="D29" s="74"/>
      <c r="E29" s="74"/>
      <c r="F29" s="208" t="s">
        <v>660</v>
      </c>
      <c r="G29" s="208"/>
      <c r="H29" s="208"/>
      <c r="I29" s="208"/>
      <c r="J29" s="208"/>
      <c r="K29" s="208"/>
      <c r="L29" s="80"/>
      <c r="M29" s="80"/>
      <c r="N29" s="80"/>
      <c r="O29" s="200" t="s">
        <v>661</v>
      </c>
      <c r="P29" s="208"/>
      <c r="Q29" s="208"/>
      <c r="R29" s="208"/>
      <c r="S29" s="80"/>
      <c r="T29" s="80"/>
      <c r="U29" s="80"/>
      <c r="V29" s="74"/>
      <c r="W29" s="74"/>
      <c r="X29" s="74"/>
      <c r="Y29" s="74"/>
      <c r="Z29" s="74"/>
      <c r="AA29" s="74"/>
      <c r="AB29" s="74"/>
      <c r="AC29" s="74"/>
      <c r="AD29" s="74"/>
      <c r="AE29" s="74"/>
      <c r="AF29" s="74"/>
      <c r="AG29" s="74"/>
      <c r="AH29" s="74"/>
      <c r="AI29" s="74"/>
      <c r="AJ29" s="74"/>
      <c r="AK29" s="74"/>
    </row>
    <row r="30" spans="1:37" x14ac:dyDescent="0.35">
      <c r="A30" s="74"/>
      <c r="B30" s="74"/>
      <c r="C30" s="74"/>
      <c r="D30" s="74"/>
      <c r="E30" s="74"/>
      <c r="F30" s="210">
        <v>45546</v>
      </c>
      <c r="G30" s="211"/>
      <c r="H30" s="211"/>
      <c r="I30" s="211"/>
      <c r="J30" s="211"/>
      <c r="K30" s="211"/>
      <c r="L30" s="81"/>
      <c r="M30" s="80"/>
      <c r="N30" s="210" t="s">
        <v>668</v>
      </c>
      <c r="O30" s="211"/>
      <c r="P30" s="211"/>
      <c r="Q30" s="211"/>
      <c r="R30" s="211"/>
      <c r="S30" s="212"/>
      <c r="T30" s="80"/>
      <c r="U30" s="80"/>
      <c r="V30" s="74"/>
      <c r="W30" s="74"/>
      <c r="X30" s="74"/>
      <c r="Y30" s="74"/>
      <c r="Z30" s="74"/>
      <c r="AA30" s="74"/>
      <c r="AB30" s="74"/>
      <c r="AC30" s="74"/>
      <c r="AD30" s="74"/>
      <c r="AE30" s="74"/>
      <c r="AF30" s="74"/>
      <c r="AG30" s="74"/>
      <c r="AH30" s="74"/>
      <c r="AI30" s="74"/>
      <c r="AJ30" s="74"/>
      <c r="AK30" s="74"/>
    </row>
    <row r="31" spans="1:37" ht="15" customHeight="1" x14ac:dyDescent="0.35">
      <c r="A31" s="74"/>
      <c r="B31" s="74"/>
      <c r="C31" s="74"/>
      <c r="D31" s="74"/>
      <c r="E31" s="74"/>
      <c r="F31" s="193" t="s">
        <v>681</v>
      </c>
      <c r="G31" s="194"/>
      <c r="H31" s="194"/>
      <c r="I31" s="194"/>
      <c r="J31" s="194"/>
      <c r="K31" s="195"/>
      <c r="L31" s="81"/>
      <c r="M31" s="80"/>
      <c r="N31" s="193" t="s">
        <v>662</v>
      </c>
      <c r="O31" s="202"/>
      <c r="P31" s="202"/>
      <c r="Q31" s="202"/>
      <c r="R31" s="202"/>
      <c r="S31" s="203"/>
      <c r="T31" s="80"/>
      <c r="U31" s="80"/>
      <c r="V31" s="74"/>
      <c r="W31" s="74"/>
      <c r="X31" s="74"/>
      <c r="Y31" s="74"/>
      <c r="Z31" s="74"/>
      <c r="AA31" s="74"/>
      <c r="AB31" s="74"/>
      <c r="AC31" s="74"/>
      <c r="AD31" s="74"/>
      <c r="AE31" s="74"/>
      <c r="AF31" s="74"/>
      <c r="AG31" s="74"/>
      <c r="AH31" s="74"/>
      <c r="AI31" s="74"/>
      <c r="AJ31" s="74"/>
      <c r="AK31" s="74"/>
    </row>
    <row r="32" spans="1:37" x14ac:dyDescent="0.35">
      <c r="A32" s="74"/>
      <c r="B32" s="74"/>
      <c r="C32" s="74"/>
      <c r="D32" s="74"/>
      <c r="E32" s="74"/>
      <c r="F32" s="196"/>
      <c r="G32" s="197"/>
      <c r="H32" s="197"/>
      <c r="I32" s="197"/>
      <c r="J32" s="197"/>
      <c r="K32" s="198"/>
      <c r="L32" s="81"/>
      <c r="M32" s="80"/>
      <c r="N32" s="204"/>
      <c r="O32" s="205"/>
      <c r="P32" s="205"/>
      <c r="Q32" s="205"/>
      <c r="R32" s="205"/>
      <c r="S32" s="206"/>
      <c r="T32" s="80"/>
      <c r="U32" s="80"/>
      <c r="V32" s="74"/>
      <c r="W32" s="74"/>
      <c r="X32" s="74"/>
      <c r="Y32" s="74"/>
      <c r="Z32" s="74"/>
      <c r="AA32" s="74"/>
      <c r="AB32" s="74"/>
      <c r="AC32" s="74"/>
      <c r="AD32" s="74"/>
      <c r="AE32" s="74"/>
      <c r="AF32" s="74"/>
      <c r="AG32" s="74"/>
      <c r="AH32" s="74"/>
      <c r="AI32" s="74"/>
      <c r="AJ32" s="74"/>
      <c r="AK32" s="74"/>
    </row>
    <row r="33" spans="1:37" x14ac:dyDescent="0.35">
      <c r="A33" s="74"/>
      <c r="B33" s="74"/>
      <c r="C33" s="74"/>
      <c r="D33" s="74"/>
      <c r="E33" s="74"/>
      <c r="F33" s="196"/>
      <c r="G33" s="197"/>
      <c r="H33" s="197"/>
      <c r="I33" s="197"/>
      <c r="J33" s="197"/>
      <c r="K33" s="198"/>
      <c r="L33" s="81"/>
      <c r="M33" s="80"/>
      <c r="N33" s="204"/>
      <c r="O33" s="205"/>
      <c r="P33" s="205"/>
      <c r="Q33" s="205"/>
      <c r="R33" s="205"/>
      <c r="S33" s="206"/>
      <c r="T33" s="80"/>
      <c r="U33" s="80"/>
      <c r="V33" s="74"/>
      <c r="W33" s="74"/>
      <c r="X33" s="74"/>
      <c r="Y33" s="74"/>
      <c r="Z33" s="74"/>
      <c r="AA33" s="74"/>
      <c r="AB33" s="74"/>
      <c r="AC33" s="74"/>
      <c r="AD33" s="74"/>
      <c r="AE33" s="74"/>
      <c r="AF33" s="74"/>
      <c r="AG33" s="74"/>
      <c r="AH33" s="74"/>
      <c r="AI33" s="74"/>
      <c r="AJ33" s="74"/>
      <c r="AK33" s="74"/>
    </row>
    <row r="34" spans="1:37" x14ac:dyDescent="0.35">
      <c r="A34" s="74"/>
      <c r="B34" s="74"/>
      <c r="C34" s="74"/>
      <c r="D34" s="74"/>
      <c r="E34" s="74"/>
      <c r="F34" s="196"/>
      <c r="G34" s="197"/>
      <c r="H34" s="197"/>
      <c r="I34" s="197"/>
      <c r="J34" s="197"/>
      <c r="K34" s="198"/>
      <c r="L34" s="81"/>
      <c r="M34" s="80"/>
      <c r="N34" s="204"/>
      <c r="O34" s="205"/>
      <c r="P34" s="205"/>
      <c r="Q34" s="205"/>
      <c r="R34" s="205"/>
      <c r="S34" s="206"/>
      <c r="T34" s="80"/>
      <c r="U34" s="80"/>
      <c r="V34" s="74"/>
      <c r="W34" s="74"/>
      <c r="X34" s="74"/>
      <c r="Y34" s="74"/>
      <c r="Z34" s="74"/>
      <c r="AA34" s="74"/>
      <c r="AB34" s="74"/>
      <c r="AC34" s="74"/>
      <c r="AD34" s="74"/>
      <c r="AE34" s="74"/>
      <c r="AF34" s="74"/>
      <c r="AG34" s="74"/>
      <c r="AH34" s="74"/>
      <c r="AI34" s="74"/>
      <c r="AJ34" s="74"/>
      <c r="AK34" s="74"/>
    </row>
    <row r="35" spans="1:37" x14ac:dyDescent="0.35">
      <c r="A35" s="74"/>
      <c r="B35" s="74"/>
      <c r="C35" s="74"/>
      <c r="D35" s="74"/>
      <c r="E35" s="74"/>
      <c r="F35" s="199"/>
      <c r="G35" s="200"/>
      <c r="H35" s="200"/>
      <c r="I35" s="200"/>
      <c r="J35" s="200"/>
      <c r="K35" s="201"/>
      <c r="L35" s="81"/>
      <c r="M35" s="80"/>
      <c r="N35" s="207"/>
      <c r="O35" s="208"/>
      <c r="P35" s="208"/>
      <c r="Q35" s="208"/>
      <c r="R35" s="208"/>
      <c r="S35" s="209"/>
      <c r="T35" s="80"/>
      <c r="U35" s="80"/>
      <c r="V35" s="74"/>
      <c r="W35" s="74"/>
      <c r="X35" s="74"/>
      <c r="Y35" s="74"/>
      <c r="Z35" s="74"/>
      <c r="AA35" s="74"/>
      <c r="AB35" s="74"/>
      <c r="AC35" s="74"/>
      <c r="AD35" s="74"/>
      <c r="AE35" s="74"/>
      <c r="AF35" s="74"/>
      <c r="AG35" s="74"/>
      <c r="AH35" s="74"/>
      <c r="AI35" s="74"/>
      <c r="AJ35" s="74"/>
      <c r="AK35" s="74"/>
    </row>
    <row r="36" spans="1:37" ht="15" customHeight="1" x14ac:dyDescent="0.35">
      <c r="A36" s="74"/>
      <c r="B36" s="74"/>
      <c r="C36" s="74"/>
      <c r="D36" s="74"/>
      <c r="E36" s="74"/>
      <c r="F36" s="74"/>
      <c r="G36" s="74"/>
      <c r="H36" s="74"/>
      <c r="I36" s="74"/>
      <c r="J36" s="74"/>
      <c r="K36" s="74"/>
      <c r="L36" s="74"/>
      <c r="M36" s="74"/>
      <c r="N36" s="74"/>
      <c r="O36" s="74"/>
      <c r="P36" s="74"/>
      <c r="Q36" s="74"/>
      <c r="R36" s="74"/>
      <c r="S36" s="74"/>
      <c r="T36" s="74"/>
      <c r="U36" s="74"/>
      <c r="V36" s="74"/>
      <c r="W36" s="74"/>
      <c r="X36" s="74"/>
      <c r="Y36" s="74"/>
      <c r="Z36" s="74"/>
      <c r="AA36" s="74"/>
      <c r="AB36" s="74"/>
      <c r="AC36" s="74"/>
      <c r="AD36" s="74"/>
      <c r="AE36" s="74"/>
      <c r="AF36" s="74"/>
      <c r="AG36" s="74"/>
      <c r="AH36" s="74"/>
      <c r="AI36" s="74"/>
      <c r="AJ36" s="74"/>
      <c r="AK36" s="74"/>
    </row>
    <row r="37" spans="1:37" ht="15" customHeight="1" x14ac:dyDescent="0.35">
      <c r="A37" s="74"/>
      <c r="B37" s="74"/>
      <c r="C37" s="74"/>
      <c r="D37" s="74"/>
      <c r="E37" s="74"/>
      <c r="F37" s="74"/>
      <c r="G37" s="74"/>
      <c r="H37" s="74"/>
      <c r="I37" s="74"/>
      <c r="J37" s="74"/>
      <c r="K37" s="74"/>
      <c r="L37" s="74"/>
      <c r="M37" s="74"/>
      <c r="N37" s="74"/>
      <c r="O37" s="74"/>
      <c r="P37" s="74"/>
      <c r="Q37" s="74"/>
      <c r="R37" s="74"/>
      <c r="S37" s="74"/>
      <c r="T37" s="74"/>
      <c r="U37" s="74"/>
      <c r="V37" s="74"/>
      <c r="W37" s="74"/>
      <c r="X37" s="74"/>
      <c r="Y37" s="74"/>
      <c r="Z37" s="74"/>
      <c r="AA37" s="74"/>
      <c r="AB37" s="74"/>
      <c r="AC37" s="74"/>
      <c r="AD37" s="74"/>
      <c r="AE37" s="74"/>
      <c r="AF37" s="74"/>
      <c r="AG37" s="74"/>
      <c r="AH37" s="74"/>
      <c r="AI37" s="74"/>
      <c r="AJ37" s="74"/>
      <c r="AK37" s="74"/>
    </row>
  </sheetData>
  <mergeCells count="12">
    <mergeCell ref="B26:AE27"/>
    <mergeCell ref="J4:L5"/>
    <mergeCell ref="B10:AE13"/>
    <mergeCell ref="B14:AE16"/>
    <mergeCell ref="B22:AE23"/>
    <mergeCell ref="B24:AE25"/>
    <mergeCell ref="F31:K35"/>
    <mergeCell ref="N31:S35"/>
    <mergeCell ref="F29:K29"/>
    <mergeCell ref="O29:R29"/>
    <mergeCell ref="F30:K30"/>
    <mergeCell ref="N30:S30"/>
  </mergeCells>
  <phoneticPr fontId="13"/>
  <pageMargins left="0.7" right="0.7" top="0.75" bottom="0.75" header="0.3" footer="0.3"/>
  <pageSetup paperSize="9" scale="67"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9059C-E936-4D2C-B3D5-5D854EC3116D}">
  <sheetPr codeName="Sheet4"/>
  <dimension ref="A1:J20"/>
  <sheetViews>
    <sheetView showGridLines="0" zoomScaleNormal="100" zoomScaleSheetLayoutView="100" workbookViewId="0">
      <pane ySplit="3" topLeftCell="A5" activePane="bottomLeft" state="frozen"/>
      <selection pane="bottomLeft" activeCell="E17" sqref="E17"/>
    </sheetView>
  </sheetViews>
  <sheetFormatPr defaultColWidth="8.78515625" defaultRowHeight="15" x14ac:dyDescent="0.35"/>
  <cols>
    <col min="1" max="1" width="2.78515625" customWidth="1"/>
    <col min="2" max="2" width="3.78515625" bestFit="1" customWidth="1"/>
    <col min="3" max="3" width="16" bestFit="1" customWidth="1"/>
    <col min="4" max="4" width="12.140625" style="71" bestFit="1" customWidth="1"/>
    <col min="5" max="5" width="24.42578125" bestFit="1" customWidth="1"/>
    <col min="6" max="7" width="12.140625" style="71" bestFit="1" customWidth="1"/>
    <col min="8" max="8" width="68.140625" bestFit="1" customWidth="1"/>
    <col min="9" max="9" width="59.2109375" customWidth="1"/>
    <col min="10" max="10" width="19.640625" customWidth="1"/>
  </cols>
  <sheetData>
    <row r="1" spans="1:10" ht="19.5" x14ac:dyDescent="0.35">
      <c r="A1" s="61" t="s">
        <v>669</v>
      </c>
      <c r="E1" s="9"/>
    </row>
    <row r="3" spans="1:10" x14ac:dyDescent="0.35">
      <c r="B3" s="62" t="s">
        <v>0</v>
      </c>
      <c r="C3" s="62" t="s">
        <v>2</v>
      </c>
      <c r="D3" s="72" t="s">
        <v>480</v>
      </c>
      <c r="E3" s="62" t="s">
        <v>3</v>
      </c>
      <c r="F3" s="72" t="s">
        <v>671</v>
      </c>
      <c r="G3" s="72" t="s">
        <v>672</v>
      </c>
      <c r="H3" s="62" t="s">
        <v>4</v>
      </c>
      <c r="I3" s="62" t="s">
        <v>5</v>
      </c>
    </row>
    <row r="4" spans="1:10" ht="30" x14ac:dyDescent="0.35">
      <c r="B4" s="84">
        <f t="shared" ref="B4:B19" si="0">ROW()-3</f>
        <v>1</v>
      </c>
      <c r="C4" s="84" t="s">
        <v>6</v>
      </c>
      <c r="D4" s="85" t="s">
        <v>481</v>
      </c>
      <c r="E4" s="180" t="s">
        <v>7</v>
      </c>
      <c r="F4" s="85"/>
      <c r="G4" s="181"/>
      <c r="H4" s="86" t="s">
        <v>768</v>
      </c>
      <c r="I4" s="86" t="s">
        <v>630</v>
      </c>
      <c r="J4" s="63"/>
    </row>
    <row r="5" spans="1:10" ht="45" x14ac:dyDescent="0.35">
      <c r="B5" s="84">
        <f t="shared" si="0"/>
        <v>2</v>
      </c>
      <c r="C5" s="84" t="s">
        <v>6</v>
      </c>
      <c r="D5" s="85" t="s">
        <v>481</v>
      </c>
      <c r="E5" s="180" t="s">
        <v>8</v>
      </c>
      <c r="F5" s="85"/>
      <c r="G5" s="85"/>
      <c r="H5" s="86" t="s">
        <v>769</v>
      </c>
      <c r="I5" s="86" t="s">
        <v>631</v>
      </c>
      <c r="J5" s="63"/>
    </row>
    <row r="6" spans="1:10" ht="45" x14ac:dyDescent="0.35">
      <c r="B6" s="84">
        <f t="shared" si="0"/>
        <v>3</v>
      </c>
      <c r="C6" s="84" t="s">
        <v>6</v>
      </c>
      <c r="D6" s="85" t="s">
        <v>481</v>
      </c>
      <c r="E6" s="180" t="s">
        <v>9</v>
      </c>
      <c r="F6" s="85"/>
      <c r="G6" s="85"/>
      <c r="H6" s="86" t="s">
        <v>770</v>
      </c>
      <c r="I6" s="86" t="s">
        <v>650</v>
      </c>
      <c r="J6" s="63"/>
    </row>
    <row r="7" spans="1:10" ht="45" x14ac:dyDescent="0.35">
      <c r="B7" s="84">
        <f t="shared" si="0"/>
        <v>4</v>
      </c>
      <c r="C7" s="84" t="s">
        <v>6</v>
      </c>
      <c r="D7" s="85" t="s">
        <v>481</v>
      </c>
      <c r="E7" s="180" t="s">
        <v>10</v>
      </c>
      <c r="F7" s="85"/>
      <c r="G7" s="85"/>
      <c r="H7" s="86" t="s">
        <v>771</v>
      </c>
      <c r="I7" s="86" t="s">
        <v>632</v>
      </c>
      <c r="J7" s="63"/>
    </row>
    <row r="8" spans="1:10" ht="60" x14ac:dyDescent="0.35">
      <c r="B8" s="84">
        <f t="shared" si="0"/>
        <v>5</v>
      </c>
      <c r="C8" s="84" t="s">
        <v>6</v>
      </c>
      <c r="D8" s="85" t="s">
        <v>481</v>
      </c>
      <c r="E8" s="180" t="s">
        <v>11</v>
      </c>
      <c r="F8" s="85"/>
      <c r="G8" s="85"/>
      <c r="H8" s="86" t="s">
        <v>772</v>
      </c>
      <c r="I8" s="86" t="s">
        <v>633</v>
      </c>
      <c r="J8" s="63"/>
    </row>
    <row r="9" spans="1:10" x14ac:dyDescent="0.35">
      <c r="B9" s="84">
        <f t="shared" si="0"/>
        <v>6</v>
      </c>
      <c r="C9" s="84" t="s">
        <v>6</v>
      </c>
      <c r="D9" s="85" t="s">
        <v>481</v>
      </c>
      <c r="E9" s="84" t="s">
        <v>12</v>
      </c>
      <c r="F9" s="85"/>
      <c r="G9" s="85"/>
      <c r="H9" s="86" t="s">
        <v>673</v>
      </c>
      <c r="I9" s="86" t="s">
        <v>673</v>
      </c>
      <c r="J9" s="63"/>
    </row>
    <row r="10" spans="1:10" x14ac:dyDescent="0.35">
      <c r="B10" s="84">
        <f t="shared" si="0"/>
        <v>7</v>
      </c>
      <c r="C10" s="84" t="s">
        <v>6</v>
      </c>
      <c r="D10" s="85" t="s">
        <v>481</v>
      </c>
      <c r="E10" s="84" t="s">
        <v>13</v>
      </c>
      <c r="F10" s="85"/>
      <c r="G10" s="85"/>
      <c r="H10" s="86" t="s">
        <v>673</v>
      </c>
      <c r="I10" s="86" t="s">
        <v>673</v>
      </c>
      <c r="J10" s="63"/>
    </row>
    <row r="11" spans="1:10" ht="45" x14ac:dyDescent="0.35">
      <c r="B11" s="84">
        <f t="shared" si="0"/>
        <v>8</v>
      </c>
      <c r="C11" s="84" t="s">
        <v>6</v>
      </c>
      <c r="D11" s="85" t="s">
        <v>481</v>
      </c>
      <c r="E11" s="180" t="s">
        <v>14</v>
      </c>
      <c r="F11" s="85"/>
      <c r="G11" s="85"/>
      <c r="H11" s="86" t="s">
        <v>773</v>
      </c>
      <c r="I11" s="86" t="s">
        <v>634</v>
      </c>
      <c r="J11" s="63"/>
    </row>
    <row r="12" spans="1:10" ht="45" x14ac:dyDescent="0.35">
      <c r="B12" s="84">
        <f t="shared" si="0"/>
        <v>9</v>
      </c>
      <c r="C12" s="84" t="s">
        <v>6</v>
      </c>
      <c r="D12" s="85" t="s">
        <v>481</v>
      </c>
      <c r="E12" s="180" t="s">
        <v>15</v>
      </c>
      <c r="F12" s="85"/>
      <c r="G12" s="85"/>
      <c r="H12" s="86" t="s">
        <v>774</v>
      </c>
      <c r="I12" s="86" t="s">
        <v>635</v>
      </c>
      <c r="J12" s="63"/>
    </row>
    <row r="13" spans="1:10" ht="30" x14ac:dyDescent="0.35">
      <c r="B13" s="84">
        <f t="shared" si="0"/>
        <v>10</v>
      </c>
      <c r="C13" s="84" t="s">
        <v>6</v>
      </c>
      <c r="D13" s="85" t="s">
        <v>481</v>
      </c>
      <c r="E13" s="180" t="s">
        <v>16</v>
      </c>
      <c r="F13" s="85"/>
      <c r="G13" s="85"/>
      <c r="H13" s="86" t="s">
        <v>775</v>
      </c>
      <c r="I13" s="86" t="s">
        <v>636</v>
      </c>
      <c r="J13" s="63"/>
    </row>
    <row r="14" spans="1:10" x14ac:dyDescent="0.35">
      <c r="B14" s="84">
        <f t="shared" si="0"/>
        <v>11</v>
      </c>
      <c r="C14" s="84" t="s">
        <v>6</v>
      </c>
      <c r="D14" s="85" t="s">
        <v>481</v>
      </c>
      <c r="E14" s="84" t="s">
        <v>17</v>
      </c>
      <c r="F14" s="85"/>
      <c r="G14" s="85"/>
      <c r="H14" s="86" t="s">
        <v>673</v>
      </c>
      <c r="I14" s="86" t="s">
        <v>673</v>
      </c>
      <c r="J14" s="63"/>
    </row>
    <row r="15" spans="1:10" ht="30" x14ac:dyDescent="0.35">
      <c r="B15" s="84">
        <f t="shared" si="0"/>
        <v>12</v>
      </c>
      <c r="C15" s="84" t="s">
        <v>6</v>
      </c>
      <c r="D15" s="85" t="s">
        <v>481</v>
      </c>
      <c r="E15" s="180" t="s">
        <v>537</v>
      </c>
      <c r="F15" s="85"/>
      <c r="G15" s="85"/>
      <c r="H15" s="86" t="s">
        <v>776</v>
      </c>
      <c r="I15" s="86" t="s">
        <v>637</v>
      </c>
      <c r="J15" s="63"/>
    </row>
    <row r="16" spans="1:10" x14ac:dyDescent="0.35">
      <c r="B16" s="84">
        <f t="shared" si="0"/>
        <v>13</v>
      </c>
      <c r="C16" s="84" t="s">
        <v>6</v>
      </c>
      <c r="D16" s="85" t="s">
        <v>481</v>
      </c>
      <c r="E16" s="84" t="s">
        <v>556</v>
      </c>
      <c r="F16" s="85"/>
      <c r="G16" s="85"/>
      <c r="H16" s="86" t="s">
        <v>673</v>
      </c>
      <c r="I16" s="86" t="s">
        <v>673</v>
      </c>
      <c r="J16" s="63"/>
    </row>
    <row r="17" spans="2:10" ht="45" x14ac:dyDescent="0.35">
      <c r="B17" s="60">
        <f t="shared" si="0"/>
        <v>14</v>
      </c>
      <c r="C17" s="60" t="s">
        <v>555</v>
      </c>
      <c r="D17" s="87" t="s">
        <v>559</v>
      </c>
      <c r="E17" s="82" t="s">
        <v>558</v>
      </c>
      <c r="F17" s="182" t="s">
        <v>779</v>
      </c>
      <c r="G17" s="183">
        <v>45770</v>
      </c>
      <c r="H17" s="83" t="s">
        <v>677</v>
      </c>
      <c r="I17" s="83" t="s">
        <v>647</v>
      </c>
      <c r="J17" s="63"/>
    </row>
    <row r="18" spans="2:10" ht="30" x14ac:dyDescent="0.35">
      <c r="B18" s="60">
        <f t="shared" si="0"/>
        <v>15</v>
      </c>
      <c r="C18" s="60" t="s">
        <v>555</v>
      </c>
      <c r="D18" s="87" t="s">
        <v>559</v>
      </c>
      <c r="E18" s="82" t="s">
        <v>778</v>
      </c>
      <c r="F18" s="182" t="s">
        <v>779</v>
      </c>
      <c r="G18" s="183">
        <v>45635</v>
      </c>
      <c r="H18" s="83"/>
      <c r="I18" s="83" t="s">
        <v>780</v>
      </c>
      <c r="J18" s="63"/>
    </row>
    <row r="19" spans="2:10" ht="45" x14ac:dyDescent="0.35">
      <c r="B19" s="60">
        <f t="shared" si="0"/>
        <v>16</v>
      </c>
      <c r="C19" s="60" t="s">
        <v>555</v>
      </c>
      <c r="D19" s="87" t="s">
        <v>559</v>
      </c>
      <c r="E19" s="82" t="s">
        <v>781</v>
      </c>
      <c r="F19" s="182" t="s">
        <v>779</v>
      </c>
      <c r="G19" s="183">
        <v>45635</v>
      </c>
      <c r="H19" s="83"/>
      <c r="I19" s="83" t="s">
        <v>782</v>
      </c>
      <c r="J19" s="63"/>
    </row>
    <row r="20" spans="2:10" x14ac:dyDescent="0.35">
      <c r="H20" s="42"/>
    </row>
  </sheetData>
  <phoneticPr fontId="13"/>
  <dataValidations count="1">
    <dataValidation type="list" allowBlank="1" showInputMessage="1" showErrorMessage="1" sqref="D4:D19" xr:uid="{6376AE48-76DB-420D-9EEF-81D72B62136E}">
      <formula1>"共通,個別"</formula1>
    </dataValidation>
  </dataValidations>
  <hyperlinks>
    <hyperlink ref="E4" location="法人!A1" display="法人" xr:uid="{CCF651ED-525C-4C29-94F3-2688366F18C4}"/>
    <hyperlink ref="E5" location="グローバルアドレス帳パラメーター!A1" display="グローバルアドレス帳パラメーター" xr:uid="{CB3D5D29-C153-484E-B961-8353041CECC7}"/>
    <hyperlink ref="E6" location="アドレス帳!A1" display="アドレス帳" xr:uid="{EDB331C3-9841-4377-8C59-158C08F4FC63}"/>
    <hyperlink ref="E7" location="名前の順序!A1" display="名前の順序" xr:uid="{5B1B70CE-C5DC-4D8E-BE21-6A29D11F825F}"/>
    <hyperlink ref="E8" location="住所と連絡先情報の目的!A1" display="住所と連絡先情報の目的" xr:uid="{62C8B0C9-364B-48CA-94CF-360AB0F222C6}"/>
    <hyperlink ref="E11" location="組織階層!A1" display="組織階層" xr:uid="{E9A1CC0F-8795-4565-B900-0C156F7EAEC0}"/>
    <hyperlink ref="E12" location="組織階層の目的!A1" display="組織階層の目的" xr:uid="{AD2FCCA5-FEC8-49FE-9A9C-06D249C1D76B}"/>
    <hyperlink ref="E13" location="番号順序!A1" display="番号順序" xr:uid="{CEEDC4BF-0974-45F0-BDAC-B32314002E4A}"/>
    <hyperlink ref="E15" location="'ドキュメント タイプ'!A1" display="ドキュメント タイプ" xr:uid="{9C73F332-F44C-44F0-A875-FE04D434E1ED}"/>
    <hyperlink ref="E17" location="'組織の電子メール テンプレート'!A1" display="組織の電子メールテンプレート" xr:uid="{E69487F6-2F07-4956-AB70-81C71597E688}"/>
  </hyperlinks>
  <pageMargins left="0.7" right="0.7" top="0.75" bottom="0.75" header="0.3" footer="0.3"/>
  <pageSetup paperSize="9" scale="31"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0C763E-E08D-4172-A62E-364FB86B6246}">
  <sheetPr codeName="Sheet121"/>
  <dimension ref="A1:L171"/>
  <sheetViews>
    <sheetView showGridLines="0" zoomScaleNormal="100" workbookViewId="0">
      <pane xSplit="6" ySplit="5" topLeftCell="G6" activePane="bottomRight" state="frozen"/>
      <selection pane="topRight"/>
      <selection pane="bottomLeft"/>
      <selection pane="bottomRight"/>
    </sheetView>
  </sheetViews>
  <sheetFormatPr defaultColWidth="8.78515625" defaultRowHeight="13.5" x14ac:dyDescent="0.35"/>
  <cols>
    <col min="1" max="1" width="2.78515625" style="38" customWidth="1"/>
    <col min="2" max="2" width="3.85546875" style="38" bestFit="1" customWidth="1"/>
    <col min="3" max="3" width="16.78515625" style="38" customWidth="1"/>
    <col min="4" max="4" width="19.2109375" style="38" customWidth="1"/>
    <col min="5" max="5" width="8.78515625" style="38" bestFit="1" customWidth="1"/>
    <col min="6" max="6" width="21" style="38" customWidth="1"/>
    <col min="7" max="7" width="44.640625" style="38" customWidth="1"/>
    <col min="8" max="8" width="27.5703125" style="38" customWidth="1"/>
    <col min="9" max="9" width="17.42578125" style="38" customWidth="1"/>
    <col min="10" max="10" width="22.42578125" style="38" customWidth="1"/>
    <col min="11" max="11" width="18.2109375" style="38" customWidth="1"/>
    <col min="12" max="12" width="13.2109375" style="38" customWidth="1"/>
    <col min="13" max="16384" width="8.78515625" style="38"/>
  </cols>
  <sheetData>
    <row r="1" spans="1:12" customFormat="1" ht="19.5" x14ac:dyDescent="0.35">
      <c r="A1" s="7" t="s">
        <v>7</v>
      </c>
    </row>
    <row r="2" spans="1:12" customFormat="1" ht="15" x14ac:dyDescent="0.35">
      <c r="B2" t="s">
        <v>31</v>
      </c>
    </row>
    <row r="3" spans="1:12" customFormat="1" ht="15" x14ac:dyDescent="0.35">
      <c r="B3" t="s">
        <v>640</v>
      </c>
    </row>
    <row r="4" spans="1:12" customFormat="1" ht="15" x14ac:dyDescent="0.35">
      <c r="A4" s="9" t="s">
        <v>670</v>
      </c>
    </row>
    <row r="5" spans="1:12" x14ac:dyDescent="0.35">
      <c r="B5" s="10" t="s">
        <v>1</v>
      </c>
      <c r="C5" s="10" t="s">
        <v>32</v>
      </c>
      <c r="D5" s="10" t="s">
        <v>33</v>
      </c>
      <c r="E5" s="10" t="s">
        <v>34</v>
      </c>
      <c r="F5" s="18" t="s">
        <v>35</v>
      </c>
      <c r="G5" s="18" t="s">
        <v>36</v>
      </c>
      <c r="H5" s="10" t="s">
        <v>37</v>
      </c>
      <c r="I5" s="10" t="s">
        <v>38</v>
      </c>
      <c r="J5" s="10" t="s">
        <v>39</v>
      </c>
      <c r="K5" s="12" t="s">
        <v>40</v>
      </c>
      <c r="L5" s="12" t="s">
        <v>41</v>
      </c>
    </row>
    <row r="6" spans="1:12" x14ac:dyDescent="0.35">
      <c r="B6" s="19">
        <f>ROW() - 5</f>
        <v>1</v>
      </c>
      <c r="C6" s="14" t="s">
        <v>42</v>
      </c>
      <c r="D6" s="14"/>
      <c r="E6" s="14"/>
      <c r="F6" s="20" t="s">
        <v>43</v>
      </c>
      <c r="G6" s="20"/>
      <c r="H6" s="20" t="s">
        <v>44</v>
      </c>
      <c r="I6" s="21" t="s">
        <v>45</v>
      </c>
      <c r="J6" s="21"/>
      <c r="K6" s="16" t="s">
        <v>603</v>
      </c>
      <c r="L6" s="22"/>
    </row>
    <row r="7" spans="1:12" ht="94.5" x14ac:dyDescent="0.35">
      <c r="B7" s="19">
        <f t="shared" ref="B7:B81" si="0">ROW() - 5</f>
        <v>2</v>
      </c>
      <c r="C7" s="73"/>
      <c r="D7" s="73"/>
      <c r="E7" s="73"/>
      <c r="F7" s="20" t="s">
        <v>46</v>
      </c>
      <c r="G7" s="20" t="s">
        <v>47</v>
      </c>
      <c r="H7" s="20" t="s">
        <v>44</v>
      </c>
      <c r="I7" s="21" t="s">
        <v>45</v>
      </c>
      <c r="J7" s="21" t="s">
        <v>674</v>
      </c>
      <c r="K7" s="1" t="s">
        <v>603</v>
      </c>
      <c r="L7" s="2"/>
    </row>
    <row r="8" spans="1:12" x14ac:dyDescent="0.35">
      <c r="B8" s="19">
        <f t="shared" si="0"/>
        <v>3</v>
      </c>
      <c r="C8" s="73"/>
      <c r="D8" s="73"/>
      <c r="E8" s="17"/>
      <c r="F8" s="23" t="s">
        <v>48</v>
      </c>
      <c r="G8" s="23"/>
      <c r="H8" s="20" t="s">
        <v>44</v>
      </c>
      <c r="I8" s="15" t="s">
        <v>45</v>
      </c>
      <c r="J8" s="15"/>
      <c r="K8" s="1" t="s">
        <v>603</v>
      </c>
      <c r="L8" s="2"/>
    </row>
    <row r="9" spans="1:12" x14ac:dyDescent="0.35">
      <c r="B9" s="19">
        <f t="shared" si="0"/>
        <v>4</v>
      </c>
      <c r="C9" s="24" t="s">
        <v>49</v>
      </c>
      <c r="D9" s="24"/>
      <c r="E9" s="24"/>
      <c r="F9" s="25" t="s">
        <v>50</v>
      </c>
      <c r="G9" s="25" t="s">
        <v>51</v>
      </c>
      <c r="H9" s="20" t="s">
        <v>44</v>
      </c>
      <c r="I9" s="26" t="s">
        <v>45</v>
      </c>
      <c r="J9" s="26"/>
      <c r="K9" s="1" t="s">
        <v>603</v>
      </c>
      <c r="L9" s="2"/>
    </row>
    <row r="10" spans="1:12" x14ac:dyDescent="0.35">
      <c r="B10" s="19">
        <f t="shared" si="0"/>
        <v>5</v>
      </c>
      <c r="C10" s="27"/>
      <c r="D10" s="27"/>
      <c r="E10" s="27"/>
      <c r="F10" s="28" t="s">
        <v>52</v>
      </c>
      <c r="G10" s="28"/>
      <c r="H10" s="20" t="s">
        <v>44</v>
      </c>
      <c r="I10" s="28" t="s">
        <v>45</v>
      </c>
      <c r="J10" s="28"/>
      <c r="K10" s="1" t="s">
        <v>603</v>
      </c>
      <c r="L10" s="2"/>
    </row>
    <row r="11" spans="1:12" ht="27" x14ac:dyDescent="0.35">
      <c r="B11" s="19">
        <f t="shared" si="0"/>
        <v>6</v>
      </c>
      <c r="C11" s="27"/>
      <c r="D11" s="27"/>
      <c r="E11" s="27"/>
      <c r="F11" s="25" t="s">
        <v>53</v>
      </c>
      <c r="G11" s="25" t="s">
        <v>54</v>
      </c>
      <c r="H11" s="20" t="s">
        <v>55</v>
      </c>
      <c r="I11" s="26" t="s">
        <v>56</v>
      </c>
      <c r="J11" s="44" t="s">
        <v>57</v>
      </c>
      <c r="K11" s="1" t="s">
        <v>603</v>
      </c>
      <c r="L11" s="2"/>
    </row>
    <row r="12" spans="1:12" ht="27" x14ac:dyDescent="0.35">
      <c r="B12" s="19">
        <f t="shared" si="0"/>
        <v>7</v>
      </c>
      <c r="C12" s="27"/>
      <c r="D12" s="27"/>
      <c r="E12" s="27"/>
      <c r="F12" s="25" t="s">
        <v>58</v>
      </c>
      <c r="G12" s="25" t="s">
        <v>59</v>
      </c>
      <c r="H12" s="20" t="s">
        <v>55</v>
      </c>
      <c r="I12" s="26" t="s">
        <v>56</v>
      </c>
      <c r="J12" s="26"/>
      <c r="K12" s="1" t="s">
        <v>603</v>
      </c>
      <c r="L12" s="2"/>
    </row>
    <row r="13" spans="1:12" ht="40.5" x14ac:dyDescent="0.35">
      <c r="B13" s="19">
        <f t="shared" si="0"/>
        <v>8</v>
      </c>
      <c r="C13" s="27"/>
      <c r="D13" s="27"/>
      <c r="E13" s="27"/>
      <c r="F13" s="28" t="s">
        <v>60</v>
      </c>
      <c r="G13" s="28" t="s">
        <v>61</v>
      </c>
      <c r="H13" s="20" t="s">
        <v>55</v>
      </c>
      <c r="I13" s="26" t="s">
        <v>56</v>
      </c>
      <c r="J13" s="29"/>
      <c r="K13" s="1" t="s">
        <v>603</v>
      </c>
      <c r="L13" s="1"/>
    </row>
    <row r="14" spans="1:12" x14ac:dyDescent="0.35">
      <c r="B14" s="19">
        <f t="shared" si="0"/>
        <v>9</v>
      </c>
      <c r="C14" s="27"/>
      <c r="D14" s="27"/>
      <c r="E14" s="27"/>
      <c r="F14" s="28" t="s">
        <v>62</v>
      </c>
      <c r="G14" s="28"/>
      <c r="H14" s="25"/>
      <c r="I14" s="29" t="s">
        <v>45</v>
      </c>
      <c r="J14" s="29"/>
      <c r="K14" s="1" t="s">
        <v>603</v>
      </c>
      <c r="L14" s="2"/>
    </row>
    <row r="15" spans="1:12" x14ac:dyDescent="0.35">
      <c r="B15" s="19">
        <f t="shared" si="0"/>
        <v>10</v>
      </c>
      <c r="C15" s="27"/>
      <c r="D15" s="27"/>
      <c r="E15" s="27"/>
      <c r="F15" s="26" t="s">
        <v>63</v>
      </c>
      <c r="G15" s="26"/>
      <c r="H15" s="25" t="s">
        <v>64</v>
      </c>
      <c r="I15" s="29" t="s">
        <v>45</v>
      </c>
      <c r="J15" s="26"/>
      <c r="K15" s="1" t="s">
        <v>603</v>
      </c>
      <c r="L15" s="2"/>
    </row>
    <row r="16" spans="1:12" x14ac:dyDescent="0.35">
      <c r="B16" s="19">
        <f t="shared" si="0"/>
        <v>11</v>
      </c>
      <c r="C16" s="27"/>
      <c r="D16" s="27"/>
      <c r="E16" s="27"/>
      <c r="F16" s="26" t="s">
        <v>65</v>
      </c>
      <c r="G16" s="26"/>
      <c r="H16" s="25" t="s">
        <v>66</v>
      </c>
      <c r="I16" s="29" t="s">
        <v>67</v>
      </c>
      <c r="J16" s="26"/>
      <c r="K16" s="1" t="s">
        <v>603</v>
      </c>
      <c r="L16" s="2"/>
    </row>
    <row r="17" spans="2:12" x14ac:dyDescent="0.35">
      <c r="B17" s="19">
        <f t="shared" si="0"/>
        <v>12</v>
      </c>
      <c r="C17" s="27"/>
      <c r="D17" s="27"/>
      <c r="E17" s="27"/>
      <c r="F17" s="26" t="s">
        <v>682</v>
      </c>
      <c r="G17" s="26"/>
      <c r="H17" s="25" t="s">
        <v>683</v>
      </c>
      <c r="I17" s="29" t="s">
        <v>45</v>
      </c>
      <c r="J17" s="26"/>
      <c r="K17" s="1" t="s">
        <v>603</v>
      </c>
      <c r="L17" s="2"/>
    </row>
    <row r="18" spans="2:12" x14ac:dyDescent="0.35">
      <c r="B18" s="19">
        <f t="shared" si="0"/>
        <v>13</v>
      </c>
      <c r="C18" s="24" t="s">
        <v>68</v>
      </c>
      <c r="D18" s="24"/>
      <c r="E18" s="24"/>
      <c r="F18" s="26" t="s">
        <v>69</v>
      </c>
      <c r="G18" s="26"/>
      <c r="H18" s="20" t="s">
        <v>44</v>
      </c>
      <c r="I18" s="29" t="s">
        <v>45</v>
      </c>
      <c r="J18" s="26"/>
      <c r="K18" s="1" t="s">
        <v>603</v>
      </c>
      <c r="L18" s="2"/>
    </row>
    <row r="19" spans="2:12" ht="94.5" x14ac:dyDescent="0.35">
      <c r="B19" s="19">
        <f t="shared" si="0"/>
        <v>14</v>
      </c>
      <c r="C19" s="27"/>
      <c r="D19" s="27"/>
      <c r="E19" s="27"/>
      <c r="F19" s="26" t="s">
        <v>70</v>
      </c>
      <c r="G19" s="26" t="s">
        <v>71</v>
      </c>
      <c r="H19" s="20" t="s">
        <v>44</v>
      </c>
      <c r="I19" s="29" t="s">
        <v>45</v>
      </c>
      <c r="J19" s="26" t="s">
        <v>72</v>
      </c>
      <c r="K19" s="1" t="s">
        <v>603</v>
      </c>
      <c r="L19" s="2"/>
    </row>
    <row r="20" spans="2:12" ht="243" x14ac:dyDescent="0.35">
      <c r="B20" s="19">
        <f t="shared" si="0"/>
        <v>15</v>
      </c>
      <c r="C20" s="27"/>
      <c r="D20" s="27"/>
      <c r="E20" s="27"/>
      <c r="F20" s="26" t="s">
        <v>73</v>
      </c>
      <c r="G20" s="26"/>
      <c r="H20" s="26" t="s">
        <v>74</v>
      </c>
      <c r="I20" s="29" t="s">
        <v>45</v>
      </c>
      <c r="J20" s="26"/>
      <c r="K20" s="1" t="s">
        <v>603</v>
      </c>
      <c r="L20" s="2"/>
    </row>
    <row r="21" spans="2:12" x14ac:dyDescent="0.35">
      <c r="B21" s="19">
        <f t="shared" si="0"/>
        <v>16</v>
      </c>
      <c r="C21" s="27"/>
      <c r="D21" s="27"/>
      <c r="E21" s="30"/>
      <c r="F21" s="26" t="s">
        <v>75</v>
      </c>
      <c r="G21" s="26"/>
      <c r="H21" s="26" t="s">
        <v>55</v>
      </c>
      <c r="I21" s="29" t="s">
        <v>45</v>
      </c>
      <c r="J21" s="26"/>
      <c r="K21" s="1" t="s">
        <v>603</v>
      </c>
      <c r="L21" s="2"/>
    </row>
    <row r="22" spans="2:12" x14ac:dyDescent="0.35">
      <c r="B22" s="19">
        <f t="shared" si="0"/>
        <v>17</v>
      </c>
      <c r="C22" s="27"/>
      <c r="D22" s="27"/>
      <c r="E22" s="27" t="s">
        <v>76</v>
      </c>
      <c r="F22" s="26" t="s">
        <v>497</v>
      </c>
      <c r="G22" s="26"/>
      <c r="H22" s="26" t="s">
        <v>44</v>
      </c>
      <c r="I22" s="29" t="s">
        <v>45</v>
      </c>
      <c r="J22" s="26"/>
      <c r="K22" s="1" t="s">
        <v>603</v>
      </c>
      <c r="L22" s="2"/>
    </row>
    <row r="23" spans="2:12" x14ac:dyDescent="0.35">
      <c r="B23" s="19">
        <f t="shared" si="0"/>
        <v>18</v>
      </c>
      <c r="C23" s="27"/>
      <c r="D23" s="27"/>
      <c r="E23" s="27"/>
      <c r="F23" s="26" t="s">
        <v>69</v>
      </c>
      <c r="G23" s="26"/>
      <c r="H23" s="26" t="s">
        <v>44</v>
      </c>
      <c r="I23" s="29" t="s">
        <v>45</v>
      </c>
      <c r="J23" s="26"/>
      <c r="K23" s="1" t="s">
        <v>603</v>
      </c>
      <c r="L23" s="2"/>
    </row>
    <row r="24" spans="2:12" ht="250.15" customHeight="1" x14ac:dyDescent="0.35">
      <c r="B24" s="19">
        <f t="shared" si="0"/>
        <v>19</v>
      </c>
      <c r="C24" s="27"/>
      <c r="D24" s="27"/>
      <c r="E24" s="27"/>
      <c r="F24" s="26" t="s">
        <v>73</v>
      </c>
      <c r="G24" s="26"/>
      <c r="H24" s="26" t="s">
        <v>499</v>
      </c>
      <c r="I24" s="29" t="s">
        <v>45</v>
      </c>
      <c r="J24" s="26"/>
      <c r="K24" s="1" t="s">
        <v>604</v>
      </c>
      <c r="L24" s="2"/>
    </row>
    <row r="25" spans="2:12" x14ac:dyDescent="0.35">
      <c r="B25" s="19">
        <f t="shared" si="0"/>
        <v>20</v>
      </c>
      <c r="C25" s="27"/>
      <c r="D25" s="27"/>
      <c r="E25" s="27"/>
      <c r="F25" s="26" t="s">
        <v>77</v>
      </c>
      <c r="G25" s="26"/>
      <c r="H25" s="26" t="s">
        <v>78</v>
      </c>
      <c r="I25" s="29" t="s">
        <v>45</v>
      </c>
      <c r="J25" s="26" t="s">
        <v>79</v>
      </c>
      <c r="K25" s="1" t="s">
        <v>604</v>
      </c>
      <c r="L25" s="2"/>
    </row>
    <row r="26" spans="2:12" x14ac:dyDescent="0.35">
      <c r="B26" s="19">
        <f t="shared" si="0"/>
        <v>21</v>
      </c>
      <c r="C26" s="27"/>
      <c r="D26" s="27"/>
      <c r="E26" s="27"/>
      <c r="F26" s="26" t="s">
        <v>80</v>
      </c>
      <c r="G26" s="26"/>
      <c r="H26" s="26" t="s">
        <v>81</v>
      </c>
      <c r="I26" s="29" t="s">
        <v>45</v>
      </c>
      <c r="J26" s="26" t="s">
        <v>79</v>
      </c>
      <c r="K26" s="1" t="s">
        <v>604</v>
      </c>
      <c r="L26" s="2"/>
    </row>
    <row r="27" spans="2:12" x14ac:dyDescent="0.35">
      <c r="B27" s="19">
        <f t="shared" si="0"/>
        <v>22</v>
      </c>
      <c r="C27" s="27"/>
      <c r="D27" s="27"/>
      <c r="E27" s="27"/>
      <c r="F27" s="26" t="s">
        <v>70</v>
      </c>
      <c r="G27" s="26"/>
      <c r="H27" s="26" t="s">
        <v>44</v>
      </c>
      <c r="I27" s="29" t="s">
        <v>45</v>
      </c>
      <c r="J27" s="26" t="s">
        <v>79</v>
      </c>
      <c r="K27" s="1" t="s">
        <v>604</v>
      </c>
      <c r="L27" s="2"/>
    </row>
    <row r="28" spans="2:12" ht="27" x14ac:dyDescent="0.35">
      <c r="B28" s="19">
        <f t="shared" si="0"/>
        <v>23</v>
      </c>
      <c r="C28" s="27"/>
      <c r="D28" s="27"/>
      <c r="E28" s="27"/>
      <c r="F28" s="26" t="s">
        <v>638</v>
      </c>
      <c r="G28" s="26"/>
      <c r="H28" s="26" t="s">
        <v>44</v>
      </c>
      <c r="I28" s="29" t="s">
        <v>45</v>
      </c>
      <c r="J28" s="26" t="s">
        <v>79</v>
      </c>
      <c r="K28" s="1" t="s">
        <v>604</v>
      </c>
      <c r="L28" s="2"/>
    </row>
    <row r="29" spans="2:12" x14ac:dyDescent="0.35">
      <c r="B29" s="19">
        <f t="shared" si="0"/>
        <v>24</v>
      </c>
      <c r="C29" s="27"/>
      <c r="D29" s="27"/>
      <c r="E29" s="27"/>
      <c r="F29" s="26" t="s">
        <v>82</v>
      </c>
      <c r="G29" s="26"/>
      <c r="H29" s="26" t="s">
        <v>44</v>
      </c>
      <c r="I29" s="29" t="s">
        <v>45</v>
      </c>
      <c r="J29" s="26" t="s">
        <v>79</v>
      </c>
      <c r="K29" s="1" t="s">
        <v>604</v>
      </c>
      <c r="L29" s="2"/>
    </row>
    <row r="30" spans="2:12" x14ac:dyDescent="0.35">
      <c r="B30" s="19">
        <f t="shared" si="0"/>
        <v>25</v>
      </c>
      <c r="C30" s="27"/>
      <c r="D30" s="27"/>
      <c r="E30" s="27"/>
      <c r="F30" s="26" t="s">
        <v>83</v>
      </c>
      <c r="G30" s="26"/>
      <c r="H30" s="26" t="s">
        <v>44</v>
      </c>
      <c r="I30" s="29" t="s">
        <v>45</v>
      </c>
      <c r="J30" s="26" t="s">
        <v>79</v>
      </c>
      <c r="K30" s="1" t="s">
        <v>604</v>
      </c>
      <c r="L30" s="2"/>
    </row>
    <row r="31" spans="2:12" x14ac:dyDescent="0.35">
      <c r="B31" s="19">
        <f t="shared" si="0"/>
        <v>26</v>
      </c>
      <c r="C31" s="27"/>
      <c r="D31" s="27"/>
      <c r="E31" s="27"/>
      <c r="F31" s="26" t="s">
        <v>84</v>
      </c>
      <c r="G31" s="26"/>
      <c r="H31" s="26" t="s">
        <v>44</v>
      </c>
      <c r="I31" s="29" t="s">
        <v>45</v>
      </c>
      <c r="J31" s="26" t="s">
        <v>79</v>
      </c>
      <c r="K31" s="1" t="s">
        <v>604</v>
      </c>
      <c r="L31" s="2"/>
    </row>
    <row r="32" spans="2:12" x14ac:dyDescent="0.35">
      <c r="B32" s="19">
        <f t="shared" si="0"/>
        <v>27</v>
      </c>
      <c r="C32" s="27"/>
      <c r="D32" s="27"/>
      <c r="E32" s="27"/>
      <c r="F32" s="26" t="s">
        <v>85</v>
      </c>
      <c r="G32" s="26"/>
      <c r="H32" s="26" t="s">
        <v>44</v>
      </c>
      <c r="I32" s="29" t="s">
        <v>45</v>
      </c>
      <c r="J32" s="26" t="s">
        <v>79</v>
      </c>
      <c r="K32" s="1" t="s">
        <v>604</v>
      </c>
      <c r="L32" s="2"/>
    </row>
    <row r="33" spans="2:12" x14ac:dyDescent="0.35">
      <c r="B33" s="19">
        <f t="shared" si="0"/>
        <v>28</v>
      </c>
      <c r="C33" s="27"/>
      <c r="D33" s="27"/>
      <c r="E33" s="27"/>
      <c r="F33" s="26" t="s">
        <v>75</v>
      </c>
      <c r="G33" s="26"/>
      <c r="H33" s="26" t="s">
        <v>55</v>
      </c>
      <c r="I33" s="29" t="s">
        <v>45</v>
      </c>
      <c r="J33" s="26"/>
      <c r="K33" s="1" t="s">
        <v>604</v>
      </c>
      <c r="L33" s="2"/>
    </row>
    <row r="34" spans="2:12" x14ac:dyDescent="0.35">
      <c r="B34" s="19">
        <f t="shared" si="0"/>
        <v>29</v>
      </c>
      <c r="C34" s="27"/>
      <c r="D34" s="27"/>
      <c r="E34" s="27"/>
      <c r="F34" s="26" t="s">
        <v>86</v>
      </c>
      <c r="G34" s="26"/>
      <c r="H34" s="26" t="s">
        <v>55</v>
      </c>
      <c r="I34" s="29" t="s">
        <v>45</v>
      </c>
      <c r="J34" s="26" t="s">
        <v>79</v>
      </c>
      <c r="K34" s="1" t="s">
        <v>604</v>
      </c>
      <c r="L34" s="2"/>
    </row>
    <row r="35" spans="2:12" x14ac:dyDescent="0.35">
      <c r="B35" s="19">
        <f t="shared" si="0"/>
        <v>30</v>
      </c>
      <c r="C35" s="31" t="s">
        <v>87</v>
      </c>
      <c r="D35" s="24"/>
      <c r="E35" s="31"/>
      <c r="F35" s="25" t="s">
        <v>88</v>
      </c>
      <c r="G35" s="25"/>
      <c r="H35" s="26" t="s">
        <v>44</v>
      </c>
      <c r="I35" s="26" t="s">
        <v>45</v>
      </c>
      <c r="J35" s="26"/>
      <c r="K35" s="1" t="s">
        <v>603</v>
      </c>
      <c r="L35" s="1"/>
    </row>
    <row r="36" spans="2:12" ht="108" x14ac:dyDescent="0.35">
      <c r="B36" s="19">
        <f t="shared" si="0"/>
        <v>31</v>
      </c>
      <c r="C36" s="32"/>
      <c r="D36" s="27"/>
      <c r="E36" s="32"/>
      <c r="F36" s="28" t="s">
        <v>89</v>
      </c>
      <c r="G36" s="28"/>
      <c r="H36" s="25" t="s">
        <v>90</v>
      </c>
      <c r="I36" s="29" t="s">
        <v>45</v>
      </c>
      <c r="J36" s="29"/>
      <c r="K36" s="1" t="s">
        <v>605</v>
      </c>
      <c r="L36" s="2"/>
    </row>
    <row r="37" spans="2:12" ht="40.5" x14ac:dyDescent="0.35">
      <c r="B37" s="19">
        <f t="shared" si="0"/>
        <v>32</v>
      </c>
      <c r="C37" s="32"/>
      <c r="D37" s="27"/>
      <c r="E37" s="32"/>
      <c r="F37" s="28" t="s">
        <v>91</v>
      </c>
      <c r="G37" s="28" t="s">
        <v>92</v>
      </c>
      <c r="H37" s="25" t="s">
        <v>44</v>
      </c>
      <c r="I37" s="29" t="s">
        <v>45</v>
      </c>
      <c r="J37" s="29"/>
      <c r="K37" s="1" t="s">
        <v>605</v>
      </c>
      <c r="L37" s="2"/>
    </row>
    <row r="38" spans="2:12" ht="40.5" x14ac:dyDescent="0.35">
      <c r="B38" s="19">
        <f t="shared" si="0"/>
        <v>33</v>
      </c>
      <c r="C38" s="32"/>
      <c r="D38" s="32"/>
      <c r="E38" s="32"/>
      <c r="F38" s="28" t="s">
        <v>93</v>
      </c>
      <c r="G38" s="28"/>
      <c r="H38" s="26" t="s">
        <v>44</v>
      </c>
      <c r="I38" s="29" t="s">
        <v>45</v>
      </c>
      <c r="J38" s="29" t="s">
        <v>94</v>
      </c>
      <c r="K38" s="1" t="s">
        <v>605</v>
      </c>
      <c r="L38" s="2"/>
    </row>
    <row r="39" spans="2:12" ht="27" x14ac:dyDescent="0.35">
      <c r="B39" s="19">
        <f t="shared" si="0"/>
        <v>34</v>
      </c>
      <c r="C39" s="32"/>
      <c r="D39" s="32"/>
      <c r="E39" s="32"/>
      <c r="F39" s="28" t="s">
        <v>75</v>
      </c>
      <c r="G39" s="28" t="s">
        <v>95</v>
      </c>
      <c r="H39" s="26" t="s">
        <v>55</v>
      </c>
      <c r="I39" s="29" t="s">
        <v>45</v>
      </c>
      <c r="J39" s="29"/>
      <c r="K39" s="1" t="s">
        <v>605</v>
      </c>
      <c r="L39" s="2"/>
    </row>
    <row r="40" spans="2:12" x14ac:dyDescent="0.35">
      <c r="B40" s="19">
        <f t="shared" si="0"/>
        <v>35</v>
      </c>
      <c r="C40" s="32"/>
      <c r="D40" s="32"/>
      <c r="E40" s="31" t="s">
        <v>96</v>
      </c>
      <c r="F40" s="28" t="s">
        <v>88</v>
      </c>
      <c r="G40" s="28"/>
      <c r="H40" s="26"/>
      <c r="I40" s="29"/>
      <c r="J40" s="29"/>
      <c r="K40" s="1" t="s">
        <v>605</v>
      </c>
      <c r="L40" s="2"/>
    </row>
    <row r="41" spans="2:12" x14ac:dyDescent="0.35">
      <c r="B41" s="19">
        <f t="shared" si="0"/>
        <v>36</v>
      </c>
      <c r="C41" s="32"/>
      <c r="D41" s="32"/>
      <c r="E41" s="32"/>
      <c r="F41" s="28" t="s">
        <v>89</v>
      </c>
      <c r="G41" s="28"/>
      <c r="H41" s="26"/>
      <c r="I41" s="29"/>
      <c r="J41" s="29"/>
      <c r="K41" s="1" t="s">
        <v>605</v>
      </c>
      <c r="L41" s="2"/>
    </row>
    <row r="42" spans="2:12" ht="40.5" x14ac:dyDescent="0.35">
      <c r="B42" s="19">
        <f t="shared" si="0"/>
        <v>37</v>
      </c>
      <c r="C42" s="32"/>
      <c r="D42" s="32"/>
      <c r="E42" s="32"/>
      <c r="F42" s="28" t="s">
        <v>97</v>
      </c>
      <c r="G42" s="28"/>
      <c r="H42" s="26" t="s">
        <v>44</v>
      </c>
      <c r="I42" s="29" t="s">
        <v>45</v>
      </c>
      <c r="J42" s="29" t="s">
        <v>98</v>
      </c>
      <c r="K42" s="1" t="s">
        <v>605</v>
      </c>
      <c r="L42" s="2"/>
    </row>
    <row r="43" spans="2:12" x14ac:dyDescent="0.35">
      <c r="B43" s="19">
        <f t="shared" si="0"/>
        <v>38</v>
      </c>
      <c r="C43" s="32"/>
      <c r="D43" s="32"/>
      <c r="E43" s="32"/>
      <c r="F43" s="28" t="s">
        <v>501</v>
      </c>
      <c r="G43" s="28"/>
      <c r="H43" s="26"/>
      <c r="I43" s="29"/>
      <c r="J43" s="29"/>
      <c r="K43" s="1" t="s">
        <v>605</v>
      </c>
      <c r="L43" s="2"/>
    </row>
    <row r="44" spans="2:12" x14ac:dyDescent="0.35">
      <c r="B44" s="19">
        <f t="shared" si="0"/>
        <v>39</v>
      </c>
      <c r="C44" s="32"/>
      <c r="D44" s="32"/>
      <c r="E44" s="32"/>
      <c r="F44" s="28" t="s">
        <v>93</v>
      </c>
      <c r="G44" s="28"/>
      <c r="H44" s="26"/>
      <c r="I44" s="29"/>
      <c r="J44" s="29"/>
      <c r="K44" s="1" t="s">
        <v>605</v>
      </c>
      <c r="L44" s="2"/>
    </row>
    <row r="45" spans="2:12" ht="81" x14ac:dyDescent="0.35">
      <c r="B45" s="19">
        <f t="shared" si="0"/>
        <v>40</v>
      </c>
      <c r="C45" s="32"/>
      <c r="D45" s="32"/>
      <c r="E45" s="32"/>
      <c r="F45" s="28" t="s">
        <v>73</v>
      </c>
      <c r="G45" s="28"/>
      <c r="H45" s="26" t="s">
        <v>99</v>
      </c>
      <c r="I45" s="29" t="s">
        <v>45</v>
      </c>
      <c r="J45" s="29" t="s">
        <v>100</v>
      </c>
      <c r="K45" s="1" t="s">
        <v>605</v>
      </c>
      <c r="L45" s="2"/>
    </row>
    <row r="46" spans="2:12" ht="40.5" x14ac:dyDescent="0.35">
      <c r="B46" s="19">
        <f t="shared" si="0"/>
        <v>41</v>
      </c>
      <c r="C46" s="32"/>
      <c r="D46" s="32"/>
      <c r="E46" s="32"/>
      <c r="F46" s="25" t="s">
        <v>101</v>
      </c>
      <c r="G46" s="25"/>
      <c r="H46" s="25" t="s">
        <v>55</v>
      </c>
      <c r="I46" s="26" t="s">
        <v>45</v>
      </c>
      <c r="J46" s="29" t="s">
        <v>102</v>
      </c>
      <c r="K46" s="1" t="s">
        <v>605</v>
      </c>
      <c r="L46" s="2"/>
    </row>
    <row r="47" spans="2:12" ht="40.5" x14ac:dyDescent="0.35">
      <c r="B47" s="19">
        <f t="shared" si="0"/>
        <v>42</v>
      </c>
      <c r="C47" s="32"/>
      <c r="D47" s="32"/>
      <c r="E47" s="32"/>
      <c r="F47" s="25" t="s">
        <v>103</v>
      </c>
      <c r="G47" s="25"/>
      <c r="H47" s="26" t="s">
        <v>55</v>
      </c>
      <c r="I47" s="26" t="s">
        <v>45</v>
      </c>
      <c r="J47" s="29" t="s">
        <v>104</v>
      </c>
      <c r="K47" s="1" t="s">
        <v>605</v>
      </c>
      <c r="L47" s="2"/>
    </row>
    <row r="48" spans="2:12" x14ac:dyDescent="0.35">
      <c r="B48" s="19">
        <f t="shared" si="0"/>
        <v>43</v>
      </c>
      <c r="C48" s="32"/>
      <c r="D48" s="32"/>
      <c r="E48" s="32"/>
      <c r="F48" s="25" t="s">
        <v>75</v>
      </c>
      <c r="G48" s="25"/>
      <c r="H48" s="26" t="s">
        <v>55</v>
      </c>
      <c r="I48" s="26" t="s">
        <v>45</v>
      </c>
      <c r="J48" s="29"/>
      <c r="K48" s="1" t="s">
        <v>605</v>
      </c>
      <c r="L48" s="2"/>
    </row>
    <row r="49" spans="2:12" ht="27" x14ac:dyDescent="0.35">
      <c r="B49" s="19">
        <f t="shared" si="0"/>
        <v>44</v>
      </c>
      <c r="C49" s="32"/>
      <c r="D49" s="32"/>
      <c r="E49" s="32"/>
      <c r="F49" s="25" t="s">
        <v>502</v>
      </c>
      <c r="G49" s="25" t="s">
        <v>503</v>
      </c>
      <c r="H49" s="26" t="s">
        <v>55</v>
      </c>
      <c r="I49" s="26" t="s">
        <v>45</v>
      </c>
      <c r="J49" s="29"/>
      <c r="K49" s="1" t="s">
        <v>605</v>
      </c>
      <c r="L49" s="2"/>
    </row>
    <row r="50" spans="2:12" x14ac:dyDescent="0.35">
      <c r="B50" s="19">
        <f t="shared" si="0"/>
        <v>45</v>
      </c>
      <c r="C50" s="24" t="s">
        <v>105</v>
      </c>
      <c r="D50" s="24"/>
      <c r="E50" s="24" t="s">
        <v>49</v>
      </c>
      <c r="F50" s="25" t="s">
        <v>106</v>
      </c>
      <c r="G50" s="25" t="s">
        <v>107</v>
      </c>
      <c r="H50" s="25" t="s">
        <v>44</v>
      </c>
      <c r="I50" s="26" t="s">
        <v>45</v>
      </c>
      <c r="J50" s="26"/>
      <c r="K50" s="1" t="s">
        <v>603</v>
      </c>
      <c r="L50" s="2"/>
    </row>
    <row r="51" spans="2:12" x14ac:dyDescent="0.35">
      <c r="B51" s="19">
        <f t="shared" si="0"/>
        <v>46</v>
      </c>
      <c r="C51" s="27"/>
      <c r="D51" s="27"/>
      <c r="E51" s="27"/>
      <c r="F51" s="28" t="s">
        <v>108</v>
      </c>
      <c r="G51" s="28"/>
      <c r="H51" s="25" t="s">
        <v>109</v>
      </c>
      <c r="I51" s="28" t="s">
        <v>45</v>
      </c>
      <c r="J51" s="28"/>
      <c r="K51" s="1" t="s">
        <v>603</v>
      </c>
      <c r="L51" s="2"/>
    </row>
    <row r="52" spans="2:12" x14ac:dyDescent="0.35">
      <c r="B52" s="19">
        <f t="shared" si="0"/>
        <v>47</v>
      </c>
      <c r="C52" s="27"/>
      <c r="D52" s="27"/>
      <c r="E52" s="27"/>
      <c r="F52" s="25" t="s">
        <v>110</v>
      </c>
      <c r="G52" s="25"/>
      <c r="H52" s="26" t="s">
        <v>111</v>
      </c>
      <c r="I52" s="33" t="s">
        <v>45</v>
      </c>
      <c r="J52" s="26"/>
      <c r="K52" s="1" t="s">
        <v>603</v>
      </c>
      <c r="L52" s="2"/>
    </row>
    <row r="53" spans="2:12" x14ac:dyDescent="0.35">
      <c r="B53" s="19">
        <f t="shared" si="0"/>
        <v>48</v>
      </c>
      <c r="C53" s="27"/>
      <c r="D53" s="27"/>
      <c r="E53" s="27"/>
      <c r="F53" s="45" t="s">
        <v>112</v>
      </c>
      <c r="G53" s="25"/>
      <c r="H53" s="26" t="s">
        <v>44</v>
      </c>
      <c r="I53" s="33" t="s">
        <v>45</v>
      </c>
      <c r="J53" s="26"/>
      <c r="K53" s="1" t="s">
        <v>603</v>
      </c>
      <c r="L53" s="2"/>
    </row>
    <row r="54" spans="2:12" ht="27" x14ac:dyDescent="0.35">
      <c r="B54" s="19">
        <f t="shared" si="0"/>
        <v>49</v>
      </c>
      <c r="C54" s="24" t="s">
        <v>113</v>
      </c>
      <c r="D54" s="24"/>
      <c r="E54" s="24" t="s">
        <v>114</v>
      </c>
      <c r="F54" s="26" t="s">
        <v>115</v>
      </c>
      <c r="G54" s="26"/>
      <c r="H54" s="25" t="s">
        <v>44</v>
      </c>
      <c r="I54" s="26" t="s">
        <v>45</v>
      </c>
      <c r="J54" s="26"/>
      <c r="K54" s="1" t="s">
        <v>603</v>
      </c>
      <c r="L54" s="1"/>
    </row>
    <row r="55" spans="2:12" x14ac:dyDescent="0.35">
      <c r="B55" s="19">
        <f t="shared" si="0"/>
        <v>50</v>
      </c>
      <c r="C55" s="27"/>
      <c r="D55" s="27"/>
      <c r="E55" s="27"/>
      <c r="F55" s="26" t="s">
        <v>116</v>
      </c>
      <c r="G55" s="26"/>
      <c r="H55" s="25" t="s">
        <v>44</v>
      </c>
      <c r="I55" s="26" t="s">
        <v>45</v>
      </c>
      <c r="J55" s="26"/>
      <c r="K55" s="1" t="s">
        <v>603</v>
      </c>
      <c r="L55" s="1"/>
    </row>
    <row r="56" spans="2:12" x14ac:dyDescent="0.35">
      <c r="B56" s="19">
        <f t="shared" si="0"/>
        <v>51</v>
      </c>
      <c r="C56" s="27"/>
      <c r="D56" s="27"/>
      <c r="E56" s="46" t="s">
        <v>117</v>
      </c>
      <c r="F56" s="47" t="s">
        <v>118</v>
      </c>
      <c r="G56" s="47"/>
      <c r="H56" s="48"/>
      <c r="I56" s="47"/>
      <c r="J56" s="47"/>
      <c r="K56" s="5"/>
      <c r="L56" s="5"/>
    </row>
    <row r="57" spans="2:12" x14ac:dyDescent="0.35">
      <c r="B57" s="19">
        <f t="shared" si="0"/>
        <v>52</v>
      </c>
      <c r="C57" s="27"/>
      <c r="D57" s="27"/>
      <c r="E57" s="49"/>
      <c r="F57" s="47" t="s">
        <v>119</v>
      </c>
      <c r="G57" s="47"/>
      <c r="H57" s="48"/>
      <c r="I57" s="47"/>
      <c r="J57" s="47"/>
      <c r="K57" s="5"/>
      <c r="L57" s="5"/>
    </row>
    <row r="58" spans="2:12" x14ac:dyDescent="0.35">
      <c r="B58" s="19">
        <f t="shared" si="0"/>
        <v>53</v>
      </c>
      <c r="C58" s="27"/>
      <c r="D58" s="27"/>
      <c r="E58" s="49"/>
      <c r="F58" s="47" t="s">
        <v>120</v>
      </c>
      <c r="G58" s="47"/>
      <c r="H58" s="48"/>
      <c r="I58" s="47"/>
      <c r="J58" s="47"/>
      <c r="K58" s="5"/>
      <c r="L58" s="5"/>
    </row>
    <row r="59" spans="2:12" x14ac:dyDescent="0.35">
      <c r="B59" s="19">
        <f t="shared" si="0"/>
        <v>54</v>
      </c>
      <c r="C59" s="27"/>
      <c r="D59" s="27"/>
      <c r="E59" s="50"/>
      <c r="F59" s="47" t="s">
        <v>121</v>
      </c>
      <c r="G59" s="47"/>
      <c r="H59" s="48"/>
      <c r="I59" s="47"/>
      <c r="J59" s="47"/>
      <c r="K59" s="5"/>
      <c r="L59" s="5"/>
    </row>
    <row r="60" spans="2:12" x14ac:dyDescent="0.35">
      <c r="B60" s="19">
        <f t="shared" si="0"/>
        <v>55</v>
      </c>
      <c r="C60" s="27"/>
      <c r="D60" s="27"/>
      <c r="E60" s="51" t="s">
        <v>122</v>
      </c>
      <c r="F60" s="47" t="s">
        <v>123</v>
      </c>
      <c r="G60" s="47" t="s">
        <v>124</v>
      </c>
      <c r="H60" s="48"/>
      <c r="I60" s="47"/>
      <c r="J60" s="47"/>
      <c r="K60" s="5"/>
      <c r="L60" s="5"/>
    </row>
    <row r="61" spans="2:12" ht="54" x14ac:dyDescent="0.35">
      <c r="B61" s="19">
        <f t="shared" si="0"/>
        <v>56</v>
      </c>
      <c r="C61" s="27"/>
      <c r="D61" s="27"/>
      <c r="E61" s="49"/>
      <c r="F61" s="47" t="s">
        <v>125</v>
      </c>
      <c r="G61" s="47" t="s">
        <v>126</v>
      </c>
      <c r="H61" s="48"/>
      <c r="I61" s="47"/>
      <c r="J61" s="47"/>
      <c r="K61" s="5"/>
      <c r="L61" s="5"/>
    </row>
    <row r="62" spans="2:12" x14ac:dyDescent="0.35">
      <c r="B62" s="19">
        <f t="shared" si="0"/>
        <v>57</v>
      </c>
      <c r="C62" s="27"/>
      <c r="D62" s="27"/>
      <c r="E62" s="49"/>
      <c r="F62" s="47" t="s">
        <v>127</v>
      </c>
      <c r="G62" s="47"/>
      <c r="H62" s="48"/>
      <c r="I62" s="47"/>
      <c r="J62" s="47"/>
      <c r="K62" s="5"/>
      <c r="L62" s="5"/>
    </row>
    <row r="63" spans="2:12" x14ac:dyDescent="0.35">
      <c r="B63" s="19">
        <f t="shared" si="0"/>
        <v>58</v>
      </c>
      <c r="C63" s="27"/>
      <c r="D63" s="27"/>
      <c r="E63" s="46" t="s">
        <v>128</v>
      </c>
      <c r="F63" s="47" t="s">
        <v>129</v>
      </c>
      <c r="G63" s="47"/>
      <c r="H63" s="48"/>
      <c r="I63" s="47"/>
      <c r="J63" s="47"/>
      <c r="K63" s="5"/>
      <c r="L63" s="5"/>
    </row>
    <row r="64" spans="2:12" ht="27" x14ac:dyDescent="0.35">
      <c r="B64" s="19">
        <f t="shared" si="0"/>
        <v>59</v>
      </c>
      <c r="C64" s="27"/>
      <c r="D64" s="27"/>
      <c r="E64" s="46" t="s">
        <v>130</v>
      </c>
      <c r="F64" s="47" t="s">
        <v>131</v>
      </c>
      <c r="G64" s="47" t="s">
        <v>132</v>
      </c>
      <c r="H64" s="48"/>
      <c r="I64" s="47"/>
      <c r="J64" s="47"/>
      <c r="K64" s="5"/>
      <c r="L64" s="5"/>
    </row>
    <row r="65" spans="2:12" ht="27" x14ac:dyDescent="0.35">
      <c r="B65" s="19">
        <f t="shared" si="0"/>
        <v>60</v>
      </c>
      <c r="C65" s="27"/>
      <c r="D65" s="27"/>
      <c r="E65" s="49"/>
      <c r="F65" s="47" t="s">
        <v>133</v>
      </c>
      <c r="G65" s="47" t="s">
        <v>134</v>
      </c>
      <c r="H65" s="48"/>
      <c r="I65" s="47"/>
      <c r="J65" s="47"/>
      <c r="K65" s="5"/>
      <c r="L65" s="5"/>
    </row>
    <row r="66" spans="2:12" x14ac:dyDescent="0.35">
      <c r="B66" s="19">
        <f t="shared" si="0"/>
        <v>61</v>
      </c>
      <c r="C66" s="27"/>
      <c r="D66" s="27"/>
      <c r="E66" s="49"/>
      <c r="F66" s="47" t="s">
        <v>135</v>
      </c>
      <c r="G66" s="47" t="s">
        <v>136</v>
      </c>
      <c r="H66" s="48"/>
      <c r="I66" s="47"/>
      <c r="J66" s="47"/>
      <c r="K66" s="5"/>
      <c r="L66" s="5"/>
    </row>
    <row r="67" spans="2:12" x14ac:dyDescent="0.35">
      <c r="B67" s="19">
        <f t="shared" si="0"/>
        <v>62</v>
      </c>
      <c r="C67" s="27"/>
      <c r="D67" s="27"/>
      <c r="E67" s="49"/>
      <c r="F67" s="47" t="s">
        <v>504</v>
      </c>
      <c r="G67" s="47" t="s">
        <v>505</v>
      </c>
      <c r="H67" s="48"/>
      <c r="I67" s="47"/>
      <c r="J67" s="47"/>
      <c r="K67" s="5"/>
      <c r="L67" s="5"/>
    </row>
    <row r="68" spans="2:12" x14ac:dyDescent="0.35">
      <c r="B68" s="19">
        <f t="shared" si="0"/>
        <v>63</v>
      </c>
      <c r="C68" s="27"/>
      <c r="D68" s="27"/>
      <c r="E68" s="46" t="s">
        <v>137</v>
      </c>
      <c r="F68" s="47" t="s">
        <v>138</v>
      </c>
      <c r="G68" s="47"/>
      <c r="H68" s="48"/>
      <c r="I68" s="47"/>
      <c r="J68" s="47"/>
      <c r="K68" s="5"/>
      <c r="L68" s="5"/>
    </row>
    <row r="69" spans="2:12" x14ac:dyDescent="0.35">
      <c r="B69" s="19">
        <f t="shared" si="0"/>
        <v>64</v>
      </c>
      <c r="C69" s="27"/>
      <c r="D69" s="27"/>
      <c r="E69" s="46" t="s">
        <v>139</v>
      </c>
      <c r="F69" s="47" t="s">
        <v>140</v>
      </c>
      <c r="G69" s="47"/>
      <c r="H69" s="48"/>
      <c r="I69" s="47"/>
      <c r="J69" s="47"/>
      <c r="K69" s="5"/>
      <c r="L69" s="5"/>
    </row>
    <row r="70" spans="2:12" ht="27" x14ac:dyDescent="0.35">
      <c r="B70" s="19">
        <f t="shared" si="0"/>
        <v>65</v>
      </c>
      <c r="C70" s="27"/>
      <c r="D70" s="27"/>
      <c r="E70" s="49"/>
      <c r="F70" s="47" t="s">
        <v>141</v>
      </c>
      <c r="G70" s="47" t="s">
        <v>142</v>
      </c>
      <c r="H70" s="48"/>
      <c r="I70" s="47"/>
      <c r="J70" s="47"/>
      <c r="K70" s="5"/>
      <c r="L70" s="5"/>
    </row>
    <row r="71" spans="2:12" x14ac:dyDescent="0.35">
      <c r="B71" s="19">
        <f t="shared" si="0"/>
        <v>66</v>
      </c>
      <c r="C71" s="27"/>
      <c r="D71" s="27"/>
      <c r="E71" s="49"/>
      <c r="F71" s="47" t="s">
        <v>143</v>
      </c>
      <c r="G71" s="47"/>
      <c r="H71" s="48"/>
      <c r="I71" s="47"/>
      <c r="J71" s="47"/>
      <c r="K71" s="5"/>
      <c r="L71" s="5"/>
    </row>
    <row r="72" spans="2:12" x14ac:dyDescent="0.35">
      <c r="B72" s="19">
        <f t="shared" si="0"/>
        <v>67</v>
      </c>
      <c r="C72" s="27"/>
      <c r="D72" s="27"/>
      <c r="E72" s="46" t="s">
        <v>144</v>
      </c>
      <c r="F72" s="47" t="s">
        <v>145</v>
      </c>
      <c r="G72" s="47"/>
      <c r="H72" s="48"/>
      <c r="I72" s="47"/>
      <c r="J72" s="47"/>
      <c r="K72" s="5"/>
      <c r="L72" s="5"/>
    </row>
    <row r="73" spans="2:12" x14ac:dyDescent="0.35">
      <c r="B73" s="19">
        <f t="shared" si="0"/>
        <v>68</v>
      </c>
      <c r="C73" s="27"/>
      <c r="D73" s="27"/>
      <c r="E73" s="49"/>
      <c r="F73" s="47" t="s">
        <v>146</v>
      </c>
      <c r="G73" s="47"/>
      <c r="H73" s="48"/>
      <c r="I73" s="47"/>
      <c r="J73" s="47"/>
      <c r="K73" s="5"/>
      <c r="L73" s="5"/>
    </row>
    <row r="74" spans="2:12" ht="27" x14ac:dyDescent="0.35">
      <c r="B74" s="19">
        <f t="shared" si="0"/>
        <v>69</v>
      </c>
      <c r="C74" s="27"/>
      <c r="D74" s="27"/>
      <c r="E74" s="46" t="s">
        <v>147</v>
      </c>
      <c r="F74" s="47" t="s">
        <v>147</v>
      </c>
      <c r="G74" s="47"/>
      <c r="H74" s="48"/>
      <c r="I74" s="47"/>
      <c r="J74" s="47"/>
      <c r="K74" s="5"/>
      <c r="L74" s="5"/>
    </row>
    <row r="75" spans="2:12" x14ac:dyDescent="0.35">
      <c r="B75" s="19">
        <f t="shared" si="0"/>
        <v>70</v>
      </c>
      <c r="C75" s="27"/>
      <c r="D75" s="27"/>
      <c r="E75" s="46" t="s">
        <v>148</v>
      </c>
      <c r="F75" s="47" t="s">
        <v>149</v>
      </c>
      <c r="G75" s="47"/>
      <c r="H75" s="48" t="s">
        <v>55</v>
      </c>
      <c r="I75" s="47"/>
      <c r="J75" s="47"/>
      <c r="K75" s="5"/>
      <c r="L75" s="5"/>
    </row>
    <row r="76" spans="2:12" x14ac:dyDescent="0.35">
      <c r="B76" s="19">
        <f t="shared" si="0"/>
        <v>71</v>
      </c>
      <c r="C76" s="27"/>
      <c r="D76" s="27"/>
      <c r="E76" s="24" t="s">
        <v>150</v>
      </c>
      <c r="F76" s="26" t="s">
        <v>151</v>
      </c>
      <c r="G76" s="26"/>
      <c r="H76" s="25" t="s">
        <v>152</v>
      </c>
      <c r="I76" s="26" t="s">
        <v>45</v>
      </c>
      <c r="J76" s="26"/>
      <c r="K76" s="1" t="s">
        <v>603</v>
      </c>
      <c r="L76" s="1"/>
    </row>
    <row r="77" spans="2:12" x14ac:dyDescent="0.35">
      <c r="B77" s="19">
        <f t="shared" si="0"/>
        <v>72</v>
      </c>
      <c r="C77" s="27"/>
      <c r="D77" s="27"/>
      <c r="E77" s="27"/>
      <c r="F77" s="26" t="s">
        <v>153</v>
      </c>
      <c r="G77" s="26" t="s">
        <v>154</v>
      </c>
      <c r="H77" s="25" t="s">
        <v>109</v>
      </c>
      <c r="I77" s="26" t="s">
        <v>45</v>
      </c>
      <c r="J77" s="26"/>
      <c r="K77" s="1" t="s">
        <v>603</v>
      </c>
      <c r="L77" s="1"/>
    </row>
    <row r="78" spans="2:12" x14ac:dyDescent="0.35">
      <c r="B78" s="19">
        <f t="shared" si="0"/>
        <v>73</v>
      </c>
      <c r="C78" s="27"/>
      <c r="D78" s="27"/>
      <c r="E78" s="27"/>
      <c r="F78" s="26" t="s">
        <v>155</v>
      </c>
      <c r="G78" s="26"/>
      <c r="H78" s="25" t="s">
        <v>44</v>
      </c>
      <c r="I78" s="26" t="s">
        <v>45</v>
      </c>
      <c r="J78" s="26"/>
      <c r="K78" s="1" t="s">
        <v>603</v>
      </c>
      <c r="L78" s="1"/>
    </row>
    <row r="79" spans="2:12" ht="27" x14ac:dyDescent="0.35">
      <c r="B79" s="19">
        <f t="shared" si="0"/>
        <v>74</v>
      </c>
      <c r="C79" s="27"/>
      <c r="D79" s="27"/>
      <c r="E79" s="27"/>
      <c r="F79" s="26" t="s">
        <v>156</v>
      </c>
      <c r="G79" s="26"/>
      <c r="H79" s="25" t="s">
        <v>44</v>
      </c>
      <c r="I79" s="26" t="s">
        <v>45</v>
      </c>
      <c r="J79" s="26"/>
      <c r="K79" s="1" t="s">
        <v>603</v>
      </c>
      <c r="L79" s="1"/>
    </row>
    <row r="80" spans="2:12" ht="27" x14ac:dyDescent="0.35">
      <c r="B80" s="19">
        <f t="shared" si="0"/>
        <v>75</v>
      </c>
      <c r="C80" s="27"/>
      <c r="D80" s="27"/>
      <c r="E80" s="27"/>
      <c r="F80" s="26" t="s">
        <v>157</v>
      </c>
      <c r="G80" s="26"/>
      <c r="H80" s="25" t="s">
        <v>44</v>
      </c>
      <c r="I80" s="26" t="s">
        <v>45</v>
      </c>
      <c r="J80" s="26"/>
      <c r="K80" s="1" t="s">
        <v>603</v>
      </c>
      <c r="L80" s="1"/>
    </row>
    <row r="81" spans="2:12" x14ac:dyDescent="0.35">
      <c r="B81" s="19">
        <f t="shared" si="0"/>
        <v>76</v>
      </c>
      <c r="C81" s="27"/>
      <c r="D81" s="27"/>
      <c r="E81" s="27"/>
      <c r="F81" s="26" t="s">
        <v>158</v>
      </c>
      <c r="G81" s="26"/>
      <c r="H81" s="25" t="s">
        <v>44</v>
      </c>
      <c r="I81" s="26" t="s">
        <v>45</v>
      </c>
      <c r="J81" s="26"/>
      <c r="K81" s="1" t="s">
        <v>603</v>
      </c>
      <c r="L81" s="1"/>
    </row>
    <row r="82" spans="2:12" ht="27" x14ac:dyDescent="0.35">
      <c r="B82" s="19">
        <f t="shared" ref="B82:B152" si="1">ROW() - 5</f>
        <v>77</v>
      </c>
      <c r="C82" s="27"/>
      <c r="D82" s="27"/>
      <c r="E82" s="46" t="s">
        <v>159</v>
      </c>
      <c r="F82" s="47" t="s">
        <v>160</v>
      </c>
      <c r="G82" s="47"/>
      <c r="H82" s="48" t="s">
        <v>55</v>
      </c>
      <c r="I82" s="47"/>
      <c r="J82" s="47"/>
      <c r="K82" s="5"/>
      <c r="L82" s="5"/>
    </row>
    <row r="83" spans="2:12" x14ac:dyDescent="0.35">
      <c r="B83" s="19">
        <f t="shared" si="1"/>
        <v>78</v>
      </c>
      <c r="C83" s="27"/>
      <c r="D83" s="27"/>
      <c r="E83" s="46" t="s">
        <v>161</v>
      </c>
      <c r="F83" s="47" t="s">
        <v>162</v>
      </c>
      <c r="G83" s="47"/>
      <c r="H83" s="48"/>
      <c r="I83" s="47"/>
      <c r="J83" s="47"/>
      <c r="K83" s="5"/>
      <c r="L83" s="5"/>
    </row>
    <row r="84" spans="2:12" x14ac:dyDescent="0.35">
      <c r="B84" s="19">
        <f t="shared" si="1"/>
        <v>79</v>
      </c>
      <c r="C84" s="27"/>
      <c r="D84" s="27"/>
      <c r="E84" s="49"/>
      <c r="F84" s="47" t="s">
        <v>163</v>
      </c>
      <c r="G84" s="47"/>
      <c r="H84" s="48"/>
      <c r="I84" s="47"/>
      <c r="J84" s="47"/>
      <c r="K84" s="5"/>
      <c r="L84" s="5"/>
    </row>
    <row r="85" spans="2:12" x14ac:dyDescent="0.35">
      <c r="B85" s="19">
        <f t="shared" si="1"/>
        <v>80</v>
      </c>
      <c r="C85" s="27"/>
      <c r="D85" s="27"/>
      <c r="E85" s="49"/>
      <c r="F85" s="47" t="s">
        <v>164</v>
      </c>
      <c r="G85" s="47"/>
      <c r="H85" s="48"/>
      <c r="I85" s="47"/>
      <c r="J85" s="47"/>
      <c r="K85" s="5"/>
      <c r="L85" s="5"/>
    </row>
    <row r="86" spans="2:12" x14ac:dyDescent="0.35">
      <c r="B86" s="19">
        <f t="shared" si="1"/>
        <v>81</v>
      </c>
      <c r="C86" s="27"/>
      <c r="D86" s="27"/>
      <c r="E86" s="49"/>
      <c r="F86" s="47" t="s">
        <v>165</v>
      </c>
      <c r="G86" s="47" t="s">
        <v>166</v>
      </c>
      <c r="H86" s="48"/>
      <c r="I86" s="47"/>
      <c r="J86" s="47"/>
      <c r="K86" s="5"/>
      <c r="L86" s="5"/>
    </row>
    <row r="87" spans="2:12" x14ac:dyDescent="0.35">
      <c r="B87" s="19">
        <f t="shared" si="1"/>
        <v>82</v>
      </c>
      <c r="C87" s="27"/>
      <c r="D87" s="27"/>
      <c r="E87" s="49"/>
      <c r="F87" s="47" t="s">
        <v>167</v>
      </c>
      <c r="G87" s="47"/>
      <c r="H87" s="48"/>
      <c r="I87" s="47"/>
      <c r="J87" s="47"/>
      <c r="K87" s="5"/>
      <c r="L87" s="5"/>
    </row>
    <row r="88" spans="2:12" x14ac:dyDescent="0.35">
      <c r="B88" s="19">
        <f t="shared" si="1"/>
        <v>83</v>
      </c>
      <c r="C88" s="27"/>
      <c r="D88" s="27"/>
      <c r="E88" s="49"/>
      <c r="F88" s="47" t="s">
        <v>168</v>
      </c>
      <c r="G88" s="47"/>
      <c r="H88" s="48"/>
      <c r="I88" s="47"/>
      <c r="J88" s="47"/>
      <c r="K88" s="5"/>
      <c r="L88" s="5"/>
    </row>
    <row r="89" spans="2:12" x14ac:dyDescent="0.35">
      <c r="B89" s="19">
        <f t="shared" si="1"/>
        <v>84</v>
      </c>
      <c r="C89" s="27"/>
      <c r="D89" s="27"/>
      <c r="E89" s="49"/>
      <c r="F89" s="47" t="s">
        <v>169</v>
      </c>
      <c r="G89" s="47"/>
      <c r="H89" s="48"/>
      <c r="I89" s="47"/>
      <c r="J89" s="47"/>
      <c r="K89" s="5"/>
      <c r="L89" s="5"/>
    </row>
    <row r="90" spans="2:12" x14ac:dyDescent="0.35">
      <c r="B90" s="19">
        <f t="shared" si="1"/>
        <v>85</v>
      </c>
      <c r="C90" s="27"/>
      <c r="D90" s="27"/>
      <c r="E90" s="49"/>
      <c r="F90" s="47" t="s">
        <v>170</v>
      </c>
      <c r="G90" s="47" t="s">
        <v>171</v>
      </c>
      <c r="H90" s="48"/>
      <c r="I90" s="47"/>
      <c r="J90" s="47"/>
      <c r="K90" s="5"/>
      <c r="L90" s="5"/>
    </row>
    <row r="91" spans="2:12" x14ac:dyDescent="0.35">
      <c r="B91" s="19">
        <f t="shared" si="1"/>
        <v>86</v>
      </c>
      <c r="C91" s="30"/>
      <c r="D91" s="30"/>
      <c r="E91" s="52" t="s">
        <v>172</v>
      </c>
      <c r="F91" s="47" t="s">
        <v>172</v>
      </c>
      <c r="G91" s="47"/>
      <c r="H91" s="48"/>
      <c r="I91" s="47"/>
      <c r="J91" s="47"/>
      <c r="K91" s="5"/>
      <c r="L91" s="5"/>
    </row>
    <row r="92" spans="2:12" x14ac:dyDescent="0.35">
      <c r="B92" s="19">
        <f t="shared" si="1"/>
        <v>87</v>
      </c>
      <c r="C92" s="24" t="s">
        <v>173</v>
      </c>
      <c r="D92" s="24"/>
      <c r="E92" s="24" t="s">
        <v>174</v>
      </c>
      <c r="F92" s="26" t="s">
        <v>175</v>
      </c>
      <c r="G92" s="26"/>
      <c r="H92" s="25" t="s">
        <v>44</v>
      </c>
      <c r="I92" s="26" t="s">
        <v>45</v>
      </c>
      <c r="J92" s="26"/>
      <c r="K92" s="1" t="s">
        <v>603</v>
      </c>
      <c r="L92" s="1"/>
    </row>
    <row r="93" spans="2:12" x14ac:dyDescent="0.35">
      <c r="B93" s="19">
        <f t="shared" si="1"/>
        <v>88</v>
      </c>
      <c r="C93" s="27"/>
      <c r="D93" s="27"/>
      <c r="E93" s="27"/>
      <c r="F93" s="26" t="s">
        <v>176</v>
      </c>
      <c r="G93" s="26"/>
      <c r="H93" s="25" t="s">
        <v>651</v>
      </c>
      <c r="I93" s="26" t="s">
        <v>45</v>
      </c>
      <c r="J93" s="26"/>
      <c r="K93" s="1" t="s">
        <v>603</v>
      </c>
      <c r="L93" s="1"/>
    </row>
    <row r="94" spans="2:12" x14ac:dyDescent="0.35">
      <c r="B94" s="19">
        <f t="shared" si="1"/>
        <v>89</v>
      </c>
      <c r="C94" s="27"/>
      <c r="D94" s="27"/>
      <c r="E94" s="27"/>
      <c r="F94" s="26" t="s">
        <v>177</v>
      </c>
      <c r="G94" s="26"/>
      <c r="H94" s="25" t="s">
        <v>44</v>
      </c>
      <c r="I94" s="26" t="s">
        <v>45</v>
      </c>
      <c r="J94" s="26"/>
      <c r="K94" s="1" t="s">
        <v>603</v>
      </c>
      <c r="L94" s="1"/>
    </row>
    <row r="95" spans="2:12" ht="27" x14ac:dyDescent="0.35">
      <c r="B95" s="19">
        <f t="shared" si="1"/>
        <v>90</v>
      </c>
      <c r="C95" s="27"/>
      <c r="D95" s="27"/>
      <c r="E95" s="27"/>
      <c r="F95" s="26" t="s">
        <v>178</v>
      </c>
      <c r="G95" s="26" t="s">
        <v>179</v>
      </c>
      <c r="H95" s="25" t="s">
        <v>180</v>
      </c>
      <c r="I95" s="26" t="s">
        <v>45</v>
      </c>
      <c r="J95" s="26"/>
      <c r="K95" s="1" t="s">
        <v>603</v>
      </c>
      <c r="L95" s="1"/>
    </row>
    <row r="96" spans="2:12" ht="40.5" x14ac:dyDescent="0.35">
      <c r="B96" s="19">
        <f t="shared" si="1"/>
        <v>91</v>
      </c>
      <c r="C96" s="27"/>
      <c r="D96" s="27"/>
      <c r="E96" s="24" t="s">
        <v>181</v>
      </c>
      <c r="F96" s="26" t="s">
        <v>182</v>
      </c>
      <c r="G96" s="26" t="s">
        <v>183</v>
      </c>
      <c r="H96" s="25"/>
      <c r="I96" s="26" t="s">
        <v>45</v>
      </c>
      <c r="J96" s="26"/>
      <c r="K96" s="1" t="s">
        <v>603</v>
      </c>
      <c r="L96" s="1"/>
    </row>
    <row r="97" spans="2:12" ht="40.5" x14ac:dyDescent="0.35">
      <c r="B97" s="19">
        <f t="shared" si="1"/>
        <v>92</v>
      </c>
      <c r="C97" s="27"/>
      <c r="D97" s="27"/>
      <c r="E97" s="27"/>
      <c r="F97" s="26" t="s">
        <v>184</v>
      </c>
      <c r="G97" s="26" t="s">
        <v>185</v>
      </c>
      <c r="H97" s="25"/>
      <c r="I97" s="26" t="s">
        <v>45</v>
      </c>
      <c r="J97" s="26"/>
      <c r="K97" s="1" t="s">
        <v>603</v>
      </c>
      <c r="L97" s="1"/>
    </row>
    <row r="98" spans="2:12" ht="27" x14ac:dyDescent="0.35">
      <c r="B98" s="19">
        <f t="shared" si="1"/>
        <v>93</v>
      </c>
      <c r="C98" s="27"/>
      <c r="D98" s="27"/>
      <c r="E98" s="24" t="s">
        <v>186</v>
      </c>
      <c r="F98" s="26" t="s">
        <v>187</v>
      </c>
      <c r="G98" s="26" t="s">
        <v>188</v>
      </c>
      <c r="H98" s="25"/>
      <c r="I98" s="26" t="s">
        <v>45</v>
      </c>
      <c r="J98" s="26"/>
      <c r="K98" s="1" t="s">
        <v>603</v>
      </c>
      <c r="L98" s="1"/>
    </row>
    <row r="99" spans="2:12" x14ac:dyDescent="0.35">
      <c r="B99" s="19">
        <f t="shared" si="1"/>
        <v>94</v>
      </c>
      <c r="C99" s="27"/>
      <c r="D99" s="27"/>
      <c r="E99" s="27"/>
      <c r="F99" s="26" t="s">
        <v>189</v>
      </c>
      <c r="G99" s="26" t="s">
        <v>190</v>
      </c>
      <c r="H99" s="25"/>
      <c r="I99" s="26" t="s">
        <v>45</v>
      </c>
      <c r="J99" s="26"/>
      <c r="K99" s="1" t="s">
        <v>603</v>
      </c>
      <c r="L99" s="1"/>
    </row>
    <row r="100" spans="2:12" x14ac:dyDescent="0.35">
      <c r="B100" s="19">
        <f t="shared" si="1"/>
        <v>95</v>
      </c>
      <c r="C100" s="27"/>
      <c r="D100" s="27"/>
      <c r="E100" s="27"/>
      <c r="F100" s="26" t="s">
        <v>191</v>
      </c>
      <c r="G100" s="26" t="s">
        <v>136</v>
      </c>
      <c r="H100" s="25"/>
      <c r="I100" s="26" t="s">
        <v>45</v>
      </c>
      <c r="J100" s="26"/>
      <c r="K100" s="1" t="s">
        <v>603</v>
      </c>
      <c r="L100" s="1"/>
    </row>
    <row r="101" spans="2:12" x14ac:dyDescent="0.35">
      <c r="B101" s="19">
        <f t="shared" si="1"/>
        <v>96</v>
      </c>
      <c r="C101" s="27"/>
      <c r="D101" s="27"/>
      <c r="E101" s="27"/>
      <c r="F101" s="26" t="s">
        <v>192</v>
      </c>
      <c r="G101" s="26" t="s">
        <v>136</v>
      </c>
      <c r="H101" s="25"/>
      <c r="I101" s="26" t="s">
        <v>45</v>
      </c>
      <c r="J101" s="26"/>
      <c r="K101" s="1" t="s">
        <v>603</v>
      </c>
      <c r="L101" s="1"/>
    </row>
    <row r="102" spans="2:12" x14ac:dyDescent="0.35">
      <c r="B102" s="19">
        <f t="shared" si="1"/>
        <v>97</v>
      </c>
      <c r="C102" s="27"/>
      <c r="D102" s="27"/>
      <c r="E102" s="27"/>
      <c r="F102" s="26" t="s">
        <v>193</v>
      </c>
      <c r="G102" s="26" t="s">
        <v>136</v>
      </c>
      <c r="H102" s="25"/>
      <c r="I102" s="26" t="s">
        <v>45</v>
      </c>
      <c r="J102" s="26"/>
      <c r="K102" s="1" t="s">
        <v>603</v>
      </c>
      <c r="L102" s="1"/>
    </row>
    <row r="103" spans="2:12" x14ac:dyDescent="0.35">
      <c r="B103" s="19">
        <f t="shared" si="1"/>
        <v>98</v>
      </c>
      <c r="C103" s="27"/>
      <c r="D103" s="27"/>
      <c r="E103" s="27"/>
      <c r="F103" s="26" t="s">
        <v>194</v>
      </c>
      <c r="G103" s="26" t="s">
        <v>136</v>
      </c>
      <c r="H103" s="25"/>
      <c r="I103" s="26" t="s">
        <v>45</v>
      </c>
      <c r="J103" s="26"/>
      <c r="K103" s="1" t="s">
        <v>603</v>
      </c>
      <c r="L103" s="1"/>
    </row>
    <row r="104" spans="2:12" x14ac:dyDescent="0.35">
      <c r="B104" s="19">
        <f t="shared" si="1"/>
        <v>99</v>
      </c>
      <c r="C104" s="27"/>
      <c r="D104" s="27"/>
      <c r="E104" s="24" t="s">
        <v>195</v>
      </c>
      <c r="F104" s="26" t="s">
        <v>195</v>
      </c>
      <c r="G104" s="26"/>
      <c r="H104" s="25" t="s">
        <v>652</v>
      </c>
      <c r="I104" s="26" t="s">
        <v>45</v>
      </c>
      <c r="J104" s="26"/>
      <c r="K104" s="1" t="s">
        <v>603</v>
      </c>
      <c r="L104" s="1"/>
    </row>
    <row r="105" spans="2:12" x14ac:dyDescent="0.35">
      <c r="B105" s="19">
        <f t="shared" si="1"/>
        <v>100</v>
      </c>
      <c r="C105" s="27"/>
      <c r="D105" s="27"/>
      <c r="E105" s="27"/>
      <c r="F105" s="26" t="s">
        <v>196</v>
      </c>
      <c r="G105" s="26"/>
      <c r="H105" s="25" t="s">
        <v>44</v>
      </c>
      <c r="I105" s="26" t="s">
        <v>45</v>
      </c>
      <c r="J105" s="26"/>
      <c r="K105" s="1" t="s">
        <v>603</v>
      </c>
      <c r="L105" s="1"/>
    </row>
    <row r="106" spans="2:12" x14ac:dyDescent="0.35">
      <c r="B106" s="19">
        <f t="shared" si="1"/>
        <v>101</v>
      </c>
      <c r="C106" s="27"/>
      <c r="D106" s="27"/>
      <c r="E106" s="27"/>
      <c r="F106" s="26" t="s">
        <v>197</v>
      </c>
      <c r="G106" s="26"/>
      <c r="H106" s="25" t="s">
        <v>55</v>
      </c>
      <c r="I106" s="26" t="s">
        <v>45</v>
      </c>
      <c r="J106" s="26"/>
      <c r="K106" s="1" t="s">
        <v>603</v>
      </c>
      <c r="L106" s="1"/>
    </row>
    <row r="107" spans="2:12" ht="27" x14ac:dyDescent="0.35">
      <c r="B107" s="19">
        <f t="shared" si="1"/>
        <v>102</v>
      </c>
      <c r="C107" s="24" t="s">
        <v>198</v>
      </c>
      <c r="D107" s="24"/>
      <c r="E107" s="24" t="s">
        <v>199</v>
      </c>
      <c r="F107" s="26" t="s">
        <v>200</v>
      </c>
      <c r="G107" s="26" t="s">
        <v>201</v>
      </c>
      <c r="H107" s="25" t="s">
        <v>44</v>
      </c>
      <c r="I107" s="26" t="s">
        <v>45</v>
      </c>
      <c r="J107" s="26"/>
      <c r="K107" s="1" t="s">
        <v>603</v>
      </c>
      <c r="L107" s="1"/>
    </row>
    <row r="108" spans="2:12" ht="27" x14ac:dyDescent="0.35">
      <c r="B108" s="19">
        <f t="shared" si="1"/>
        <v>103</v>
      </c>
      <c r="C108" s="27"/>
      <c r="D108" s="27"/>
      <c r="E108" s="27"/>
      <c r="F108" s="26" t="s">
        <v>202</v>
      </c>
      <c r="G108" s="26" t="s">
        <v>203</v>
      </c>
      <c r="H108" s="25" t="s">
        <v>44</v>
      </c>
      <c r="I108" s="26" t="s">
        <v>45</v>
      </c>
      <c r="J108" s="26"/>
      <c r="K108" s="1" t="s">
        <v>603</v>
      </c>
      <c r="L108" s="1"/>
    </row>
    <row r="109" spans="2:12" x14ac:dyDescent="0.35">
      <c r="B109" s="19">
        <f t="shared" si="1"/>
        <v>104</v>
      </c>
      <c r="C109" s="27"/>
      <c r="D109" s="27"/>
      <c r="E109" s="27"/>
      <c r="F109" s="26" t="s">
        <v>204</v>
      </c>
      <c r="G109" s="26" t="s">
        <v>205</v>
      </c>
      <c r="H109" s="25" t="s">
        <v>44</v>
      </c>
      <c r="I109" s="26" t="s">
        <v>45</v>
      </c>
      <c r="J109" s="26"/>
      <c r="K109" s="1" t="s">
        <v>603</v>
      </c>
      <c r="L109" s="1"/>
    </row>
    <row r="110" spans="2:12" ht="27" x14ac:dyDescent="0.35">
      <c r="B110" s="19">
        <f t="shared" si="1"/>
        <v>105</v>
      </c>
      <c r="C110" s="27"/>
      <c r="D110" s="27"/>
      <c r="E110" s="24" t="s">
        <v>206</v>
      </c>
      <c r="F110" s="26" t="s">
        <v>207</v>
      </c>
      <c r="G110" s="26" t="s">
        <v>208</v>
      </c>
      <c r="H110" s="25" t="s">
        <v>44</v>
      </c>
      <c r="I110" s="26" t="s">
        <v>45</v>
      </c>
      <c r="J110" s="26"/>
      <c r="K110" s="1" t="s">
        <v>603</v>
      </c>
      <c r="L110" s="1"/>
    </row>
    <row r="111" spans="2:12" ht="40.5" x14ac:dyDescent="0.35">
      <c r="B111" s="19">
        <f t="shared" si="1"/>
        <v>106</v>
      </c>
      <c r="C111" s="27"/>
      <c r="D111" s="27"/>
      <c r="E111" s="24" t="s">
        <v>209</v>
      </c>
      <c r="F111" s="26" t="s">
        <v>210</v>
      </c>
      <c r="G111" s="26" t="s">
        <v>211</v>
      </c>
      <c r="H111" s="25" t="s">
        <v>653</v>
      </c>
      <c r="I111" s="26" t="s">
        <v>45</v>
      </c>
      <c r="J111" s="26"/>
      <c r="K111" s="1" t="s">
        <v>603</v>
      </c>
      <c r="L111" s="1"/>
    </row>
    <row r="112" spans="2:12" x14ac:dyDescent="0.35">
      <c r="B112" s="19">
        <f t="shared" si="1"/>
        <v>107</v>
      </c>
      <c r="C112" s="27"/>
      <c r="D112" s="27"/>
      <c r="E112" s="27"/>
      <c r="F112" s="26" t="s">
        <v>212</v>
      </c>
      <c r="G112" s="26" t="s">
        <v>213</v>
      </c>
      <c r="H112" s="25" t="s">
        <v>44</v>
      </c>
      <c r="I112" s="26" t="s">
        <v>45</v>
      </c>
      <c r="J112" s="26"/>
      <c r="K112" s="1" t="s">
        <v>603</v>
      </c>
      <c r="L112" s="1"/>
    </row>
    <row r="113" spans="2:12" ht="40.5" x14ac:dyDescent="0.35">
      <c r="B113" s="19">
        <f t="shared" si="1"/>
        <v>108</v>
      </c>
      <c r="C113" s="27"/>
      <c r="D113" s="27"/>
      <c r="E113" s="27"/>
      <c r="F113" s="26" t="s">
        <v>214</v>
      </c>
      <c r="G113" s="26" t="s">
        <v>215</v>
      </c>
      <c r="H113" s="25" t="s">
        <v>653</v>
      </c>
      <c r="I113" s="26" t="s">
        <v>45</v>
      </c>
      <c r="J113" s="26"/>
      <c r="K113" s="1" t="s">
        <v>603</v>
      </c>
      <c r="L113" s="1"/>
    </row>
    <row r="114" spans="2:12" x14ac:dyDescent="0.35">
      <c r="B114" s="19">
        <f t="shared" si="1"/>
        <v>109</v>
      </c>
      <c r="C114" s="27"/>
      <c r="D114" s="27"/>
      <c r="E114" s="27"/>
      <c r="F114" s="26" t="s">
        <v>216</v>
      </c>
      <c r="G114" s="26" t="s">
        <v>217</v>
      </c>
      <c r="H114" s="25" t="s">
        <v>44</v>
      </c>
      <c r="I114" s="26" t="s">
        <v>45</v>
      </c>
      <c r="J114" s="26"/>
      <c r="K114" s="1" t="s">
        <v>603</v>
      </c>
      <c r="L114" s="1"/>
    </row>
    <row r="115" spans="2:12" x14ac:dyDescent="0.35">
      <c r="B115" s="19">
        <f t="shared" si="1"/>
        <v>110</v>
      </c>
      <c r="C115" s="27"/>
      <c r="D115" s="27"/>
      <c r="E115" s="27"/>
      <c r="F115" s="26" t="s">
        <v>218</v>
      </c>
      <c r="G115" s="26"/>
      <c r="H115" s="25" t="s">
        <v>44</v>
      </c>
      <c r="I115" s="26" t="s">
        <v>45</v>
      </c>
      <c r="J115" s="26"/>
      <c r="K115" s="1" t="s">
        <v>603</v>
      </c>
      <c r="L115" s="1"/>
    </row>
    <row r="116" spans="2:12" ht="27" x14ac:dyDescent="0.35">
      <c r="B116" s="19">
        <f t="shared" si="1"/>
        <v>111</v>
      </c>
      <c r="C116" s="27"/>
      <c r="D116" s="27"/>
      <c r="E116" s="46" t="s">
        <v>219</v>
      </c>
      <c r="F116" s="47" t="s">
        <v>220</v>
      </c>
      <c r="G116" s="47"/>
      <c r="H116" s="48" t="s">
        <v>55</v>
      </c>
      <c r="I116" s="47"/>
      <c r="J116" s="47"/>
      <c r="K116" s="5"/>
      <c r="L116" s="5"/>
    </row>
    <row r="117" spans="2:12" x14ac:dyDescent="0.35">
      <c r="B117" s="19">
        <f t="shared" si="1"/>
        <v>112</v>
      </c>
      <c r="C117" s="27"/>
      <c r="D117" s="27"/>
      <c r="E117" s="49"/>
      <c r="F117" s="47" t="s">
        <v>221</v>
      </c>
      <c r="G117" s="47"/>
      <c r="H117" s="48"/>
      <c r="I117" s="47"/>
      <c r="J117" s="47"/>
      <c r="K117" s="5"/>
      <c r="L117" s="5"/>
    </row>
    <row r="118" spans="2:12" x14ac:dyDescent="0.35">
      <c r="B118" s="19">
        <f t="shared" si="1"/>
        <v>113</v>
      </c>
      <c r="C118" s="27"/>
      <c r="D118" s="27"/>
      <c r="E118" s="24" t="s">
        <v>222</v>
      </c>
      <c r="F118" s="26" t="s">
        <v>223</v>
      </c>
      <c r="G118" s="26"/>
      <c r="H118" s="25" t="s">
        <v>657</v>
      </c>
      <c r="I118" s="26" t="s">
        <v>45</v>
      </c>
      <c r="J118" s="26"/>
      <c r="K118" s="1" t="s">
        <v>603</v>
      </c>
      <c r="L118" s="1"/>
    </row>
    <row r="119" spans="2:12" x14ac:dyDescent="0.35">
      <c r="B119" s="19">
        <f t="shared" si="1"/>
        <v>114</v>
      </c>
      <c r="C119" s="24" t="s">
        <v>16</v>
      </c>
      <c r="D119" s="24"/>
      <c r="E119" s="24"/>
      <c r="F119" s="25" t="s">
        <v>18</v>
      </c>
      <c r="G119" s="25" t="s">
        <v>224</v>
      </c>
      <c r="H119" s="25" t="s">
        <v>225</v>
      </c>
      <c r="I119" s="26" t="s">
        <v>45</v>
      </c>
      <c r="J119" s="26"/>
      <c r="K119" s="1" t="s">
        <v>606</v>
      </c>
      <c r="L119" s="1"/>
    </row>
    <row r="120" spans="2:12" ht="27" x14ac:dyDescent="0.35">
      <c r="B120" s="19">
        <f t="shared" si="1"/>
        <v>115</v>
      </c>
      <c r="C120" s="27"/>
      <c r="D120" s="27"/>
      <c r="E120" s="27"/>
      <c r="F120" s="25" t="s">
        <v>226</v>
      </c>
      <c r="G120" s="25" t="s">
        <v>227</v>
      </c>
      <c r="H120" s="25" t="s">
        <v>655</v>
      </c>
      <c r="I120" s="26" t="s">
        <v>45</v>
      </c>
      <c r="J120" s="26"/>
      <c r="K120" s="1" t="s">
        <v>606</v>
      </c>
      <c r="L120" s="1"/>
    </row>
    <row r="121" spans="2:12" x14ac:dyDescent="0.35">
      <c r="B121" s="19">
        <f t="shared" si="1"/>
        <v>116</v>
      </c>
      <c r="C121" s="27"/>
      <c r="D121" s="27"/>
      <c r="E121" s="27"/>
      <c r="F121" s="25" t="s">
        <v>20</v>
      </c>
      <c r="G121" s="25"/>
      <c r="H121" s="25" t="s">
        <v>228</v>
      </c>
      <c r="I121" s="26" t="s">
        <v>45</v>
      </c>
      <c r="J121" s="26"/>
      <c r="K121" s="1" t="s">
        <v>606</v>
      </c>
      <c r="L121" s="1"/>
    </row>
    <row r="122" spans="2:12" x14ac:dyDescent="0.35">
      <c r="B122" s="19">
        <f t="shared" si="1"/>
        <v>117</v>
      </c>
      <c r="C122" s="27"/>
      <c r="D122" s="27"/>
      <c r="E122" s="27"/>
      <c r="F122" s="28" t="s">
        <v>21</v>
      </c>
      <c r="G122" s="25"/>
      <c r="H122" s="25" t="s">
        <v>228</v>
      </c>
      <c r="I122" s="26" t="s">
        <v>45</v>
      </c>
      <c r="J122" s="26"/>
      <c r="K122" s="1" t="s">
        <v>606</v>
      </c>
      <c r="L122" s="1"/>
    </row>
    <row r="123" spans="2:12" x14ac:dyDescent="0.35">
      <c r="B123" s="19">
        <f t="shared" si="1"/>
        <v>118</v>
      </c>
      <c r="C123" s="24" t="s">
        <v>229</v>
      </c>
      <c r="D123" s="24"/>
      <c r="E123" s="24" t="s">
        <v>230</v>
      </c>
      <c r="F123" s="26" t="s">
        <v>231</v>
      </c>
      <c r="G123" s="26"/>
      <c r="H123" s="25" t="s">
        <v>44</v>
      </c>
      <c r="I123" s="26" t="s">
        <v>45</v>
      </c>
      <c r="J123" s="26" t="s">
        <v>232</v>
      </c>
      <c r="K123" s="1" t="s">
        <v>603</v>
      </c>
      <c r="L123" s="1"/>
    </row>
    <row r="124" spans="2:12" x14ac:dyDescent="0.35">
      <c r="B124" s="19">
        <f t="shared" si="1"/>
        <v>119</v>
      </c>
      <c r="C124" s="27"/>
      <c r="D124" s="27"/>
      <c r="E124" s="27"/>
      <c r="F124" s="26" t="s">
        <v>233</v>
      </c>
      <c r="G124" s="26"/>
      <c r="H124" s="25" t="s">
        <v>44</v>
      </c>
      <c r="I124" s="26" t="s">
        <v>45</v>
      </c>
      <c r="J124" s="26"/>
      <c r="K124" s="1" t="s">
        <v>603</v>
      </c>
      <c r="L124" s="1"/>
    </row>
    <row r="125" spans="2:12" x14ac:dyDescent="0.35">
      <c r="B125" s="19">
        <f t="shared" si="1"/>
        <v>120</v>
      </c>
      <c r="C125" s="27"/>
      <c r="D125" s="27"/>
      <c r="E125" s="24" t="s">
        <v>234</v>
      </c>
      <c r="F125" s="26" t="s">
        <v>235</v>
      </c>
      <c r="G125" s="26"/>
      <c r="H125" s="25" t="s">
        <v>44</v>
      </c>
      <c r="I125" s="26" t="s">
        <v>45</v>
      </c>
      <c r="J125" s="26" t="s">
        <v>232</v>
      </c>
      <c r="K125" s="1" t="s">
        <v>603</v>
      </c>
      <c r="L125" s="1"/>
    </row>
    <row r="126" spans="2:12" x14ac:dyDescent="0.35">
      <c r="B126" s="19">
        <f t="shared" si="1"/>
        <v>121</v>
      </c>
      <c r="C126" s="27"/>
      <c r="D126" s="27"/>
      <c r="E126" s="24" t="s">
        <v>236</v>
      </c>
      <c r="F126" s="26" t="s">
        <v>237</v>
      </c>
      <c r="G126" s="26"/>
      <c r="H126" s="25" t="s">
        <v>44</v>
      </c>
      <c r="I126" s="26" t="s">
        <v>45</v>
      </c>
      <c r="J126" s="26"/>
      <c r="K126" s="1" t="s">
        <v>603</v>
      </c>
      <c r="L126" s="1"/>
    </row>
    <row r="127" spans="2:12" ht="54" x14ac:dyDescent="0.35">
      <c r="B127" s="19">
        <f t="shared" si="1"/>
        <v>122</v>
      </c>
      <c r="C127" s="24" t="s">
        <v>238</v>
      </c>
      <c r="D127" s="24"/>
      <c r="E127" s="24"/>
      <c r="F127" s="26" t="s">
        <v>239</v>
      </c>
      <c r="G127" s="26" t="s">
        <v>240</v>
      </c>
      <c r="H127" s="25" t="s">
        <v>241</v>
      </c>
      <c r="I127" s="26" t="s">
        <v>45</v>
      </c>
      <c r="J127" s="26" t="s">
        <v>242</v>
      </c>
      <c r="K127" s="1" t="s">
        <v>603</v>
      </c>
      <c r="L127" s="1"/>
    </row>
    <row r="128" spans="2:12" ht="54" x14ac:dyDescent="0.35">
      <c r="B128" s="19">
        <f t="shared" si="1"/>
        <v>123</v>
      </c>
      <c r="C128" s="27"/>
      <c r="D128" s="27"/>
      <c r="E128" s="27"/>
      <c r="F128" s="26" t="s">
        <v>243</v>
      </c>
      <c r="G128" s="26" t="s">
        <v>244</v>
      </c>
      <c r="H128" s="25" t="s">
        <v>241</v>
      </c>
      <c r="I128" s="26" t="s">
        <v>45</v>
      </c>
      <c r="J128" s="26" t="s">
        <v>242</v>
      </c>
      <c r="K128" s="1" t="s">
        <v>603</v>
      </c>
      <c r="L128" s="1"/>
    </row>
    <row r="129" spans="2:12" ht="54" x14ac:dyDescent="0.35">
      <c r="B129" s="19">
        <f t="shared" si="1"/>
        <v>124</v>
      </c>
      <c r="C129" s="27"/>
      <c r="D129" s="27"/>
      <c r="E129" s="27"/>
      <c r="F129" s="26" t="s">
        <v>245</v>
      </c>
      <c r="G129" s="26"/>
      <c r="H129" s="25" t="s">
        <v>246</v>
      </c>
      <c r="I129" s="26" t="s">
        <v>247</v>
      </c>
      <c r="J129" s="26"/>
      <c r="K129" s="1" t="s">
        <v>603</v>
      </c>
      <c r="L129" s="1"/>
    </row>
    <row r="130" spans="2:12" x14ac:dyDescent="0.35">
      <c r="B130" s="19">
        <f t="shared" si="1"/>
        <v>125</v>
      </c>
      <c r="C130" s="24" t="s">
        <v>248</v>
      </c>
      <c r="D130" s="24"/>
      <c r="E130" s="24"/>
      <c r="F130" s="26" t="s">
        <v>239</v>
      </c>
      <c r="G130" s="26" t="s">
        <v>240</v>
      </c>
      <c r="H130" s="25" t="s">
        <v>241</v>
      </c>
      <c r="I130" s="26" t="s">
        <v>45</v>
      </c>
      <c r="J130" s="26"/>
      <c r="K130" s="1" t="s">
        <v>603</v>
      </c>
      <c r="L130" s="1"/>
    </row>
    <row r="131" spans="2:12" x14ac:dyDescent="0.35">
      <c r="B131" s="19">
        <f t="shared" si="1"/>
        <v>126</v>
      </c>
      <c r="C131" s="27"/>
      <c r="D131" s="27"/>
      <c r="E131" s="27"/>
      <c r="F131" s="26" t="s">
        <v>243</v>
      </c>
      <c r="G131" s="26" t="s">
        <v>244</v>
      </c>
      <c r="H131" s="25" t="s">
        <v>241</v>
      </c>
      <c r="I131" s="26" t="s">
        <v>45</v>
      </c>
      <c r="J131" s="26"/>
      <c r="K131" s="1" t="s">
        <v>603</v>
      </c>
      <c r="L131" s="1"/>
    </row>
    <row r="132" spans="2:12" ht="27" x14ac:dyDescent="0.35">
      <c r="B132" s="19">
        <f t="shared" si="1"/>
        <v>127</v>
      </c>
      <c r="C132" s="24" t="s">
        <v>249</v>
      </c>
      <c r="D132" s="24"/>
      <c r="E132" s="24"/>
      <c r="F132" s="26" t="s">
        <v>250</v>
      </c>
      <c r="G132" s="26"/>
      <c r="H132" s="25" t="s">
        <v>251</v>
      </c>
      <c r="I132" s="26" t="s">
        <v>252</v>
      </c>
      <c r="J132" s="26"/>
      <c r="K132" s="1" t="s">
        <v>603</v>
      </c>
      <c r="L132" s="1"/>
    </row>
    <row r="133" spans="2:12" ht="54" x14ac:dyDescent="0.35">
      <c r="B133" s="19">
        <f t="shared" si="1"/>
        <v>128</v>
      </c>
      <c r="C133" s="24" t="s">
        <v>506</v>
      </c>
      <c r="D133" s="24"/>
      <c r="E133" s="24"/>
      <c r="F133" s="26" t="s">
        <v>508</v>
      </c>
      <c r="G133" s="26"/>
      <c r="H133" s="25" t="s">
        <v>517</v>
      </c>
      <c r="I133" s="26" t="s">
        <v>45</v>
      </c>
      <c r="J133" s="26"/>
      <c r="K133" s="1" t="s">
        <v>597</v>
      </c>
      <c r="L133" s="1"/>
    </row>
    <row r="134" spans="2:12" x14ac:dyDescent="0.35">
      <c r="B134" s="19">
        <f t="shared" si="1"/>
        <v>129</v>
      </c>
      <c r="C134" s="27"/>
      <c r="D134" s="27"/>
      <c r="E134" s="27"/>
      <c r="F134" s="26" t="s">
        <v>108</v>
      </c>
      <c r="G134" s="26"/>
      <c r="H134" s="25" t="s">
        <v>518</v>
      </c>
      <c r="I134" s="26" t="s">
        <v>45</v>
      </c>
      <c r="J134" s="26"/>
      <c r="K134" s="1" t="s">
        <v>597</v>
      </c>
      <c r="L134" s="1"/>
    </row>
    <row r="135" spans="2:12" x14ac:dyDescent="0.35">
      <c r="B135" s="19">
        <f t="shared" si="1"/>
        <v>130</v>
      </c>
      <c r="C135" s="27"/>
      <c r="D135" s="27"/>
      <c r="E135" s="27"/>
      <c r="F135" s="26" t="s">
        <v>510</v>
      </c>
      <c r="G135" s="26"/>
      <c r="H135" s="25" t="s">
        <v>55</v>
      </c>
      <c r="I135" s="26" t="s">
        <v>45</v>
      </c>
      <c r="J135" s="26"/>
      <c r="K135" s="1" t="s">
        <v>597</v>
      </c>
      <c r="L135" s="1"/>
    </row>
    <row r="136" spans="2:12" x14ac:dyDescent="0.35">
      <c r="B136" s="19">
        <f t="shared" si="1"/>
        <v>131</v>
      </c>
      <c r="C136" s="27"/>
      <c r="D136" s="27"/>
      <c r="E136" s="27"/>
      <c r="F136" s="26" t="s">
        <v>110</v>
      </c>
      <c r="G136" s="26"/>
      <c r="H136" s="25" t="s">
        <v>498</v>
      </c>
      <c r="I136" s="26" t="s">
        <v>45</v>
      </c>
      <c r="J136" s="26"/>
      <c r="K136" s="1" t="s">
        <v>597</v>
      </c>
      <c r="L136" s="1"/>
    </row>
    <row r="137" spans="2:12" x14ac:dyDescent="0.35">
      <c r="B137" s="19">
        <f t="shared" si="1"/>
        <v>132</v>
      </c>
      <c r="C137" s="27"/>
      <c r="D137" s="27"/>
      <c r="E137" s="27"/>
      <c r="F137" s="26" t="s">
        <v>512</v>
      </c>
      <c r="G137" s="26"/>
      <c r="H137" s="25" t="s">
        <v>498</v>
      </c>
      <c r="I137" s="26" t="s">
        <v>45</v>
      </c>
      <c r="J137" s="26"/>
      <c r="K137" s="1" t="s">
        <v>597</v>
      </c>
      <c r="L137" s="1"/>
    </row>
    <row r="138" spans="2:12" x14ac:dyDescent="0.35">
      <c r="B138" s="19">
        <f t="shared" si="1"/>
        <v>133</v>
      </c>
      <c r="C138" s="27"/>
      <c r="D138" s="27"/>
      <c r="E138" s="27"/>
      <c r="F138" s="26" t="s">
        <v>514</v>
      </c>
      <c r="G138" s="26"/>
      <c r="H138" s="25" t="s">
        <v>498</v>
      </c>
      <c r="I138" s="26" t="s">
        <v>45</v>
      </c>
      <c r="J138" s="26"/>
      <c r="K138" s="1" t="s">
        <v>597</v>
      </c>
      <c r="L138" s="1"/>
    </row>
    <row r="139" spans="2:12" x14ac:dyDescent="0.35">
      <c r="B139" s="19">
        <f t="shared" si="1"/>
        <v>134</v>
      </c>
      <c r="C139" s="27"/>
      <c r="D139" s="27"/>
      <c r="E139" s="27"/>
      <c r="F139" s="26" t="s">
        <v>516</v>
      </c>
      <c r="G139" s="26"/>
      <c r="H139" s="25" t="s">
        <v>498</v>
      </c>
      <c r="I139" s="26" t="s">
        <v>45</v>
      </c>
      <c r="J139" s="26"/>
      <c r="K139" s="1" t="s">
        <v>597</v>
      </c>
      <c r="L139" s="1"/>
    </row>
    <row r="140" spans="2:12" x14ac:dyDescent="0.35">
      <c r="B140" s="19">
        <f t="shared" si="1"/>
        <v>135</v>
      </c>
      <c r="C140" s="24" t="s">
        <v>253</v>
      </c>
      <c r="D140" s="24"/>
      <c r="E140" s="24"/>
      <c r="F140" s="26" t="s">
        <v>254</v>
      </c>
      <c r="G140" s="26"/>
      <c r="H140" s="25" t="s">
        <v>44</v>
      </c>
      <c r="I140" s="26" t="s">
        <v>45</v>
      </c>
      <c r="J140" s="26" t="s">
        <v>232</v>
      </c>
      <c r="K140" s="1" t="s">
        <v>603</v>
      </c>
      <c r="L140" s="1"/>
    </row>
    <row r="141" spans="2:12" x14ac:dyDescent="0.35">
      <c r="B141" s="19">
        <f t="shared" si="1"/>
        <v>136</v>
      </c>
      <c r="C141" s="27"/>
      <c r="D141" s="27"/>
      <c r="E141" s="24" t="s">
        <v>255</v>
      </c>
      <c r="F141" s="26" t="s">
        <v>256</v>
      </c>
      <c r="G141" s="26"/>
      <c r="H141" s="25"/>
      <c r="I141" s="26" t="s">
        <v>45</v>
      </c>
      <c r="J141" s="26"/>
      <c r="K141" s="1" t="s">
        <v>603</v>
      </c>
      <c r="L141" s="1"/>
    </row>
    <row r="142" spans="2:12" x14ac:dyDescent="0.35">
      <c r="B142" s="19">
        <f t="shared" si="1"/>
        <v>137</v>
      </c>
      <c r="C142" s="27"/>
      <c r="D142" s="27"/>
      <c r="E142" s="27"/>
      <c r="F142" s="26" t="s">
        <v>257</v>
      </c>
      <c r="G142" s="26"/>
      <c r="H142" s="25"/>
      <c r="I142" s="26" t="s">
        <v>45</v>
      </c>
      <c r="J142" s="26"/>
      <c r="K142" s="1" t="s">
        <v>603</v>
      </c>
      <c r="L142" s="1"/>
    </row>
    <row r="143" spans="2:12" ht="31.5" customHeight="1" x14ac:dyDescent="0.35">
      <c r="B143" s="19">
        <f t="shared" si="1"/>
        <v>138</v>
      </c>
      <c r="C143" s="27"/>
      <c r="D143" s="27"/>
      <c r="E143" s="27"/>
      <c r="F143" s="26" t="s">
        <v>258</v>
      </c>
      <c r="G143" s="26"/>
      <c r="H143" s="25"/>
      <c r="I143" s="26" t="s">
        <v>45</v>
      </c>
      <c r="J143" s="26"/>
      <c r="K143" s="1" t="s">
        <v>603</v>
      </c>
      <c r="L143" s="1"/>
    </row>
    <row r="144" spans="2:12" x14ac:dyDescent="0.35">
      <c r="B144" s="19">
        <f t="shared" si="1"/>
        <v>139</v>
      </c>
      <c r="C144" s="27"/>
      <c r="D144" s="27"/>
      <c r="E144" s="24" t="s">
        <v>259</v>
      </c>
      <c r="F144" s="26" t="s">
        <v>260</v>
      </c>
      <c r="G144" s="26" t="s">
        <v>136</v>
      </c>
      <c r="H144" s="25"/>
      <c r="I144" s="26" t="s">
        <v>45</v>
      </c>
      <c r="J144" s="26"/>
      <c r="K144" s="1" t="s">
        <v>603</v>
      </c>
      <c r="L144" s="1"/>
    </row>
    <row r="145" spans="2:12" x14ac:dyDescent="0.35">
      <c r="B145" s="19">
        <f t="shared" si="1"/>
        <v>140</v>
      </c>
      <c r="C145" s="24" t="s">
        <v>261</v>
      </c>
      <c r="D145" s="24"/>
      <c r="E145" s="14" t="s">
        <v>261</v>
      </c>
      <c r="F145" s="15" t="s">
        <v>519</v>
      </c>
      <c r="G145" s="21"/>
      <c r="H145" s="20" t="s">
        <v>241</v>
      </c>
      <c r="I145" s="26" t="s">
        <v>45</v>
      </c>
      <c r="J145" s="21"/>
      <c r="K145" s="1"/>
      <c r="L145" s="1"/>
    </row>
    <row r="146" spans="2:12" x14ac:dyDescent="0.35">
      <c r="B146" s="19">
        <f t="shared" si="1"/>
        <v>141</v>
      </c>
      <c r="C146" s="27"/>
      <c r="D146" s="27"/>
      <c r="E146" s="73"/>
      <c r="F146" s="15" t="s">
        <v>520</v>
      </c>
      <c r="G146" s="21"/>
      <c r="H146" s="20" t="s">
        <v>241</v>
      </c>
      <c r="I146" s="26" t="s">
        <v>45</v>
      </c>
      <c r="J146" s="21"/>
      <c r="K146" s="1"/>
      <c r="L146" s="1"/>
    </row>
    <row r="147" spans="2:12" x14ac:dyDescent="0.35">
      <c r="B147" s="19">
        <f t="shared" si="1"/>
        <v>142</v>
      </c>
      <c r="C147" s="27"/>
      <c r="D147" s="27"/>
      <c r="E147" s="27"/>
      <c r="F147" s="26" t="s">
        <v>262</v>
      </c>
      <c r="G147" s="26"/>
      <c r="H147" s="25"/>
      <c r="I147" s="26" t="s">
        <v>45</v>
      </c>
      <c r="J147" s="26"/>
      <c r="K147" s="1" t="s">
        <v>603</v>
      </c>
      <c r="L147" s="1"/>
    </row>
    <row r="148" spans="2:12" x14ac:dyDescent="0.35">
      <c r="B148" s="19">
        <f t="shared" si="1"/>
        <v>143</v>
      </c>
      <c r="C148" s="27"/>
      <c r="D148" s="27"/>
      <c r="E148" s="27"/>
      <c r="F148" s="26" t="s">
        <v>263</v>
      </c>
      <c r="G148" s="26"/>
      <c r="H148" s="25" t="s">
        <v>55</v>
      </c>
      <c r="I148" s="26" t="s">
        <v>56</v>
      </c>
      <c r="J148" s="26"/>
      <c r="K148" s="1" t="s">
        <v>603</v>
      </c>
      <c r="L148" s="1"/>
    </row>
    <row r="149" spans="2:12" x14ac:dyDescent="0.35">
      <c r="B149" s="19">
        <f t="shared" si="1"/>
        <v>144</v>
      </c>
      <c r="C149" s="27"/>
      <c r="D149" s="27"/>
      <c r="E149" s="27"/>
      <c r="F149" s="26" t="s">
        <v>264</v>
      </c>
      <c r="G149" s="26"/>
      <c r="H149" s="25"/>
      <c r="I149" s="26" t="s">
        <v>45</v>
      </c>
      <c r="J149" s="26"/>
      <c r="K149" s="1" t="s">
        <v>603</v>
      </c>
      <c r="L149" s="1"/>
    </row>
    <row r="150" spans="2:12" x14ac:dyDescent="0.35">
      <c r="B150" s="19">
        <f t="shared" si="1"/>
        <v>145</v>
      </c>
      <c r="C150" s="27"/>
      <c r="D150" s="27"/>
      <c r="E150" s="27"/>
      <c r="F150" s="26" t="s">
        <v>265</v>
      </c>
      <c r="G150" s="26"/>
      <c r="H150" s="25"/>
      <c r="I150" s="26" t="s">
        <v>45</v>
      </c>
      <c r="J150" s="26"/>
      <c r="K150" s="1" t="s">
        <v>603</v>
      </c>
      <c r="L150" s="1"/>
    </row>
    <row r="151" spans="2:12" x14ac:dyDescent="0.35">
      <c r="B151" s="19">
        <f t="shared" si="1"/>
        <v>146</v>
      </c>
      <c r="C151" s="27"/>
      <c r="D151" s="27"/>
      <c r="E151" s="27"/>
      <c r="F151" s="26" t="s">
        <v>266</v>
      </c>
      <c r="G151" s="26"/>
      <c r="H151" s="25"/>
      <c r="I151" s="26" t="s">
        <v>45</v>
      </c>
      <c r="J151" s="26"/>
      <c r="K151" s="1" t="s">
        <v>603</v>
      </c>
      <c r="L151" s="1"/>
    </row>
    <row r="152" spans="2:12" x14ac:dyDescent="0.35">
      <c r="B152" s="19">
        <f t="shared" si="1"/>
        <v>147</v>
      </c>
      <c r="C152" s="27"/>
      <c r="D152" s="27"/>
      <c r="E152" s="27"/>
      <c r="F152" s="26" t="s">
        <v>267</v>
      </c>
      <c r="G152" s="26"/>
      <c r="H152" s="25" t="s">
        <v>55</v>
      </c>
      <c r="I152" s="26" t="s">
        <v>56</v>
      </c>
      <c r="J152" s="26"/>
      <c r="K152" s="1" t="s">
        <v>603</v>
      </c>
      <c r="L152" s="1"/>
    </row>
    <row r="153" spans="2:12" x14ac:dyDescent="0.35">
      <c r="B153" s="19">
        <f t="shared" ref="B153:B171" si="2">ROW() - 5</f>
        <v>148</v>
      </c>
      <c r="C153" s="27"/>
      <c r="D153" s="27"/>
      <c r="E153" s="27"/>
      <c r="F153" s="26" t="s">
        <v>268</v>
      </c>
      <c r="G153" s="26"/>
      <c r="H153" s="25" t="s">
        <v>55</v>
      </c>
      <c r="I153" s="26" t="s">
        <v>56</v>
      </c>
      <c r="J153" s="26"/>
      <c r="K153" s="1" t="s">
        <v>603</v>
      </c>
      <c r="L153" s="1"/>
    </row>
    <row r="154" spans="2:12" x14ac:dyDescent="0.35">
      <c r="B154" s="19">
        <f t="shared" si="2"/>
        <v>149</v>
      </c>
      <c r="C154" s="27"/>
      <c r="D154" s="27"/>
      <c r="E154" s="27"/>
      <c r="F154" s="26" t="s">
        <v>269</v>
      </c>
      <c r="G154" s="26"/>
      <c r="H154" s="25" t="s">
        <v>55</v>
      </c>
      <c r="I154" s="26" t="s">
        <v>56</v>
      </c>
      <c r="J154" s="26"/>
      <c r="K154" s="1" t="s">
        <v>603</v>
      </c>
      <c r="L154" s="1"/>
    </row>
    <row r="155" spans="2:12" x14ac:dyDescent="0.35">
      <c r="B155" s="19">
        <f t="shared" si="2"/>
        <v>150</v>
      </c>
      <c r="C155" s="27"/>
      <c r="D155" s="27"/>
      <c r="E155" s="27"/>
      <c r="F155" s="26" t="s">
        <v>270</v>
      </c>
      <c r="G155" s="26"/>
      <c r="H155" s="25"/>
      <c r="I155" s="26" t="s">
        <v>45</v>
      </c>
      <c r="J155" s="26"/>
      <c r="K155" s="1" t="s">
        <v>603</v>
      </c>
      <c r="L155" s="1"/>
    </row>
    <row r="156" spans="2:12" x14ac:dyDescent="0.35">
      <c r="B156" s="19">
        <f t="shared" si="2"/>
        <v>151</v>
      </c>
      <c r="C156" s="24" t="s">
        <v>271</v>
      </c>
      <c r="D156" s="24"/>
      <c r="E156" s="24" t="s">
        <v>272</v>
      </c>
      <c r="F156" s="26" t="s">
        <v>273</v>
      </c>
      <c r="G156" s="26"/>
      <c r="H156" s="25"/>
      <c r="I156" s="26" t="s">
        <v>45</v>
      </c>
      <c r="J156" s="26"/>
      <c r="K156" s="1" t="s">
        <v>603</v>
      </c>
      <c r="L156" s="1"/>
    </row>
    <row r="157" spans="2:12" ht="27" x14ac:dyDescent="0.35">
      <c r="B157" s="19">
        <f t="shared" si="2"/>
        <v>152</v>
      </c>
      <c r="C157" s="27"/>
      <c r="D157" s="27"/>
      <c r="E157" s="27"/>
      <c r="F157" s="26" t="s">
        <v>274</v>
      </c>
      <c r="G157" s="26"/>
      <c r="H157" s="25"/>
      <c r="I157" s="26" t="s">
        <v>45</v>
      </c>
      <c r="J157" s="26"/>
      <c r="K157" s="1" t="s">
        <v>603</v>
      </c>
      <c r="L157" s="1"/>
    </row>
    <row r="158" spans="2:12" x14ac:dyDescent="0.35">
      <c r="B158" s="19">
        <f t="shared" si="2"/>
        <v>153</v>
      </c>
      <c r="C158" s="27"/>
      <c r="D158" s="27"/>
      <c r="E158" s="27"/>
      <c r="F158" s="26" t="s">
        <v>275</v>
      </c>
      <c r="G158" s="26"/>
      <c r="H158" s="25"/>
      <c r="I158" s="26" t="s">
        <v>45</v>
      </c>
      <c r="J158" s="26"/>
      <c r="K158" s="1" t="s">
        <v>603</v>
      </c>
      <c r="L158" s="1"/>
    </row>
    <row r="159" spans="2:12" x14ac:dyDescent="0.35">
      <c r="B159" s="19">
        <f t="shared" si="2"/>
        <v>154</v>
      </c>
      <c r="C159" s="27"/>
      <c r="D159" s="27"/>
      <c r="E159" s="27"/>
      <c r="F159" s="26" t="s">
        <v>276</v>
      </c>
      <c r="G159" s="26"/>
      <c r="H159" s="25"/>
      <c r="I159" s="26" t="s">
        <v>45</v>
      </c>
      <c r="J159" s="26"/>
      <c r="K159" s="1" t="s">
        <v>603</v>
      </c>
      <c r="L159" s="1"/>
    </row>
    <row r="160" spans="2:12" x14ac:dyDescent="0.35">
      <c r="B160" s="19">
        <f t="shared" si="2"/>
        <v>155</v>
      </c>
      <c r="C160" s="27"/>
      <c r="D160" s="27"/>
      <c r="E160" s="27"/>
      <c r="F160" s="26" t="s">
        <v>277</v>
      </c>
      <c r="G160" s="26"/>
      <c r="H160" s="25"/>
      <c r="I160" s="26" t="s">
        <v>45</v>
      </c>
      <c r="J160" s="26"/>
      <c r="K160" s="1" t="s">
        <v>603</v>
      </c>
      <c r="L160" s="1"/>
    </row>
    <row r="161" spans="2:12" x14ac:dyDescent="0.35">
      <c r="B161" s="19">
        <f t="shared" si="2"/>
        <v>156</v>
      </c>
      <c r="C161" s="27"/>
      <c r="D161" s="27"/>
      <c r="E161" s="24" t="s">
        <v>278</v>
      </c>
      <c r="F161" s="26" t="s">
        <v>279</v>
      </c>
      <c r="G161" s="26"/>
      <c r="H161" s="25"/>
      <c r="I161" s="26" t="s">
        <v>45</v>
      </c>
      <c r="J161" s="26"/>
      <c r="K161" s="1" t="s">
        <v>603</v>
      </c>
      <c r="L161" s="1"/>
    </row>
    <row r="162" spans="2:12" x14ac:dyDescent="0.35">
      <c r="B162" s="19">
        <f t="shared" si="2"/>
        <v>157</v>
      </c>
      <c r="C162" s="27"/>
      <c r="D162" s="27"/>
      <c r="E162" s="27"/>
      <c r="F162" s="26" t="s">
        <v>280</v>
      </c>
      <c r="G162" s="26"/>
      <c r="H162" s="25"/>
      <c r="I162" s="26" t="s">
        <v>45</v>
      </c>
      <c r="J162" s="26"/>
      <c r="K162" s="1" t="s">
        <v>603</v>
      </c>
      <c r="L162" s="1"/>
    </row>
    <row r="163" spans="2:12" x14ac:dyDescent="0.35">
      <c r="B163" s="19">
        <f t="shared" si="2"/>
        <v>158</v>
      </c>
      <c r="C163" s="27"/>
      <c r="D163" s="27"/>
      <c r="E163" s="27"/>
      <c r="F163" s="26" t="s">
        <v>281</v>
      </c>
      <c r="G163" s="26"/>
      <c r="H163" s="25"/>
      <c r="I163" s="26" t="s">
        <v>45</v>
      </c>
      <c r="J163" s="26"/>
      <c r="K163" s="1" t="s">
        <v>603</v>
      </c>
      <c r="L163" s="1"/>
    </row>
    <row r="164" spans="2:12" x14ac:dyDescent="0.35">
      <c r="B164" s="19">
        <f t="shared" si="2"/>
        <v>159</v>
      </c>
      <c r="C164" s="27"/>
      <c r="D164" s="27"/>
      <c r="E164" s="27"/>
      <c r="F164" s="26" t="s">
        <v>282</v>
      </c>
      <c r="G164" s="26"/>
      <c r="H164" s="25"/>
      <c r="I164" s="26" t="s">
        <v>45</v>
      </c>
      <c r="J164" s="26"/>
      <c r="K164" s="1" t="s">
        <v>603</v>
      </c>
      <c r="L164" s="1"/>
    </row>
    <row r="165" spans="2:12" x14ac:dyDescent="0.35">
      <c r="B165" s="19">
        <f t="shared" si="2"/>
        <v>160</v>
      </c>
      <c r="C165" s="27"/>
      <c r="D165" s="27"/>
      <c r="E165" s="27"/>
      <c r="F165" s="26" t="s">
        <v>283</v>
      </c>
      <c r="G165" s="26"/>
      <c r="H165" s="25"/>
      <c r="I165" s="26" t="s">
        <v>45</v>
      </c>
      <c r="J165" s="26"/>
      <c r="K165" s="1" t="s">
        <v>603</v>
      </c>
      <c r="L165" s="1"/>
    </row>
    <row r="166" spans="2:12" x14ac:dyDescent="0.35">
      <c r="B166" s="19">
        <f t="shared" si="2"/>
        <v>161</v>
      </c>
      <c r="C166" s="27"/>
      <c r="D166" s="27"/>
      <c r="E166" s="27"/>
      <c r="F166" s="26" t="s">
        <v>284</v>
      </c>
      <c r="G166" s="26"/>
      <c r="H166" s="25"/>
      <c r="I166" s="26" t="s">
        <v>45</v>
      </c>
      <c r="J166" s="26"/>
      <c r="K166" s="1" t="s">
        <v>603</v>
      </c>
      <c r="L166" s="1"/>
    </row>
    <row r="167" spans="2:12" x14ac:dyDescent="0.35">
      <c r="B167" s="19">
        <f t="shared" si="2"/>
        <v>162</v>
      </c>
      <c r="C167" s="27"/>
      <c r="D167" s="27"/>
      <c r="E167" s="27"/>
      <c r="F167" s="26" t="s">
        <v>285</v>
      </c>
      <c r="G167" s="26"/>
      <c r="H167" s="25"/>
      <c r="I167" s="26" t="s">
        <v>45</v>
      </c>
      <c r="J167" s="26"/>
      <c r="K167" s="1" t="s">
        <v>603</v>
      </c>
      <c r="L167" s="1"/>
    </row>
    <row r="168" spans="2:12" x14ac:dyDescent="0.35">
      <c r="B168" s="19">
        <f t="shared" si="2"/>
        <v>163</v>
      </c>
      <c r="C168" s="27"/>
      <c r="D168" s="27"/>
      <c r="E168" s="27"/>
      <c r="F168" s="26" t="s">
        <v>286</v>
      </c>
      <c r="G168" s="26"/>
      <c r="H168" s="25"/>
      <c r="I168" s="26" t="s">
        <v>45</v>
      </c>
      <c r="J168" s="26"/>
      <c r="K168" s="1" t="s">
        <v>603</v>
      </c>
      <c r="L168" s="1"/>
    </row>
    <row r="169" spans="2:12" x14ac:dyDescent="0.35">
      <c r="B169" s="19">
        <f t="shared" si="2"/>
        <v>164</v>
      </c>
      <c r="C169" s="30"/>
      <c r="D169" s="30"/>
      <c r="E169" s="30"/>
      <c r="F169" s="26" t="s">
        <v>287</v>
      </c>
      <c r="G169" s="26"/>
      <c r="H169" s="25"/>
      <c r="I169" s="26" t="s">
        <v>45</v>
      </c>
      <c r="J169" s="26"/>
      <c r="K169" s="1" t="s">
        <v>603</v>
      </c>
      <c r="L169" s="1"/>
    </row>
    <row r="170" spans="2:12" ht="40.5" x14ac:dyDescent="0.35">
      <c r="B170" s="19">
        <f t="shared" si="2"/>
        <v>165</v>
      </c>
      <c r="C170" s="24" t="s">
        <v>521</v>
      </c>
      <c r="D170" s="24"/>
      <c r="E170" s="24"/>
      <c r="F170" s="26" t="s">
        <v>404</v>
      </c>
      <c r="G170" s="26" t="s">
        <v>171</v>
      </c>
      <c r="H170" s="25" t="s">
        <v>44</v>
      </c>
      <c r="I170" s="26" t="s">
        <v>45</v>
      </c>
      <c r="J170" s="26"/>
      <c r="K170" s="1" t="s">
        <v>598</v>
      </c>
      <c r="L170" s="1"/>
    </row>
    <row r="171" spans="2:12" ht="40.5" x14ac:dyDescent="0.35">
      <c r="B171" s="19">
        <f t="shared" si="2"/>
        <v>166</v>
      </c>
      <c r="C171" s="30"/>
      <c r="D171" s="30"/>
      <c r="E171" s="30"/>
      <c r="F171" s="26" t="s">
        <v>522</v>
      </c>
      <c r="G171" s="26" t="s">
        <v>523</v>
      </c>
      <c r="H171" s="25" t="s">
        <v>44</v>
      </c>
      <c r="I171" s="26" t="s">
        <v>45</v>
      </c>
      <c r="J171" s="26"/>
      <c r="K171" s="1" t="s">
        <v>598</v>
      </c>
      <c r="L171" s="1"/>
    </row>
  </sheetData>
  <phoneticPr fontId="13"/>
  <hyperlinks>
    <hyperlink ref="A4" location="パラメータ設定一覧!A1" display="パラメータ設定一覧へ" xr:uid="{F51C81EF-9C2D-4C0C-AD70-C96776C955EC}"/>
  </hyperlinks>
  <pageMargins left="0.7" right="0.7" top="0.75" bottom="0.75" header="0.3" footer="0.3"/>
  <pageSetup paperSize="9"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4EFE2-DADF-4740-BB2C-DF2438887ACA}">
  <sheetPr codeName="Sheet122"/>
  <dimension ref="A1:DC32"/>
  <sheetViews>
    <sheetView showGridLines="0" zoomScaleNormal="100" workbookViewId="0">
      <pane xSplit="5" ySplit="7" topLeftCell="F8" activePane="bottomRight" state="frozen"/>
      <selection pane="topRight"/>
      <selection pane="bottomLeft"/>
      <selection pane="bottomRight"/>
    </sheetView>
  </sheetViews>
  <sheetFormatPr defaultColWidth="8.78515625" defaultRowHeight="13.5" x14ac:dyDescent="0.35"/>
  <cols>
    <col min="1" max="1" width="2.78515625" style="38" customWidth="1"/>
    <col min="2" max="2" width="3.5703125" style="38" bestFit="1" customWidth="1"/>
    <col min="3" max="3" width="27.35546875" style="38" bestFit="1" customWidth="1"/>
    <col min="4" max="4" width="8.2109375" style="38" customWidth="1"/>
    <col min="5" max="5" width="22.42578125" style="38" customWidth="1"/>
    <col min="6" max="6" width="21" style="38" customWidth="1"/>
    <col min="7" max="7" width="21.2109375" style="38" customWidth="1"/>
    <col min="8" max="8" width="8.78515625" style="38"/>
    <col min="9" max="9" width="16.78515625" style="38" customWidth="1"/>
    <col min="10" max="10" width="16.42578125" style="38" bestFit="1" customWidth="1"/>
    <col min="11" max="11" width="19.78515625" style="38" customWidth="1"/>
    <col min="12" max="12" width="19.640625" style="38" bestFit="1" customWidth="1"/>
    <col min="13" max="13" width="15.2109375" style="38" bestFit="1" customWidth="1"/>
    <col min="14" max="14" width="34.2109375" style="38" bestFit="1" customWidth="1"/>
    <col min="15" max="15" width="27.35546875" style="38" bestFit="1" customWidth="1"/>
    <col min="16" max="16" width="13.78515625" style="38" customWidth="1"/>
    <col min="17" max="17" width="11.2109375" style="38" customWidth="1"/>
    <col min="18" max="18" width="8.2109375" style="38" bestFit="1" customWidth="1"/>
    <col min="19" max="19" width="17.640625" style="38" bestFit="1" customWidth="1"/>
    <col min="20" max="20" width="9.35546875" style="38" bestFit="1" customWidth="1"/>
    <col min="21" max="21" width="27.35546875" style="38" customWidth="1"/>
    <col min="22" max="22" width="9.5703125" style="38" bestFit="1" customWidth="1"/>
    <col min="23" max="23" width="5.78515625" style="38" bestFit="1" customWidth="1"/>
    <col min="24" max="24" width="11.2109375" style="38" bestFit="1" customWidth="1"/>
    <col min="25" max="25" width="7.35546875" style="38" bestFit="1" customWidth="1"/>
    <col min="26" max="26" width="18" style="38" bestFit="1" customWidth="1"/>
    <col min="27" max="28" width="8.78515625" style="38"/>
    <col min="29" max="29" width="13.2109375" style="38" customWidth="1"/>
    <col min="30" max="38" width="8.78515625" style="38"/>
    <col min="39" max="39" width="11.78515625" style="38" customWidth="1"/>
    <col min="40" max="40" width="8.78515625" style="38"/>
    <col min="41" max="41" width="11.35546875" style="38" bestFit="1" customWidth="1"/>
    <col min="42" max="42" width="11.640625" style="38" customWidth="1"/>
    <col min="43" max="43" width="12.35546875" style="38" customWidth="1"/>
    <col min="44" max="44" width="19.2109375" style="38" customWidth="1"/>
    <col min="45" max="45" width="16.2109375" style="38" customWidth="1"/>
    <col min="46" max="46" width="17.78515625" style="38" customWidth="1"/>
    <col min="47" max="47" width="16.42578125" style="38" customWidth="1"/>
    <col min="48" max="48" width="10.5703125" style="38" customWidth="1"/>
    <col min="49" max="49" width="12.640625" style="38" customWidth="1"/>
    <col min="50" max="50" width="19.78515625" style="38" customWidth="1"/>
    <col min="51" max="55" width="8.78515625" style="38"/>
    <col min="56" max="56" width="11.5703125" style="38" customWidth="1"/>
    <col min="57" max="57" width="13.5703125" style="38" customWidth="1"/>
    <col min="58" max="58" width="11.2109375" style="38" customWidth="1"/>
    <col min="59" max="59" width="14" style="38" customWidth="1"/>
    <col min="60" max="60" width="16.78515625" style="38" customWidth="1"/>
    <col min="61" max="61" width="16.35546875" style="38" customWidth="1"/>
    <col min="62" max="65" width="8.78515625" style="38"/>
    <col min="66" max="66" width="14" style="38" customWidth="1"/>
    <col min="67" max="70" width="12.78515625" style="38" customWidth="1"/>
    <col min="71" max="71" width="10.640625" style="38" customWidth="1"/>
    <col min="72" max="72" width="12.78515625" style="38" customWidth="1"/>
    <col min="73" max="73" width="8.78515625" style="38"/>
    <col min="74" max="74" width="14.78515625" style="38" bestFit="1" customWidth="1"/>
    <col min="75" max="75" width="13.5703125" style="38" bestFit="1" customWidth="1"/>
    <col min="76" max="76" width="11.640625" style="38" bestFit="1" customWidth="1"/>
    <col min="77" max="77" width="14" style="38" customWidth="1"/>
    <col min="78" max="78" width="11.78515625" style="38" customWidth="1"/>
    <col min="79" max="79" width="13.2109375" style="38" customWidth="1"/>
    <col min="80" max="80" width="12.78515625" style="38" customWidth="1"/>
    <col min="81" max="81" width="14.640625" style="38" customWidth="1"/>
    <col min="82" max="82" width="12.640625" style="38" customWidth="1"/>
    <col min="83" max="83" width="8.78515625" style="38"/>
    <col min="84" max="84" width="12.5703125" style="38" customWidth="1"/>
    <col min="85" max="85" width="8.78515625" style="38"/>
    <col min="86" max="86" width="14.2109375" style="38" customWidth="1"/>
    <col min="87" max="87" width="8.78515625" style="38"/>
    <col min="88" max="88" width="11.2109375" style="38" bestFit="1" customWidth="1"/>
    <col min="89" max="89" width="8.78515625" style="38"/>
    <col min="90" max="90" width="10.42578125" style="38" customWidth="1"/>
    <col min="91" max="91" width="13.5703125" style="38" customWidth="1"/>
    <col min="92" max="92" width="13.42578125" style="38" customWidth="1"/>
    <col min="93" max="93" width="12.42578125" style="38" customWidth="1"/>
    <col min="94" max="94" width="8.78515625" style="38"/>
    <col min="95" max="95" width="13.5703125" style="38" customWidth="1"/>
    <col min="96" max="96" width="11.78515625" style="38" bestFit="1" customWidth="1"/>
    <col min="97" max="99" width="8.78515625" style="38"/>
    <col min="100" max="100" width="14.5703125" style="38" customWidth="1"/>
    <col min="101" max="101" width="11.78515625" style="38" customWidth="1"/>
    <col min="102" max="102" width="10.78515625" style="38" bestFit="1" customWidth="1"/>
    <col min="103" max="103" width="11.2109375" style="38" bestFit="1" customWidth="1"/>
    <col min="104" max="106" width="8.78515625" style="38"/>
    <col min="107" max="107" width="10.640625" style="38" bestFit="1" customWidth="1"/>
    <col min="108" max="16384" width="8.78515625" style="38"/>
  </cols>
  <sheetData>
    <row r="1" spans="1:107" customFormat="1" ht="19.5" x14ac:dyDescent="0.35">
      <c r="A1" s="7" t="s">
        <v>599</v>
      </c>
    </row>
    <row r="2" spans="1:107" customFormat="1" ht="15" x14ac:dyDescent="0.35">
      <c r="A2" t="s">
        <v>767</v>
      </c>
    </row>
    <row r="3" spans="1:107" customFormat="1" ht="15" x14ac:dyDescent="0.35">
      <c r="A3" s="9" t="s">
        <v>670</v>
      </c>
    </row>
    <row r="4" spans="1:107" ht="15.75" customHeight="1" x14ac:dyDescent="0.35">
      <c r="B4" s="229" t="s">
        <v>1</v>
      </c>
      <c r="C4" s="65" t="s">
        <v>42</v>
      </c>
      <c r="D4" s="66"/>
      <c r="E4" s="66"/>
      <c r="F4" s="65" t="s">
        <v>288</v>
      </c>
      <c r="G4" s="66"/>
      <c r="H4" s="66"/>
      <c r="I4" s="66"/>
      <c r="J4" s="66"/>
      <c r="K4" s="66"/>
      <c r="L4" s="66"/>
      <c r="M4" s="66"/>
      <c r="N4" s="66"/>
      <c r="O4" s="108" t="s">
        <v>68</v>
      </c>
      <c r="P4" s="107"/>
      <c r="Q4" s="107"/>
      <c r="R4" s="107"/>
      <c r="S4" s="107"/>
      <c r="T4" s="107"/>
      <c r="U4" s="107"/>
      <c r="V4" s="107"/>
      <c r="W4" s="107"/>
      <c r="X4" s="107"/>
      <c r="Y4" s="107"/>
      <c r="Z4" s="107"/>
      <c r="AA4" s="65" t="s">
        <v>289</v>
      </c>
      <c r="AB4" s="66"/>
      <c r="AC4" s="66"/>
      <c r="AD4" s="66"/>
      <c r="AE4" s="66"/>
      <c r="AF4" s="66"/>
      <c r="AG4" s="66"/>
      <c r="AH4" s="66"/>
      <c r="AI4" s="66"/>
      <c r="AJ4" s="112" t="s">
        <v>105</v>
      </c>
      <c r="AK4" s="97"/>
      <c r="AL4" s="97"/>
      <c r="AM4" s="97"/>
      <c r="AN4" s="108" t="s">
        <v>113</v>
      </c>
      <c r="AO4" s="107"/>
      <c r="AP4" s="107"/>
      <c r="AQ4" s="107"/>
      <c r="AR4" s="107"/>
      <c r="AS4" s="107"/>
      <c r="AT4" s="107"/>
      <c r="AU4" s="107"/>
      <c r="AV4" s="96" t="s">
        <v>173</v>
      </c>
      <c r="AW4" s="97"/>
      <c r="AX4" s="97"/>
      <c r="AY4" s="97"/>
      <c r="AZ4" s="97"/>
      <c r="BA4" s="97"/>
      <c r="BB4" s="97"/>
      <c r="BC4" s="97"/>
      <c r="BD4" s="97"/>
      <c r="BE4" s="97"/>
      <c r="BF4" s="97"/>
      <c r="BG4" s="97"/>
      <c r="BH4" s="97"/>
      <c r="BI4" s="97"/>
      <c r="BJ4" s="97"/>
      <c r="BK4" s="114" t="s">
        <v>198</v>
      </c>
      <c r="BL4" s="115"/>
      <c r="BM4" s="115"/>
      <c r="BN4" s="113"/>
      <c r="BO4" s="115"/>
      <c r="BP4" s="115"/>
      <c r="BQ4" s="115"/>
      <c r="BR4" s="115"/>
      <c r="BS4" s="115"/>
      <c r="BT4" s="113"/>
      <c r="BU4" s="96" t="s">
        <v>229</v>
      </c>
      <c r="BV4" s="97"/>
      <c r="BW4" s="97"/>
      <c r="BX4" s="98"/>
      <c r="BY4" s="233" t="s">
        <v>238</v>
      </c>
      <c r="BZ4" s="233" t="s">
        <v>248</v>
      </c>
      <c r="CA4" s="231" t="s">
        <v>249</v>
      </c>
      <c r="CB4" s="108" t="s">
        <v>253</v>
      </c>
      <c r="CC4" s="97"/>
      <c r="CD4" s="97"/>
      <c r="CE4" s="97"/>
      <c r="CF4" s="97"/>
      <c r="CG4" s="108" t="s">
        <v>261</v>
      </c>
      <c r="CH4" s="107"/>
      <c r="CI4" s="107"/>
      <c r="CJ4" s="107"/>
      <c r="CK4" s="107"/>
      <c r="CL4" s="107"/>
      <c r="CM4" s="107"/>
      <c r="CN4" s="107"/>
      <c r="CO4" s="107"/>
      <c r="CP4" s="96" t="s">
        <v>271</v>
      </c>
      <c r="CQ4" s="97"/>
      <c r="CR4" s="97"/>
      <c r="CS4" s="97"/>
      <c r="CT4" s="97"/>
      <c r="CU4" s="97"/>
      <c r="CV4" s="97"/>
      <c r="CW4" s="97"/>
      <c r="CX4" s="97"/>
      <c r="CY4" s="97"/>
      <c r="CZ4" s="97"/>
      <c r="DA4" s="97"/>
      <c r="DB4" s="97"/>
      <c r="DC4" s="98"/>
    </row>
    <row r="5" spans="1:107" ht="15" customHeight="1" x14ac:dyDescent="0.35">
      <c r="B5" s="229"/>
      <c r="C5" s="68"/>
      <c r="D5" s="69"/>
      <c r="E5" s="69"/>
      <c r="F5" s="68"/>
      <c r="G5" s="69"/>
      <c r="H5" s="69"/>
      <c r="I5" s="69"/>
      <c r="J5" s="69"/>
      <c r="K5" s="69"/>
      <c r="L5" s="69"/>
      <c r="M5" s="69"/>
      <c r="N5" s="69"/>
      <c r="O5" s="109"/>
      <c r="P5" s="110"/>
      <c r="Q5" s="110"/>
      <c r="R5" s="111"/>
      <c r="S5" s="97" t="s">
        <v>76</v>
      </c>
      <c r="T5" s="97"/>
      <c r="U5" s="97"/>
      <c r="V5" s="97"/>
      <c r="W5" s="97"/>
      <c r="X5" s="97"/>
      <c r="Y5" s="97"/>
      <c r="Z5" s="98"/>
      <c r="AA5" s="109"/>
      <c r="AB5" s="110"/>
      <c r="AC5" s="110"/>
      <c r="AD5" s="110"/>
      <c r="AE5" s="110"/>
      <c r="AF5" s="96" t="s">
        <v>96</v>
      </c>
      <c r="AG5" s="97"/>
      <c r="AH5" s="97"/>
      <c r="AI5" s="97"/>
      <c r="AJ5" s="109" t="s">
        <v>49</v>
      </c>
      <c r="AK5" s="110"/>
      <c r="AL5" s="110"/>
      <c r="AM5" s="110"/>
      <c r="AN5" s="112" t="s">
        <v>114</v>
      </c>
      <c r="AO5" s="113"/>
      <c r="AP5" s="96" t="s">
        <v>150</v>
      </c>
      <c r="AQ5" s="97"/>
      <c r="AR5" s="97"/>
      <c r="AS5" s="97"/>
      <c r="AT5" s="97"/>
      <c r="AU5" s="97"/>
      <c r="AV5" s="109" t="s">
        <v>174</v>
      </c>
      <c r="AW5" s="110"/>
      <c r="AX5" s="110"/>
      <c r="AY5" s="110"/>
      <c r="AZ5" s="109" t="s">
        <v>181</v>
      </c>
      <c r="BA5" s="110"/>
      <c r="BB5" s="109" t="s">
        <v>186</v>
      </c>
      <c r="BC5" s="110"/>
      <c r="BD5" s="110"/>
      <c r="BE5" s="110"/>
      <c r="BF5" s="110"/>
      <c r="BG5" s="110"/>
      <c r="BH5" s="109" t="s">
        <v>195</v>
      </c>
      <c r="BI5" s="110"/>
      <c r="BJ5" s="110"/>
      <c r="BK5" s="96" t="s">
        <v>199</v>
      </c>
      <c r="BL5" s="97"/>
      <c r="BM5" s="98"/>
      <c r="BN5" s="110" t="s">
        <v>206</v>
      </c>
      <c r="BO5" s="96" t="s">
        <v>209</v>
      </c>
      <c r="BP5" s="97"/>
      <c r="BQ5" s="97"/>
      <c r="BR5" s="97"/>
      <c r="BS5" s="98"/>
      <c r="BT5" s="110" t="s">
        <v>222</v>
      </c>
      <c r="BU5" s="109" t="s">
        <v>230</v>
      </c>
      <c r="BV5" s="111"/>
      <c r="BW5" s="111" t="s">
        <v>234</v>
      </c>
      <c r="BX5" s="95" t="s">
        <v>236</v>
      </c>
      <c r="BY5" s="234"/>
      <c r="BZ5" s="234"/>
      <c r="CA5" s="232"/>
      <c r="CB5" s="95"/>
      <c r="CC5" s="109" t="s">
        <v>255</v>
      </c>
      <c r="CD5" s="110"/>
      <c r="CE5" s="111"/>
      <c r="CF5" s="110" t="s">
        <v>259</v>
      </c>
      <c r="CG5" s="96" t="s">
        <v>261</v>
      </c>
      <c r="CH5" s="97"/>
      <c r="CI5" s="97"/>
      <c r="CJ5" s="97"/>
      <c r="CK5" s="97"/>
      <c r="CL5" s="97"/>
      <c r="CM5" s="97"/>
      <c r="CN5" s="97"/>
      <c r="CO5" s="97"/>
      <c r="CP5" s="109" t="s">
        <v>272</v>
      </c>
      <c r="CQ5" s="110"/>
      <c r="CR5" s="110"/>
      <c r="CS5" s="110"/>
      <c r="CT5" s="110"/>
      <c r="CU5" s="109" t="s">
        <v>278</v>
      </c>
      <c r="CV5" s="110"/>
      <c r="CW5" s="110"/>
      <c r="CX5" s="110"/>
      <c r="CY5" s="110"/>
      <c r="CZ5" s="110"/>
      <c r="DA5" s="110"/>
      <c r="DB5" s="110"/>
      <c r="DC5" s="111"/>
    </row>
    <row r="6" spans="1:107" ht="27" x14ac:dyDescent="0.35">
      <c r="B6" s="230"/>
      <c r="C6" s="95" t="s">
        <v>43</v>
      </c>
      <c r="D6" s="95" t="s">
        <v>46</v>
      </c>
      <c r="E6" s="95" t="s">
        <v>48</v>
      </c>
      <c r="F6" s="95" t="s">
        <v>50</v>
      </c>
      <c r="G6" s="95" t="s">
        <v>52</v>
      </c>
      <c r="H6" s="95" t="s">
        <v>53</v>
      </c>
      <c r="I6" s="95" t="s">
        <v>58</v>
      </c>
      <c r="J6" s="95" t="s">
        <v>60</v>
      </c>
      <c r="K6" s="95" t="s">
        <v>62</v>
      </c>
      <c r="L6" s="95" t="s">
        <v>63</v>
      </c>
      <c r="M6" s="95" t="s">
        <v>65</v>
      </c>
      <c r="N6" s="95" t="s">
        <v>682</v>
      </c>
      <c r="O6" s="95" t="s">
        <v>69</v>
      </c>
      <c r="P6" s="95" t="s">
        <v>70</v>
      </c>
      <c r="Q6" s="95" t="s">
        <v>73</v>
      </c>
      <c r="R6" s="95" t="s">
        <v>75</v>
      </c>
      <c r="S6" s="95" t="s">
        <v>77</v>
      </c>
      <c r="T6" s="95" t="s">
        <v>80</v>
      </c>
      <c r="U6" s="95" t="s">
        <v>70</v>
      </c>
      <c r="V6" s="95" t="s">
        <v>82</v>
      </c>
      <c r="W6" s="95" t="s">
        <v>83</v>
      </c>
      <c r="X6" s="95" t="s">
        <v>84</v>
      </c>
      <c r="Y6" s="95" t="s">
        <v>85</v>
      </c>
      <c r="Z6" s="95" t="s">
        <v>86</v>
      </c>
      <c r="AA6" s="94" t="s">
        <v>88</v>
      </c>
      <c r="AB6" s="94" t="s">
        <v>89</v>
      </c>
      <c r="AC6" s="94" t="s">
        <v>91</v>
      </c>
      <c r="AD6" s="94" t="s">
        <v>93</v>
      </c>
      <c r="AE6" s="94" t="s">
        <v>75</v>
      </c>
      <c r="AF6" s="95" t="s">
        <v>97</v>
      </c>
      <c r="AG6" s="95" t="s">
        <v>73</v>
      </c>
      <c r="AH6" s="95" t="s">
        <v>101</v>
      </c>
      <c r="AI6" s="95" t="s">
        <v>103</v>
      </c>
      <c r="AJ6" s="95" t="s">
        <v>106</v>
      </c>
      <c r="AK6" s="95" t="s">
        <v>108</v>
      </c>
      <c r="AL6" s="95" t="s">
        <v>110</v>
      </c>
      <c r="AM6" s="95" t="s">
        <v>112</v>
      </c>
      <c r="AN6" s="95" t="s">
        <v>115</v>
      </c>
      <c r="AO6" s="95" t="s">
        <v>116</v>
      </c>
      <c r="AP6" s="95" t="s">
        <v>151</v>
      </c>
      <c r="AQ6" s="95" t="s">
        <v>153</v>
      </c>
      <c r="AR6" s="95" t="s">
        <v>155</v>
      </c>
      <c r="AS6" s="95" t="s">
        <v>156</v>
      </c>
      <c r="AT6" s="95" t="s">
        <v>157</v>
      </c>
      <c r="AU6" s="95" t="s">
        <v>158</v>
      </c>
      <c r="AV6" s="95" t="s">
        <v>175</v>
      </c>
      <c r="AW6" s="95" t="s">
        <v>176</v>
      </c>
      <c r="AX6" s="95" t="s">
        <v>177</v>
      </c>
      <c r="AY6" s="95" t="s">
        <v>178</v>
      </c>
      <c r="AZ6" s="95" t="s">
        <v>182</v>
      </c>
      <c r="BA6" s="95" t="s">
        <v>184</v>
      </c>
      <c r="BB6" s="95" t="s">
        <v>187</v>
      </c>
      <c r="BC6" s="95" t="s">
        <v>189</v>
      </c>
      <c r="BD6" s="95" t="s">
        <v>191</v>
      </c>
      <c r="BE6" s="95" t="s">
        <v>192</v>
      </c>
      <c r="BF6" s="95" t="s">
        <v>193</v>
      </c>
      <c r="BG6" s="95" t="s">
        <v>194</v>
      </c>
      <c r="BH6" s="95" t="s">
        <v>195</v>
      </c>
      <c r="BI6" s="95" t="s">
        <v>196</v>
      </c>
      <c r="BJ6" s="95" t="s">
        <v>197</v>
      </c>
      <c r="BK6" s="95" t="s">
        <v>200</v>
      </c>
      <c r="BL6" s="95" t="s">
        <v>202</v>
      </c>
      <c r="BM6" s="95" t="s">
        <v>204</v>
      </c>
      <c r="BN6" s="94" t="s">
        <v>207</v>
      </c>
      <c r="BO6" s="95" t="s">
        <v>210</v>
      </c>
      <c r="BP6" s="95" t="s">
        <v>212</v>
      </c>
      <c r="BQ6" s="95" t="s">
        <v>214</v>
      </c>
      <c r="BR6" s="95" t="s">
        <v>216</v>
      </c>
      <c r="BS6" s="95" t="s">
        <v>218</v>
      </c>
      <c r="BT6" s="94" t="s">
        <v>223</v>
      </c>
      <c r="BU6" s="95" t="s">
        <v>231</v>
      </c>
      <c r="BV6" s="95" t="s">
        <v>233</v>
      </c>
      <c r="BW6" s="94" t="s">
        <v>235</v>
      </c>
      <c r="BX6" s="94" t="s">
        <v>237</v>
      </c>
      <c r="BY6" s="94" t="s">
        <v>245</v>
      </c>
      <c r="BZ6" s="94" t="s">
        <v>239</v>
      </c>
      <c r="CA6" s="94" t="s">
        <v>250</v>
      </c>
      <c r="CB6" s="94" t="s">
        <v>254</v>
      </c>
      <c r="CC6" s="95" t="s">
        <v>256</v>
      </c>
      <c r="CD6" s="95" t="s">
        <v>257</v>
      </c>
      <c r="CE6" s="95" t="s">
        <v>258</v>
      </c>
      <c r="CF6" s="94" t="s">
        <v>260</v>
      </c>
      <c r="CG6" s="95" t="s">
        <v>262</v>
      </c>
      <c r="CH6" s="95" t="s">
        <v>263</v>
      </c>
      <c r="CI6" s="95" t="s">
        <v>264</v>
      </c>
      <c r="CJ6" s="95" t="s">
        <v>265</v>
      </c>
      <c r="CK6" s="95" t="s">
        <v>266</v>
      </c>
      <c r="CL6" s="95" t="s">
        <v>267</v>
      </c>
      <c r="CM6" s="95" t="s">
        <v>268</v>
      </c>
      <c r="CN6" s="95" t="s">
        <v>269</v>
      </c>
      <c r="CO6" s="95" t="s">
        <v>270</v>
      </c>
      <c r="CP6" s="95" t="s">
        <v>273</v>
      </c>
      <c r="CQ6" s="95" t="s">
        <v>274</v>
      </c>
      <c r="CR6" s="95" t="s">
        <v>275</v>
      </c>
      <c r="CS6" s="95" t="s">
        <v>276</v>
      </c>
      <c r="CT6" s="95" t="s">
        <v>277</v>
      </c>
      <c r="CU6" s="95" t="s">
        <v>279</v>
      </c>
      <c r="CV6" s="95" t="s">
        <v>280</v>
      </c>
      <c r="CW6" s="95" t="s">
        <v>281</v>
      </c>
      <c r="CX6" s="95" t="s">
        <v>282</v>
      </c>
      <c r="CY6" s="95" t="s">
        <v>283</v>
      </c>
      <c r="CZ6" s="95" t="s">
        <v>284</v>
      </c>
      <c r="DA6" s="95" t="s">
        <v>285</v>
      </c>
      <c r="DB6" s="95" t="s">
        <v>286</v>
      </c>
      <c r="DC6" s="95" t="s">
        <v>287</v>
      </c>
    </row>
    <row r="7" spans="1:107" ht="27" x14ac:dyDescent="0.35">
      <c r="B7" s="230"/>
      <c r="C7" s="4" t="s">
        <v>44</v>
      </c>
      <c r="D7" s="4" t="s">
        <v>44</v>
      </c>
      <c r="E7" s="4" t="s">
        <v>44</v>
      </c>
      <c r="F7" s="4" t="s">
        <v>44</v>
      </c>
      <c r="G7" s="4" t="s">
        <v>44</v>
      </c>
      <c r="H7" s="4" t="s">
        <v>55</v>
      </c>
      <c r="I7" s="4" t="s">
        <v>55</v>
      </c>
      <c r="J7" s="4" t="s">
        <v>55</v>
      </c>
      <c r="K7" s="4" t="s">
        <v>44</v>
      </c>
      <c r="L7" s="4" t="s">
        <v>290</v>
      </c>
      <c r="M7" s="4" t="s">
        <v>66</v>
      </c>
      <c r="N7" s="4" t="s">
        <v>683</v>
      </c>
      <c r="O7" s="4" t="s">
        <v>44</v>
      </c>
      <c r="P7" s="4" t="s">
        <v>44</v>
      </c>
      <c r="Q7" s="4"/>
      <c r="R7" s="4" t="s">
        <v>55</v>
      </c>
      <c r="S7" s="4" t="s">
        <v>78</v>
      </c>
      <c r="T7" s="4" t="s">
        <v>81</v>
      </c>
      <c r="U7" s="4" t="s">
        <v>44</v>
      </c>
      <c r="V7" s="4" t="s">
        <v>44</v>
      </c>
      <c r="W7" s="4" t="s">
        <v>44</v>
      </c>
      <c r="X7" s="4" t="s">
        <v>44</v>
      </c>
      <c r="Y7" s="4" t="s">
        <v>44</v>
      </c>
      <c r="Z7" s="4" t="s">
        <v>55</v>
      </c>
      <c r="AA7" s="4" t="s">
        <v>44</v>
      </c>
      <c r="AB7" s="4"/>
      <c r="AC7" s="4" t="s">
        <v>44</v>
      </c>
      <c r="AD7" s="4" t="s">
        <v>44</v>
      </c>
      <c r="AE7" s="4" t="s">
        <v>55</v>
      </c>
      <c r="AF7" s="4" t="s">
        <v>44</v>
      </c>
      <c r="AG7" s="4"/>
      <c r="AH7" s="4" t="s">
        <v>55</v>
      </c>
      <c r="AI7" s="4" t="s">
        <v>55</v>
      </c>
      <c r="AJ7" s="4" t="s">
        <v>44</v>
      </c>
      <c r="AK7" s="4" t="s">
        <v>109</v>
      </c>
      <c r="AL7" s="4" t="s">
        <v>111</v>
      </c>
      <c r="AM7" s="4" t="s">
        <v>44</v>
      </c>
      <c r="AN7" s="4" t="s">
        <v>44</v>
      </c>
      <c r="AO7" s="4" t="s">
        <v>44</v>
      </c>
      <c r="AP7" s="4" t="s">
        <v>152</v>
      </c>
      <c r="AQ7" s="4" t="s">
        <v>109</v>
      </c>
      <c r="AR7" s="4" t="s">
        <v>44</v>
      </c>
      <c r="AS7" s="4" t="s">
        <v>44</v>
      </c>
      <c r="AT7" s="4" t="s">
        <v>44</v>
      </c>
      <c r="AU7" s="4" t="s">
        <v>44</v>
      </c>
      <c r="AV7" s="4" t="s">
        <v>44</v>
      </c>
      <c r="AW7" s="4" t="s">
        <v>651</v>
      </c>
      <c r="AX7" s="4" t="s">
        <v>44</v>
      </c>
      <c r="AY7" s="4" t="s">
        <v>180</v>
      </c>
      <c r="AZ7" s="4"/>
      <c r="BA7" s="4"/>
      <c r="BB7" s="4"/>
      <c r="BC7" s="4"/>
      <c r="BD7" s="4"/>
      <c r="BE7" s="4"/>
      <c r="BF7" s="4"/>
      <c r="BG7" s="4"/>
      <c r="BH7" s="4" t="s">
        <v>652</v>
      </c>
      <c r="BI7" s="4" t="s">
        <v>44</v>
      </c>
      <c r="BJ7" s="4" t="s">
        <v>55</v>
      </c>
      <c r="BK7" s="4" t="s">
        <v>44</v>
      </c>
      <c r="BL7" s="4" t="s">
        <v>44</v>
      </c>
      <c r="BM7" s="4" t="s">
        <v>44</v>
      </c>
      <c r="BN7" s="4" t="s">
        <v>44</v>
      </c>
      <c r="BO7" s="4" t="s">
        <v>653</v>
      </c>
      <c r="BP7" s="4" t="s">
        <v>44</v>
      </c>
      <c r="BQ7" s="4" t="s">
        <v>653</v>
      </c>
      <c r="BR7" s="4" t="s">
        <v>44</v>
      </c>
      <c r="BS7" s="4" t="s">
        <v>44</v>
      </c>
      <c r="BT7" s="4" t="s">
        <v>654</v>
      </c>
      <c r="BU7" s="4" t="s">
        <v>44</v>
      </c>
      <c r="BV7" s="4" t="s">
        <v>44</v>
      </c>
      <c r="BW7" s="4" t="s">
        <v>44</v>
      </c>
      <c r="BX7" s="4" t="s">
        <v>44</v>
      </c>
      <c r="BY7" s="4"/>
      <c r="BZ7" s="4"/>
      <c r="CA7" s="4"/>
      <c r="CB7" s="4" t="s">
        <v>44</v>
      </c>
      <c r="CC7" s="4"/>
      <c r="CD7" s="4"/>
      <c r="CE7" s="4"/>
      <c r="CF7" s="4"/>
      <c r="CG7" s="4"/>
      <c r="CH7" s="4" t="s">
        <v>55</v>
      </c>
      <c r="CI7" s="4"/>
      <c r="CJ7" s="4"/>
      <c r="CK7" s="4"/>
      <c r="CL7" s="4" t="s">
        <v>55</v>
      </c>
      <c r="CM7" s="4" t="s">
        <v>55</v>
      </c>
      <c r="CN7" s="4" t="s">
        <v>55</v>
      </c>
      <c r="CO7" s="4"/>
      <c r="CP7" s="4"/>
      <c r="CQ7" s="4"/>
      <c r="CR7" s="4"/>
      <c r="CS7" s="4"/>
      <c r="CT7" s="4"/>
      <c r="CU7" s="4"/>
      <c r="CV7" s="4"/>
      <c r="CW7" s="4"/>
      <c r="CX7" s="4"/>
      <c r="CY7" s="4"/>
      <c r="CZ7" s="4"/>
      <c r="DA7" s="4"/>
      <c r="DB7" s="4"/>
      <c r="DC7" s="4"/>
    </row>
    <row r="8" spans="1:107" ht="30" x14ac:dyDescent="0.3">
      <c r="B8" s="176">
        <f>ROW() - 7</f>
        <v>1</v>
      </c>
      <c r="C8" s="176" t="s">
        <v>684</v>
      </c>
      <c r="D8" s="176" t="s">
        <v>685</v>
      </c>
      <c r="E8" s="176" t="s">
        <v>687</v>
      </c>
      <c r="F8" s="176" t="s">
        <v>539</v>
      </c>
      <c r="G8" s="176" t="s">
        <v>686</v>
      </c>
      <c r="H8" s="172" t="s">
        <v>56</v>
      </c>
      <c r="I8" s="172" t="s">
        <v>56</v>
      </c>
      <c r="J8" s="172" t="s">
        <v>56</v>
      </c>
      <c r="K8" s="172" t="s">
        <v>539</v>
      </c>
      <c r="L8" s="172" t="s">
        <v>688</v>
      </c>
      <c r="M8" s="172" t="s">
        <v>689</v>
      </c>
      <c r="N8" s="172" t="s">
        <v>690</v>
      </c>
      <c r="O8" s="118" t="s">
        <v>510</v>
      </c>
      <c r="P8" s="175" t="s">
        <v>691</v>
      </c>
      <c r="Q8" s="118" t="s">
        <v>692</v>
      </c>
      <c r="R8" s="118" t="s">
        <v>307</v>
      </c>
      <c r="S8" s="118" t="s">
        <v>693</v>
      </c>
      <c r="T8" s="118" t="s">
        <v>694</v>
      </c>
      <c r="U8" s="118" t="s">
        <v>695</v>
      </c>
      <c r="V8" s="118" t="s">
        <v>539</v>
      </c>
      <c r="W8" s="118" t="s">
        <v>539</v>
      </c>
      <c r="X8" s="118" t="s">
        <v>539</v>
      </c>
      <c r="Y8" s="118" t="s">
        <v>539</v>
      </c>
      <c r="Z8" s="118" t="s">
        <v>56</v>
      </c>
      <c r="AA8" s="118" t="s">
        <v>539</v>
      </c>
      <c r="AB8" s="118" t="s">
        <v>539</v>
      </c>
      <c r="AC8" s="118" t="s">
        <v>539</v>
      </c>
      <c r="AD8" s="118" t="s">
        <v>539</v>
      </c>
      <c r="AE8" s="118" t="s">
        <v>539</v>
      </c>
      <c r="AF8" s="118" t="s">
        <v>539</v>
      </c>
      <c r="AG8" s="118" t="s">
        <v>539</v>
      </c>
      <c r="AH8" s="118" t="s">
        <v>539</v>
      </c>
      <c r="AI8" s="118" t="s">
        <v>539</v>
      </c>
      <c r="AJ8" s="118" t="s">
        <v>539</v>
      </c>
      <c r="AK8" s="118" t="s">
        <v>539</v>
      </c>
      <c r="AL8" s="118" t="s">
        <v>539</v>
      </c>
      <c r="AM8" s="118" t="s">
        <v>539</v>
      </c>
      <c r="AN8" s="118" t="s">
        <v>539</v>
      </c>
      <c r="AO8" s="118" t="s">
        <v>539</v>
      </c>
      <c r="AP8" s="118" t="s">
        <v>539</v>
      </c>
      <c r="AQ8" s="118" t="s">
        <v>539</v>
      </c>
      <c r="AR8" s="118" t="s">
        <v>539</v>
      </c>
      <c r="AS8" s="118" t="s">
        <v>539</v>
      </c>
      <c r="AT8" s="118" t="s">
        <v>539</v>
      </c>
      <c r="AU8" s="118" t="s">
        <v>539</v>
      </c>
      <c r="AV8" s="118" t="s">
        <v>539</v>
      </c>
      <c r="AW8" s="118" t="s">
        <v>539</v>
      </c>
      <c r="AX8" s="118" t="s">
        <v>539</v>
      </c>
      <c r="AY8" s="118" t="s">
        <v>539</v>
      </c>
      <c r="AZ8" s="118" t="s">
        <v>539</v>
      </c>
      <c r="BA8" s="118" t="s">
        <v>539</v>
      </c>
      <c r="BB8" s="118" t="s">
        <v>539</v>
      </c>
      <c r="BC8" s="118" t="s">
        <v>539</v>
      </c>
      <c r="BD8" s="118" t="s">
        <v>539</v>
      </c>
      <c r="BE8" s="118" t="s">
        <v>539</v>
      </c>
      <c r="BF8" s="118" t="s">
        <v>539</v>
      </c>
      <c r="BG8" s="118" t="s">
        <v>539</v>
      </c>
      <c r="BH8" s="118" t="s">
        <v>539</v>
      </c>
      <c r="BI8" s="118" t="s">
        <v>539</v>
      </c>
      <c r="BJ8" s="118" t="s">
        <v>539</v>
      </c>
      <c r="BK8" s="118" t="s">
        <v>539</v>
      </c>
      <c r="BL8" s="118" t="s">
        <v>539</v>
      </c>
      <c r="BM8" s="118" t="s">
        <v>539</v>
      </c>
      <c r="BN8" s="118" t="s">
        <v>539</v>
      </c>
      <c r="BO8" s="118" t="s">
        <v>539</v>
      </c>
      <c r="BP8" s="118" t="s">
        <v>539</v>
      </c>
      <c r="BQ8" s="118" t="s">
        <v>539</v>
      </c>
      <c r="BR8" s="118" t="s">
        <v>539</v>
      </c>
      <c r="BS8" s="118" t="s">
        <v>539</v>
      </c>
      <c r="BT8" s="118" t="s">
        <v>539</v>
      </c>
      <c r="BU8" s="118" t="s">
        <v>539</v>
      </c>
      <c r="BV8" s="118" t="s">
        <v>539</v>
      </c>
      <c r="BW8" s="118" t="s">
        <v>539</v>
      </c>
      <c r="BX8" s="118" t="s">
        <v>539</v>
      </c>
      <c r="BY8" s="118" t="s">
        <v>539</v>
      </c>
      <c r="BZ8" s="118" t="s">
        <v>539</v>
      </c>
      <c r="CA8" s="118" t="s">
        <v>539</v>
      </c>
      <c r="CB8" s="118" t="s">
        <v>539</v>
      </c>
      <c r="CC8" s="118" t="s">
        <v>539</v>
      </c>
      <c r="CD8" s="118" t="s">
        <v>539</v>
      </c>
      <c r="CE8" s="118" t="s">
        <v>539</v>
      </c>
      <c r="CF8" s="118" t="s">
        <v>539</v>
      </c>
      <c r="CG8" s="118" t="s">
        <v>539</v>
      </c>
      <c r="CH8" s="118" t="s">
        <v>539</v>
      </c>
      <c r="CI8" s="118" t="s">
        <v>539</v>
      </c>
      <c r="CJ8" s="118" t="s">
        <v>539</v>
      </c>
      <c r="CK8" s="118" t="s">
        <v>539</v>
      </c>
      <c r="CL8" s="118" t="s">
        <v>539</v>
      </c>
      <c r="CM8" s="118" t="s">
        <v>539</v>
      </c>
      <c r="CN8" s="118" t="s">
        <v>539</v>
      </c>
      <c r="CO8" s="118" t="s">
        <v>539</v>
      </c>
      <c r="CP8" s="118" t="s">
        <v>539</v>
      </c>
      <c r="CQ8" s="118" t="s">
        <v>539</v>
      </c>
      <c r="CR8" s="118" t="s">
        <v>539</v>
      </c>
      <c r="CS8" s="118" t="s">
        <v>539</v>
      </c>
      <c r="CT8" s="118" t="s">
        <v>539</v>
      </c>
      <c r="CU8" s="118" t="s">
        <v>539</v>
      </c>
      <c r="CV8" s="118" t="s">
        <v>539</v>
      </c>
      <c r="CW8" s="118" t="s">
        <v>539</v>
      </c>
      <c r="CX8" s="118" t="s">
        <v>539</v>
      </c>
      <c r="CY8" s="118" t="s">
        <v>539</v>
      </c>
      <c r="CZ8" s="118" t="s">
        <v>539</v>
      </c>
      <c r="DA8" s="118" t="s">
        <v>539</v>
      </c>
      <c r="DB8" s="118" t="s">
        <v>539</v>
      </c>
      <c r="DC8" s="118" t="s">
        <v>539</v>
      </c>
    </row>
    <row r="9" spans="1:107" ht="30" x14ac:dyDescent="0.3">
      <c r="B9" s="177"/>
      <c r="C9" s="177"/>
      <c r="D9" s="177"/>
      <c r="E9" s="177"/>
      <c r="F9" s="177"/>
      <c r="G9" s="177"/>
      <c r="H9" s="174"/>
      <c r="I9" s="174"/>
      <c r="J9" s="174"/>
      <c r="K9" s="174"/>
      <c r="L9" s="174"/>
      <c r="M9" s="174"/>
      <c r="N9" s="174"/>
      <c r="O9" s="118" t="s">
        <v>696</v>
      </c>
      <c r="P9" s="175" t="s">
        <v>691</v>
      </c>
      <c r="Q9" s="118" t="s">
        <v>697</v>
      </c>
      <c r="R9" s="118" t="s">
        <v>56</v>
      </c>
      <c r="S9" s="118" t="s">
        <v>693</v>
      </c>
      <c r="T9" s="118" t="s">
        <v>539</v>
      </c>
      <c r="U9" s="118" t="s">
        <v>539</v>
      </c>
      <c r="V9" s="118" t="s">
        <v>539</v>
      </c>
      <c r="W9" s="118" t="s">
        <v>236</v>
      </c>
      <c r="X9" s="118" t="s">
        <v>539</v>
      </c>
      <c r="Y9" s="118" t="s">
        <v>698</v>
      </c>
      <c r="Z9" s="118" t="s">
        <v>56</v>
      </c>
      <c r="AA9" s="118" t="s">
        <v>539</v>
      </c>
      <c r="AB9" s="118" t="s">
        <v>539</v>
      </c>
      <c r="AC9" s="118" t="s">
        <v>539</v>
      </c>
      <c r="AD9" s="118" t="s">
        <v>539</v>
      </c>
      <c r="AE9" s="118" t="s">
        <v>539</v>
      </c>
      <c r="AF9" s="118" t="s">
        <v>539</v>
      </c>
      <c r="AG9" s="118" t="s">
        <v>539</v>
      </c>
      <c r="AH9" s="118" t="s">
        <v>539</v>
      </c>
      <c r="AI9" s="118" t="s">
        <v>539</v>
      </c>
      <c r="AJ9" s="118" t="s">
        <v>539</v>
      </c>
      <c r="AK9" s="118" t="s">
        <v>539</v>
      </c>
      <c r="AL9" s="118" t="s">
        <v>539</v>
      </c>
      <c r="AM9" s="118" t="s">
        <v>539</v>
      </c>
      <c r="AN9" s="118" t="s">
        <v>539</v>
      </c>
      <c r="AO9" s="118" t="s">
        <v>539</v>
      </c>
      <c r="AP9" s="118" t="s">
        <v>539</v>
      </c>
      <c r="AQ9" s="118" t="s">
        <v>539</v>
      </c>
      <c r="AR9" s="118" t="s">
        <v>539</v>
      </c>
      <c r="AS9" s="118" t="s">
        <v>539</v>
      </c>
      <c r="AT9" s="118" t="s">
        <v>539</v>
      </c>
      <c r="AU9" s="118" t="s">
        <v>539</v>
      </c>
      <c r="AV9" s="118" t="s">
        <v>539</v>
      </c>
      <c r="AW9" s="118" t="s">
        <v>539</v>
      </c>
      <c r="AX9" s="118" t="s">
        <v>539</v>
      </c>
      <c r="AY9" s="118" t="s">
        <v>539</v>
      </c>
      <c r="AZ9" s="118" t="s">
        <v>539</v>
      </c>
      <c r="BA9" s="118" t="s">
        <v>539</v>
      </c>
      <c r="BB9" s="118" t="s">
        <v>539</v>
      </c>
      <c r="BC9" s="118" t="s">
        <v>539</v>
      </c>
      <c r="BD9" s="118" t="s">
        <v>539</v>
      </c>
      <c r="BE9" s="118" t="s">
        <v>539</v>
      </c>
      <c r="BF9" s="118" t="s">
        <v>539</v>
      </c>
      <c r="BG9" s="118" t="s">
        <v>539</v>
      </c>
      <c r="BH9" s="118" t="s">
        <v>539</v>
      </c>
      <c r="BI9" s="118" t="s">
        <v>539</v>
      </c>
      <c r="BJ9" s="118" t="s">
        <v>539</v>
      </c>
      <c r="BK9" s="118" t="s">
        <v>539</v>
      </c>
      <c r="BL9" s="118" t="s">
        <v>539</v>
      </c>
      <c r="BM9" s="118" t="s">
        <v>539</v>
      </c>
      <c r="BN9" s="118" t="s">
        <v>539</v>
      </c>
      <c r="BO9" s="118" t="s">
        <v>539</v>
      </c>
      <c r="BP9" s="118" t="s">
        <v>539</v>
      </c>
      <c r="BQ9" s="118" t="s">
        <v>539</v>
      </c>
      <c r="BR9" s="118" t="s">
        <v>539</v>
      </c>
      <c r="BS9" s="118" t="s">
        <v>539</v>
      </c>
      <c r="BT9" s="118" t="s">
        <v>539</v>
      </c>
      <c r="BU9" s="118" t="s">
        <v>539</v>
      </c>
      <c r="BV9" s="118" t="s">
        <v>539</v>
      </c>
      <c r="BW9" s="118" t="s">
        <v>539</v>
      </c>
      <c r="BX9" s="118" t="s">
        <v>539</v>
      </c>
      <c r="BY9" s="118" t="s">
        <v>539</v>
      </c>
      <c r="BZ9" s="118" t="s">
        <v>539</v>
      </c>
      <c r="CA9" s="118" t="s">
        <v>539</v>
      </c>
      <c r="CB9" s="118" t="s">
        <v>539</v>
      </c>
      <c r="CC9" s="118" t="s">
        <v>539</v>
      </c>
      <c r="CD9" s="118" t="s">
        <v>539</v>
      </c>
      <c r="CE9" s="118" t="s">
        <v>539</v>
      </c>
      <c r="CF9" s="118" t="s">
        <v>539</v>
      </c>
      <c r="CG9" s="118" t="s">
        <v>539</v>
      </c>
      <c r="CH9" s="118" t="s">
        <v>539</v>
      </c>
      <c r="CI9" s="118" t="s">
        <v>539</v>
      </c>
      <c r="CJ9" s="118" t="s">
        <v>539</v>
      </c>
      <c r="CK9" s="118" t="s">
        <v>539</v>
      </c>
      <c r="CL9" s="118" t="s">
        <v>539</v>
      </c>
      <c r="CM9" s="118" t="s">
        <v>539</v>
      </c>
      <c r="CN9" s="118" t="s">
        <v>539</v>
      </c>
      <c r="CO9" s="118" t="s">
        <v>539</v>
      </c>
      <c r="CP9" s="118" t="s">
        <v>539</v>
      </c>
      <c r="CQ9" s="118" t="s">
        <v>539</v>
      </c>
      <c r="CR9" s="118" t="s">
        <v>539</v>
      </c>
      <c r="CS9" s="118" t="s">
        <v>539</v>
      </c>
      <c r="CT9" s="118" t="s">
        <v>539</v>
      </c>
      <c r="CU9" s="118" t="s">
        <v>539</v>
      </c>
      <c r="CV9" s="118" t="s">
        <v>539</v>
      </c>
      <c r="CW9" s="118" t="s">
        <v>539</v>
      </c>
      <c r="CX9" s="118" t="s">
        <v>539</v>
      </c>
      <c r="CY9" s="118" t="s">
        <v>539</v>
      </c>
      <c r="CZ9" s="118" t="s">
        <v>539</v>
      </c>
      <c r="DA9" s="118" t="s">
        <v>539</v>
      </c>
      <c r="DB9" s="118" t="s">
        <v>539</v>
      </c>
      <c r="DC9" s="118" t="s">
        <v>539</v>
      </c>
    </row>
    <row r="10" spans="1:107" ht="30" x14ac:dyDescent="0.3">
      <c r="B10" s="176">
        <v>2</v>
      </c>
      <c r="C10" s="176" t="s">
        <v>699</v>
      </c>
      <c r="D10" s="176" t="s">
        <v>700</v>
      </c>
      <c r="E10" s="176" t="s">
        <v>701</v>
      </c>
      <c r="F10" s="176" t="s">
        <v>539</v>
      </c>
      <c r="G10" s="176" t="s">
        <v>702</v>
      </c>
      <c r="H10" s="172" t="s">
        <v>56</v>
      </c>
      <c r="I10" s="172" t="s">
        <v>56</v>
      </c>
      <c r="J10" s="172" t="s">
        <v>56</v>
      </c>
      <c r="K10" s="172" t="s">
        <v>539</v>
      </c>
      <c r="L10" s="172" t="s">
        <v>688</v>
      </c>
      <c r="M10" s="172" t="s">
        <v>689</v>
      </c>
      <c r="N10" s="172" t="s">
        <v>690</v>
      </c>
      <c r="O10" s="118" t="s">
        <v>510</v>
      </c>
      <c r="P10" s="175" t="s">
        <v>691</v>
      </c>
      <c r="Q10" s="118" t="s">
        <v>692</v>
      </c>
      <c r="R10" s="118" t="s">
        <v>307</v>
      </c>
      <c r="S10" s="118" t="s">
        <v>693</v>
      </c>
      <c r="T10" s="118" t="s">
        <v>704</v>
      </c>
      <c r="U10" s="118" t="s">
        <v>703</v>
      </c>
      <c r="V10" s="118" t="s">
        <v>539</v>
      </c>
      <c r="W10" s="118" t="s">
        <v>539</v>
      </c>
      <c r="X10" s="118" t="s">
        <v>539</v>
      </c>
      <c r="Y10" s="118" t="s">
        <v>539</v>
      </c>
      <c r="Z10" s="118" t="s">
        <v>56</v>
      </c>
      <c r="AA10" s="118" t="s">
        <v>539</v>
      </c>
      <c r="AB10" s="118" t="s">
        <v>539</v>
      </c>
      <c r="AC10" s="118" t="s">
        <v>539</v>
      </c>
      <c r="AD10" s="118" t="s">
        <v>539</v>
      </c>
      <c r="AE10" s="118" t="s">
        <v>539</v>
      </c>
      <c r="AF10" s="118" t="s">
        <v>539</v>
      </c>
      <c r="AG10" s="118" t="s">
        <v>539</v>
      </c>
      <c r="AH10" s="118" t="s">
        <v>539</v>
      </c>
      <c r="AI10" s="118" t="s">
        <v>539</v>
      </c>
      <c r="AJ10" s="118" t="s">
        <v>539</v>
      </c>
      <c r="AK10" s="118" t="s">
        <v>539</v>
      </c>
      <c r="AL10" s="118" t="s">
        <v>539</v>
      </c>
      <c r="AM10" s="118" t="s">
        <v>539</v>
      </c>
      <c r="AN10" s="118" t="s">
        <v>539</v>
      </c>
      <c r="AO10" s="118" t="s">
        <v>539</v>
      </c>
      <c r="AP10" s="118" t="s">
        <v>539</v>
      </c>
      <c r="AQ10" s="118" t="s">
        <v>539</v>
      </c>
      <c r="AR10" s="118" t="s">
        <v>539</v>
      </c>
      <c r="AS10" s="118" t="s">
        <v>539</v>
      </c>
      <c r="AT10" s="118" t="s">
        <v>539</v>
      </c>
      <c r="AU10" s="118" t="s">
        <v>539</v>
      </c>
      <c r="AV10" s="118" t="s">
        <v>539</v>
      </c>
      <c r="AW10" s="118" t="s">
        <v>539</v>
      </c>
      <c r="AX10" s="118" t="s">
        <v>539</v>
      </c>
      <c r="AY10" s="118" t="s">
        <v>539</v>
      </c>
      <c r="AZ10" s="118" t="s">
        <v>539</v>
      </c>
      <c r="BA10" s="118" t="s">
        <v>539</v>
      </c>
      <c r="BB10" s="118" t="s">
        <v>539</v>
      </c>
      <c r="BC10" s="118" t="s">
        <v>539</v>
      </c>
      <c r="BD10" s="118" t="s">
        <v>539</v>
      </c>
      <c r="BE10" s="118" t="s">
        <v>539</v>
      </c>
      <c r="BF10" s="118" t="s">
        <v>539</v>
      </c>
      <c r="BG10" s="118" t="s">
        <v>539</v>
      </c>
      <c r="BH10" s="118" t="s">
        <v>539</v>
      </c>
      <c r="BI10" s="118" t="s">
        <v>539</v>
      </c>
      <c r="BJ10" s="118" t="s">
        <v>539</v>
      </c>
      <c r="BK10" s="118" t="s">
        <v>539</v>
      </c>
      <c r="BL10" s="118" t="s">
        <v>539</v>
      </c>
      <c r="BM10" s="118" t="s">
        <v>539</v>
      </c>
      <c r="BN10" s="118" t="s">
        <v>539</v>
      </c>
      <c r="BO10" s="118" t="s">
        <v>539</v>
      </c>
      <c r="BP10" s="118" t="s">
        <v>539</v>
      </c>
      <c r="BQ10" s="118" t="s">
        <v>539</v>
      </c>
      <c r="BR10" s="118" t="s">
        <v>539</v>
      </c>
      <c r="BS10" s="118" t="s">
        <v>539</v>
      </c>
      <c r="BT10" s="118" t="s">
        <v>539</v>
      </c>
      <c r="BU10" s="118" t="s">
        <v>539</v>
      </c>
      <c r="BV10" s="118" t="s">
        <v>539</v>
      </c>
      <c r="BW10" s="118" t="s">
        <v>539</v>
      </c>
      <c r="BX10" s="118" t="s">
        <v>539</v>
      </c>
      <c r="BY10" s="118" t="s">
        <v>539</v>
      </c>
      <c r="BZ10" s="118" t="s">
        <v>539</v>
      </c>
      <c r="CA10" s="118" t="s">
        <v>539</v>
      </c>
      <c r="CB10" s="118" t="s">
        <v>539</v>
      </c>
      <c r="CC10" s="118" t="s">
        <v>539</v>
      </c>
      <c r="CD10" s="118" t="s">
        <v>539</v>
      </c>
      <c r="CE10" s="118" t="s">
        <v>539</v>
      </c>
      <c r="CF10" s="118" t="s">
        <v>539</v>
      </c>
      <c r="CG10" s="118" t="s">
        <v>539</v>
      </c>
      <c r="CH10" s="118" t="s">
        <v>539</v>
      </c>
      <c r="CI10" s="118" t="s">
        <v>539</v>
      </c>
      <c r="CJ10" s="118" t="s">
        <v>539</v>
      </c>
      <c r="CK10" s="118" t="s">
        <v>539</v>
      </c>
      <c r="CL10" s="118" t="s">
        <v>539</v>
      </c>
      <c r="CM10" s="118" t="s">
        <v>539</v>
      </c>
      <c r="CN10" s="118" t="s">
        <v>539</v>
      </c>
      <c r="CO10" s="118" t="s">
        <v>539</v>
      </c>
      <c r="CP10" s="118" t="s">
        <v>539</v>
      </c>
      <c r="CQ10" s="118" t="s">
        <v>539</v>
      </c>
      <c r="CR10" s="118" t="s">
        <v>539</v>
      </c>
      <c r="CS10" s="118" t="s">
        <v>539</v>
      </c>
      <c r="CT10" s="118" t="s">
        <v>539</v>
      </c>
      <c r="CU10" s="118" t="s">
        <v>539</v>
      </c>
      <c r="CV10" s="118" t="s">
        <v>539</v>
      </c>
      <c r="CW10" s="118" t="s">
        <v>539</v>
      </c>
      <c r="CX10" s="118" t="s">
        <v>539</v>
      </c>
      <c r="CY10" s="118" t="s">
        <v>539</v>
      </c>
      <c r="CZ10" s="118" t="s">
        <v>539</v>
      </c>
      <c r="DA10" s="118" t="s">
        <v>539</v>
      </c>
      <c r="DB10" s="118" t="s">
        <v>539</v>
      </c>
      <c r="DC10" s="118" t="s">
        <v>539</v>
      </c>
    </row>
    <row r="11" spans="1:107" ht="30" x14ac:dyDescent="0.3">
      <c r="B11" s="177"/>
      <c r="C11" s="177"/>
      <c r="D11" s="177"/>
      <c r="E11" s="177"/>
      <c r="F11" s="177"/>
      <c r="G11" s="177"/>
      <c r="H11" s="174"/>
      <c r="I11" s="174"/>
      <c r="J11" s="174"/>
      <c r="K11" s="174"/>
      <c r="L11" s="174"/>
      <c r="M11" s="174"/>
      <c r="N11" s="174"/>
      <c r="O11" s="118" t="s">
        <v>696</v>
      </c>
      <c r="P11" s="175" t="s">
        <v>691</v>
      </c>
      <c r="Q11" s="118" t="s">
        <v>697</v>
      </c>
      <c r="R11" s="118" t="s">
        <v>56</v>
      </c>
      <c r="S11" s="118" t="s">
        <v>693</v>
      </c>
      <c r="T11" s="118" t="s">
        <v>539</v>
      </c>
      <c r="U11" s="118" t="s">
        <v>539</v>
      </c>
      <c r="V11" s="118" t="s">
        <v>539</v>
      </c>
      <c r="W11" s="118" t="s">
        <v>236</v>
      </c>
      <c r="X11" s="118" t="s">
        <v>539</v>
      </c>
      <c r="Y11" s="118" t="s">
        <v>698</v>
      </c>
      <c r="Z11" s="118" t="s">
        <v>56</v>
      </c>
      <c r="AA11" s="118" t="s">
        <v>539</v>
      </c>
      <c r="AB11" s="118" t="s">
        <v>539</v>
      </c>
      <c r="AC11" s="118" t="s">
        <v>539</v>
      </c>
      <c r="AD11" s="118" t="s">
        <v>539</v>
      </c>
      <c r="AE11" s="118" t="s">
        <v>539</v>
      </c>
      <c r="AF11" s="118" t="s">
        <v>539</v>
      </c>
      <c r="AG11" s="118" t="s">
        <v>539</v>
      </c>
      <c r="AH11" s="118" t="s">
        <v>539</v>
      </c>
      <c r="AI11" s="118" t="s">
        <v>539</v>
      </c>
      <c r="AJ11" s="118" t="s">
        <v>539</v>
      </c>
      <c r="AK11" s="118" t="s">
        <v>539</v>
      </c>
      <c r="AL11" s="118" t="s">
        <v>539</v>
      </c>
      <c r="AM11" s="118" t="s">
        <v>539</v>
      </c>
      <c r="AN11" s="118" t="s">
        <v>539</v>
      </c>
      <c r="AO11" s="118" t="s">
        <v>539</v>
      </c>
      <c r="AP11" s="118" t="s">
        <v>539</v>
      </c>
      <c r="AQ11" s="118" t="s">
        <v>539</v>
      </c>
      <c r="AR11" s="118" t="s">
        <v>539</v>
      </c>
      <c r="AS11" s="118" t="s">
        <v>539</v>
      </c>
      <c r="AT11" s="118" t="s">
        <v>539</v>
      </c>
      <c r="AU11" s="118" t="s">
        <v>539</v>
      </c>
      <c r="AV11" s="118" t="s">
        <v>539</v>
      </c>
      <c r="AW11" s="118" t="s">
        <v>539</v>
      </c>
      <c r="AX11" s="118" t="s">
        <v>539</v>
      </c>
      <c r="AY11" s="118" t="s">
        <v>539</v>
      </c>
      <c r="AZ11" s="118" t="s">
        <v>539</v>
      </c>
      <c r="BA11" s="118" t="s">
        <v>539</v>
      </c>
      <c r="BB11" s="118" t="s">
        <v>539</v>
      </c>
      <c r="BC11" s="118" t="s">
        <v>539</v>
      </c>
      <c r="BD11" s="118" t="s">
        <v>539</v>
      </c>
      <c r="BE11" s="118" t="s">
        <v>539</v>
      </c>
      <c r="BF11" s="118" t="s">
        <v>539</v>
      </c>
      <c r="BG11" s="118" t="s">
        <v>539</v>
      </c>
      <c r="BH11" s="118" t="s">
        <v>539</v>
      </c>
      <c r="BI11" s="118" t="s">
        <v>539</v>
      </c>
      <c r="BJ11" s="118" t="s">
        <v>539</v>
      </c>
      <c r="BK11" s="118" t="s">
        <v>539</v>
      </c>
      <c r="BL11" s="118" t="s">
        <v>539</v>
      </c>
      <c r="BM11" s="118" t="s">
        <v>539</v>
      </c>
      <c r="BN11" s="118" t="s">
        <v>539</v>
      </c>
      <c r="BO11" s="118" t="s">
        <v>539</v>
      </c>
      <c r="BP11" s="118" t="s">
        <v>539</v>
      </c>
      <c r="BQ11" s="118" t="s">
        <v>539</v>
      </c>
      <c r="BR11" s="118" t="s">
        <v>539</v>
      </c>
      <c r="BS11" s="118" t="s">
        <v>539</v>
      </c>
      <c r="BT11" s="118" t="s">
        <v>539</v>
      </c>
      <c r="BU11" s="118" t="s">
        <v>539</v>
      </c>
      <c r="BV11" s="118" t="s">
        <v>539</v>
      </c>
      <c r="BW11" s="118" t="s">
        <v>539</v>
      </c>
      <c r="BX11" s="118" t="s">
        <v>539</v>
      </c>
      <c r="BY11" s="118" t="s">
        <v>539</v>
      </c>
      <c r="BZ11" s="118" t="s">
        <v>539</v>
      </c>
      <c r="CA11" s="118" t="s">
        <v>539</v>
      </c>
      <c r="CB11" s="118" t="s">
        <v>539</v>
      </c>
      <c r="CC11" s="118" t="s">
        <v>539</v>
      </c>
      <c r="CD11" s="118" t="s">
        <v>539</v>
      </c>
      <c r="CE11" s="118" t="s">
        <v>539</v>
      </c>
      <c r="CF11" s="118" t="s">
        <v>539</v>
      </c>
      <c r="CG11" s="118" t="s">
        <v>539</v>
      </c>
      <c r="CH11" s="118" t="s">
        <v>539</v>
      </c>
      <c r="CI11" s="118" t="s">
        <v>539</v>
      </c>
      <c r="CJ11" s="118" t="s">
        <v>539</v>
      </c>
      <c r="CK11" s="118" t="s">
        <v>539</v>
      </c>
      <c r="CL11" s="118" t="s">
        <v>539</v>
      </c>
      <c r="CM11" s="118" t="s">
        <v>539</v>
      </c>
      <c r="CN11" s="118" t="s">
        <v>539</v>
      </c>
      <c r="CO11" s="118" t="s">
        <v>539</v>
      </c>
      <c r="CP11" s="118" t="s">
        <v>539</v>
      </c>
      <c r="CQ11" s="118" t="s">
        <v>539</v>
      </c>
      <c r="CR11" s="118" t="s">
        <v>539</v>
      </c>
      <c r="CS11" s="118" t="s">
        <v>539</v>
      </c>
      <c r="CT11" s="118" t="s">
        <v>539</v>
      </c>
      <c r="CU11" s="118" t="s">
        <v>539</v>
      </c>
      <c r="CV11" s="118" t="s">
        <v>539</v>
      </c>
      <c r="CW11" s="118" t="s">
        <v>539</v>
      </c>
      <c r="CX11" s="118" t="s">
        <v>539</v>
      </c>
      <c r="CY11" s="118" t="s">
        <v>539</v>
      </c>
      <c r="CZ11" s="118" t="s">
        <v>539</v>
      </c>
      <c r="DA11" s="118" t="s">
        <v>539</v>
      </c>
      <c r="DB11" s="118" t="s">
        <v>539</v>
      </c>
      <c r="DC11" s="118" t="s">
        <v>539</v>
      </c>
    </row>
    <row r="12" spans="1:107" ht="30" x14ac:dyDescent="0.3">
      <c r="B12" s="176">
        <v>3</v>
      </c>
      <c r="C12" s="176" t="s">
        <v>705</v>
      </c>
      <c r="D12" s="176" t="s">
        <v>706</v>
      </c>
      <c r="E12" s="176" t="s">
        <v>707</v>
      </c>
      <c r="F12" s="176" t="s">
        <v>539</v>
      </c>
      <c r="G12" s="176" t="s">
        <v>707</v>
      </c>
      <c r="H12" s="172" t="s">
        <v>307</v>
      </c>
      <c r="I12" s="172" t="s">
        <v>56</v>
      </c>
      <c r="J12" s="172" t="s">
        <v>56</v>
      </c>
      <c r="K12" s="172" t="s">
        <v>539</v>
      </c>
      <c r="L12" s="172" t="s">
        <v>688</v>
      </c>
      <c r="M12" s="172" t="s">
        <v>689</v>
      </c>
      <c r="N12" s="172" t="s">
        <v>690</v>
      </c>
      <c r="O12" s="118" t="s">
        <v>510</v>
      </c>
      <c r="P12" s="175" t="s">
        <v>691</v>
      </c>
      <c r="Q12" s="118" t="s">
        <v>692</v>
      </c>
      <c r="R12" s="118" t="s">
        <v>307</v>
      </c>
      <c r="S12" s="118" t="s">
        <v>693</v>
      </c>
      <c r="T12" s="118" t="s">
        <v>704</v>
      </c>
      <c r="U12" s="118" t="s">
        <v>703</v>
      </c>
      <c r="V12" s="118" t="s">
        <v>539</v>
      </c>
      <c r="W12" s="118" t="s">
        <v>539</v>
      </c>
      <c r="X12" s="118" t="s">
        <v>539</v>
      </c>
      <c r="Y12" s="118" t="s">
        <v>539</v>
      </c>
      <c r="Z12" s="118" t="s">
        <v>56</v>
      </c>
      <c r="AA12" s="118" t="s">
        <v>539</v>
      </c>
      <c r="AB12" s="118" t="s">
        <v>539</v>
      </c>
      <c r="AC12" s="118" t="s">
        <v>539</v>
      </c>
      <c r="AD12" s="118" t="s">
        <v>539</v>
      </c>
      <c r="AE12" s="118" t="s">
        <v>539</v>
      </c>
      <c r="AF12" s="118" t="s">
        <v>539</v>
      </c>
      <c r="AG12" s="118" t="s">
        <v>539</v>
      </c>
      <c r="AH12" s="118" t="s">
        <v>539</v>
      </c>
      <c r="AI12" s="118" t="s">
        <v>539</v>
      </c>
      <c r="AJ12" s="118" t="s">
        <v>539</v>
      </c>
      <c r="AK12" s="118" t="s">
        <v>539</v>
      </c>
      <c r="AL12" s="118" t="s">
        <v>539</v>
      </c>
      <c r="AM12" s="118" t="s">
        <v>539</v>
      </c>
      <c r="AN12" s="118" t="s">
        <v>539</v>
      </c>
      <c r="AO12" s="118" t="s">
        <v>539</v>
      </c>
      <c r="AP12" s="118" t="s">
        <v>539</v>
      </c>
      <c r="AQ12" s="118" t="s">
        <v>539</v>
      </c>
      <c r="AR12" s="118" t="s">
        <v>539</v>
      </c>
      <c r="AS12" s="118" t="s">
        <v>539</v>
      </c>
      <c r="AT12" s="118" t="s">
        <v>539</v>
      </c>
      <c r="AU12" s="118" t="s">
        <v>539</v>
      </c>
      <c r="AV12" s="118" t="s">
        <v>539</v>
      </c>
      <c r="AW12" s="118" t="s">
        <v>539</v>
      </c>
      <c r="AX12" s="118" t="s">
        <v>539</v>
      </c>
      <c r="AY12" s="118" t="s">
        <v>539</v>
      </c>
      <c r="AZ12" s="118" t="s">
        <v>539</v>
      </c>
      <c r="BA12" s="118" t="s">
        <v>539</v>
      </c>
      <c r="BB12" s="118" t="s">
        <v>539</v>
      </c>
      <c r="BC12" s="118" t="s">
        <v>539</v>
      </c>
      <c r="BD12" s="118" t="s">
        <v>539</v>
      </c>
      <c r="BE12" s="118" t="s">
        <v>539</v>
      </c>
      <c r="BF12" s="118" t="s">
        <v>539</v>
      </c>
      <c r="BG12" s="118" t="s">
        <v>539</v>
      </c>
      <c r="BH12" s="118" t="s">
        <v>539</v>
      </c>
      <c r="BI12" s="118" t="s">
        <v>539</v>
      </c>
      <c r="BJ12" s="118" t="s">
        <v>539</v>
      </c>
      <c r="BK12" s="118" t="s">
        <v>539</v>
      </c>
      <c r="BL12" s="118" t="s">
        <v>539</v>
      </c>
      <c r="BM12" s="118" t="s">
        <v>539</v>
      </c>
      <c r="BN12" s="118" t="s">
        <v>539</v>
      </c>
      <c r="BO12" s="118" t="s">
        <v>539</v>
      </c>
      <c r="BP12" s="118" t="s">
        <v>539</v>
      </c>
      <c r="BQ12" s="118" t="s">
        <v>539</v>
      </c>
      <c r="BR12" s="118" t="s">
        <v>539</v>
      </c>
      <c r="BS12" s="118" t="s">
        <v>539</v>
      </c>
      <c r="BT12" s="118" t="s">
        <v>539</v>
      </c>
      <c r="BU12" s="118" t="s">
        <v>539</v>
      </c>
      <c r="BV12" s="118" t="s">
        <v>539</v>
      </c>
      <c r="BW12" s="118" t="s">
        <v>539</v>
      </c>
      <c r="BX12" s="118" t="s">
        <v>539</v>
      </c>
      <c r="BY12" s="118" t="s">
        <v>539</v>
      </c>
      <c r="BZ12" s="118" t="s">
        <v>539</v>
      </c>
      <c r="CA12" s="118" t="s">
        <v>539</v>
      </c>
      <c r="CB12" s="118" t="s">
        <v>539</v>
      </c>
      <c r="CC12" s="118" t="s">
        <v>539</v>
      </c>
      <c r="CD12" s="118" t="s">
        <v>539</v>
      </c>
      <c r="CE12" s="118" t="s">
        <v>539</v>
      </c>
      <c r="CF12" s="118" t="s">
        <v>539</v>
      </c>
      <c r="CG12" s="118" t="s">
        <v>539</v>
      </c>
      <c r="CH12" s="118" t="s">
        <v>539</v>
      </c>
      <c r="CI12" s="118" t="s">
        <v>539</v>
      </c>
      <c r="CJ12" s="118" t="s">
        <v>539</v>
      </c>
      <c r="CK12" s="118" t="s">
        <v>539</v>
      </c>
      <c r="CL12" s="118" t="s">
        <v>539</v>
      </c>
      <c r="CM12" s="118" t="s">
        <v>539</v>
      </c>
      <c r="CN12" s="118" t="s">
        <v>539</v>
      </c>
      <c r="CO12" s="118" t="s">
        <v>539</v>
      </c>
      <c r="CP12" s="118" t="s">
        <v>539</v>
      </c>
      <c r="CQ12" s="118" t="s">
        <v>539</v>
      </c>
      <c r="CR12" s="118" t="s">
        <v>539</v>
      </c>
      <c r="CS12" s="118" t="s">
        <v>539</v>
      </c>
      <c r="CT12" s="118" t="s">
        <v>539</v>
      </c>
      <c r="CU12" s="118" t="s">
        <v>539</v>
      </c>
      <c r="CV12" s="118" t="s">
        <v>539</v>
      </c>
      <c r="CW12" s="118" t="s">
        <v>539</v>
      </c>
      <c r="CX12" s="118" t="s">
        <v>539</v>
      </c>
      <c r="CY12" s="118" t="s">
        <v>539</v>
      </c>
      <c r="CZ12" s="118" t="s">
        <v>539</v>
      </c>
      <c r="DA12" s="118" t="s">
        <v>539</v>
      </c>
      <c r="DB12" s="118" t="s">
        <v>539</v>
      </c>
      <c r="DC12" s="118" t="s">
        <v>539</v>
      </c>
    </row>
    <row r="13" spans="1:107" ht="30" x14ac:dyDescent="0.3">
      <c r="B13" s="178"/>
      <c r="C13" s="178"/>
      <c r="D13" s="178"/>
      <c r="E13" s="178"/>
      <c r="F13" s="178"/>
      <c r="G13" s="178"/>
      <c r="H13" s="173"/>
      <c r="I13" s="173"/>
      <c r="J13" s="173"/>
      <c r="K13" s="173"/>
      <c r="L13" s="173"/>
      <c r="M13" s="173"/>
      <c r="N13" s="173"/>
      <c r="O13" s="118" t="s">
        <v>696</v>
      </c>
      <c r="P13" s="175" t="s">
        <v>691</v>
      </c>
      <c r="Q13" s="118" t="s">
        <v>697</v>
      </c>
      <c r="R13" s="118" t="s">
        <v>56</v>
      </c>
      <c r="S13" s="118" t="s">
        <v>693</v>
      </c>
      <c r="T13" s="118" t="s">
        <v>539</v>
      </c>
      <c r="U13" s="118" t="s">
        <v>539</v>
      </c>
      <c r="V13" s="118" t="s">
        <v>539</v>
      </c>
      <c r="W13" s="118" t="s">
        <v>236</v>
      </c>
      <c r="X13" s="118" t="s">
        <v>539</v>
      </c>
      <c r="Y13" s="118" t="s">
        <v>698</v>
      </c>
      <c r="Z13" s="118" t="s">
        <v>56</v>
      </c>
      <c r="AA13" s="118" t="s">
        <v>539</v>
      </c>
      <c r="AB13" s="118" t="s">
        <v>539</v>
      </c>
      <c r="AC13" s="118" t="s">
        <v>539</v>
      </c>
      <c r="AD13" s="118" t="s">
        <v>539</v>
      </c>
      <c r="AE13" s="118" t="s">
        <v>539</v>
      </c>
      <c r="AF13" s="118" t="s">
        <v>539</v>
      </c>
      <c r="AG13" s="118" t="s">
        <v>539</v>
      </c>
      <c r="AH13" s="118" t="s">
        <v>539</v>
      </c>
      <c r="AI13" s="118" t="s">
        <v>539</v>
      </c>
      <c r="AJ13" s="118" t="s">
        <v>539</v>
      </c>
      <c r="AK13" s="118" t="s">
        <v>539</v>
      </c>
      <c r="AL13" s="118" t="s">
        <v>539</v>
      </c>
      <c r="AM13" s="118" t="s">
        <v>539</v>
      </c>
      <c r="AN13" s="118" t="s">
        <v>539</v>
      </c>
      <c r="AO13" s="118" t="s">
        <v>539</v>
      </c>
      <c r="AP13" s="118" t="s">
        <v>539</v>
      </c>
      <c r="AQ13" s="118" t="s">
        <v>539</v>
      </c>
      <c r="AR13" s="118" t="s">
        <v>539</v>
      </c>
      <c r="AS13" s="118" t="s">
        <v>539</v>
      </c>
      <c r="AT13" s="118" t="s">
        <v>539</v>
      </c>
      <c r="AU13" s="118" t="s">
        <v>539</v>
      </c>
      <c r="AV13" s="118" t="s">
        <v>539</v>
      </c>
      <c r="AW13" s="118" t="s">
        <v>539</v>
      </c>
      <c r="AX13" s="118" t="s">
        <v>539</v>
      </c>
      <c r="AY13" s="118" t="s">
        <v>539</v>
      </c>
      <c r="AZ13" s="118" t="s">
        <v>539</v>
      </c>
      <c r="BA13" s="118" t="s">
        <v>539</v>
      </c>
      <c r="BB13" s="118" t="s">
        <v>539</v>
      </c>
      <c r="BC13" s="118" t="s">
        <v>539</v>
      </c>
      <c r="BD13" s="118" t="s">
        <v>539</v>
      </c>
      <c r="BE13" s="118" t="s">
        <v>539</v>
      </c>
      <c r="BF13" s="118" t="s">
        <v>539</v>
      </c>
      <c r="BG13" s="118" t="s">
        <v>539</v>
      </c>
      <c r="BH13" s="118" t="s">
        <v>539</v>
      </c>
      <c r="BI13" s="118" t="s">
        <v>539</v>
      </c>
      <c r="BJ13" s="118" t="s">
        <v>539</v>
      </c>
      <c r="BK13" s="118" t="s">
        <v>539</v>
      </c>
      <c r="BL13" s="118" t="s">
        <v>539</v>
      </c>
      <c r="BM13" s="118" t="s">
        <v>539</v>
      </c>
      <c r="BN13" s="118" t="s">
        <v>539</v>
      </c>
      <c r="BO13" s="118" t="s">
        <v>539</v>
      </c>
      <c r="BP13" s="118" t="s">
        <v>539</v>
      </c>
      <c r="BQ13" s="118" t="s">
        <v>539</v>
      </c>
      <c r="BR13" s="118" t="s">
        <v>539</v>
      </c>
      <c r="BS13" s="118" t="s">
        <v>539</v>
      </c>
      <c r="BT13" s="118" t="s">
        <v>539</v>
      </c>
      <c r="BU13" s="118" t="s">
        <v>539</v>
      </c>
      <c r="BV13" s="118" t="s">
        <v>539</v>
      </c>
      <c r="BW13" s="118" t="s">
        <v>539</v>
      </c>
      <c r="BX13" s="118" t="s">
        <v>539</v>
      </c>
      <c r="BY13" s="118" t="s">
        <v>539</v>
      </c>
      <c r="BZ13" s="118" t="s">
        <v>539</v>
      </c>
      <c r="CA13" s="118" t="s">
        <v>539</v>
      </c>
      <c r="CB13" s="118" t="s">
        <v>539</v>
      </c>
      <c r="CC13" s="118" t="s">
        <v>539</v>
      </c>
      <c r="CD13" s="118" t="s">
        <v>539</v>
      </c>
      <c r="CE13" s="118" t="s">
        <v>539</v>
      </c>
      <c r="CF13" s="118" t="s">
        <v>539</v>
      </c>
      <c r="CG13" s="118" t="s">
        <v>539</v>
      </c>
      <c r="CH13" s="118" t="s">
        <v>539</v>
      </c>
      <c r="CI13" s="118" t="s">
        <v>539</v>
      </c>
      <c r="CJ13" s="118" t="s">
        <v>539</v>
      </c>
      <c r="CK13" s="118" t="s">
        <v>539</v>
      </c>
      <c r="CL13" s="118" t="s">
        <v>539</v>
      </c>
      <c r="CM13" s="118" t="s">
        <v>539</v>
      </c>
      <c r="CN13" s="118" t="s">
        <v>539</v>
      </c>
      <c r="CO13" s="118" t="s">
        <v>539</v>
      </c>
      <c r="CP13" s="118" t="s">
        <v>539</v>
      </c>
      <c r="CQ13" s="118" t="s">
        <v>539</v>
      </c>
      <c r="CR13" s="118" t="s">
        <v>539</v>
      </c>
      <c r="CS13" s="118" t="s">
        <v>539</v>
      </c>
      <c r="CT13" s="118" t="s">
        <v>539</v>
      </c>
      <c r="CU13" s="118" t="s">
        <v>539</v>
      </c>
      <c r="CV13" s="118" t="s">
        <v>539</v>
      </c>
      <c r="CW13" s="118" t="s">
        <v>539</v>
      </c>
      <c r="CX13" s="118" t="s">
        <v>539</v>
      </c>
      <c r="CY13" s="118" t="s">
        <v>539</v>
      </c>
      <c r="CZ13" s="118" t="s">
        <v>539</v>
      </c>
      <c r="DA13" s="118" t="s">
        <v>539</v>
      </c>
      <c r="DB13" s="118" t="s">
        <v>539</v>
      </c>
      <c r="DC13" s="118" t="s">
        <v>539</v>
      </c>
    </row>
    <row r="14" spans="1:107" ht="30" x14ac:dyDescent="0.3">
      <c r="B14" s="178"/>
      <c r="C14" s="178"/>
      <c r="D14" s="178"/>
      <c r="E14" s="178"/>
      <c r="F14" s="178"/>
      <c r="G14" s="178"/>
      <c r="H14" s="173"/>
      <c r="I14" s="173"/>
      <c r="J14" s="173"/>
      <c r="K14" s="173"/>
      <c r="L14" s="173"/>
      <c r="M14" s="173"/>
      <c r="N14" s="173"/>
      <c r="O14" s="118" t="s">
        <v>709</v>
      </c>
      <c r="P14" s="175" t="s">
        <v>691</v>
      </c>
      <c r="Q14" s="118" t="s">
        <v>697</v>
      </c>
      <c r="R14" s="118" t="s">
        <v>56</v>
      </c>
      <c r="S14" s="118" t="s">
        <v>693</v>
      </c>
      <c r="T14" s="118" t="s">
        <v>539</v>
      </c>
      <c r="U14" s="118" t="s">
        <v>708</v>
      </c>
      <c r="V14" s="118" t="s">
        <v>539</v>
      </c>
      <c r="W14" s="118" t="s">
        <v>710</v>
      </c>
      <c r="X14" s="118" t="s">
        <v>539</v>
      </c>
      <c r="Y14" s="118" t="s">
        <v>711</v>
      </c>
      <c r="Z14" s="118" t="s">
        <v>56</v>
      </c>
      <c r="AA14" s="118" t="s">
        <v>539</v>
      </c>
      <c r="AB14" s="118" t="s">
        <v>539</v>
      </c>
      <c r="AC14" s="118" t="s">
        <v>539</v>
      </c>
      <c r="AD14" s="118" t="s">
        <v>539</v>
      </c>
      <c r="AE14" s="118" t="s">
        <v>539</v>
      </c>
      <c r="AF14" s="118" t="s">
        <v>539</v>
      </c>
      <c r="AG14" s="118" t="s">
        <v>539</v>
      </c>
      <c r="AH14" s="118" t="s">
        <v>539</v>
      </c>
      <c r="AI14" s="118" t="s">
        <v>539</v>
      </c>
      <c r="AJ14" s="118" t="s">
        <v>539</v>
      </c>
      <c r="AK14" s="118" t="s">
        <v>539</v>
      </c>
      <c r="AL14" s="118" t="s">
        <v>539</v>
      </c>
      <c r="AM14" s="118" t="s">
        <v>539</v>
      </c>
      <c r="AN14" s="118" t="s">
        <v>539</v>
      </c>
      <c r="AO14" s="118" t="s">
        <v>539</v>
      </c>
      <c r="AP14" s="118" t="s">
        <v>539</v>
      </c>
      <c r="AQ14" s="118" t="s">
        <v>539</v>
      </c>
      <c r="AR14" s="118" t="s">
        <v>539</v>
      </c>
      <c r="AS14" s="118" t="s">
        <v>539</v>
      </c>
      <c r="AT14" s="118" t="s">
        <v>539</v>
      </c>
      <c r="AU14" s="118" t="s">
        <v>539</v>
      </c>
      <c r="AV14" s="118" t="s">
        <v>539</v>
      </c>
      <c r="AW14" s="118" t="s">
        <v>539</v>
      </c>
      <c r="AX14" s="118" t="s">
        <v>539</v>
      </c>
      <c r="AY14" s="118" t="s">
        <v>539</v>
      </c>
      <c r="AZ14" s="118" t="s">
        <v>539</v>
      </c>
      <c r="BA14" s="118" t="s">
        <v>539</v>
      </c>
      <c r="BB14" s="118" t="s">
        <v>539</v>
      </c>
      <c r="BC14" s="118" t="s">
        <v>539</v>
      </c>
      <c r="BD14" s="118" t="s">
        <v>539</v>
      </c>
      <c r="BE14" s="118" t="s">
        <v>539</v>
      </c>
      <c r="BF14" s="118" t="s">
        <v>539</v>
      </c>
      <c r="BG14" s="118" t="s">
        <v>539</v>
      </c>
      <c r="BH14" s="118" t="s">
        <v>539</v>
      </c>
      <c r="BI14" s="118" t="s">
        <v>539</v>
      </c>
      <c r="BJ14" s="118" t="s">
        <v>539</v>
      </c>
      <c r="BK14" s="118" t="s">
        <v>539</v>
      </c>
      <c r="BL14" s="118" t="s">
        <v>539</v>
      </c>
      <c r="BM14" s="118" t="s">
        <v>539</v>
      </c>
      <c r="BN14" s="118" t="s">
        <v>539</v>
      </c>
      <c r="BO14" s="118" t="s">
        <v>539</v>
      </c>
      <c r="BP14" s="118" t="s">
        <v>539</v>
      </c>
      <c r="BQ14" s="118" t="s">
        <v>539</v>
      </c>
      <c r="BR14" s="118" t="s">
        <v>539</v>
      </c>
      <c r="BS14" s="118" t="s">
        <v>539</v>
      </c>
      <c r="BT14" s="118" t="s">
        <v>539</v>
      </c>
      <c r="BU14" s="118" t="s">
        <v>539</v>
      </c>
      <c r="BV14" s="118" t="s">
        <v>539</v>
      </c>
      <c r="BW14" s="118" t="s">
        <v>539</v>
      </c>
      <c r="BX14" s="118" t="s">
        <v>539</v>
      </c>
      <c r="BY14" s="118" t="s">
        <v>539</v>
      </c>
      <c r="BZ14" s="118" t="s">
        <v>539</v>
      </c>
      <c r="CA14" s="118" t="s">
        <v>539</v>
      </c>
      <c r="CB14" s="118" t="s">
        <v>539</v>
      </c>
      <c r="CC14" s="118" t="s">
        <v>539</v>
      </c>
      <c r="CD14" s="118" t="s">
        <v>539</v>
      </c>
      <c r="CE14" s="118" t="s">
        <v>539</v>
      </c>
      <c r="CF14" s="118" t="s">
        <v>539</v>
      </c>
      <c r="CG14" s="118" t="s">
        <v>539</v>
      </c>
      <c r="CH14" s="118" t="s">
        <v>539</v>
      </c>
      <c r="CI14" s="118" t="s">
        <v>539</v>
      </c>
      <c r="CJ14" s="118" t="s">
        <v>539</v>
      </c>
      <c r="CK14" s="118" t="s">
        <v>539</v>
      </c>
      <c r="CL14" s="118" t="s">
        <v>539</v>
      </c>
      <c r="CM14" s="118" t="s">
        <v>539</v>
      </c>
      <c r="CN14" s="118" t="s">
        <v>539</v>
      </c>
      <c r="CO14" s="118" t="s">
        <v>539</v>
      </c>
      <c r="CP14" s="118" t="s">
        <v>539</v>
      </c>
      <c r="CQ14" s="118" t="s">
        <v>539</v>
      </c>
      <c r="CR14" s="118" t="s">
        <v>539</v>
      </c>
      <c r="CS14" s="118" t="s">
        <v>539</v>
      </c>
      <c r="CT14" s="118" t="s">
        <v>539</v>
      </c>
      <c r="CU14" s="118" t="s">
        <v>539</v>
      </c>
      <c r="CV14" s="118" t="s">
        <v>539</v>
      </c>
      <c r="CW14" s="118" t="s">
        <v>539</v>
      </c>
      <c r="CX14" s="118" t="s">
        <v>539</v>
      </c>
      <c r="CY14" s="118" t="s">
        <v>539</v>
      </c>
      <c r="CZ14" s="118" t="s">
        <v>539</v>
      </c>
      <c r="DA14" s="118" t="s">
        <v>539</v>
      </c>
      <c r="DB14" s="118" t="s">
        <v>539</v>
      </c>
      <c r="DC14" s="118" t="s">
        <v>539</v>
      </c>
    </row>
    <row r="15" spans="1:107" ht="30" x14ac:dyDescent="0.3">
      <c r="B15" s="178"/>
      <c r="C15" s="178"/>
      <c r="D15" s="178"/>
      <c r="E15" s="178"/>
      <c r="F15" s="178"/>
      <c r="G15" s="178"/>
      <c r="H15" s="173"/>
      <c r="I15" s="173"/>
      <c r="J15" s="173"/>
      <c r="K15" s="173"/>
      <c r="L15" s="173"/>
      <c r="M15" s="173"/>
      <c r="N15" s="173"/>
      <c r="O15" s="118" t="s">
        <v>712</v>
      </c>
      <c r="P15" s="175" t="s">
        <v>691</v>
      </c>
      <c r="Q15" s="118" t="s">
        <v>697</v>
      </c>
      <c r="R15" s="118" t="s">
        <v>56</v>
      </c>
      <c r="S15" s="118" t="s">
        <v>693</v>
      </c>
      <c r="T15" s="118" t="s">
        <v>539</v>
      </c>
      <c r="U15" s="118" t="s">
        <v>712</v>
      </c>
      <c r="V15" s="118" t="s">
        <v>539</v>
      </c>
      <c r="W15" s="118" t="s">
        <v>713</v>
      </c>
      <c r="X15" s="118" t="s">
        <v>539</v>
      </c>
      <c r="Y15" s="118" t="s">
        <v>714</v>
      </c>
      <c r="Z15" s="118" t="s">
        <v>56</v>
      </c>
      <c r="AA15" s="118" t="s">
        <v>539</v>
      </c>
      <c r="AB15" s="118" t="s">
        <v>539</v>
      </c>
      <c r="AC15" s="118" t="s">
        <v>539</v>
      </c>
      <c r="AD15" s="118" t="s">
        <v>539</v>
      </c>
      <c r="AE15" s="118" t="s">
        <v>539</v>
      </c>
      <c r="AF15" s="118" t="s">
        <v>539</v>
      </c>
      <c r="AG15" s="118" t="s">
        <v>539</v>
      </c>
      <c r="AH15" s="118" t="s">
        <v>539</v>
      </c>
      <c r="AI15" s="118" t="s">
        <v>539</v>
      </c>
      <c r="AJ15" s="118" t="s">
        <v>539</v>
      </c>
      <c r="AK15" s="118" t="s">
        <v>539</v>
      </c>
      <c r="AL15" s="118" t="s">
        <v>539</v>
      </c>
      <c r="AM15" s="118" t="s">
        <v>539</v>
      </c>
      <c r="AN15" s="118" t="s">
        <v>539</v>
      </c>
      <c r="AO15" s="118" t="s">
        <v>539</v>
      </c>
      <c r="AP15" s="118" t="s">
        <v>539</v>
      </c>
      <c r="AQ15" s="118" t="s">
        <v>539</v>
      </c>
      <c r="AR15" s="118" t="s">
        <v>539</v>
      </c>
      <c r="AS15" s="118" t="s">
        <v>539</v>
      </c>
      <c r="AT15" s="118" t="s">
        <v>539</v>
      </c>
      <c r="AU15" s="118" t="s">
        <v>539</v>
      </c>
      <c r="AV15" s="118" t="s">
        <v>539</v>
      </c>
      <c r="AW15" s="118" t="s">
        <v>539</v>
      </c>
      <c r="AX15" s="118" t="s">
        <v>539</v>
      </c>
      <c r="AY15" s="118" t="s">
        <v>539</v>
      </c>
      <c r="AZ15" s="118" t="s">
        <v>539</v>
      </c>
      <c r="BA15" s="118" t="s">
        <v>539</v>
      </c>
      <c r="BB15" s="118" t="s">
        <v>539</v>
      </c>
      <c r="BC15" s="118" t="s">
        <v>539</v>
      </c>
      <c r="BD15" s="118" t="s">
        <v>539</v>
      </c>
      <c r="BE15" s="118" t="s">
        <v>539</v>
      </c>
      <c r="BF15" s="118" t="s">
        <v>539</v>
      </c>
      <c r="BG15" s="118" t="s">
        <v>539</v>
      </c>
      <c r="BH15" s="118" t="s">
        <v>539</v>
      </c>
      <c r="BI15" s="118" t="s">
        <v>539</v>
      </c>
      <c r="BJ15" s="118" t="s">
        <v>539</v>
      </c>
      <c r="BK15" s="118" t="s">
        <v>539</v>
      </c>
      <c r="BL15" s="118" t="s">
        <v>539</v>
      </c>
      <c r="BM15" s="118" t="s">
        <v>539</v>
      </c>
      <c r="BN15" s="118" t="s">
        <v>539</v>
      </c>
      <c r="BO15" s="118" t="s">
        <v>539</v>
      </c>
      <c r="BP15" s="118" t="s">
        <v>539</v>
      </c>
      <c r="BQ15" s="118" t="s">
        <v>539</v>
      </c>
      <c r="BR15" s="118" t="s">
        <v>539</v>
      </c>
      <c r="BS15" s="118" t="s">
        <v>539</v>
      </c>
      <c r="BT15" s="118" t="s">
        <v>539</v>
      </c>
      <c r="BU15" s="118" t="s">
        <v>539</v>
      </c>
      <c r="BV15" s="118" t="s">
        <v>539</v>
      </c>
      <c r="BW15" s="118" t="s">
        <v>539</v>
      </c>
      <c r="BX15" s="118" t="s">
        <v>539</v>
      </c>
      <c r="BY15" s="118" t="s">
        <v>539</v>
      </c>
      <c r="BZ15" s="118" t="s">
        <v>539</v>
      </c>
      <c r="CA15" s="118" t="s">
        <v>539</v>
      </c>
      <c r="CB15" s="118" t="s">
        <v>539</v>
      </c>
      <c r="CC15" s="118" t="s">
        <v>539</v>
      </c>
      <c r="CD15" s="118" t="s">
        <v>539</v>
      </c>
      <c r="CE15" s="118" t="s">
        <v>539</v>
      </c>
      <c r="CF15" s="118" t="s">
        <v>539</v>
      </c>
      <c r="CG15" s="118" t="s">
        <v>539</v>
      </c>
      <c r="CH15" s="118" t="s">
        <v>539</v>
      </c>
      <c r="CI15" s="118" t="s">
        <v>539</v>
      </c>
      <c r="CJ15" s="118" t="s">
        <v>539</v>
      </c>
      <c r="CK15" s="118" t="s">
        <v>539</v>
      </c>
      <c r="CL15" s="118" t="s">
        <v>539</v>
      </c>
      <c r="CM15" s="118" t="s">
        <v>539</v>
      </c>
      <c r="CN15" s="118" t="s">
        <v>539</v>
      </c>
      <c r="CO15" s="118" t="s">
        <v>539</v>
      </c>
      <c r="CP15" s="118" t="s">
        <v>539</v>
      </c>
      <c r="CQ15" s="118" t="s">
        <v>539</v>
      </c>
      <c r="CR15" s="118" t="s">
        <v>539</v>
      </c>
      <c r="CS15" s="118" t="s">
        <v>539</v>
      </c>
      <c r="CT15" s="118" t="s">
        <v>539</v>
      </c>
      <c r="CU15" s="118" t="s">
        <v>539</v>
      </c>
      <c r="CV15" s="118" t="s">
        <v>539</v>
      </c>
      <c r="CW15" s="118" t="s">
        <v>539</v>
      </c>
      <c r="CX15" s="118" t="s">
        <v>539</v>
      </c>
      <c r="CY15" s="118" t="s">
        <v>539</v>
      </c>
      <c r="CZ15" s="118" t="s">
        <v>539</v>
      </c>
      <c r="DA15" s="118" t="s">
        <v>539</v>
      </c>
      <c r="DB15" s="118" t="s">
        <v>539</v>
      </c>
      <c r="DC15" s="118" t="s">
        <v>539</v>
      </c>
    </row>
    <row r="16" spans="1:107" ht="30" x14ac:dyDescent="0.3">
      <c r="B16" s="178"/>
      <c r="C16" s="178"/>
      <c r="D16" s="178"/>
      <c r="E16" s="178"/>
      <c r="F16" s="178"/>
      <c r="G16" s="178"/>
      <c r="H16" s="173"/>
      <c r="I16" s="173"/>
      <c r="J16" s="173"/>
      <c r="K16" s="173"/>
      <c r="L16" s="173"/>
      <c r="M16" s="173"/>
      <c r="N16" s="173"/>
      <c r="O16" s="118" t="s">
        <v>716</v>
      </c>
      <c r="P16" s="175" t="s">
        <v>691</v>
      </c>
      <c r="Q16" s="118" t="s">
        <v>697</v>
      </c>
      <c r="R16" s="118" t="s">
        <v>56</v>
      </c>
      <c r="S16" s="118" t="s">
        <v>693</v>
      </c>
      <c r="T16" s="118" t="s">
        <v>539</v>
      </c>
      <c r="U16" s="118" t="s">
        <v>715</v>
      </c>
      <c r="V16" s="118" t="s">
        <v>539</v>
      </c>
      <c r="W16" s="118" t="s">
        <v>717</v>
      </c>
      <c r="X16" s="118" t="s">
        <v>539</v>
      </c>
      <c r="Y16" s="118" t="s">
        <v>718</v>
      </c>
      <c r="Z16" s="118" t="s">
        <v>56</v>
      </c>
      <c r="AA16" s="118" t="s">
        <v>539</v>
      </c>
      <c r="AB16" s="118" t="s">
        <v>539</v>
      </c>
      <c r="AC16" s="118" t="s">
        <v>539</v>
      </c>
      <c r="AD16" s="118" t="s">
        <v>539</v>
      </c>
      <c r="AE16" s="118" t="s">
        <v>539</v>
      </c>
      <c r="AF16" s="118" t="s">
        <v>539</v>
      </c>
      <c r="AG16" s="118" t="s">
        <v>539</v>
      </c>
      <c r="AH16" s="118" t="s">
        <v>539</v>
      </c>
      <c r="AI16" s="118" t="s">
        <v>539</v>
      </c>
      <c r="AJ16" s="118" t="s">
        <v>539</v>
      </c>
      <c r="AK16" s="118" t="s">
        <v>539</v>
      </c>
      <c r="AL16" s="118" t="s">
        <v>539</v>
      </c>
      <c r="AM16" s="118" t="s">
        <v>539</v>
      </c>
      <c r="AN16" s="118" t="s">
        <v>539</v>
      </c>
      <c r="AO16" s="118" t="s">
        <v>539</v>
      </c>
      <c r="AP16" s="118" t="s">
        <v>539</v>
      </c>
      <c r="AQ16" s="118" t="s">
        <v>539</v>
      </c>
      <c r="AR16" s="118" t="s">
        <v>539</v>
      </c>
      <c r="AS16" s="118" t="s">
        <v>539</v>
      </c>
      <c r="AT16" s="118" t="s">
        <v>539</v>
      </c>
      <c r="AU16" s="118" t="s">
        <v>539</v>
      </c>
      <c r="AV16" s="118" t="s">
        <v>539</v>
      </c>
      <c r="AW16" s="118" t="s">
        <v>539</v>
      </c>
      <c r="AX16" s="118" t="s">
        <v>539</v>
      </c>
      <c r="AY16" s="118" t="s">
        <v>539</v>
      </c>
      <c r="AZ16" s="118" t="s">
        <v>539</v>
      </c>
      <c r="BA16" s="118" t="s">
        <v>539</v>
      </c>
      <c r="BB16" s="118" t="s">
        <v>539</v>
      </c>
      <c r="BC16" s="118" t="s">
        <v>539</v>
      </c>
      <c r="BD16" s="118" t="s">
        <v>539</v>
      </c>
      <c r="BE16" s="118" t="s">
        <v>539</v>
      </c>
      <c r="BF16" s="118" t="s">
        <v>539</v>
      </c>
      <c r="BG16" s="118" t="s">
        <v>539</v>
      </c>
      <c r="BH16" s="118" t="s">
        <v>539</v>
      </c>
      <c r="BI16" s="118" t="s">
        <v>539</v>
      </c>
      <c r="BJ16" s="118" t="s">
        <v>539</v>
      </c>
      <c r="BK16" s="118" t="s">
        <v>539</v>
      </c>
      <c r="BL16" s="118" t="s">
        <v>539</v>
      </c>
      <c r="BM16" s="118" t="s">
        <v>539</v>
      </c>
      <c r="BN16" s="118" t="s">
        <v>539</v>
      </c>
      <c r="BO16" s="118" t="s">
        <v>539</v>
      </c>
      <c r="BP16" s="118" t="s">
        <v>539</v>
      </c>
      <c r="BQ16" s="118" t="s">
        <v>539</v>
      </c>
      <c r="BR16" s="118" t="s">
        <v>539</v>
      </c>
      <c r="BS16" s="118" t="s">
        <v>539</v>
      </c>
      <c r="BT16" s="118" t="s">
        <v>539</v>
      </c>
      <c r="BU16" s="118" t="s">
        <v>539</v>
      </c>
      <c r="BV16" s="118" t="s">
        <v>539</v>
      </c>
      <c r="BW16" s="118" t="s">
        <v>539</v>
      </c>
      <c r="BX16" s="118" t="s">
        <v>539</v>
      </c>
      <c r="BY16" s="118" t="s">
        <v>539</v>
      </c>
      <c r="BZ16" s="118" t="s">
        <v>539</v>
      </c>
      <c r="CA16" s="118" t="s">
        <v>539</v>
      </c>
      <c r="CB16" s="118" t="s">
        <v>539</v>
      </c>
      <c r="CC16" s="118" t="s">
        <v>539</v>
      </c>
      <c r="CD16" s="118" t="s">
        <v>539</v>
      </c>
      <c r="CE16" s="118" t="s">
        <v>539</v>
      </c>
      <c r="CF16" s="118" t="s">
        <v>539</v>
      </c>
      <c r="CG16" s="118" t="s">
        <v>539</v>
      </c>
      <c r="CH16" s="118" t="s">
        <v>539</v>
      </c>
      <c r="CI16" s="118" t="s">
        <v>539</v>
      </c>
      <c r="CJ16" s="118" t="s">
        <v>539</v>
      </c>
      <c r="CK16" s="118" t="s">
        <v>539</v>
      </c>
      <c r="CL16" s="118" t="s">
        <v>539</v>
      </c>
      <c r="CM16" s="118" t="s">
        <v>539</v>
      </c>
      <c r="CN16" s="118" t="s">
        <v>539</v>
      </c>
      <c r="CO16" s="118" t="s">
        <v>539</v>
      </c>
      <c r="CP16" s="118" t="s">
        <v>539</v>
      </c>
      <c r="CQ16" s="118" t="s">
        <v>539</v>
      </c>
      <c r="CR16" s="118" t="s">
        <v>539</v>
      </c>
      <c r="CS16" s="118" t="s">
        <v>539</v>
      </c>
      <c r="CT16" s="118" t="s">
        <v>539</v>
      </c>
      <c r="CU16" s="118" t="s">
        <v>539</v>
      </c>
      <c r="CV16" s="118" t="s">
        <v>539</v>
      </c>
      <c r="CW16" s="118" t="s">
        <v>539</v>
      </c>
      <c r="CX16" s="118" t="s">
        <v>539</v>
      </c>
      <c r="CY16" s="118" t="s">
        <v>539</v>
      </c>
      <c r="CZ16" s="118" t="s">
        <v>539</v>
      </c>
      <c r="DA16" s="118" t="s">
        <v>539</v>
      </c>
      <c r="DB16" s="118" t="s">
        <v>539</v>
      </c>
      <c r="DC16" s="118" t="s">
        <v>539</v>
      </c>
    </row>
    <row r="17" spans="2:107" ht="30" x14ac:dyDescent="0.3">
      <c r="B17" s="178"/>
      <c r="C17" s="178"/>
      <c r="D17" s="178"/>
      <c r="E17" s="178"/>
      <c r="F17" s="178"/>
      <c r="G17" s="178"/>
      <c r="H17" s="173"/>
      <c r="I17" s="173"/>
      <c r="J17" s="173"/>
      <c r="K17" s="173"/>
      <c r="L17" s="173"/>
      <c r="M17" s="173"/>
      <c r="N17" s="173"/>
      <c r="O17" s="118" t="s">
        <v>720</v>
      </c>
      <c r="P17" s="175" t="s">
        <v>691</v>
      </c>
      <c r="Q17" s="118" t="s">
        <v>697</v>
      </c>
      <c r="R17" s="118" t="s">
        <v>56</v>
      </c>
      <c r="S17" s="118" t="s">
        <v>693</v>
      </c>
      <c r="T17" s="118" t="s">
        <v>539</v>
      </c>
      <c r="U17" s="118" t="s">
        <v>719</v>
      </c>
      <c r="V17" s="118" t="s">
        <v>539</v>
      </c>
      <c r="W17" s="118" t="s">
        <v>721</v>
      </c>
      <c r="X17" s="118" t="s">
        <v>539</v>
      </c>
      <c r="Y17" s="118" t="s">
        <v>722</v>
      </c>
      <c r="Z17" s="118" t="s">
        <v>56</v>
      </c>
      <c r="AA17" s="118" t="s">
        <v>539</v>
      </c>
      <c r="AB17" s="118" t="s">
        <v>539</v>
      </c>
      <c r="AC17" s="118" t="s">
        <v>539</v>
      </c>
      <c r="AD17" s="118" t="s">
        <v>539</v>
      </c>
      <c r="AE17" s="118" t="s">
        <v>539</v>
      </c>
      <c r="AF17" s="118" t="s">
        <v>539</v>
      </c>
      <c r="AG17" s="118" t="s">
        <v>539</v>
      </c>
      <c r="AH17" s="118" t="s">
        <v>539</v>
      </c>
      <c r="AI17" s="118" t="s">
        <v>539</v>
      </c>
      <c r="AJ17" s="118" t="s">
        <v>539</v>
      </c>
      <c r="AK17" s="118" t="s">
        <v>539</v>
      </c>
      <c r="AL17" s="118" t="s">
        <v>539</v>
      </c>
      <c r="AM17" s="118" t="s">
        <v>539</v>
      </c>
      <c r="AN17" s="118" t="s">
        <v>539</v>
      </c>
      <c r="AO17" s="118" t="s">
        <v>539</v>
      </c>
      <c r="AP17" s="118" t="s">
        <v>539</v>
      </c>
      <c r="AQ17" s="118" t="s">
        <v>539</v>
      </c>
      <c r="AR17" s="118" t="s">
        <v>539</v>
      </c>
      <c r="AS17" s="118" t="s">
        <v>539</v>
      </c>
      <c r="AT17" s="118" t="s">
        <v>539</v>
      </c>
      <c r="AU17" s="118" t="s">
        <v>539</v>
      </c>
      <c r="AV17" s="118" t="s">
        <v>539</v>
      </c>
      <c r="AW17" s="118" t="s">
        <v>539</v>
      </c>
      <c r="AX17" s="118" t="s">
        <v>539</v>
      </c>
      <c r="AY17" s="118" t="s">
        <v>539</v>
      </c>
      <c r="AZ17" s="118" t="s">
        <v>539</v>
      </c>
      <c r="BA17" s="118" t="s">
        <v>539</v>
      </c>
      <c r="BB17" s="118" t="s">
        <v>539</v>
      </c>
      <c r="BC17" s="118" t="s">
        <v>539</v>
      </c>
      <c r="BD17" s="118" t="s">
        <v>539</v>
      </c>
      <c r="BE17" s="118" t="s">
        <v>539</v>
      </c>
      <c r="BF17" s="118" t="s">
        <v>539</v>
      </c>
      <c r="BG17" s="118" t="s">
        <v>539</v>
      </c>
      <c r="BH17" s="118" t="s">
        <v>539</v>
      </c>
      <c r="BI17" s="118" t="s">
        <v>539</v>
      </c>
      <c r="BJ17" s="118" t="s">
        <v>539</v>
      </c>
      <c r="BK17" s="118" t="s">
        <v>539</v>
      </c>
      <c r="BL17" s="118" t="s">
        <v>539</v>
      </c>
      <c r="BM17" s="118" t="s">
        <v>539</v>
      </c>
      <c r="BN17" s="118" t="s">
        <v>539</v>
      </c>
      <c r="BO17" s="118" t="s">
        <v>539</v>
      </c>
      <c r="BP17" s="118" t="s">
        <v>539</v>
      </c>
      <c r="BQ17" s="118" t="s">
        <v>539</v>
      </c>
      <c r="BR17" s="118" t="s">
        <v>539</v>
      </c>
      <c r="BS17" s="118" t="s">
        <v>539</v>
      </c>
      <c r="BT17" s="118" t="s">
        <v>539</v>
      </c>
      <c r="BU17" s="118" t="s">
        <v>539</v>
      </c>
      <c r="BV17" s="118" t="s">
        <v>539</v>
      </c>
      <c r="BW17" s="118" t="s">
        <v>539</v>
      </c>
      <c r="BX17" s="118" t="s">
        <v>539</v>
      </c>
      <c r="BY17" s="118" t="s">
        <v>539</v>
      </c>
      <c r="BZ17" s="118" t="s">
        <v>539</v>
      </c>
      <c r="CA17" s="118" t="s">
        <v>539</v>
      </c>
      <c r="CB17" s="118" t="s">
        <v>539</v>
      </c>
      <c r="CC17" s="118" t="s">
        <v>539</v>
      </c>
      <c r="CD17" s="118" t="s">
        <v>539</v>
      </c>
      <c r="CE17" s="118" t="s">
        <v>539</v>
      </c>
      <c r="CF17" s="118" t="s">
        <v>539</v>
      </c>
      <c r="CG17" s="118" t="s">
        <v>539</v>
      </c>
      <c r="CH17" s="118" t="s">
        <v>539</v>
      </c>
      <c r="CI17" s="118" t="s">
        <v>539</v>
      </c>
      <c r="CJ17" s="118" t="s">
        <v>539</v>
      </c>
      <c r="CK17" s="118" t="s">
        <v>539</v>
      </c>
      <c r="CL17" s="118" t="s">
        <v>539</v>
      </c>
      <c r="CM17" s="118" t="s">
        <v>539</v>
      </c>
      <c r="CN17" s="118" t="s">
        <v>539</v>
      </c>
      <c r="CO17" s="118" t="s">
        <v>539</v>
      </c>
      <c r="CP17" s="118" t="s">
        <v>539</v>
      </c>
      <c r="CQ17" s="118" t="s">
        <v>539</v>
      </c>
      <c r="CR17" s="118" t="s">
        <v>539</v>
      </c>
      <c r="CS17" s="118" t="s">
        <v>539</v>
      </c>
      <c r="CT17" s="118" t="s">
        <v>539</v>
      </c>
      <c r="CU17" s="118" t="s">
        <v>539</v>
      </c>
      <c r="CV17" s="118" t="s">
        <v>539</v>
      </c>
      <c r="CW17" s="118" t="s">
        <v>539</v>
      </c>
      <c r="CX17" s="118" t="s">
        <v>539</v>
      </c>
      <c r="CY17" s="118" t="s">
        <v>539</v>
      </c>
      <c r="CZ17" s="118" t="s">
        <v>539</v>
      </c>
      <c r="DA17" s="118" t="s">
        <v>539</v>
      </c>
      <c r="DB17" s="118" t="s">
        <v>539</v>
      </c>
      <c r="DC17" s="118" t="s">
        <v>539</v>
      </c>
    </row>
    <row r="18" spans="2:107" ht="30" x14ac:dyDescent="0.3">
      <c r="B18" s="178"/>
      <c r="C18" s="178"/>
      <c r="D18" s="178"/>
      <c r="E18" s="178"/>
      <c r="F18" s="178"/>
      <c r="G18" s="178"/>
      <c r="H18" s="173"/>
      <c r="I18" s="173"/>
      <c r="J18" s="173"/>
      <c r="K18" s="173"/>
      <c r="L18" s="173"/>
      <c r="M18" s="173"/>
      <c r="N18" s="173"/>
      <c r="O18" s="118" t="s">
        <v>724</v>
      </c>
      <c r="P18" s="175" t="s">
        <v>691</v>
      </c>
      <c r="Q18" s="118" t="s">
        <v>697</v>
      </c>
      <c r="R18" s="118" t="s">
        <v>56</v>
      </c>
      <c r="S18" s="118" t="s">
        <v>693</v>
      </c>
      <c r="T18" s="118" t="s">
        <v>539</v>
      </c>
      <c r="U18" s="118" t="s">
        <v>723</v>
      </c>
      <c r="V18" s="118" t="s">
        <v>539</v>
      </c>
      <c r="W18" s="118" t="s">
        <v>725</v>
      </c>
      <c r="X18" s="118" t="s">
        <v>539</v>
      </c>
      <c r="Y18" s="118" t="s">
        <v>726</v>
      </c>
      <c r="Z18" s="118" t="s">
        <v>56</v>
      </c>
      <c r="AA18" s="118" t="s">
        <v>539</v>
      </c>
      <c r="AB18" s="118" t="s">
        <v>539</v>
      </c>
      <c r="AC18" s="118" t="s">
        <v>539</v>
      </c>
      <c r="AD18" s="118" t="s">
        <v>539</v>
      </c>
      <c r="AE18" s="118" t="s">
        <v>539</v>
      </c>
      <c r="AF18" s="118" t="s">
        <v>539</v>
      </c>
      <c r="AG18" s="118" t="s">
        <v>539</v>
      </c>
      <c r="AH18" s="118" t="s">
        <v>539</v>
      </c>
      <c r="AI18" s="118" t="s">
        <v>539</v>
      </c>
      <c r="AJ18" s="118" t="s">
        <v>539</v>
      </c>
      <c r="AK18" s="118" t="s">
        <v>539</v>
      </c>
      <c r="AL18" s="118" t="s">
        <v>539</v>
      </c>
      <c r="AM18" s="118" t="s">
        <v>539</v>
      </c>
      <c r="AN18" s="118" t="s">
        <v>539</v>
      </c>
      <c r="AO18" s="118" t="s">
        <v>539</v>
      </c>
      <c r="AP18" s="118" t="s">
        <v>539</v>
      </c>
      <c r="AQ18" s="118" t="s">
        <v>539</v>
      </c>
      <c r="AR18" s="118" t="s">
        <v>539</v>
      </c>
      <c r="AS18" s="118" t="s">
        <v>539</v>
      </c>
      <c r="AT18" s="118" t="s">
        <v>539</v>
      </c>
      <c r="AU18" s="118" t="s">
        <v>539</v>
      </c>
      <c r="AV18" s="118" t="s">
        <v>539</v>
      </c>
      <c r="AW18" s="118" t="s">
        <v>539</v>
      </c>
      <c r="AX18" s="118" t="s">
        <v>539</v>
      </c>
      <c r="AY18" s="118" t="s">
        <v>539</v>
      </c>
      <c r="AZ18" s="118" t="s">
        <v>539</v>
      </c>
      <c r="BA18" s="118" t="s">
        <v>539</v>
      </c>
      <c r="BB18" s="118" t="s">
        <v>539</v>
      </c>
      <c r="BC18" s="118" t="s">
        <v>539</v>
      </c>
      <c r="BD18" s="118" t="s">
        <v>539</v>
      </c>
      <c r="BE18" s="118" t="s">
        <v>539</v>
      </c>
      <c r="BF18" s="118" t="s">
        <v>539</v>
      </c>
      <c r="BG18" s="118" t="s">
        <v>539</v>
      </c>
      <c r="BH18" s="118" t="s">
        <v>539</v>
      </c>
      <c r="BI18" s="118" t="s">
        <v>539</v>
      </c>
      <c r="BJ18" s="118" t="s">
        <v>539</v>
      </c>
      <c r="BK18" s="118" t="s">
        <v>539</v>
      </c>
      <c r="BL18" s="118" t="s">
        <v>539</v>
      </c>
      <c r="BM18" s="118" t="s">
        <v>539</v>
      </c>
      <c r="BN18" s="118" t="s">
        <v>539</v>
      </c>
      <c r="BO18" s="118" t="s">
        <v>539</v>
      </c>
      <c r="BP18" s="118" t="s">
        <v>539</v>
      </c>
      <c r="BQ18" s="118" t="s">
        <v>539</v>
      </c>
      <c r="BR18" s="118" t="s">
        <v>539</v>
      </c>
      <c r="BS18" s="118" t="s">
        <v>539</v>
      </c>
      <c r="BT18" s="118" t="s">
        <v>539</v>
      </c>
      <c r="BU18" s="118" t="s">
        <v>539</v>
      </c>
      <c r="BV18" s="118" t="s">
        <v>539</v>
      </c>
      <c r="BW18" s="118" t="s">
        <v>539</v>
      </c>
      <c r="BX18" s="118" t="s">
        <v>539</v>
      </c>
      <c r="BY18" s="118" t="s">
        <v>539</v>
      </c>
      <c r="BZ18" s="118" t="s">
        <v>539</v>
      </c>
      <c r="CA18" s="118" t="s">
        <v>539</v>
      </c>
      <c r="CB18" s="118" t="s">
        <v>539</v>
      </c>
      <c r="CC18" s="118" t="s">
        <v>539</v>
      </c>
      <c r="CD18" s="118" t="s">
        <v>539</v>
      </c>
      <c r="CE18" s="118" t="s">
        <v>539</v>
      </c>
      <c r="CF18" s="118" t="s">
        <v>539</v>
      </c>
      <c r="CG18" s="118" t="s">
        <v>539</v>
      </c>
      <c r="CH18" s="118" t="s">
        <v>539</v>
      </c>
      <c r="CI18" s="118" t="s">
        <v>539</v>
      </c>
      <c r="CJ18" s="118" t="s">
        <v>539</v>
      </c>
      <c r="CK18" s="118" t="s">
        <v>539</v>
      </c>
      <c r="CL18" s="118" t="s">
        <v>539</v>
      </c>
      <c r="CM18" s="118" t="s">
        <v>539</v>
      </c>
      <c r="CN18" s="118" t="s">
        <v>539</v>
      </c>
      <c r="CO18" s="118" t="s">
        <v>539</v>
      </c>
      <c r="CP18" s="118" t="s">
        <v>539</v>
      </c>
      <c r="CQ18" s="118" t="s">
        <v>539</v>
      </c>
      <c r="CR18" s="118" t="s">
        <v>539</v>
      </c>
      <c r="CS18" s="118" t="s">
        <v>539</v>
      </c>
      <c r="CT18" s="118" t="s">
        <v>539</v>
      </c>
      <c r="CU18" s="118" t="s">
        <v>539</v>
      </c>
      <c r="CV18" s="118" t="s">
        <v>539</v>
      </c>
      <c r="CW18" s="118" t="s">
        <v>539</v>
      </c>
      <c r="CX18" s="118" t="s">
        <v>539</v>
      </c>
      <c r="CY18" s="118" t="s">
        <v>539</v>
      </c>
      <c r="CZ18" s="118" t="s">
        <v>539</v>
      </c>
      <c r="DA18" s="118" t="s">
        <v>539</v>
      </c>
      <c r="DB18" s="118" t="s">
        <v>539</v>
      </c>
      <c r="DC18" s="118" t="s">
        <v>539</v>
      </c>
    </row>
    <row r="19" spans="2:107" ht="30" x14ac:dyDescent="0.3">
      <c r="B19" s="178"/>
      <c r="C19" s="178"/>
      <c r="D19" s="178"/>
      <c r="E19" s="178"/>
      <c r="F19" s="178"/>
      <c r="G19" s="178"/>
      <c r="H19" s="173"/>
      <c r="I19" s="173"/>
      <c r="J19" s="173"/>
      <c r="K19" s="173"/>
      <c r="L19" s="173"/>
      <c r="M19" s="173"/>
      <c r="N19" s="173"/>
      <c r="O19" s="118" t="s">
        <v>728</v>
      </c>
      <c r="P19" s="175" t="s">
        <v>691</v>
      </c>
      <c r="Q19" s="118" t="s">
        <v>697</v>
      </c>
      <c r="R19" s="118" t="s">
        <v>56</v>
      </c>
      <c r="S19" s="118" t="s">
        <v>693</v>
      </c>
      <c r="T19" s="118" t="s">
        <v>539</v>
      </c>
      <c r="U19" s="118" t="s">
        <v>727</v>
      </c>
      <c r="V19" s="118" t="s">
        <v>539</v>
      </c>
      <c r="W19" s="118" t="s">
        <v>729</v>
      </c>
      <c r="X19" s="118" t="s">
        <v>539</v>
      </c>
      <c r="Y19" s="118" t="s">
        <v>714</v>
      </c>
      <c r="Z19" s="118" t="s">
        <v>56</v>
      </c>
      <c r="AA19" s="118" t="s">
        <v>539</v>
      </c>
      <c r="AB19" s="118" t="s">
        <v>539</v>
      </c>
      <c r="AC19" s="118" t="s">
        <v>539</v>
      </c>
      <c r="AD19" s="118" t="s">
        <v>539</v>
      </c>
      <c r="AE19" s="118" t="s">
        <v>539</v>
      </c>
      <c r="AF19" s="118" t="s">
        <v>539</v>
      </c>
      <c r="AG19" s="118" t="s">
        <v>539</v>
      </c>
      <c r="AH19" s="118" t="s">
        <v>539</v>
      </c>
      <c r="AI19" s="118" t="s">
        <v>539</v>
      </c>
      <c r="AJ19" s="118" t="s">
        <v>539</v>
      </c>
      <c r="AK19" s="118" t="s">
        <v>539</v>
      </c>
      <c r="AL19" s="118" t="s">
        <v>539</v>
      </c>
      <c r="AM19" s="118" t="s">
        <v>539</v>
      </c>
      <c r="AN19" s="118" t="s">
        <v>539</v>
      </c>
      <c r="AO19" s="118" t="s">
        <v>539</v>
      </c>
      <c r="AP19" s="118" t="s">
        <v>539</v>
      </c>
      <c r="AQ19" s="118" t="s">
        <v>539</v>
      </c>
      <c r="AR19" s="118" t="s">
        <v>539</v>
      </c>
      <c r="AS19" s="118" t="s">
        <v>539</v>
      </c>
      <c r="AT19" s="118" t="s">
        <v>539</v>
      </c>
      <c r="AU19" s="118" t="s">
        <v>539</v>
      </c>
      <c r="AV19" s="118" t="s">
        <v>539</v>
      </c>
      <c r="AW19" s="118" t="s">
        <v>539</v>
      </c>
      <c r="AX19" s="118" t="s">
        <v>539</v>
      </c>
      <c r="AY19" s="118" t="s">
        <v>539</v>
      </c>
      <c r="AZ19" s="118" t="s">
        <v>539</v>
      </c>
      <c r="BA19" s="118" t="s">
        <v>539</v>
      </c>
      <c r="BB19" s="118" t="s">
        <v>539</v>
      </c>
      <c r="BC19" s="118" t="s">
        <v>539</v>
      </c>
      <c r="BD19" s="118" t="s">
        <v>539</v>
      </c>
      <c r="BE19" s="118" t="s">
        <v>539</v>
      </c>
      <c r="BF19" s="118" t="s">
        <v>539</v>
      </c>
      <c r="BG19" s="118" t="s">
        <v>539</v>
      </c>
      <c r="BH19" s="118" t="s">
        <v>539</v>
      </c>
      <c r="BI19" s="118" t="s">
        <v>539</v>
      </c>
      <c r="BJ19" s="118" t="s">
        <v>539</v>
      </c>
      <c r="BK19" s="118" t="s">
        <v>539</v>
      </c>
      <c r="BL19" s="118" t="s">
        <v>539</v>
      </c>
      <c r="BM19" s="118" t="s">
        <v>539</v>
      </c>
      <c r="BN19" s="118" t="s">
        <v>539</v>
      </c>
      <c r="BO19" s="118" t="s">
        <v>539</v>
      </c>
      <c r="BP19" s="118" t="s">
        <v>539</v>
      </c>
      <c r="BQ19" s="118" t="s">
        <v>539</v>
      </c>
      <c r="BR19" s="118" t="s">
        <v>539</v>
      </c>
      <c r="BS19" s="118" t="s">
        <v>539</v>
      </c>
      <c r="BT19" s="118" t="s">
        <v>539</v>
      </c>
      <c r="BU19" s="118" t="s">
        <v>539</v>
      </c>
      <c r="BV19" s="118" t="s">
        <v>539</v>
      </c>
      <c r="BW19" s="118" t="s">
        <v>539</v>
      </c>
      <c r="BX19" s="118" t="s">
        <v>539</v>
      </c>
      <c r="BY19" s="118" t="s">
        <v>539</v>
      </c>
      <c r="BZ19" s="118" t="s">
        <v>539</v>
      </c>
      <c r="CA19" s="118" t="s">
        <v>539</v>
      </c>
      <c r="CB19" s="118" t="s">
        <v>539</v>
      </c>
      <c r="CC19" s="118" t="s">
        <v>539</v>
      </c>
      <c r="CD19" s="118" t="s">
        <v>539</v>
      </c>
      <c r="CE19" s="118" t="s">
        <v>539</v>
      </c>
      <c r="CF19" s="118" t="s">
        <v>539</v>
      </c>
      <c r="CG19" s="118" t="s">
        <v>539</v>
      </c>
      <c r="CH19" s="118" t="s">
        <v>539</v>
      </c>
      <c r="CI19" s="118" t="s">
        <v>539</v>
      </c>
      <c r="CJ19" s="118" t="s">
        <v>539</v>
      </c>
      <c r="CK19" s="118" t="s">
        <v>539</v>
      </c>
      <c r="CL19" s="118" t="s">
        <v>539</v>
      </c>
      <c r="CM19" s="118" t="s">
        <v>539</v>
      </c>
      <c r="CN19" s="118" t="s">
        <v>539</v>
      </c>
      <c r="CO19" s="118" t="s">
        <v>539</v>
      </c>
      <c r="CP19" s="118" t="s">
        <v>539</v>
      </c>
      <c r="CQ19" s="118" t="s">
        <v>539</v>
      </c>
      <c r="CR19" s="118" t="s">
        <v>539</v>
      </c>
      <c r="CS19" s="118" t="s">
        <v>539</v>
      </c>
      <c r="CT19" s="118" t="s">
        <v>539</v>
      </c>
      <c r="CU19" s="118" t="s">
        <v>539</v>
      </c>
      <c r="CV19" s="118" t="s">
        <v>539</v>
      </c>
      <c r="CW19" s="118" t="s">
        <v>539</v>
      </c>
      <c r="CX19" s="118" t="s">
        <v>539</v>
      </c>
      <c r="CY19" s="118" t="s">
        <v>539</v>
      </c>
      <c r="CZ19" s="118" t="s">
        <v>539</v>
      </c>
      <c r="DA19" s="118" t="s">
        <v>539</v>
      </c>
      <c r="DB19" s="118" t="s">
        <v>539</v>
      </c>
      <c r="DC19" s="118" t="s">
        <v>539</v>
      </c>
    </row>
    <row r="20" spans="2:107" ht="30" x14ac:dyDescent="0.3">
      <c r="B20" s="178"/>
      <c r="C20" s="178"/>
      <c r="D20" s="178"/>
      <c r="E20" s="178"/>
      <c r="F20" s="178"/>
      <c r="G20" s="178"/>
      <c r="H20" s="173"/>
      <c r="I20" s="173"/>
      <c r="J20" s="173"/>
      <c r="K20" s="173"/>
      <c r="L20" s="173"/>
      <c r="M20" s="173"/>
      <c r="N20" s="173"/>
      <c r="O20" s="118" t="s">
        <v>731</v>
      </c>
      <c r="P20" s="175" t="s">
        <v>691</v>
      </c>
      <c r="Q20" s="118" t="s">
        <v>697</v>
      </c>
      <c r="R20" s="118" t="s">
        <v>56</v>
      </c>
      <c r="S20" s="118" t="s">
        <v>693</v>
      </c>
      <c r="T20" s="118" t="s">
        <v>539</v>
      </c>
      <c r="U20" s="118" t="s">
        <v>730</v>
      </c>
      <c r="V20" s="118" t="s">
        <v>539</v>
      </c>
      <c r="W20" s="118" t="s">
        <v>732</v>
      </c>
      <c r="X20" s="118" t="s">
        <v>539</v>
      </c>
      <c r="Y20" s="118" t="s">
        <v>718</v>
      </c>
      <c r="Z20" s="118" t="s">
        <v>56</v>
      </c>
      <c r="AA20" s="118" t="s">
        <v>539</v>
      </c>
      <c r="AB20" s="118" t="s">
        <v>539</v>
      </c>
      <c r="AC20" s="118" t="s">
        <v>539</v>
      </c>
      <c r="AD20" s="118" t="s">
        <v>539</v>
      </c>
      <c r="AE20" s="118" t="s">
        <v>539</v>
      </c>
      <c r="AF20" s="118" t="s">
        <v>539</v>
      </c>
      <c r="AG20" s="118" t="s">
        <v>539</v>
      </c>
      <c r="AH20" s="118" t="s">
        <v>539</v>
      </c>
      <c r="AI20" s="118" t="s">
        <v>539</v>
      </c>
      <c r="AJ20" s="118" t="s">
        <v>539</v>
      </c>
      <c r="AK20" s="118" t="s">
        <v>539</v>
      </c>
      <c r="AL20" s="118" t="s">
        <v>539</v>
      </c>
      <c r="AM20" s="118" t="s">
        <v>539</v>
      </c>
      <c r="AN20" s="118" t="s">
        <v>539</v>
      </c>
      <c r="AO20" s="118" t="s">
        <v>539</v>
      </c>
      <c r="AP20" s="118" t="s">
        <v>539</v>
      </c>
      <c r="AQ20" s="118" t="s">
        <v>539</v>
      </c>
      <c r="AR20" s="118" t="s">
        <v>539</v>
      </c>
      <c r="AS20" s="118" t="s">
        <v>539</v>
      </c>
      <c r="AT20" s="118" t="s">
        <v>539</v>
      </c>
      <c r="AU20" s="118" t="s">
        <v>539</v>
      </c>
      <c r="AV20" s="118" t="s">
        <v>539</v>
      </c>
      <c r="AW20" s="118" t="s">
        <v>539</v>
      </c>
      <c r="AX20" s="118" t="s">
        <v>539</v>
      </c>
      <c r="AY20" s="118" t="s">
        <v>539</v>
      </c>
      <c r="AZ20" s="118" t="s">
        <v>539</v>
      </c>
      <c r="BA20" s="118" t="s">
        <v>539</v>
      </c>
      <c r="BB20" s="118" t="s">
        <v>539</v>
      </c>
      <c r="BC20" s="118" t="s">
        <v>539</v>
      </c>
      <c r="BD20" s="118" t="s">
        <v>539</v>
      </c>
      <c r="BE20" s="118" t="s">
        <v>539</v>
      </c>
      <c r="BF20" s="118" t="s">
        <v>539</v>
      </c>
      <c r="BG20" s="118" t="s">
        <v>539</v>
      </c>
      <c r="BH20" s="118" t="s">
        <v>539</v>
      </c>
      <c r="BI20" s="118" t="s">
        <v>539</v>
      </c>
      <c r="BJ20" s="118" t="s">
        <v>539</v>
      </c>
      <c r="BK20" s="118" t="s">
        <v>539</v>
      </c>
      <c r="BL20" s="118" t="s">
        <v>539</v>
      </c>
      <c r="BM20" s="118" t="s">
        <v>539</v>
      </c>
      <c r="BN20" s="118" t="s">
        <v>539</v>
      </c>
      <c r="BO20" s="118" t="s">
        <v>539</v>
      </c>
      <c r="BP20" s="118" t="s">
        <v>539</v>
      </c>
      <c r="BQ20" s="118" t="s">
        <v>539</v>
      </c>
      <c r="BR20" s="118" t="s">
        <v>539</v>
      </c>
      <c r="BS20" s="118" t="s">
        <v>539</v>
      </c>
      <c r="BT20" s="118" t="s">
        <v>539</v>
      </c>
      <c r="BU20" s="118" t="s">
        <v>539</v>
      </c>
      <c r="BV20" s="118" t="s">
        <v>539</v>
      </c>
      <c r="BW20" s="118" t="s">
        <v>539</v>
      </c>
      <c r="BX20" s="118" t="s">
        <v>539</v>
      </c>
      <c r="BY20" s="118" t="s">
        <v>539</v>
      </c>
      <c r="BZ20" s="118" t="s">
        <v>539</v>
      </c>
      <c r="CA20" s="118" t="s">
        <v>539</v>
      </c>
      <c r="CB20" s="118" t="s">
        <v>539</v>
      </c>
      <c r="CC20" s="118" t="s">
        <v>539</v>
      </c>
      <c r="CD20" s="118" t="s">
        <v>539</v>
      </c>
      <c r="CE20" s="118" t="s">
        <v>539</v>
      </c>
      <c r="CF20" s="118" t="s">
        <v>539</v>
      </c>
      <c r="CG20" s="118" t="s">
        <v>539</v>
      </c>
      <c r="CH20" s="118" t="s">
        <v>539</v>
      </c>
      <c r="CI20" s="118" t="s">
        <v>539</v>
      </c>
      <c r="CJ20" s="118" t="s">
        <v>539</v>
      </c>
      <c r="CK20" s="118" t="s">
        <v>539</v>
      </c>
      <c r="CL20" s="118" t="s">
        <v>539</v>
      </c>
      <c r="CM20" s="118" t="s">
        <v>539</v>
      </c>
      <c r="CN20" s="118" t="s">
        <v>539</v>
      </c>
      <c r="CO20" s="118" t="s">
        <v>539</v>
      </c>
      <c r="CP20" s="118" t="s">
        <v>539</v>
      </c>
      <c r="CQ20" s="118" t="s">
        <v>539</v>
      </c>
      <c r="CR20" s="118" t="s">
        <v>539</v>
      </c>
      <c r="CS20" s="118" t="s">
        <v>539</v>
      </c>
      <c r="CT20" s="118" t="s">
        <v>539</v>
      </c>
      <c r="CU20" s="118" t="s">
        <v>539</v>
      </c>
      <c r="CV20" s="118" t="s">
        <v>539</v>
      </c>
      <c r="CW20" s="118" t="s">
        <v>539</v>
      </c>
      <c r="CX20" s="118" t="s">
        <v>539</v>
      </c>
      <c r="CY20" s="118" t="s">
        <v>539</v>
      </c>
      <c r="CZ20" s="118" t="s">
        <v>539</v>
      </c>
      <c r="DA20" s="118" t="s">
        <v>539</v>
      </c>
      <c r="DB20" s="118" t="s">
        <v>539</v>
      </c>
      <c r="DC20" s="118" t="s">
        <v>539</v>
      </c>
    </row>
    <row r="21" spans="2:107" ht="30" x14ac:dyDescent="0.3">
      <c r="B21" s="178"/>
      <c r="C21" s="178"/>
      <c r="D21" s="178"/>
      <c r="E21" s="178"/>
      <c r="F21" s="178"/>
      <c r="G21" s="178"/>
      <c r="H21" s="173"/>
      <c r="I21" s="173"/>
      <c r="J21" s="173"/>
      <c r="K21" s="173"/>
      <c r="L21" s="173"/>
      <c r="M21" s="173"/>
      <c r="N21" s="173"/>
      <c r="O21" s="118" t="s">
        <v>734</v>
      </c>
      <c r="P21" s="175" t="s">
        <v>691</v>
      </c>
      <c r="Q21" s="118" t="s">
        <v>697</v>
      </c>
      <c r="R21" s="118" t="s">
        <v>56</v>
      </c>
      <c r="S21" s="118" t="s">
        <v>693</v>
      </c>
      <c r="T21" s="118" t="s">
        <v>539</v>
      </c>
      <c r="U21" s="118" t="s">
        <v>733</v>
      </c>
      <c r="V21" s="118" t="s">
        <v>539</v>
      </c>
      <c r="W21" s="118" t="s">
        <v>735</v>
      </c>
      <c r="X21" s="118" t="s">
        <v>539</v>
      </c>
      <c r="Y21" s="118" t="s">
        <v>736</v>
      </c>
      <c r="Z21" s="118" t="s">
        <v>56</v>
      </c>
      <c r="AA21" s="118" t="s">
        <v>539</v>
      </c>
      <c r="AB21" s="118" t="s">
        <v>539</v>
      </c>
      <c r="AC21" s="118" t="s">
        <v>539</v>
      </c>
      <c r="AD21" s="118" t="s">
        <v>539</v>
      </c>
      <c r="AE21" s="118" t="s">
        <v>539</v>
      </c>
      <c r="AF21" s="118" t="s">
        <v>539</v>
      </c>
      <c r="AG21" s="118" t="s">
        <v>539</v>
      </c>
      <c r="AH21" s="118" t="s">
        <v>539</v>
      </c>
      <c r="AI21" s="118" t="s">
        <v>539</v>
      </c>
      <c r="AJ21" s="118" t="s">
        <v>539</v>
      </c>
      <c r="AK21" s="118" t="s">
        <v>539</v>
      </c>
      <c r="AL21" s="118" t="s">
        <v>539</v>
      </c>
      <c r="AM21" s="118" t="s">
        <v>539</v>
      </c>
      <c r="AN21" s="118" t="s">
        <v>539</v>
      </c>
      <c r="AO21" s="118" t="s">
        <v>539</v>
      </c>
      <c r="AP21" s="118" t="s">
        <v>539</v>
      </c>
      <c r="AQ21" s="118" t="s">
        <v>539</v>
      </c>
      <c r="AR21" s="118" t="s">
        <v>539</v>
      </c>
      <c r="AS21" s="118" t="s">
        <v>539</v>
      </c>
      <c r="AT21" s="118" t="s">
        <v>539</v>
      </c>
      <c r="AU21" s="118" t="s">
        <v>539</v>
      </c>
      <c r="AV21" s="118" t="s">
        <v>539</v>
      </c>
      <c r="AW21" s="118" t="s">
        <v>539</v>
      </c>
      <c r="AX21" s="118" t="s">
        <v>539</v>
      </c>
      <c r="AY21" s="118" t="s">
        <v>539</v>
      </c>
      <c r="AZ21" s="118" t="s">
        <v>539</v>
      </c>
      <c r="BA21" s="118" t="s">
        <v>539</v>
      </c>
      <c r="BB21" s="118" t="s">
        <v>539</v>
      </c>
      <c r="BC21" s="118" t="s">
        <v>539</v>
      </c>
      <c r="BD21" s="118" t="s">
        <v>539</v>
      </c>
      <c r="BE21" s="118" t="s">
        <v>539</v>
      </c>
      <c r="BF21" s="118" t="s">
        <v>539</v>
      </c>
      <c r="BG21" s="118" t="s">
        <v>539</v>
      </c>
      <c r="BH21" s="118" t="s">
        <v>539</v>
      </c>
      <c r="BI21" s="118" t="s">
        <v>539</v>
      </c>
      <c r="BJ21" s="118" t="s">
        <v>539</v>
      </c>
      <c r="BK21" s="118" t="s">
        <v>539</v>
      </c>
      <c r="BL21" s="118" t="s">
        <v>539</v>
      </c>
      <c r="BM21" s="118" t="s">
        <v>539</v>
      </c>
      <c r="BN21" s="118" t="s">
        <v>539</v>
      </c>
      <c r="BO21" s="118" t="s">
        <v>539</v>
      </c>
      <c r="BP21" s="118" t="s">
        <v>539</v>
      </c>
      <c r="BQ21" s="118" t="s">
        <v>539</v>
      </c>
      <c r="BR21" s="118" t="s">
        <v>539</v>
      </c>
      <c r="BS21" s="118" t="s">
        <v>539</v>
      </c>
      <c r="BT21" s="118" t="s">
        <v>539</v>
      </c>
      <c r="BU21" s="118" t="s">
        <v>539</v>
      </c>
      <c r="BV21" s="118" t="s">
        <v>539</v>
      </c>
      <c r="BW21" s="118" t="s">
        <v>539</v>
      </c>
      <c r="BX21" s="118" t="s">
        <v>539</v>
      </c>
      <c r="BY21" s="118" t="s">
        <v>539</v>
      </c>
      <c r="BZ21" s="118" t="s">
        <v>539</v>
      </c>
      <c r="CA21" s="118" t="s">
        <v>539</v>
      </c>
      <c r="CB21" s="118" t="s">
        <v>539</v>
      </c>
      <c r="CC21" s="118" t="s">
        <v>539</v>
      </c>
      <c r="CD21" s="118" t="s">
        <v>539</v>
      </c>
      <c r="CE21" s="118" t="s">
        <v>539</v>
      </c>
      <c r="CF21" s="118" t="s">
        <v>539</v>
      </c>
      <c r="CG21" s="118" t="s">
        <v>539</v>
      </c>
      <c r="CH21" s="118" t="s">
        <v>539</v>
      </c>
      <c r="CI21" s="118" t="s">
        <v>539</v>
      </c>
      <c r="CJ21" s="118" t="s">
        <v>539</v>
      </c>
      <c r="CK21" s="118" t="s">
        <v>539</v>
      </c>
      <c r="CL21" s="118" t="s">
        <v>539</v>
      </c>
      <c r="CM21" s="118" t="s">
        <v>539</v>
      </c>
      <c r="CN21" s="118" t="s">
        <v>539</v>
      </c>
      <c r="CO21" s="118" t="s">
        <v>539</v>
      </c>
      <c r="CP21" s="118" t="s">
        <v>539</v>
      </c>
      <c r="CQ21" s="118" t="s">
        <v>539</v>
      </c>
      <c r="CR21" s="118" t="s">
        <v>539</v>
      </c>
      <c r="CS21" s="118" t="s">
        <v>539</v>
      </c>
      <c r="CT21" s="118" t="s">
        <v>539</v>
      </c>
      <c r="CU21" s="118" t="s">
        <v>539</v>
      </c>
      <c r="CV21" s="118" t="s">
        <v>539</v>
      </c>
      <c r="CW21" s="118" t="s">
        <v>539</v>
      </c>
      <c r="CX21" s="118" t="s">
        <v>539</v>
      </c>
      <c r="CY21" s="118" t="s">
        <v>539</v>
      </c>
      <c r="CZ21" s="118" t="s">
        <v>539</v>
      </c>
      <c r="DA21" s="118" t="s">
        <v>539</v>
      </c>
      <c r="DB21" s="118" t="s">
        <v>539</v>
      </c>
      <c r="DC21" s="118" t="s">
        <v>539</v>
      </c>
    </row>
    <row r="22" spans="2:107" ht="30" x14ac:dyDescent="0.3">
      <c r="B22" s="178"/>
      <c r="C22" s="178"/>
      <c r="D22" s="178"/>
      <c r="E22" s="178"/>
      <c r="F22" s="178"/>
      <c r="G22" s="178"/>
      <c r="H22" s="173"/>
      <c r="I22" s="173"/>
      <c r="J22" s="173"/>
      <c r="K22" s="173"/>
      <c r="L22" s="173"/>
      <c r="M22" s="173"/>
      <c r="N22" s="173"/>
      <c r="O22" s="118" t="s">
        <v>737</v>
      </c>
      <c r="P22" s="175" t="s">
        <v>691</v>
      </c>
      <c r="Q22" s="118" t="s">
        <v>697</v>
      </c>
      <c r="R22" s="118" t="s">
        <v>56</v>
      </c>
      <c r="S22" s="118" t="s">
        <v>693</v>
      </c>
      <c r="T22" s="118" t="s">
        <v>539</v>
      </c>
      <c r="U22" s="118" t="s">
        <v>737</v>
      </c>
      <c r="V22" s="118" t="s">
        <v>539</v>
      </c>
      <c r="W22" s="118" t="s">
        <v>738</v>
      </c>
      <c r="X22" s="118" t="s">
        <v>539</v>
      </c>
      <c r="Y22" s="118" t="s">
        <v>739</v>
      </c>
      <c r="Z22" s="118" t="s">
        <v>56</v>
      </c>
      <c r="AA22" s="118" t="s">
        <v>539</v>
      </c>
      <c r="AB22" s="118" t="s">
        <v>539</v>
      </c>
      <c r="AC22" s="118" t="s">
        <v>539</v>
      </c>
      <c r="AD22" s="118" t="s">
        <v>539</v>
      </c>
      <c r="AE22" s="118" t="s">
        <v>539</v>
      </c>
      <c r="AF22" s="118" t="s">
        <v>539</v>
      </c>
      <c r="AG22" s="118" t="s">
        <v>539</v>
      </c>
      <c r="AH22" s="118" t="s">
        <v>539</v>
      </c>
      <c r="AI22" s="118" t="s">
        <v>539</v>
      </c>
      <c r="AJ22" s="118" t="s">
        <v>539</v>
      </c>
      <c r="AK22" s="118" t="s">
        <v>539</v>
      </c>
      <c r="AL22" s="118" t="s">
        <v>539</v>
      </c>
      <c r="AM22" s="118" t="s">
        <v>539</v>
      </c>
      <c r="AN22" s="118" t="s">
        <v>539</v>
      </c>
      <c r="AO22" s="118" t="s">
        <v>539</v>
      </c>
      <c r="AP22" s="118" t="s">
        <v>539</v>
      </c>
      <c r="AQ22" s="118" t="s">
        <v>539</v>
      </c>
      <c r="AR22" s="118" t="s">
        <v>539</v>
      </c>
      <c r="AS22" s="118" t="s">
        <v>539</v>
      </c>
      <c r="AT22" s="118" t="s">
        <v>539</v>
      </c>
      <c r="AU22" s="118" t="s">
        <v>539</v>
      </c>
      <c r="AV22" s="118" t="s">
        <v>539</v>
      </c>
      <c r="AW22" s="118" t="s">
        <v>539</v>
      </c>
      <c r="AX22" s="118" t="s">
        <v>539</v>
      </c>
      <c r="AY22" s="118" t="s">
        <v>539</v>
      </c>
      <c r="AZ22" s="118" t="s">
        <v>539</v>
      </c>
      <c r="BA22" s="118" t="s">
        <v>539</v>
      </c>
      <c r="BB22" s="118" t="s">
        <v>539</v>
      </c>
      <c r="BC22" s="118" t="s">
        <v>539</v>
      </c>
      <c r="BD22" s="118" t="s">
        <v>539</v>
      </c>
      <c r="BE22" s="118" t="s">
        <v>539</v>
      </c>
      <c r="BF22" s="118" t="s">
        <v>539</v>
      </c>
      <c r="BG22" s="118" t="s">
        <v>539</v>
      </c>
      <c r="BH22" s="118" t="s">
        <v>539</v>
      </c>
      <c r="BI22" s="118" t="s">
        <v>539</v>
      </c>
      <c r="BJ22" s="118" t="s">
        <v>539</v>
      </c>
      <c r="BK22" s="118" t="s">
        <v>539</v>
      </c>
      <c r="BL22" s="118" t="s">
        <v>539</v>
      </c>
      <c r="BM22" s="118" t="s">
        <v>539</v>
      </c>
      <c r="BN22" s="118" t="s">
        <v>539</v>
      </c>
      <c r="BO22" s="118" t="s">
        <v>539</v>
      </c>
      <c r="BP22" s="118" t="s">
        <v>539</v>
      </c>
      <c r="BQ22" s="118" t="s">
        <v>539</v>
      </c>
      <c r="BR22" s="118" t="s">
        <v>539</v>
      </c>
      <c r="BS22" s="118" t="s">
        <v>539</v>
      </c>
      <c r="BT22" s="118" t="s">
        <v>539</v>
      </c>
      <c r="BU22" s="118" t="s">
        <v>539</v>
      </c>
      <c r="BV22" s="118" t="s">
        <v>539</v>
      </c>
      <c r="BW22" s="118" t="s">
        <v>539</v>
      </c>
      <c r="BX22" s="118" t="s">
        <v>539</v>
      </c>
      <c r="BY22" s="118" t="s">
        <v>539</v>
      </c>
      <c r="BZ22" s="118" t="s">
        <v>539</v>
      </c>
      <c r="CA22" s="118" t="s">
        <v>539</v>
      </c>
      <c r="CB22" s="118" t="s">
        <v>539</v>
      </c>
      <c r="CC22" s="118" t="s">
        <v>539</v>
      </c>
      <c r="CD22" s="118" t="s">
        <v>539</v>
      </c>
      <c r="CE22" s="118" t="s">
        <v>539</v>
      </c>
      <c r="CF22" s="118" t="s">
        <v>539</v>
      </c>
      <c r="CG22" s="118" t="s">
        <v>539</v>
      </c>
      <c r="CH22" s="118" t="s">
        <v>539</v>
      </c>
      <c r="CI22" s="118" t="s">
        <v>539</v>
      </c>
      <c r="CJ22" s="118" t="s">
        <v>539</v>
      </c>
      <c r="CK22" s="118" t="s">
        <v>539</v>
      </c>
      <c r="CL22" s="118" t="s">
        <v>539</v>
      </c>
      <c r="CM22" s="118" t="s">
        <v>539</v>
      </c>
      <c r="CN22" s="118" t="s">
        <v>539</v>
      </c>
      <c r="CO22" s="118" t="s">
        <v>539</v>
      </c>
      <c r="CP22" s="118" t="s">
        <v>539</v>
      </c>
      <c r="CQ22" s="118" t="s">
        <v>539</v>
      </c>
      <c r="CR22" s="118" t="s">
        <v>539</v>
      </c>
      <c r="CS22" s="118" t="s">
        <v>539</v>
      </c>
      <c r="CT22" s="118" t="s">
        <v>539</v>
      </c>
      <c r="CU22" s="118" t="s">
        <v>539</v>
      </c>
      <c r="CV22" s="118" t="s">
        <v>539</v>
      </c>
      <c r="CW22" s="118" t="s">
        <v>539</v>
      </c>
      <c r="CX22" s="118" t="s">
        <v>539</v>
      </c>
      <c r="CY22" s="118" t="s">
        <v>539</v>
      </c>
      <c r="CZ22" s="118" t="s">
        <v>539</v>
      </c>
      <c r="DA22" s="118" t="s">
        <v>539</v>
      </c>
      <c r="DB22" s="118" t="s">
        <v>539</v>
      </c>
      <c r="DC22" s="118" t="s">
        <v>539</v>
      </c>
    </row>
    <row r="23" spans="2:107" ht="30" x14ac:dyDescent="0.3">
      <c r="B23" s="178"/>
      <c r="C23" s="178"/>
      <c r="D23" s="178"/>
      <c r="E23" s="178"/>
      <c r="F23" s="178"/>
      <c r="G23" s="178"/>
      <c r="H23" s="173"/>
      <c r="I23" s="173"/>
      <c r="J23" s="173"/>
      <c r="K23" s="173"/>
      <c r="L23" s="173"/>
      <c r="M23" s="173"/>
      <c r="N23" s="173"/>
      <c r="O23" s="118" t="s">
        <v>741</v>
      </c>
      <c r="P23" s="175" t="s">
        <v>691</v>
      </c>
      <c r="Q23" s="118" t="s">
        <v>697</v>
      </c>
      <c r="R23" s="118" t="s">
        <v>56</v>
      </c>
      <c r="S23" s="118" t="s">
        <v>693</v>
      </c>
      <c r="T23" s="118" t="s">
        <v>539</v>
      </c>
      <c r="U23" s="118" t="s">
        <v>740</v>
      </c>
      <c r="V23" s="118" t="s">
        <v>539</v>
      </c>
      <c r="W23" s="118" t="s">
        <v>742</v>
      </c>
      <c r="X23" s="118" t="s">
        <v>539</v>
      </c>
      <c r="Y23" s="118" t="s">
        <v>736</v>
      </c>
      <c r="Z23" s="118" t="s">
        <v>56</v>
      </c>
      <c r="AA23" s="118" t="s">
        <v>539</v>
      </c>
      <c r="AB23" s="118" t="s">
        <v>539</v>
      </c>
      <c r="AC23" s="118" t="s">
        <v>539</v>
      </c>
      <c r="AD23" s="118" t="s">
        <v>539</v>
      </c>
      <c r="AE23" s="118" t="s">
        <v>539</v>
      </c>
      <c r="AF23" s="118" t="s">
        <v>539</v>
      </c>
      <c r="AG23" s="118" t="s">
        <v>539</v>
      </c>
      <c r="AH23" s="118" t="s">
        <v>539</v>
      </c>
      <c r="AI23" s="118" t="s">
        <v>539</v>
      </c>
      <c r="AJ23" s="118" t="s">
        <v>539</v>
      </c>
      <c r="AK23" s="118" t="s">
        <v>539</v>
      </c>
      <c r="AL23" s="118" t="s">
        <v>539</v>
      </c>
      <c r="AM23" s="118" t="s">
        <v>539</v>
      </c>
      <c r="AN23" s="118" t="s">
        <v>539</v>
      </c>
      <c r="AO23" s="118" t="s">
        <v>539</v>
      </c>
      <c r="AP23" s="118" t="s">
        <v>539</v>
      </c>
      <c r="AQ23" s="118" t="s">
        <v>539</v>
      </c>
      <c r="AR23" s="118" t="s">
        <v>539</v>
      </c>
      <c r="AS23" s="118" t="s">
        <v>539</v>
      </c>
      <c r="AT23" s="118" t="s">
        <v>539</v>
      </c>
      <c r="AU23" s="118" t="s">
        <v>539</v>
      </c>
      <c r="AV23" s="118" t="s">
        <v>539</v>
      </c>
      <c r="AW23" s="118" t="s">
        <v>539</v>
      </c>
      <c r="AX23" s="118" t="s">
        <v>539</v>
      </c>
      <c r="AY23" s="118" t="s">
        <v>539</v>
      </c>
      <c r="AZ23" s="118" t="s">
        <v>539</v>
      </c>
      <c r="BA23" s="118" t="s">
        <v>539</v>
      </c>
      <c r="BB23" s="118" t="s">
        <v>539</v>
      </c>
      <c r="BC23" s="118" t="s">
        <v>539</v>
      </c>
      <c r="BD23" s="118" t="s">
        <v>539</v>
      </c>
      <c r="BE23" s="118" t="s">
        <v>539</v>
      </c>
      <c r="BF23" s="118" t="s">
        <v>539</v>
      </c>
      <c r="BG23" s="118" t="s">
        <v>539</v>
      </c>
      <c r="BH23" s="118" t="s">
        <v>539</v>
      </c>
      <c r="BI23" s="118" t="s">
        <v>539</v>
      </c>
      <c r="BJ23" s="118" t="s">
        <v>539</v>
      </c>
      <c r="BK23" s="118" t="s">
        <v>539</v>
      </c>
      <c r="BL23" s="118" t="s">
        <v>539</v>
      </c>
      <c r="BM23" s="118" t="s">
        <v>539</v>
      </c>
      <c r="BN23" s="118" t="s">
        <v>539</v>
      </c>
      <c r="BO23" s="118" t="s">
        <v>539</v>
      </c>
      <c r="BP23" s="118" t="s">
        <v>539</v>
      </c>
      <c r="BQ23" s="118" t="s">
        <v>539</v>
      </c>
      <c r="BR23" s="118" t="s">
        <v>539</v>
      </c>
      <c r="BS23" s="118" t="s">
        <v>539</v>
      </c>
      <c r="BT23" s="118" t="s">
        <v>539</v>
      </c>
      <c r="BU23" s="118" t="s">
        <v>539</v>
      </c>
      <c r="BV23" s="118" t="s">
        <v>539</v>
      </c>
      <c r="BW23" s="118" t="s">
        <v>539</v>
      </c>
      <c r="BX23" s="118" t="s">
        <v>539</v>
      </c>
      <c r="BY23" s="118" t="s">
        <v>539</v>
      </c>
      <c r="BZ23" s="118" t="s">
        <v>539</v>
      </c>
      <c r="CA23" s="118" t="s">
        <v>539</v>
      </c>
      <c r="CB23" s="118" t="s">
        <v>539</v>
      </c>
      <c r="CC23" s="118" t="s">
        <v>539</v>
      </c>
      <c r="CD23" s="118" t="s">
        <v>539</v>
      </c>
      <c r="CE23" s="118" t="s">
        <v>539</v>
      </c>
      <c r="CF23" s="118" t="s">
        <v>539</v>
      </c>
      <c r="CG23" s="118" t="s">
        <v>539</v>
      </c>
      <c r="CH23" s="118" t="s">
        <v>539</v>
      </c>
      <c r="CI23" s="118" t="s">
        <v>539</v>
      </c>
      <c r="CJ23" s="118" t="s">
        <v>539</v>
      </c>
      <c r="CK23" s="118" t="s">
        <v>539</v>
      </c>
      <c r="CL23" s="118" t="s">
        <v>539</v>
      </c>
      <c r="CM23" s="118" t="s">
        <v>539</v>
      </c>
      <c r="CN23" s="118" t="s">
        <v>539</v>
      </c>
      <c r="CO23" s="118" t="s">
        <v>539</v>
      </c>
      <c r="CP23" s="118" t="s">
        <v>539</v>
      </c>
      <c r="CQ23" s="118" t="s">
        <v>539</v>
      </c>
      <c r="CR23" s="118" t="s">
        <v>539</v>
      </c>
      <c r="CS23" s="118" t="s">
        <v>539</v>
      </c>
      <c r="CT23" s="118" t="s">
        <v>539</v>
      </c>
      <c r="CU23" s="118" t="s">
        <v>539</v>
      </c>
      <c r="CV23" s="118" t="s">
        <v>539</v>
      </c>
      <c r="CW23" s="118" t="s">
        <v>539</v>
      </c>
      <c r="CX23" s="118" t="s">
        <v>539</v>
      </c>
      <c r="CY23" s="118" t="s">
        <v>539</v>
      </c>
      <c r="CZ23" s="118" t="s">
        <v>539</v>
      </c>
      <c r="DA23" s="118" t="s">
        <v>539</v>
      </c>
      <c r="DB23" s="118" t="s">
        <v>539</v>
      </c>
      <c r="DC23" s="118" t="s">
        <v>539</v>
      </c>
    </row>
    <row r="24" spans="2:107" ht="30" x14ac:dyDescent="0.3">
      <c r="B24" s="178"/>
      <c r="C24" s="178"/>
      <c r="D24" s="178"/>
      <c r="E24" s="178"/>
      <c r="F24" s="178"/>
      <c r="G24" s="178"/>
      <c r="H24" s="173"/>
      <c r="I24" s="173"/>
      <c r="J24" s="173"/>
      <c r="K24" s="173"/>
      <c r="L24" s="173"/>
      <c r="M24" s="173"/>
      <c r="N24" s="173"/>
      <c r="O24" s="118" t="s">
        <v>744</v>
      </c>
      <c r="P24" s="175" t="s">
        <v>691</v>
      </c>
      <c r="Q24" s="118" t="s">
        <v>697</v>
      </c>
      <c r="R24" s="118" t="s">
        <v>56</v>
      </c>
      <c r="S24" s="118" t="s">
        <v>693</v>
      </c>
      <c r="T24" s="118" t="s">
        <v>539</v>
      </c>
      <c r="U24" s="118" t="s">
        <v>743</v>
      </c>
      <c r="V24" s="118" t="s">
        <v>539</v>
      </c>
      <c r="W24" s="118" t="s">
        <v>745</v>
      </c>
      <c r="X24" s="118" t="s">
        <v>539</v>
      </c>
      <c r="Y24" s="118" t="s">
        <v>746</v>
      </c>
      <c r="Z24" s="118" t="s">
        <v>56</v>
      </c>
      <c r="AA24" s="118" t="s">
        <v>539</v>
      </c>
      <c r="AB24" s="118" t="s">
        <v>539</v>
      </c>
      <c r="AC24" s="118" t="s">
        <v>539</v>
      </c>
      <c r="AD24" s="118" t="s">
        <v>539</v>
      </c>
      <c r="AE24" s="118" t="s">
        <v>539</v>
      </c>
      <c r="AF24" s="118" t="s">
        <v>539</v>
      </c>
      <c r="AG24" s="118" t="s">
        <v>539</v>
      </c>
      <c r="AH24" s="118" t="s">
        <v>539</v>
      </c>
      <c r="AI24" s="118" t="s">
        <v>539</v>
      </c>
      <c r="AJ24" s="118" t="s">
        <v>539</v>
      </c>
      <c r="AK24" s="118" t="s">
        <v>539</v>
      </c>
      <c r="AL24" s="118" t="s">
        <v>539</v>
      </c>
      <c r="AM24" s="118" t="s">
        <v>539</v>
      </c>
      <c r="AN24" s="118" t="s">
        <v>539</v>
      </c>
      <c r="AO24" s="118" t="s">
        <v>539</v>
      </c>
      <c r="AP24" s="118" t="s">
        <v>539</v>
      </c>
      <c r="AQ24" s="118" t="s">
        <v>539</v>
      </c>
      <c r="AR24" s="118" t="s">
        <v>539</v>
      </c>
      <c r="AS24" s="118" t="s">
        <v>539</v>
      </c>
      <c r="AT24" s="118" t="s">
        <v>539</v>
      </c>
      <c r="AU24" s="118" t="s">
        <v>539</v>
      </c>
      <c r="AV24" s="118" t="s">
        <v>539</v>
      </c>
      <c r="AW24" s="118" t="s">
        <v>539</v>
      </c>
      <c r="AX24" s="118" t="s">
        <v>539</v>
      </c>
      <c r="AY24" s="118" t="s">
        <v>539</v>
      </c>
      <c r="AZ24" s="118" t="s">
        <v>539</v>
      </c>
      <c r="BA24" s="118" t="s">
        <v>539</v>
      </c>
      <c r="BB24" s="118" t="s">
        <v>539</v>
      </c>
      <c r="BC24" s="118" t="s">
        <v>539</v>
      </c>
      <c r="BD24" s="118" t="s">
        <v>539</v>
      </c>
      <c r="BE24" s="118" t="s">
        <v>539</v>
      </c>
      <c r="BF24" s="118" t="s">
        <v>539</v>
      </c>
      <c r="BG24" s="118" t="s">
        <v>539</v>
      </c>
      <c r="BH24" s="118" t="s">
        <v>539</v>
      </c>
      <c r="BI24" s="118" t="s">
        <v>539</v>
      </c>
      <c r="BJ24" s="118" t="s">
        <v>539</v>
      </c>
      <c r="BK24" s="118" t="s">
        <v>539</v>
      </c>
      <c r="BL24" s="118" t="s">
        <v>539</v>
      </c>
      <c r="BM24" s="118" t="s">
        <v>539</v>
      </c>
      <c r="BN24" s="118" t="s">
        <v>539</v>
      </c>
      <c r="BO24" s="118" t="s">
        <v>539</v>
      </c>
      <c r="BP24" s="118" t="s">
        <v>539</v>
      </c>
      <c r="BQ24" s="118" t="s">
        <v>539</v>
      </c>
      <c r="BR24" s="118" t="s">
        <v>539</v>
      </c>
      <c r="BS24" s="118" t="s">
        <v>539</v>
      </c>
      <c r="BT24" s="118" t="s">
        <v>539</v>
      </c>
      <c r="BU24" s="118" t="s">
        <v>539</v>
      </c>
      <c r="BV24" s="118" t="s">
        <v>539</v>
      </c>
      <c r="BW24" s="118" t="s">
        <v>539</v>
      </c>
      <c r="BX24" s="118" t="s">
        <v>539</v>
      </c>
      <c r="BY24" s="118" t="s">
        <v>539</v>
      </c>
      <c r="BZ24" s="118" t="s">
        <v>539</v>
      </c>
      <c r="CA24" s="118" t="s">
        <v>539</v>
      </c>
      <c r="CB24" s="118" t="s">
        <v>539</v>
      </c>
      <c r="CC24" s="118" t="s">
        <v>539</v>
      </c>
      <c r="CD24" s="118" t="s">
        <v>539</v>
      </c>
      <c r="CE24" s="118" t="s">
        <v>539</v>
      </c>
      <c r="CF24" s="118" t="s">
        <v>539</v>
      </c>
      <c r="CG24" s="118" t="s">
        <v>539</v>
      </c>
      <c r="CH24" s="118" t="s">
        <v>539</v>
      </c>
      <c r="CI24" s="118" t="s">
        <v>539</v>
      </c>
      <c r="CJ24" s="118" t="s">
        <v>539</v>
      </c>
      <c r="CK24" s="118" t="s">
        <v>539</v>
      </c>
      <c r="CL24" s="118" t="s">
        <v>539</v>
      </c>
      <c r="CM24" s="118" t="s">
        <v>539</v>
      </c>
      <c r="CN24" s="118" t="s">
        <v>539</v>
      </c>
      <c r="CO24" s="118" t="s">
        <v>539</v>
      </c>
      <c r="CP24" s="118" t="s">
        <v>539</v>
      </c>
      <c r="CQ24" s="118" t="s">
        <v>539</v>
      </c>
      <c r="CR24" s="118" t="s">
        <v>539</v>
      </c>
      <c r="CS24" s="118" t="s">
        <v>539</v>
      </c>
      <c r="CT24" s="118" t="s">
        <v>539</v>
      </c>
      <c r="CU24" s="118" t="s">
        <v>539</v>
      </c>
      <c r="CV24" s="118" t="s">
        <v>539</v>
      </c>
      <c r="CW24" s="118" t="s">
        <v>539</v>
      </c>
      <c r="CX24" s="118" t="s">
        <v>539</v>
      </c>
      <c r="CY24" s="118" t="s">
        <v>539</v>
      </c>
      <c r="CZ24" s="118" t="s">
        <v>539</v>
      </c>
      <c r="DA24" s="118" t="s">
        <v>539</v>
      </c>
      <c r="DB24" s="118" t="s">
        <v>539</v>
      </c>
      <c r="DC24" s="118" t="s">
        <v>539</v>
      </c>
    </row>
    <row r="25" spans="2:107" ht="30" x14ac:dyDescent="0.3">
      <c r="B25" s="178"/>
      <c r="C25" s="178"/>
      <c r="D25" s="178"/>
      <c r="E25" s="178"/>
      <c r="F25" s="178"/>
      <c r="G25" s="178"/>
      <c r="H25" s="173"/>
      <c r="I25" s="173"/>
      <c r="J25" s="173"/>
      <c r="K25" s="173"/>
      <c r="L25" s="173"/>
      <c r="M25" s="173"/>
      <c r="N25" s="173"/>
      <c r="O25" s="118" t="s">
        <v>747</v>
      </c>
      <c r="P25" s="175" t="s">
        <v>691</v>
      </c>
      <c r="Q25" s="118" t="s">
        <v>697</v>
      </c>
      <c r="R25" s="118" t="s">
        <v>56</v>
      </c>
      <c r="S25" s="118" t="s">
        <v>693</v>
      </c>
      <c r="T25" s="118" t="s">
        <v>539</v>
      </c>
      <c r="U25" s="118" t="s">
        <v>747</v>
      </c>
      <c r="V25" s="118" t="s">
        <v>539</v>
      </c>
      <c r="W25" s="118" t="s">
        <v>748</v>
      </c>
      <c r="X25" s="118" t="s">
        <v>539</v>
      </c>
      <c r="Y25" s="118" t="s">
        <v>749</v>
      </c>
      <c r="Z25" s="118" t="s">
        <v>56</v>
      </c>
      <c r="AA25" s="118" t="s">
        <v>539</v>
      </c>
      <c r="AB25" s="118" t="s">
        <v>539</v>
      </c>
      <c r="AC25" s="118" t="s">
        <v>539</v>
      </c>
      <c r="AD25" s="118" t="s">
        <v>539</v>
      </c>
      <c r="AE25" s="118" t="s">
        <v>539</v>
      </c>
      <c r="AF25" s="118" t="s">
        <v>539</v>
      </c>
      <c r="AG25" s="118" t="s">
        <v>539</v>
      </c>
      <c r="AH25" s="118" t="s">
        <v>539</v>
      </c>
      <c r="AI25" s="118" t="s">
        <v>539</v>
      </c>
      <c r="AJ25" s="118" t="s">
        <v>539</v>
      </c>
      <c r="AK25" s="118" t="s">
        <v>539</v>
      </c>
      <c r="AL25" s="118" t="s">
        <v>539</v>
      </c>
      <c r="AM25" s="118" t="s">
        <v>539</v>
      </c>
      <c r="AN25" s="118" t="s">
        <v>539</v>
      </c>
      <c r="AO25" s="118" t="s">
        <v>539</v>
      </c>
      <c r="AP25" s="118" t="s">
        <v>539</v>
      </c>
      <c r="AQ25" s="118" t="s">
        <v>539</v>
      </c>
      <c r="AR25" s="118" t="s">
        <v>539</v>
      </c>
      <c r="AS25" s="118" t="s">
        <v>539</v>
      </c>
      <c r="AT25" s="118" t="s">
        <v>539</v>
      </c>
      <c r="AU25" s="118" t="s">
        <v>539</v>
      </c>
      <c r="AV25" s="118" t="s">
        <v>539</v>
      </c>
      <c r="AW25" s="118" t="s">
        <v>539</v>
      </c>
      <c r="AX25" s="118" t="s">
        <v>539</v>
      </c>
      <c r="AY25" s="118" t="s">
        <v>539</v>
      </c>
      <c r="AZ25" s="118" t="s">
        <v>539</v>
      </c>
      <c r="BA25" s="118" t="s">
        <v>539</v>
      </c>
      <c r="BB25" s="118" t="s">
        <v>539</v>
      </c>
      <c r="BC25" s="118" t="s">
        <v>539</v>
      </c>
      <c r="BD25" s="118" t="s">
        <v>539</v>
      </c>
      <c r="BE25" s="118" t="s">
        <v>539</v>
      </c>
      <c r="BF25" s="118" t="s">
        <v>539</v>
      </c>
      <c r="BG25" s="118" t="s">
        <v>539</v>
      </c>
      <c r="BH25" s="118" t="s">
        <v>539</v>
      </c>
      <c r="BI25" s="118" t="s">
        <v>539</v>
      </c>
      <c r="BJ25" s="118" t="s">
        <v>539</v>
      </c>
      <c r="BK25" s="118" t="s">
        <v>539</v>
      </c>
      <c r="BL25" s="118" t="s">
        <v>539</v>
      </c>
      <c r="BM25" s="118" t="s">
        <v>539</v>
      </c>
      <c r="BN25" s="118" t="s">
        <v>539</v>
      </c>
      <c r="BO25" s="118" t="s">
        <v>539</v>
      </c>
      <c r="BP25" s="118" t="s">
        <v>539</v>
      </c>
      <c r="BQ25" s="118" t="s">
        <v>539</v>
      </c>
      <c r="BR25" s="118" t="s">
        <v>539</v>
      </c>
      <c r="BS25" s="118" t="s">
        <v>539</v>
      </c>
      <c r="BT25" s="118" t="s">
        <v>539</v>
      </c>
      <c r="BU25" s="118" t="s">
        <v>539</v>
      </c>
      <c r="BV25" s="118" t="s">
        <v>539</v>
      </c>
      <c r="BW25" s="118" t="s">
        <v>539</v>
      </c>
      <c r="BX25" s="118" t="s">
        <v>539</v>
      </c>
      <c r="BY25" s="118" t="s">
        <v>539</v>
      </c>
      <c r="BZ25" s="118" t="s">
        <v>539</v>
      </c>
      <c r="CA25" s="118" t="s">
        <v>539</v>
      </c>
      <c r="CB25" s="118" t="s">
        <v>539</v>
      </c>
      <c r="CC25" s="118" t="s">
        <v>539</v>
      </c>
      <c r="CD25" s="118" t="s">
        <v>539</v>
      </c>
      <c r="CE25" s="118" t="s">
        <v>539</v>
      </c>
      <c r="CF25" s="118" t="s">
        <v>539</v>
      </c>
      <c r="CG25" s="118" t="s">
        <v>539</v>
      </c>
      <c r="CH25" s="118" t="s">
        <v>539</v>
      </c>
      <c r="CI25" s="118" t="s">
        <v>539</v>
      </c>
      <c r="CJ25" s="118" t="s">
        <v>539</v>
      </c>
      <c r="CK25" s="118" t="s">
        <v>539</v>
      </c>
      <c r="CL25" s="118" t="s">
        <v>539</v>
      </c>
      <c r="CM25" s="118" t="s">
        <v>539</v>
      </c>
      <c r="CN25" s="118" t="s">
        <v>539</v>
      </c>
      <c r="CO25" s="118" t="s">
        <v>539</v>
      </c>
      <c r="CP25" s="118" t="s">
        <v>539</v>
      </c>
      <c r="CQ25" s="118" t="s">
        <v>539</v>
      </c>
      <c r="CR25" s="118" t="s">
        <v>539</v>
      </c>
      <c r="CS25" s="118" t="s">
        <v>539</v>
      </c>
      <c r="CT25" s="118" t="s">
        <v>539</v>
      </c>
      <c r="CU25" s="118" t="s">
        <v>539</v>
      </c>
      <c r="CV25" s="118" t="s">
        <v>539</v>
      </c>
      <c r="CW25" s="118" t="s">
        <v>539</v>
      </c>
      <c r="CX25" s="118" t="s">
        <v>539</v>
      </c>
      <c r="CY25" s="118" t="s">
        <v>539</v>
      </c>
      <c r="CZ25" s="118" t="s">
        <v>539</v>
      </c>
      <c r="DA25" s="118" t="s">
        <v>539</v>
      </c>
      <c r="DB25" s="118" t="s">
        <v>539</v>
      </c>
      <c r="DC25" s="118" t="s">
        <v>539</v>
      </c>
    </row>
    <row r="26" spans="2:107" ht="30" x14ac:dyDescent="0.3">
      <c r="B26" s="178"/>
      <c r="C26" s="178"/>
      <c r="D26" s="178"/>
      <c r="E26" s="178"/>
      <c r="F26" s="178"/>
      <c r="G26" s="178"/>
      <c r="H26" s="173"/>
      <c r="I26" s="173"/>
      <c r="J26" s="173"/>
      <c r="K26" s="173"/>
      <c r="L26" s="173"/>
      <c r="M26" s="173"/>
      <c r="N26" s="173"/>
      <c r="O26" s="118" t="s">
        <v>750</v>
      </c>
      <c r="P26" s="175" t="s">
        <v>691</v>
      </c>
      <c r="Q26" s="118" t="s">
        <v>697</v>
      </c>
      <c r="R26" s="118" t="s">
        <v>56</v>
      </c>
      <c r="S26" s="118" t="s">
        <v>693</v>
      </c>
      <c r="T26" s="118" t="s">
        <v>539</v>
      </c>
      <c r="U26" s="118" t="s">
        <v>750</v>
      </c>
      <c r="V26" s="118" t="s">
        <v>539</v>
      </c>
      <c r="W26" s="118" t="s">
        <v>751</v>
      </c>
      <c r="X26" s="118" t="s">
        <v>539</v>
      </c>
      <c r="Y26" s="118" t="s">
        <v>752</v>
      </c>
      <c r="Z26" s="118" t="s">
        <v>56</v>
      </c>
      <c r="AA26" s="118" t="s">
        <v>539</v>
      </c>
      <c r="AB26" s="118" t="s">
        <v>539</v>
      </c>
      <c r="AC26" s="118" t="s">
        <v>539</v>
      </c>
      <c r="AD26" s="118" t="s">
        <v>539</v>
      </c>
      <c r="AE26" s="118" t="s">
        <v>539</v>
      </c>
      <c r="AF26" s="118" t="s">
        <v>539</v>
      </c>
      <c r="AG26" s="118" t="s">
        <v>539</v>
      </c>
      <c r="AH26" s="118" t="s">
        <v>539</v>
      </c>
      <c r="AI26" s="118" t="s">
        <v>539</v>
      </c>
      <c r="AJ26" s="118" t="s">
        <v>539</v>
      </c>
      <c r="AK26" s="118" t="s">
        <v>539</v>
      </c>
      <c r="AL26" s="118" t="s">
        <v>539</v>
      </c>
      <c r="AM26" s="118" t="s">
        <v>539</v>
      </c>
      <c r="AN26" s="118" t="s">
        <v>539</v>
      </c>
      <c r="AO26" s="118" t="s">
        <v>539</v>
      </c>
      <c r="AP26" s="118" t="s">
        <v>539</v>
      </c>
      <c r="AQ26" s="118" t="s">
        <v>539</v>
      </c>
      <c r="AR26" s="118" t="s">
        <v>539</v>
      </c>
      <c r="AS26" s="118" t="s">
        <v>539</v>
      </c>
      <c r="AT26" s="118" t="s">
        <v>539</v>
      </c>
      <c r="AU26" s="118" t="s">
        <v>539</v>
      </c>
      <c r="AV26" s="118" t="s">
        <v>539</v>
      </c>
      <c r="AW26" s="118" t="s">
        <v>539</v>
      </c>
      <c r="AX26" s="118" t="s">
        <v>539</v>
      </c>
      <c r="AY26" s="118" t="s">
        <v>539</v>
      </c>
      <c r="AZ26" s="118" t="s">
        <v>539</v>
      </c>
      <c r="BA26" s="118" t="s">
        <v>539</v>
      </c>
      <c r="BB26" s="118" t="s">
        <v>539</v>
      </c>
      <c r="BC26" s="118" t="s">
        <v>539</v>
      </c>
      <c r="BD26" s="118" t="s">
        <v>539</v>
      </c>
      <c r="BE26" s="118" t="s">
        <v>539</v>
      </c>
      <c r="BF26" s="118" t="s">
        <v>539</v>
      </c>
      <c r="BG26" s="118" t="s">
        <v>539</v>
      </c>
      <c r="BH26" s="118" t="s">
        <v>539</v>
      </c>
      <c r="BI26" s="118" t="s">
        <v>539</v>
      </c>
      <c r="BJ26" s="118" t="s">
        <v>539</v>
      </c>
      <c r="BK26" s="118" t="s">
        <v>539</v>
      </c>
      <c r="BL26" s="118" t="s">
        <v>539</v>
      </c>
      <c r="BM26" s="118" t="s">
        <v>539</v>
      </c>
      <c r="BN26" s="118" t="s">
        <v>539</v>
      </c>
      <c r="BO26" s="118" t="s">
        <v>539</v>
      </c>
      <c r="BP26" s="118" t="s">
        <v>539</v>
      </c>
      <c r="BQ26" s="118" t="s">
        <v>539</v>
      </c>
      <c r="BR26" s="118" t="s">
        <v>539</v>
      </c>
      <c r="BS26" s="118" t="s">
        <v>539</v>
      </c>
      <c r="BT26" s="118" t="s">
        <v>539</v>
      </c>
      <c r="BU26" s="118" t="s">
        <v>539</v>
      </c>
      <c r="BV26" s="118" t="s">
        <v>539</v>
      </c>
      <c r="BW26" s="118" t="s">
        <v>539</v>
      </c>
      <c r="BX26" s="118" t="s">
        <v>539</v>
      </c>
      <c r="BY26" s="118" t="s">
        <v>539</v>
      </c>
      <c r="BZ26" s="118" t="s">
        <v>539</v>
      </c>
      <c r="CA26" s="118" t="s">
        <v>539</v>
      </c>
      <c r="CB26" s="118" t="s">
        <v>539</v>
      </c>
      <c r="CC26" s="118" t="s">
        <v>539</v>
      </c>
      <c r="CD26" s="118" t="s">
        <v>539</v>
      </c>
      <c r="CE26" s="118" t="s">
        <v>539</v>
      </c>
      <c r="CF26" s="118" t="s">
        <v>539</v>
      </c>
      <c r="CG26" s="118" t="s">
        <v>539</v>
      </c>
      <c r="CH26" s="118" t="s">
        <v>539</v>
      </c>
      <c r="CI26" s="118" t="s">
        <v>539</v>
      </c>
      <c r="CJ26" s="118" t="s">
        <v>539</v>
      </c>
      <c r="CK26" s="118" t="s">
        <v>539</v>
      </c>
      <c r="CL26" s="118" t="s">
        <v>539</v>
      </c>
      <c r="CM26" s="118" t="s">
        <v>539</v>
      </c>
      <c r="CN26" s="118" t="s">
        <v>539</v>
      </c>
      <c r="CO26" s="118" t="s">
        <v>539</v>
      </c>
      <c r="CP26" s="118" t="s">
        <v>539</v>
      </c>
      <c r="CQ26" s="118" t="s">
        <v>539</v>
      </c>
      <c r="CR26" s="118" t="s">
        <v>539</v>
      </c>
      <c r="CS26" s="118" t="s">
        <v>539</v>
      </c>
      <c r="CT26" s="118" t="s">
        <v>539</v>
      </c>
      <c r="CU26" s="118" t="s">
        <v>539</v>
      </c>
      <c r="CV26" s="118" t="s">
        <v>539</v>
      </c>
      <c r="CW26" s="118" t="s">
        <v>539</v>
      </c>
      <c r="CX26" s="118" t="s">
        <v>539</v>
      </c>
      <c r="CY26" s="118" t="s">
        <v>539</v>
      </c>
      <c r="CZ26" s="118" t="s">
        <v>539</v>
      </c>
      <c r="DA26" s="118" t="s">
        <v>539</v>
      </c>
      <c r="DB26" s="118" t="s">
        <v>539</v>
      </c>
      <c r="DC26" s="118" t="s">
        <v>539</v>
      </c>
    </row>
    <row r="27" spans="2:107" ht="30" x14ac:dyDescent="0.3">
      <c r="B27" s="178"/>
      <c r="C27" s="178"/>
      <c r="D27" s="178"/>
      <c r="E27" s="178"/>
      <c r="F27" s="178"/>
      <c r="G27" s="178"/>
      <c r="H27" s="173"/>
      <c r="I27" s="173"/>
      <c r="J27" s="173"/>
      <c r="K27" s="173"/>
      <c r="L27" s="173"/>
      <c r="M27" s="173"/>
      <c r="N27" s="173"/>
      <c r="O27" s="118" t="s">
        <v>753</v>
      </c>
      <c r="P27" s="175" t="s">
        <v>691</v>
      </c>
      <c r="Q27" s="118" t="s">
        <v>697</v>
      </c>
      <c r="R27" s="118" t="s">
        <v>56</v>
      </c>
      <c r="S27" s="118" t="s">
        <v>693</v>
      </c>
      <c r="T27" s="118" t="s">
        <v>539</v>
      </c>
      <c r="U27" s="118" t="s">
        <v>753</v>
      </c>
      <c r="V27" s="118" t="s">
        <v>539</v>
      </c>
      <c r="W27" s="118" t="s">
        <v>754</v>
      </c>
      <c r="X27" s="118" t="s">
        <v>539</v>
      </c>
      <c r="Y27" s="118" t="s">
        <v>755</v>
      </c>
      <c r="Z27" s="118" t="s">
        <v>56</v>
      </c>
      <c r="AA27" s="118" t="s">
        <v>539</v>
      </c>
      <c r="AB27" s="118" t="s">
        <v>539</v>
      </c>
      <c r="AC27" s="118" t="s">
        <v>539</v>
      </c>
      <c r="AD27" s="118" t="s">
        <v>539</v>
      </c>
      <c r="AE27" s="118" t="s">
        <v>539</v>
      </c>
      <c r="AF27" s="118" t="s">
        <v>539</v>
      </c>
      <c r="AG27" s="118" t="s">
        <v>539</v>
      </c>
      <c r="AH27" s="118" t="s">
        <v>539</v>
      </c>
      <c r="AI27" s="118" t="s">
        <v>539</v>
      </c>
      <c r="AJ27" s="118" t="s">
        <v>539</v>
      </c>
      <c r="AK27" s="118" t="s">
        <v>539</v>
      </c>
      <c r="AL27" s="118" t="s">
        <v>539</v>
      </c>
      <c r="AM27" s="118" t="s">
        <v>539</v>
      </c>
      <c r="AN27" s="118" t="s">
        <v>539</v>
      </c>
      <c r="AO27" s="118" t="s">
        <v>539</v>
      </c>
      <c r="AP27" s="118" t="s">
        <v>539</v>
      </c>
      <c r="AQ27" s="118" t="s">
        <v>539</v>
      </c>
      <c r="AR27" s="118" t="s">
        <v>539</v>
      </c>
      <c r="AS27" s="118" t="s">
        <v>539</v>
      </c>
      <c r="AT27" s="118" t="s">
        <v>539</v>
      </c>
      <c r="AU27" s="118" t="s">
        <v>539</v>
      </c>
      <c r="AV27" s="118" t="s">
        <v>539</v>
      </c>
      <c r="AW27" s="118" t="s">
        <v>539</v>
      </c>
      <c r="AX27" s="118" t="s">
        <v>539</v>
      </c>
      <c r="AY27" s="118" t="s">
        <v>539</v>
      </c>
      <c r="AZ27" s="118" t="s">
        <v>539</v>
      </c>
      <c r="BA27" s="118" t="s">
        <v>539</v>
      </c>
      <c r="BB27" s="118" t="s">
        <v>539</v>
      </c>
      <c r="BC27" s="118" t="s">
        <v>539</v>
      </c>
      <c r="BD27" s="118" t="s">
        <v>539</v>
      </c>
      <c r="BE27" s="118" t="s">
        <v>539</v>
      </c>
      <c r="BF27" s="118" t="s">
        <v>539</v>
      </c>
      <c r="BG27" s="118" t="s">
        <v>539</v>
      </c>
      <c r="BH27" s="118" t="s">
        <v>539</v>
      </c>
      <c r="BI27" s="118" t="s">
        <v>539</v>
      </c>
      <c r="BJ27" s="118" t="s">
        <v>539</v>
      </c>
      <c r="BK27" s="118" t="s">
        <v>539</v>
      </c>
      <c r="BL27" s="118" t="s">
        <v>539</v>
      </c>
      <c r="BM27" s="118" t="s">
        <v>539</v>
      </c>
      <c r="BN27" s="118" t="s">
        <v>539</v>
      </c>
      <c r="BO27" s="118" t="s">
        <v>539</v>
      </c>
      <c r="BP27" s="118" t="s">
        <v>539</v>
      </c>
      <c r="BQ27" s="118" t="s">
        <v>539</v>
      </c>
      <c r="BR27" s="118" t="s">
        <v>539</v>
      </c>
      <c r="BS27" s="118" t="s">
        <v>539</v>
      </c>
      <c r="BT27" s="118" t="s">
        <v>539</v>
      </c>
      <c r="BU27" s="118" t="s">
        <v>539</v>
      </c>
      <c r="BV27" s="118" t="s">
        <v>539</v>
      </c>
      <c r="BW27" s="118" t="s">
        <v>539</v>
      </c>
      <c r="BX27" s="118" t="s">
        <v>539</v>
      </c>
      <c r="BY27" s="118" t="s">
        <v>539</v>
      </c>
      <c r="BZ27" s="118" t="s">
        <v>539</v>
      </c>
      <c r="CA27" s="118" t="s">
        <v>539</v>
      </c>
      <c r="CB27" s="118" t="s">
        <v>539</v>
      </c>
      <c r="CC27" s="118" t="s">
        <v>539</v>
      </c>
      <c r="CD27" s="118" t="s">
        <v>539</v>
      </c>
      <c r="CE27" s="118" t="s">
        <v>539</v>
      </c>
      <c r="CF27" s="118" t="s">
        <v>539</v>
      </c>
      <c r="CG27" s="118" t="s">
        <v>539</v>
      </c>
      <c r="CH27" s="118" t="s">
        <v>539</v>
      </c>
      <c r="CI27" s="118" t="s">
        <v>539</v>
      </c>
      <c r="CJ27" s="118" t="s">
        <v>539</v>
      </c>
      <c r="CK27" s="118" t="s">
        <v>539</v>
      </c>
      <c r="CL27" s="118" t="s">
        <v>539</v>
      </c>
      <c r="CM27" s="118" t="s">
        <v>539</v>
      </c>
      <c r="CN27" s="118" t="s">
        <v>539</v>
      </c>
      <c r="CO27" s="118" t="s">
        <v>539</v>
      </c>
      <c r="CP27" s="118" t="s">
        <v>539</v>
      </c>
      <c r="CQ27" s="118" t="s">
        <v>539</v>
      </c>
      <c r="CR27" s="118" t="s">
        <v>539</v>
      </c>
      <c r="CS27" s="118" t="s">
        <v>539</v>
      </c>
      <c r="CT27" s="118" t="s">
        <v>539</v>
      </c>
      <c r="CU27" s="118" t="s">
        <v>539</v>
      </c>
      <c r="CV27" s="118" t="s">
        <v>539</v>
      </c>
      <c r="CW27" s="118" t="s">
        <v>539</v>
      </c>
      <c r="CX27" s="118" t="s">
        <v>539</v>
      </c>
      <c r="CY27" s="118" t="s">
        <v>539</v>
      </c>
      <c r="CZ27" s="118" t="s">
        <v>539</v>
      </c>
      <c r="DA27" s="118" t="s">
        <v>539</v>
      </c>
      <c r="DB27" s="118" t="s">
        <v>539</v>
      </c>
      <c r="DC27" s="118" t="s">
        <v>539</v>
      </c>
    </row>
    <row r="28" spans="2:107" ht="30" x14ac:dyDescent="0.3">
      <c r="B28" s="178"/>
      <c r="C28" s="178"/>
      <c r="D28" s="178"/>
      <c r="E28" s="178"/>
      <c r="F28" s="178"/>
      <c r="G28" s="178"/>
      <c r="H28" s="173"/>
      <c r="I28" s="173"/>
      <c r="J28" s="173"/>
      <c r="K28" s="173"/>
      <c r="L28" s="173"/>
      <c r="M28" s="173"/>
      <c r="N28" s="173"/>
      <c r="O28" s="118" t="s">
        <v>756</v>
      </c>
      <c r="P28" s="175" t="s">
        <v>691</v>
      </c>
      <c r="Q28" s="118" t="s">
        <v>697</v>
      </c>
      <c r="R28" s="118" t="s">
        <v>56</v>
      </c>
      <c r="S28" s="118" t="s">
        <v>693</v>
      </c>
      <c r="T28" s="118" t="s">
        <v>539</v>
      </c>
      <c r="U28" s="118" t="s">
        <v>756</v>
      </c>
      <c r="V28" s="118" t="s">
        <v>539</v>
      </c>
      <c r="W28" s="118" t="s">
        <v>757</v>
      </c>
      <c r="X28" s="118" t="s">
        <v>539</v>
      </c>
      <c r="Y28" s="118" t="s">
        <v>758</v>
      </c>
      <c r="Z28" s="118" t="s">
        <v>56</v>
      </c>
      <c r="AA28" s="118" t="s">
        <v>539</v>
      </c>
      <c r="AB28" s="118" t="s">
        <v>539</v>
      </c>
      <c r="AC28" s="118" t="s">
        <v>539</v>
      </c>
      <c r="AD28" s="118" t="s">
        <v>539</v>
      </c>
      <c r="AE28" s="118" t="s">
        <v>539</v>
      </c>
      <c r="AF28" s="118" t="s">
        <v>539</v>
      </c>
      <c r="AG28" s="118" t="s">
        <v>539</v>
      </c>
      <c r="AH28" s="118" t="s">
        <v>539</v>
      </c>
      <c r="AI28" s="118" t="s">
        <v>539</v>
      </c>
      <c r="AJ28" s="118" t="s">
        <v>539</v>
      </c>
      <c r="AK28" s="118" t="s">
        <v>539</v>
      </c>
      <c r="AL28" s="118" t="s">
        <v>539</v>
      </c>
      <c r="AM28" s="118" t="s">
        <v>539</v>
      </c>
      <c r="AN28" s="118" t="s">
        <v>539</v>
      </c>
      <c r="AO28" s="118" t="s">
        <v>539</v>
      </c>
      <c r="AP28" s="118" t="s">
        <v>539</v>
      </c>
      <c r="AQ28" s="118" t="s">
        <v>539</v>
      </c>
      <c r="AR28" s="118" t="s">
        <v>539</v>
      </c>
      <c r="AS28" s="118" t="s">
        <v>539</v>
      </c>
      <c r="AT28" s="118" t="s">
        <v>539</v>
      </c>
      <c r="AU28" s="118" t="s">
        <v>539</v>
      </c>
      <c r="AV28" s="118" t="s">
        <v>539</v>
      </c>
      <c r="AW28" s="118" t="s">
        <v>539</v>
      </c>
      <c r="AX28" s="118" t="s">
        <v>539</v>
      </c>
      <c r="AY28" s="118" t="s">
        <v>539</v>
      </c>
      <c r="AZ28" s="118" t="s">
        <v>539</v>
      </c>
      <c r="BA28" s="118" t="s">
        <v>539</v>
      </c>
      <c r="BB28" s="118" t="s">
        <v>539</v>
      </c>
      <c r="BC28" s="118" t="s">
        <v>539</v>
      </c>
      <c r="BD28" s="118" t="s">
        <v>539</v>
      </c>
      <c r="BE28" s="118" t="s">
        <v>539</v>
      </c>
      <c r="BF28" s="118" t="s">
        <v>539</v>
      </c>
      <c r="BG28" s="118" t="s">
        <v>539</v>
      </c>
      <c r="BH28" s="118" t="s">
        <v>539</v>
      </c>
      <c r="BI28" s="118" t="s">
        <v>539</v>
      </c>
      <c r="BJ28" s="118" t="s">
        <v>539</v>
      </c>
      <c r="BK28" s="118" t="s">
        <v>539</v>
      </c>
      <c r="BL28" s="118" t="s">
        <v>539</v>
      </c>
      <c r="BM28" s="118" t="s">
        <v>539</v>
      </c>
      <c r="BN28" s="118" t="s">
        <v>539</v>
      </c>
      <c r="BO28" s="118" t="s">
        <v>539</v>
      </c>
      <c r="BP28" s="118" t="s">
        <v>539</v>
      </c>
      <c r="BQ28" s="118" t="s">
        <v>539</v>
      </c>
      <c r="BR28" s="118" t="s">
        <v>539</v>
      </c>
      <c r="BS28" s="118" t="s">
        <v>539</v>
      </c>
      <c r="BT28" s="118" t="s">
        <v>539</v>
      </c>
      <c r="BU28" s="118" t="s">
        <v>539</v>
      </c>
      <c r="BV28" s="118" t="s">
        <v>539</v>
      </c>
      <c r="BW28" s="118" t="s">
        <v>539</v>
      </c>
      <c r="BX28" s="118" t="s">
        <v>539</v>
      </c>
      <c r="BY28" s="118" t="s">
        <v>539</v>
      </c>
      <c r="BZ28" s="118" t="s">
        <v>539</v>
      </c>
      <c r="CA28" s="118" t="s">
        <v>539</v>
      </c>
      <c r="CB28" s="118" t="s">
        <v>539</v>
      </c>
      <c r="CC28" s="118" t="s">
        <v>539</v>
      </c>
      <c r="CD28" s="118" t="s">
        <v>539</v>
      </c>
      <c r="CE28" s="118" t="s">
        <v>539</v>
      </c>
      <c r="CF28" s="118" t="s">
        <v>539</v>
      </c>
      <c r="CG28" s="118" t="s">
        <v>539</v>
      </c>
      <c r="CH28" s="118" t="s">
        <v>539</v>
      </c>
      <c r="CI28" s="118" t="s">
        <v>539</v>
      </c>
      <c r="CJ28" s="118" t="s">
        <v>539</v>
      </c>
      <c r="CK28" s="118" t="s">
        <v>539</v>
      </c>
      <c r="CL28" s="118" t="s">
        <v>539</v>
      </c>
      <c r="CM28" s="118" t="s">
        <v>539</v>
      </c>
      <c r="CN28" s="118" t="s">
        <v>539</v>
      </c>
      <c r="CO28" s="118" t="s">
        <v>539</v>
      </c>
      <c r="CP28" s="118" t="s">
        <v>539</v>
      </c>
      <c r="CQ28" s="118" t="s">
        <v>539</v>
      </c>
      <c r="CR28" s="118" t="s">
        <v>539</v>
      </c>
      <c r="CS28" s="118" t="s">
        <v>539</v>
      </c>
      <c r="CT28" s="118" t="s">
        <v>539</v>
      </c>
      <c r="CU28" s="118" t="s">
        <v>539</v>
      </c>
      <c r="CV28" s="118" t="s">
        <v>539</v>
      </c>
      <c r="CW28" s="118" t="s">
        <v>539</v>
      </c>
      <c r="CX28" s="118" t="s">
        <v>539</v>
      </c>
      <c r="CY28" s="118" t="s">
        <v>539</v>
      </c>
      <c r="CZ28" s="118" t="s">
        <v>539</v>
      </c>
      <c r="DA28" s="118" t="s">
        <v>539</v>
      </c>
      <c r="DB28" s="118" t="s">
        <v>539</v>
      </c>
      <c r="DC28" s="118" t="s">
        <v>539</v>
      </c>
    </row>
    <row r="29" spans="2:107" ht="30" x14ac:dyDescent="0.3">
      <c r="B29" s="178"/>
      <c r="C29" s="178"/>
      <c r="D29" s="178"/>
      <c r="E29" s="178"/>
      <c r="F29" s="178"/>
      <c r="G29" s="178"/>
      <c r="H29" s="173"/>
      <c r="I29" s="173"/>
      <c r="J29" s="173"/>
      <c r="K29" s="173"/>
      <c r="L29" s="173"/>
      <c r="M29" s="173"/>
      <c r="N29" s="173"/>
      <c r="O29" s="118" t="s">
        <v>759</v>
      </c>
      <c r="P29" s="175" t="s">
        <v>691</v>
      </c>
      <c r="Q29" s="118" t="s">
        <v>697</v>
      </c>
      <c r="R29" s="118" t="s">
        <v>56</v>
      </c>
      <c r="S29" s="118" t="s">
        <v>693</v>
      </c>
      <c r="T29" s="118" t="s">
        <v>539</v>
      </c>
      <c r="U29" s="118" t="s">
        <v>759</v>
      </c>
      <c r="V29" s="118" t="s">
        <v>539</v>
      </c>
      <c r="W29" s="118" t="s">
        <v>760</v>
      </c>
      <c r="X29" s="118" t="s">
        <v>539</v>
      </c>
      <c r="Y29" s="118" t="s">
        <v>711</v>
      </c>
      <c r="Z29" s="118" t="s">
        <v>56</v>
      </c>
      <c r="AA29" s="118" t="s">
        <v>539</v>
      </c>
      <c r="AB29" s="118" t="s">
        <v>539</v>
      </c>
      <c r="AC29" s="118" t="s">
        <v>539</v>
      </c>
      <c r="AD29" s="118" t="s">
        <v>539</v>
      </c>
      <c r="AE29" s="118" t="s">
        <v>539</v>
      </c>
      <c r="AF29" s="118" t="s">
        <v>539</v>
      </c>
      <c r="AG29" s="118" t="s">
        <v>539</v>
      </c>
      <c r="AH29" s="118" t="s">
        <v>539</v>
      </c>
      <c r="AI29" s="118" t="s">
        <v>539</v>
      </c>
      <c r="AJ29" s="118" t="s">
        <v>539</v>
      </c>
      <c r="AK29" s="118" t="s">
        <v>539</v>
      </c>
      <c r="AL29" s="118" t="s">
        <v>539</v>
      </c>
      <c r="AM29" s="118" t="s">
        <v>539</v>
      </c>
      <c r="AN29" s="118" t="s">
        <v>539</v>
      </c>
      <c r="AO29" s="118" t="s">
        <v>539</v>
      </c>
      <c r="AP29" s="118" t="s">
        <v>539</v>
      </c>
      <c r="AQ29" s="118" t="s">
        <v>539</v>
      </c>
      <c r="AR29" s="118" t="s">
        <v>539</v>
      </c>
      <c r="AS29" s="118" t="s">
        <v>539</v>
      </c>
      <c r="AT29" s="118" t="s">
        <v>539</v>
      </c>
      <c r="AU29" s="118" t="s">
        <v>539</v>
      </c>
      <c r="AV29" s="118" t="s">
        <v>539</v>
      </c>
      <c r="AW29" s="118" t="s">
        <v>539</v>
      </c>
      <c r="AX29" s="118" t="s">
        <v>539</v>
      </c>
      <c r="AY29" s="118" t="s">
        <v>539</v>
      </c>
      <c r="AZ29" s="118" t="s">
        <v>539</v>
      </c>
      <c r="BA29" s="118" t="s">
        <v>539</v>
      </c>
      <c r="BB29" s="118" t="s">
        <v>539</v>
      </c>
      <c r="BC29" s="118" t="s">
        <v>539</v>
      </c>
      <c r="BD29" s="118" t="s">
        <v>539</v>
      </c>
      <c r="BE29" s="118" t="s">
        <v>539</v>
      </c>
      <c r="BF29" s="118" t="s">
        <v>539</v>
      </c>
      <c r="BG29" s="118" t="s">
        <v>539</v>
      </c>
      <c r="BH29" s="118" t="s">
        <v>539</v>
      </c>
      <c r="BI29" s="118" t="s">
        <v>539</v>
      </c>
      <c r="BJ29" s="118" t="s">
        <v>539</v>
      </c>
      <c r="BK29" s="118" t="s">
        <v>539</v>
      </c>
      <c r="BL29" s="118" t="s">
        <v>539</v>
      </c>
      <c r="BM29" s="118" t="s">
        <v>539</v>
      </c>
      <c r="BN29" s="118" t="s">
        <v>539</v>
      </c>
      <c r="BO29" s="118" t="s">
        <v>539</v>
      </c>
      <c r="BP29" s="118" t="s">
        <v>539</v>
      </c>
      <c r="BQ29" s="118" t="s">
        <v>539</v>
      </c>
      <c r="BR29" s="118" t="s">
        <v>539</v>
      </c>
      <c r="BS29" s="118" t="s">
        <v>539</v>
      </c>
      <c r="BT29" s="118" t="s">
        <v>539</v>
      </c>
      <c r="BU29" s="118" t="s">
        <v>539</v>
      </c>
      <c r="BV29" s="118" t="s">
        <v>539</v>
      </c>
      <c r="BW29" s="118" t="s">
        <v>539</v>
      </c>
      <c r="BX29" s="118" t="s">
        <v>539</v>
      </c>
      <c r="BY29" s="118" t="s">
        <v>539</v>
      </c>
      <c r="BZ29" s="118" t="s">
        <v>539</v>
      </c>
      <c r="CA29" s="118" t="s">
        <v>539</v>
      </c>
      <c r="CB29" s="118" t="s">
        <v>539</v>
      </c>
      <c r="CC29" s="118" t="s">
        <v>539</v>
      </c>
      <c r="CD29" s="118" t="s">
        <v>539</v>
      </c>
      <c r="CE29" s="118" t="s">
        <v>539</v>
      </c>
      <c r="CF29" s="118" t="s">
        <v>539</v>
      </c>
      <c r="CG29" s="118" t="s">
        <v>539</v>
      </c>
      <c r="CH29" s="118" t="s">
        <v>539</v>
      </c>
      <c r="CI29" s="118" t="s">
        <v>539</v>
      </c>
      <c r="CJ29" s="118" t="s">
        <v>539</v>
      </c>
      <c r="CK29" s="118" t="s">
        <v>539</v>
      </c>
      <c r="CL29" s="118" t="s">
        <v>539</v>
      </c>
      <c r="CM29" s="118" t="s">
        <v>539</v>
      </c>
      <c r="CN29" s="118" t="s">
        <v>539</v>
      </c>
      <c r="CO29" s="118" t="s">
        <v>539</v>
      </c>
      <c r="CP29" s="118" t="s">
        <v>539</v>
      </c>
      <c r="CQ29" s="118" t="s">
        <v>539</v>
      </c>
      <c r="CR29" s="118" t="s">
        <v>539</v>
      </c>
      <c r="CS29" s="118" t="s">
        <v>539</v>
      </c>
      <c r="CT29" s="118" t="s">
        <v>539</v>
      </c>
      <c r="CU29" s="118" t="s">
        <v>539</v>
      </c>
      <c r="CV29" s="118" t="s">
        <v>539</v>
      </c>
      <c r="CW29" s="118" t="s">
        <v>539</v>
      </c>
      <c r="CX29" s="118" t="s">
        <v>539</v>
      </c>
      <c r="CY29" s="118" t="s">
        <v>539</v>
      </c>
      <c r="CZ29" s="118" t="s">
        <v>539</v>
      </c>
      <c r="DA29" s="118" t="s">
        <v>539</v>
      </c>
      <c r="DB29" s="118" t="s">
        <v>539</v>
      </c>
      <c r="DC29" s="118" t="s">
        <v>539</v>
      </c>
    </row>
    <row r="30" spans="2:107" ht="30" x14ac:dyDescent="0.3">
      <c r="B30" s="178"/>
      <c r="C30" s="178"/>
      <c r="D30" s="178"/>
      <c r="E30" s="178"/>
      <c r="F30" s="178"/>
      <c r="G30" s="178"/>
      <c r="H30" s="173"/>
      <c r="I30" s="173"/>
      <c r="J30" s="173"/>
      <c r="K30" s="173"/>
      <c r="L30" s="173"/>
      <c r="M30" s="173"/>
      <c r="N30" s="173"/>
      <c r="O30" s="118" t="s">
        <v>761</v>
      </c>
      <c r="P30" s="175" t="s">
        <v>691</v>
      </c>
      <c r="Q30" s="118" t="s">
        <v>697</v>
      </c>
      <c r="R30" s="118" t="s">
        <v>56</v>
      </c>
      <c r="S30" s="118" t="s">
        <v>693</v>
      </c>
      <c r="T30" s="118" t="s">
        <v>539</v>
      </c>
      <c r="U30" s="118" t="s">
        <v>761</v>
      </c>
      <c r="V30" s="118" t="s">
        <v>539</v>
      </c>
      <c r="W30" s="118" t="s">
        <v>762</v>
      </c>
      <c r="X30" s="118" t="s">
        <v>539</v>
      </c>
      <c r="Y30" s="118" t="s">
        <v>763</v>
      </c>
      <c r="Z30" s="118" t="s">
        <v>56</v>
      </c>
      <c r="AA30" s="118" t="s">
        <v>539</v>
      </c>
      <c r="AB30" s="118" t="s">
        <v>539</v>
      </c>
      <c r="AC30" s="118" t="s">
        <v>539</v>
      </c>
      <c r="AD30" s="118" t="s">
        <v>539</v>
      </c>
      <c r="AE30" s="118" t="s">
        <v>539</v>
      </c>
      <c r="AF30" s="118" t="s">
        <v>539</v>
      </c>
      <c r="AG30" s="118" t="s">
        <v>539</v>
      </c>
      <c r="AH30" s="118" t="s">
        <v>539</v>
      </c>
      <c r="AI30" s="118" t="s">
        <v>539</v>
      </c>
      <c r="AJ30" s="118" t="s">
        <v>539</v>
      </c>
      <c r="AK30" s="118" t="s">
        <v>539</v>
      </c>
      <c r="AL30" s="118" t="s">
        <v>539</v>
      </c>
      <c r="AM30" s="118" t="s">
        <v>539</v>
      </c>
      <c r="AN30" s="118" t="s">
        <v>539</v>
      </c>
      <c r="AO30" s="118" t="s">
        <v>539</v>
      </c>
      <c r="AP30" s="118" t="s">
        <v>539</v>
      </c>
      <c r="AQ30" s="118" t="s">
        <v>539</v>
      </c>
      <c r="AR30" s="118" t="s">
        <v>539</v>
      </c>
      <c r="AS30" s="118" t="s">
        <v>539</v>
      </c>
      <c r="AT30" s="118" t="s">
        <v>539</v>
      </c>
      <c r="AU30" s="118" t="s">
        <v>539</v>
      </c>
      <c r="AV30" s="118" t="s">
        <v>539</v>
      </c>
      <c r="AW30" s="118" t="s">
        <v>539</v>
      </c>
      <c r="AX30" s="118" t="s">
        <v>539</v>
      </c>
      <c r="AY30" s="118" t="s">
        <v>539</v>
      </c>
      <c r="AZ30" s="118" t="s">
        <v>539</v>
      </c>
      <c r="BA30" s="118" t="s">
        <v>539</v>
      </c>
      <c r="BB30" s="118" t="s">
        <v>539</v>
      </c>
      <c r="BC30" s="118" t="s">
        <v>539</v>
      </c>
      <c r="BD30" s="118" t="s">
        <v>539</v>
      </c>
      <c r="BE30" s="118" t="s">
        <v>539</v>
      </c>
      <c r="BF30" s="118" t="s">
        <v>539</v>
      </c>
      <c r="BG30" s="118" t="s">
        <v>539</v>
      </c>
      <c r="BH30" s="118" t="s">
        <v>539</v>
      </c>
      <c r="BI30" s="118" t="s">
        <v>539</v>
      </c>
      <c r="BJ30" s="118" t="s">
        <v>539</v>
      </c>
      <c r="BK30" s="118" t="s">
        <v>539</v>
      </c>
      <c r="BL30" s="118" t="s">
        <v>539</v>
      </c>
      <c r="BM30" s="118" t="s">
        <v>539</v>
      </c>
      <c r="BN30" s="118" t="s">
        <v>539</v>
      </c>
      <c r="BO30" s="118" t="s">
        <v>539</v>
      </c>
      <c r="BP30" s="118" t="s">
        <v>539</v>
      </c>
      <c r="BQ30" s="118" t="s">
        <v>539</v>
      </c>
      <c r="BR30" s="118" t="s">
        <v>539</v>
      </c>
      <c r="BS30" s="118" t="s">
        <v>539</v>
      </c>
      <c r="BT30" s="118" t="s">
        <v>539</v>
      </c>
      <c r="BU30" s="118" t="s">
        <v>539</v>
      </c>
      <c r="BV30" s="118" t="s">
        <v>539</v>
      </c>
      <c r="BW30" s="118" t="s">
        <v>539</v>
      </c>
      <c r="BX30" s="118" t="s">
        <v>539</v>
      </c>
      <c r="BY30" s="118" t="s">
        <v>539</v>
      </c>
      <c r="BZ30" s="118" t="s">
        <v>539</v>
      </c>
      <c r="CA30" s="118" t="s">
        <v>539</v>
      </c>
      <c r="CB30" s="118" t="s">
        <v>539</v>
      </c>
      <c r="CC30" s="118" t="s">
        <v>539</v>
      </c>
      <c r="CD30" s="118" t="s">
        <v>539</v>
      </c>
      <c r="CE30" s="118" t="s">
        <v>539</v>
      </c>
      <c r="CF30" s="118" t="s">
        <v>539</v>
      </c>
      <c r="CG30" s="118" t="s">
        <v>539</v>
      </c>
      <c r="CH30" s="118" t="s">
        <v>539</v>
      </c>
      <c r="CI30" s="118" t="s">
        <v>539</v>
      </c>
      <c r="CJ30" s="118" t="s">
        <v>539</v>
      </c>
      <c r="CK30" s="118" t="s">
        <v>539</v>
      </c>
      <c r="CL30" s="118" t="s">
        <v>539</v>
      </c>
      <c r="CM30" s="118" t="s">
        <v>539</v>
      </c>
      <c r="CN30" s="118" t="s">
        <v>539</v>
      </c>
      <c r="CO30" s="118" t="s">
        <v>539</v>
      </c>
      <c r="CP30" s="118" t="s">
        <v>539</v>
      </c>
      <c r="CQ30" s="118" t="s">
        <v>539</v>
      </c>
      <c r="CR30" s="118" t="s">
        <v>539</v>
      </c>
      <c r="CS30" s="118" t="s">
        <v>539</v>
      </c>
      <c r="CT30" s="118" t="s">
        <v>539</v>
      </c>
      <c r="CU30" s="118" t="s">
        <v>539</v>
      </c>
      <c r="CV30" s="118" t="s">
        <v>539</v>
      </c>
      <c r="CW30" s="118" t="s">
        <v>539</v>
      </c>
      <c r="CX30" s="118" t="s">
        <v>539</v>
      </c>
      <c r="CY30" s="118" t="s">
        <v>539</v>
      </c>
      <c r="CZ30" s="118" t="s">
        <v>539</v>
      </c>
      <c r="DA30" s="118" t="s">
        <v>539</v>
      </c>
      <c r="DB30" s="118" t="s">
        <v>539</v>
      </c>
      <c r="DC30" s="118" t="s">
        <v>539</v>
      </c>
    </row>
    <row r="31" spans="2:107" ht="30" x14ac:dyDescent="0.3">
      <c r="B31" s="177"/>
      <c r="C31" s="177"/>
      <c r="D31" s="177"/>
      <c r="E31" s="177"/>
      <c r="F31" s="177"/>
      <c r="G31" s="177"/>
      <c r="H31" s="174"/>
      <c r="I31" s="174"/>
      <c r="J31" s="174"/>
      <c r="K31" s="174"/>
      <c r="L31" s="174"/>
      <c r="M31" s="174"/>
      <c r="N31" s="174"/>
      <c r="O31" s="118" t="s">
        <v>765</v>
      </c>
      <c r="P31" s="175" t="s">
        <v>691</v>
      </c>
      <c r="Q31" s="118" t="s">
        <v>697</v>
      </c>
      <c r="R31" s="118" t="s">
        <v>56</v>
      </c>
      <c r="S31" s="118" t="s">
        <v>693</v>
      </c>
      <c r="T31" s="118" t="s">
        <v>539</v>
      </c>
      <c r="U31" s="118" t="s">
        <v>764</v>
      </c>
      <c r="V31" s="118" t="s">
        <v>539</v>
      </c>
      <c r="W31" s="118" t="s">
        <v>766</v>
      </c>
      <c r="X31" s="118" t="s">
        <v>539</v>
      </c>
      <c r="Y31" s="118" t="s">
        <v>714</v>
      </c>
      <c r="Z31" s="118" t="s">
        <v>56</v>
      </c>
      <c r="AA31" s="118" t="s">
        <v>539</v>
      </c>
      <c r="AB31" s="118" t="s">
        <v>539</v>
      </c>
      <c r="AC31" s="118" t="s">
        <v>539</v>
      </c>
      <c r="AD31" s="118" t="s">
        <v>539</v>
      </c>
      <c r="AE31" s="118" t="s">
        <v>539</v>
      </c>
      <c r="AF31" s="118" t="s">
        <v>539</v>
      </c>
      <c r="AG31" s="118" t="s">
        <v>539</v>
      </c>
      <c r="AH31" s="118" t="s">
        <v>539</v>
      </c>
      <c r="AI31" s="118" t="s">
        <v>539</v>
      </c>
      <c r="AJ31" s="118" t="s">
        <v>539</v>
      </c>
      <c r="AK31" s="118" t="s">
        <v>539</v>
      </c>
      <c r="AL31" s="118" t="s">
        <v>539</v>
      </c>
      <c r="AM31" s="118" t="s">
        <v>539</v>
      </c>
      <c r="AN31" s="118" t="s">
        <v>539</v>
      </c>
      <c r="AO31" s="118" t="s">
        <v>539</v>
      </c>
      <c r="AP31" s="118" t="s">
        <v>539</v>
      </c>
      <c r="AQ31" s="118" t="s">
        <v>539</v>
      </c>
      <c r="AR31" s="118" t="s">
        <v>539</v>
      </c>
      <c r="AS31" s="118" t="s">
        <v>539</v>
      </c>
      <c r="AT31" s="118" t="s">
        <v>539</v>
      </c>
      <c r="AU31" s="118" t="s">
        <v>539</v>
      </c>
      <c r="AV31" s="118" t="s">
        <v>539</v>
      </c>
      <c r="AW31" s="118" t="s">
        <v>539</v>
      </c>
      <c r="AX31" s="118" t="s">
        <v>539</v>
      </c>
      <c r="AY31" s="118" t="s">
        <v>539</v>
      </c>
      <c r="AZ31" s="118" t="s">
        <v>539</v>
      </c>
      <c r="BA31" s="118" t="s">
        <v>539</v>
      </c>
      <c r="BB31" s="118" t="s">
        <v>539</v>
      </c>
      <c r="BC31" s="118" t="s">
        <v>539</v>
      </c>
      <c r="BD31" s="118" t="s">
        <v>539</v>
      </c>
      <c r="BE31" s="118" t="s">
        <v>539</v>
      </c>
      <c r="BF31" s="118" t="s">
        <v>539</v>
      </c>
      <c r="BG31" s="118" t="s">
        <v>539</v>
      </c>
      <c r="BH31" s="118" t="s">
        <v>539</v>
      </c>
      <c r="BI31" s="118" t="s">
        <v>539</v>
      </c>
      <c r="BJ31" s="118" t="s">
        <v>539</v>
      </c>
      <c r="BK31" s="118" t="s">
        <v>539</v>
      </c>
      <c r="BL31" s="118" t="s">
        <v>539</v>
      </c>
      <c r="BM31" s="118" t="s">
        <v>539</v>
      </c>
      <c r="BN31" s="118" t="s">
        <v>539</v>
      </c>
      <c r="BO31" s="118" t="s">
        <v>539</v>
      </c>
      <c r="BP31" s="118" t="s">
        <v>539</v>
      </c>
      <c r="BQ31" s="118" t="s">
        <v>539</v>
      </c>
      <c r="BR31" s="118" t="s">
        <v>539</v>
      </c>
      <c r="BS31" s="118" t="s">
        <v>539</v>
      </c>
      <c r="BT31" s="118" t="s">
        <v>539</v>
      </c>
      <c r="BU31" s="118" t="s">
        <v>539</v>
      </c>
      <c r="BV31" s="118" t="s">
        <v>539</v>
      </c>
      <c r="BW31" s="118" t="s">
        <v>539</v>
      </c>
      <c r="BX31" s="118" t="s">
        <v>539</v>
      </c>
      <c r="BY31" s="118" t="s">
        <v>539</v>
      </c>
      <c r="BZ31" s="118" t="s">
        <v>539</v>
      </c>
      <c r="CA31" s="118" t="s">
        <v>539</v>
      </c>
      <c r="CB31" s="118" t="s">
        <v>539</v>
      </c>
      <c r="CC31" s="118" t="s">
        <v>539</v>
      </c>
      <c r="CD31" s="118" t="s">
        <v>539</v>
      </c>
      <c r="CE31" s="118" t="s">
        <v>539</v>
      </c>
      <c r="CF31" s="118" t="s">
        <v>539</v>
      </c>
      <c r="CG31" s="118" t="s">
        <v>539</v>
      </c>
      <c r="CH31" s="118" t="s">
        <v>539</v>
      </c>
      <c r="CI31" s="118" t="s">
        <v>539</v>
      </c>
      <c r="CJ31" s="118" t="s">
        <v>539</v>
      </c>
      <c r="CK31" s="118" t="s">
        <v>539</v>
      </c>
      <c r="CL31" s="118" t="s">
        <v>539</v>
      </c>
      <c r="CM31" s="118" t="s">
        <v>539</v>
      </c>
      <c r="CN31" s="118" t="s">
        <v>539</v>
      </c>
      <c r="CO31" s="118" t="s">
        <v>539</v>
      </c>
      <c r="CP31" s="118" t="s">
        <v>539</v>
      </c>
      <c r="CQ31" s="118" t="s">
        <v>539</v>
      </c>
      <c r="CR31" s="118" t="s">
        <v>539</v>
      </c>
      <c r="CS31" s="118" t="s">
        <v>539</v>
      </c>
      <c r="CT31" s="118" t="s">
        <v>539</v>
      </c>
      <c r="CU31" s="118" t="s">
        <v>539</v>
      </c>
      <c r="CV31" s="118" t="s">
        <v>539</v>
      </c>
      <c r="CW31" s="118" t="s">
        <v>539</v>
      </c>
      <c r="CX31" s="118" t="s">
        <v>539</v>
      </c>
      <c r="CY31" s="118" t="s">
        <v>539</v>
      </c>
      <c r="CZ31" s="118" t="s">
        <v>539</v>
      </c>
      <c r="DA31" s="118" t="s">
        <v>539</v>
      </c>
      <c r="DB31" s="118" t="s">
        <v>539</v>
      </c>
      <c r="DC31" s="118" t="s">
        <v>539</v>
      </c>
    </row>
    <row r="32" spans="2:107" ht="27.75" customHeight="1" x14ac:dyDescent="0.35"/>
  </sheetData>
  <sheetProtection insertRows="0" deleteRows="0" sort="0" autoFilter="0"/>
  <mergeCells count="4">
    <mergeCell ref="B4:B7"/>
    <mergeCell ref="CA4:CA5"/>
    <mergeCell ref="BY4:BY5"/>
    <mergeCell ref="BZ4:BZ5"/>
  </mergeCells>
  <phoneticPr fontId="13"/>
  <hyperlinks>
    <hyperlink ref="A3" location="パラメータ設定一覧!A1" display="パラメータ設定一覧へ" xr:uid="{1FAFD31E-2774-4637-BBBE-A5832C5568E7}"/>
  </hyperlinks>
  <pageMargins left="0.7" right="0.7" top="0.75" bottom="0.75" header="0.3" footer="0.3"/>
  <pageSetup paperSize="9"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E4DAEB-9571-4FD8-97A5-3E623529EE49}">
  <sheetPr codeName="Sheet6"/>
  <dimension ref="A1:R28"/>
  <sheetViews>
    <sheetView showGridLines="0" zoomScaleNormal="100" workbookViewId="0">
      <pane xSplit="3" ySplit="7" topLeftCell="D8" activePane="bottomRight" state="frozen"/>
      <selection pane="topRight"/>
      <selection pane="bottomLeft"/>
      <selection pane="bottomRight"/>
    </sheetView>
  </sheetViews>
  <sheetFormatPr defaultColWidth="8.78515625" defaultRowHeight="13.5" x14ac:dyDescent="0.35"/>
  <cols>
    <col min="1" max="1" width="2.78515625" style="38" customWidth="1"/>
    <col min="2" max="2" width="3.5703125" style="38" bestFit="1" customWidth="1"/>
    <col min="3" max="3" width="23.42578125" style="38" bestFit="1" customWidth="1"/>
    <col min="4" max="4" width="20.78515625" style="38" bestFit="1" customWidth="1"/>
    <col min="5" max="5" width="11.2109375" style="38" customWidth="1"/>
    <col min="6" max="6" width="8.2109375" style="38" bestFit="1" customWidth="1"/>
    <col min="7" max="7" width="17.640625" style="38" bestFit="1" customWidth="1"/>
    <col min="8" max="10" width="17.640625" style="38" customWidth="1"/>
    <col min="11" max="11" width="8.5703125" style="38" bestFit="1" customWidth="1"/>
    <col min="12" max="12" width="18.2109375" style="38" customWidth="1"/>
    <col min="13" max="14" width="9.5703125" style="38" bestFit="1" customWidth="1"/>
    <col min="15" max="15" width="7.78515625" style="38" customWidth="1"/>
    <col min="16" max="16" width="11.2109375" style="38" bestFit="1" customWidth="1"/>
    <col min="17" max="17" width="7.35546875" style="38" bestFit="1" customWidth="1"/>
    <col min="18" max="18" width="18" style="38" bestFit="1" customWidth="1"/>
    <col min="19" max="16384" width="8.78515625" style="38"/>
  </cols>
  <sheetData>
    <row r="1" spans="1:18" customFormat="1" ht="19.5" x14ac:dyDescent="0.35">
      <c r="A1" s="64" t="s">
        <v>607</v>
      </c>
    </row>
    <row r="2" spans="1:18" customFormat="1" ht="15" x14ac:dyDescent="0.35"/>
    <row r="3" spans="1:18" customFormat="1" ht="15" x14ac:dyDescent="0.35">
      <c r="A3" s="9" t="s">
        <v>670</v>
      </c>
    </row>
    <row r="4" spans="1:18" ht="15.75" customHeight="1" x14ac:dyDescent="0.35">
      <c r="B4" s="229" t="s">
        <v>1</v>
      </c>
      <c r="C4" s="108" t="s">
        <v>68</v>
      </c>
      <c r="D4" s="107"/>
      <c r="E4" s="107"/>
      <c r="F4" s="107"/>
      <c r="G4" s="97"/>
      <c r="H4" s="97"/>
      <c r="I4" s="97"/>
      <c r="J4" s="97"/>
      <c r="K4" s="97"/>
      <c r="L4" s="97"/>
      <c r="M4" s="97"/>
      <c r="N4" s="97"/>
      <c r="O4" s="97"/>
      <c r="P4" s="97"/>
      <c r="Q4" s="97"/>
      <c r="R4" s="98"/>
    </row>
    <row r="5" spans="1:18" ht="15.75" customHeight="1" x14ac:dyDescent="0.35">
      <c r="B5" s="229"/>
      <c r="C5" s="109"/>
      <c r="D5" s="110"/>
      <c r="E5" s="110"/>
      <c r="F5" s="111"/>
      <c r="G5" s="109" t="s">
        <v>76</v>
      </c>
      <c r="H5" s="110"/>
      <c r="I5" s="110"/>
      <c r="J5" s="110"/>
      <c r="K5" s="110"/>
      <c r="L5" s="110"/>
      <c r="M5" s="110"/>
      <c r="N5" s="110"/>
      <c r="O5" s="110"/>
      <c r="P5" s="110"/>
      <c r="Q5" s="110"/>
      <c r="R5" s="111"/>
    </row>
    <row r="6" spans="1:18" x14ac:dyDescent="0.35">
      <c r="B6" s="230"/>
      <c r="C6" s="95" t="s">
        <v>69</v>
      </c>
      <c r="D6" s="95" t="s">
        <v>70</v>
      </c>
      <c r="E6" s="95" t="s">
        <v>73</v>
      </c>
      <c r="F6" s="95" t="s">
        <v>75</v>
      </c>
      <c r="G6" s="95" t="s">
        <v>497</v>
      </c>
      <c r="H6" s="95" t="s">
        <v>500</v>
      </c>
      <c r="I6" s="95" t="s">
        <v>73</v>
      </c>
      <c r="J6" s="95" t="s">
        <v>77</v>
      </c>
      <c r="K6" s="95" t="s">
        <v>80</v>
      </c>
      <c r="L6" s="95" t="s">
        <v>70</v>
      </c>
      <c r="M6" s="95" t="s">
        <v>639</v>
      </c>
      <c r="N6" s="95" t="s">
        <v>82</v>
      </c>
      <c r="O6" s="95" t="s">
        <v>83</v>
      </c>
      <c r="P6" s="95" t="s">
        <v>84</v>
      </c>
      <c r="Q6" s="95" t="s">
        <v>85</v>
      </c>
      <c r="R6" s="95" t="s">
        <v>86</v>
      </c>
    </row>
    <row r="7" spans="1:18" x14ac:dyDescent="0.35">
      <c r="B7" s="230"/>
      <c r="C7" s="4" t="s">
        <v>44</v>
      </c>
      <c r="D7" s="4" t="s">
        <v>44</v>
      </c>
      <c r="E7" s="4"/>
      <c r="F7" s="4" t="s">
        <v>55</v>
      </c>
      <c r="G7" s="4" t="s">
        <v>44</v>
      </c>
      <c r="H7" s="4" t="s">
        <v>44</v>
      </c>
      <c r="I7" s="4"/>
      <c r="J7" s="4" t="s">
        <v>78</v>
      </c>
      <c r="K7" s="4" t="s">
        <v>81</v>
      </c>
      <c r="L7" s="4" t="s">
        <v>44</v>
      </c>
      <c r="M7" s="4" t="s">
        <v>44</v>
      </c>
      <c r="N7" s="4" t="s">
        <v>44</v>
      </c>
      <c r="O7" s="4" t="s">
        <v>44</v>
      </c>
      <c r="P7" s="4" t="s">
        <v>44</v>
      </c>
      <c r="Q7" s="4" t="s">
        <v>44</v>
      </c>
      <c r="R7" s="4" t="s">
        <v>55</v>
      </c>
    </row>
    <row r="8" spans="1:18" x14ac:dyDescent="0.35">
      <c r="B8" s="121">
        <f>ROW() - 7</f>
        <v>1</v>
      </c>
      <c r="C8" s="122"/>
      <c r="D8" s="123"/>
      <c r="E8" s="118"/>
      <c r="F8" s="118"/>
      <c r="G8" s="118"/>
      <c r="H8" s="118"/>
      <c r="I8" s="118"/>
      <c r="J8" s="118"/>
      <c r="K8" s="118"/>
      <c r="L8" s="123"/>
      <c r="M8" s="118"/>
      <c r="N8" s="118"/>
      <c r="O8" s="118"/>
      <c r="P8" s="118"/>
      <c r="Q8" s="118"/>
      <c r="R8" s="118"/>
    </row>
    <row r="9" spans="1:18" x14ac:dyDescent="0.3">
      <c r="B9" s="116">
        <f>ROW() - 7</f>
        <v>2</v>
      </c>
      <c r="C9" s="118"/>
      <c r="D9" s="123"/>
      <c r="E9" s="118"/>
      <c r="F9" s="118"/>
      <c r="G9" s="118"/>
      <c r="H9" s="118"/>
      <c r="I9" s="118"/>
      <c r="J9" s="118"/>
      <c r="K9" s="118"/>
      <c r="L9" s="123"/>
      <c r="M9" s="118"/>
      <c r="N9" s="118"/>
      <c r="O9" s="118"/>
      <c r="P9" s="118"/>
      <c r="Q9" s="118"/>
      <c r="R9" s="118"/>
    </row>
    <row r="10" spans="1:18" x14ac:dyDescent="0.3">
      <c r="B10" s="116">
        <f>ROW() - 7</f>
        <v>3</v>
      </c>
      <c r="C10" s="118"/>
      <c r="D10" s="118"/>
      <c r="E10" s="118"/>
      <c r="F10" s="118"/>
      <c r="G10" s="118"/>
      <c r="H10" s="118"/>
      <c r="I10" s="118"/>
      <c r="J10" s="118"/>
      <c r="K10" s="118"/>
      <c r="L10" s="118"/>
      <c r="M10" s="118"/>
      <c r="N10" s="118"/>
      <c r="O10" s="118"/>
      <c r="P10" s="118"/>
      <c r="Q10" s="118"/>
      <c r="R10" s="118"/>
    </row>
    <row r="11" spans="1:18" x14ac:dyDescent="0.3">
      <c r="B11" s="116">
        <f>ROW() - 7</f>
        <v>4</v>
      </c>
      <c r="C11" s="118"/>
      <c r="D11" s="118"/>
      <c r="E11" s="118"/>
      <c r="F11" s="118"/>
      <c r="G11" s="118"/>
      <c r="H11" s="118"/>
      <c r="I11" s="118"/>
      <c r="J11" s="118"/>
      <c r="K11" s="118"/>
      <c r="L11" s="118"/>
      <c r="M11" s="118"/>
      <c r="N11" s="118"/>
      <c r="O11" s="118"/>
      <c r="P11" s="118"/>
      <c r="Q11" s="118"/>
      <c r="R11" s="118"/>
    </row>
    <row r="25" hidden="1" x14ac:dyDescent="0.35"/>
    <row r="28" ht="27.75" customHeight="1" x14ac:dyDescent="0.35"/>
  </sheetData>
  <sheetProtection insertRows="0" deleteRows="0" sort="0" autoFilter="0" pivotTables="0"/>
  <mergeCells count="1">
    <mergeCell ref="B4:B7"/>
  </mergeCells>
  <phoneticPr fontId="13"/>
  <hyperlinks>
    <hyperlink ref="A3" location="パラメータ設定一覧!A1" display="パラメータ設定一覧へ" xr:uid="{5BC348E7-81E8-463F-926F-4EE04EC518AE}"/>
  </hyperlinks>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D2D41B-AF7A-4645-946E-1D3DDBF32FC2}">
  <sheetPr codeName="Sheet7"/>
  <dimension ref="A1:P28"/>
  <sheetViews>
    <sheetView showGridLines="0" zoomScaleNormal="100" workbookViewId="0">
      <pane xSplit="6" ySplit="7" topLeftCell="G8" activePane="bottomRight" state="frozen"/>
      <selection pane="topRight"/>
      <selection pane="bottomLeft"/>
      <selection pane="bottomRight"/>
    </sheetView>
  </sheetViews>
  <sheetFormatPr defaultColWidth="8.78515625" defaultRowHeight="13.5" x14ac:dyDescent="0.35"/>
  <cols>
    <col min="1" max="1" width="2.78515625" style="38" customWidth="1"/>
    <col min="2" max="2" width="3.5703125" style="38" bestFit="1" customWidth="1"/>
    <col min="3" max="3" width="27.35546875" style="38" bestFit="1" customWidth="1"/>
    <col min="4" max="4" width="7.640625" style="38" customWidth="1"/>
    <col min="5" max="5" width="17.42578125" style="38" bestFit="1" customWidth="1"/>
    <col min="6" max="6" width="25.78515625" style="38" customWidth="1"/>
    <col min="7" max="8" width="8.78515625" style="38"/>
    <col min="9" max="9" width="17.640625" style="38" customWidth="1"/>
    <col min="10" max="11" width="8.78515625" style="38"/>
    <col min="12" max="12" width="12.42578125" style="38" bestFit="1" customWidth="1"/>
    <col min="13" max="14" width="8.78515625" style="38"/>
    <col min="15" max="15" width="13.2109375" style="38" customWidth="1"/>
    <col min="16" max="16" width="15.140625" style="38" bestFit="1" customWidth="1"/>
    <col min="17" max="16384" width="8.78515625" style="38"/>
  </cols>
  <sheetData>
    <row r="1" spans="1:16" customFormat="1" ht="19.5" x14ac:dyDescent="0.35">
      <c r="A1" s="64" t="s">
        <v>608</v>
      </c>
    </row>
    <row r="2" spans="1:16" customFormat="1" ht="15" x14ac:dyDescent="0.35"/>
    <row r="3" spans="1:16" customFormat="1" ht="15" x14ac:dyDescent="0.35">
      <c r="A3" s="9" t="s">
        <v>670</v>
      </c>
    </row>
    <row r="4" spans="1:16" ht="15.75" customHeight="1" x14ac:dyDescent="0.35">
      <c r="B4" s="230" t="s">
        <v>1</v>
      </c>
      <c r="C4" s="65" t="s">
        <v>42</v>
      </c>
      <c r="D4" s="66"/>
      <c r="E4" s="66"/>
      <c r="F4" s="66"/>
      <c r="G4" s="65" t="s">
        <v>289</v>
      </c>
      <c r="H4" s="66"/>
      <c r="I4" s="66"/>
      <c r="J4" s="66"/>
      <c r="K4" s="66"/>
      <c r="L4" s="106"/>
      <c r="M4" s="106"/>
      <c r="N4" s="106"/>
      <c r="O4" s="106"/>
      <c r="P4" s="104"/>
    </row>
    <row r="5" spans="1:16" ht="15.75" customHeight="1" x14ac:dyDescent="0.35">
      <c r="B5" s="230"/>
      <c r="C5" s="68"/>
      <c r="D5" s="69"/>
      <c r="E5" s="69"/>
      <c r="F5" s="70"/>
      <c r="G5" s="109"/>
      <c r="H5" s="110"/>
      <c r="I5" s="110"/>
      <c r="J5" s="110"/>
      <c r="K5" s="111"/>
      <c r="L5" s="109" t="s">
        <v>96</v>
      </c>
      <c r="M5" s="110"/>
      <c r="N5" s="110"/>
      <c r="O5" s="110"/>
      <c r="P5" s="111"/>
    </row>
    <row r="6" spans="1:16" x14ac:dyDescent="0.35">
      <c r="B6" s="230"/>
      <c r="C6" s="94" t="s">
        <v>43</v>
      </c>
      <c r="D6" s="94" t="s">
        <v>46</v>
      </c>
      <c r="E6" s="94" t="s">
        <v>48</v>
      </c>
      <c r="F6" s="94" t="s">
        <v>77</v>
      </c>
      <c r="G6" s="95" t="s">
        <v>88</v>
      </c>
      <c r="H6" s="95" t="s">
        <v>89</v>
      </c>
      <c r="I6" s="95" t="s">
        <v>91</v>
      </c>
      <c r="J6" s="95" t="s">
        <v>93</v>
      </c>
      <c r="K6" s="95" t="s">
        <v>75</v>
      </c>
      <c r="L6" s="95" t="s">
        <v>97</v>
      </c>
      <c r="M6" s="95" t="s">
        <v>73</v>
      </c>
      <c r="N6" s="95" t="s">
        <v>101</v>
      </c>
      <c r="O6" s="95" t="s">
        <v>478</v>
      </c>
      <c r="P6" s="95" t="s">
        <v>502</v>
      </c>
    </row>
    <row r="7" spans="1:16" x14ac:dyDescent="0.35">
      <c r="B7" s="230"/>
      <c r="C7" s="4" t="s">
        <v>44</v>
      </c>
      <c r="D7" s="4" t="s">
        <v>44</v>
      </c>
      <c r="E7" s="4" t="s">
        <v>44</v>
      </c>
      <c r="F7" s="4" t="s">
        <v>479</v>
      </c>
      <c r="G7" s="4" t="s">
        <v>44</v>
      </c>
      <c r="H7" s="4"/>
      <c r="I7" s="4" t="s">
        <v>44</v>
      </c>
      <c r="J7" s="4" t="s">
        <v>44</v>
      </c>
      <c r="K7" s="4" t="s">
        <v>55</v>
      </c>
      <c r="L7" s="4" t="s">
        <v>44</v>
      </c>
      <c r="M7" s="4"/>
      <c r="N7" s="4" t="s">
        <v>55</v>
      </c>
      <c r="O7" s="4" t="s">
        <v>55</v>
      </c>
      <c r="P7" s="4" t="s">
        <v>55</v>
      </c>
    </row>
    <row r="8" spans="1:16" x14ac:dyDescent="0.35">
      <c r="B8" s="121">
        <f>ROW() - 7</f>
        <v>1</v>
      </c>
      <c r="C8" s="124"/>
      <c r="D8" s="124"/>
      <c r="E8" s="124"/>
      <c r="F8" s="124"/>
      <c r="G8" s="118"/>
      <c r="H8" s="118"/>
      <c r="I8" s="118"/>
      <c r="J8" s="118"/>
      <c r="K8" s="118"/>
      <c r="L8" s="118"/>
      <c r="M8" s="118"/>
      <c r="N8" s="118"/>
      <c r="O8" s="118"/>
      <c r="P8" s="118"/>
    </row>
    <row r="9" spans="1:16" x14ac:dyDescent="0.35">
      <c r="B9" s="121">
        <f t="shared" ref="B9:B11" si="0">ROW() - 7</f>
        <v>2</v>
      </c>
      <c r="C9" s="124"/>
      <c r="D9" s="124"/>
      <c r="E9" s="124"/>
      <c r="F9" s="124"/>
      <c r="G9" s="118"/>
      <c r="H9" s="118"/>
      <c r="I9" s="118"/>
      <c r="J9" s="118"/>
      <c r="K9" s="118"/>
      <c r="L9" s="118"/>
      <c r="M9" s="118"/>
      <c r="N9" s="118"/>
      <c r="O9" s="118"/>
      <c r="P9" s="118"/>
    </row>
    <row r="10" spans="1:16" x14ac:dyDescent="0.35">
      <c r="B10" s="121">
        <f t="shared" si="0"/>
        <v>3</v>
      </c>
      <c r="C10" s="124"/>
      <c r="D10" s="124"/>
      <c r="E10" s="124"/>
      <c r="F10" s="124"/>
      <c r="G10" s="118"/>
      <c r="H10" s="118"/>
      <c r="I10" s="118"/>
      <c r="J10" s="118"/>
      <c r="K10" s="118"/>
      <c r="L10" s="118"/>
      <c r="M10" s="118"/>
      <c r="N10" s="118"/>
      <c r="O10" s="118"/>
      <c r="P10" s="118"/>
    </row>
    <row r="11" spans="1:16" x14ac:dyDescent="0.3">
      <c r="B11" s="116">
        <f t="shared" si="0"/>
        <v>4</v>
      </c>
      <c r="C11" s="124"/>
      <c r="D11" s="124"/>
      <c r="E11" s="124"/>
      <c r="F11" s="124"/>
      <c r="G11" s="118"/>
      <c r="H11" s="118"/>
      <c r="I11" s="118"/>
      <c r="J11" s="118"/>
      <c r="K11" s="118"/>
      <c r="L11" s="118"/>
      <c r="M11" s="118"/>
      <c r="N11" s="118"/>
      <c r="O11" s="118"/>
      <c r="P11" s="118"/>
    </row>
    <row r="25" hidden="1" x14ac:dyDescent="0.35"/>
    <row r="28" ht="27.75" customHeight="1" x14ac:dyDescent="0.35"/>
  </sheetData>
  <sheetProtection insertRows="0" deleteRows="0" sort="0" autoFilter="0" pivotTables="0"/>
  <mergeCells count="1">
    <mergeCell ref="B4:B7"/>
  </mergeCells>
  <phoneticPr fontId="13"/>
  <hyperlinks>
    <hyperlink ref="A3" location="パラメータ設定一覧!A1" display="パラメータ設定一覧へ" xr:uid="{0413BC12-BA89-4ADC-952D-EE9EF376CA9C}"/>
  </hyperlinks>
  <pageMargins left="0.7" right="0.7" top="0.75" bottom="0.75" header="0.3" footer="0.3"/>
  <pageSetup paperSize="9"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83FDDD-5513-4C97-879F-0ED24ACB50D5}">
  <sheetPr codeName="Sheet123"/>
  <dimension ref="A1:G23"/>
  <sheetViews>
    <sheetView showGridLines="0" zoomScaleNormal="100" workbookViewId="0">
      <pane ySplit="5" topLeftCell="A6" activePane="bottomLeft" state="frozen"/>
      <selection pane="bottomLeft"/>
    </sheetView>
  </sheetViews>
  <sheetFormatPr defaultColWidth="8.78515625" defaultRowHeight="13.5" x14ac:dyDescent="0.35"/>
  <cols>
    <col min="1" max="1" width="2.78515625" style="38" customWidth="1"/>
    <col min="2" max="2" width="3.5703125" style="38" bestFit="1" customWidth="1"/>
    <col min="3" max="3" width="26.2109375" style="38" bestFit="1" customWidth="1"/>
    <col min="4" max="6" width="17.78515625" style="38" customWidth="1"/>
    <col min="7" max="7" width="66.2109375" style="38" bestFit="1" customWidth="1"/>
    <col min="8" max="16384" width="8.78515625" style="38"/>
  </cols>
  <sheetData>
    <row r="1" spans="1:7" customFormat="1" ht="19.5" x14ac:dyDescent="0.35">
      <c r="A1" s="7" t="s">
        <v>600</v>
      </c>
    </row>
    <row r="2" spans="1:7" customFormat="1" ht="15" x14ac:dyDescent="0.35"/>
    <row r="3" spans="1:7" customFormat="1" ht="15" x14ac:dyDescent="0.35">
      <c r="A3" s="9" t="s">
        <v>670</v>
      </c>
    </row>
    <row r="4" spans="1:7" x14ac:dyDescent="0.35">
      <c r="B4" s="230" t="s">
        <v>1</v>
      </c>
      <c r="C4" s="34" t="s">
        <v>18</v>
      </c>
      <c r="D4" s="94" t="s">
        <v>19</v>
      </c>
      <c r="E4" s="94" t="s">
        <v>20</v>
      </c>
      <c r="F4" s="94" t="s">
        <v>21</v>
      </c>
      <c r="G4" s="235" t="s">
        <v>22</v>
      </c>
    </row>
    <row r="5" spans="1:7" x14ac:dyDescent="0.35">
      <c r="B5" s="230"/>
      <c r="C5" s="3" t="s">
        <v>23</v>
      </c>
      <c r="D5" s="4" t="s">
        <v>655</v>
      </c>
      <c r="E5" s="4" t="s">
        <v>362</v>
      </c>
      <c r="F5" s="4"/>
      <c r="G5" s="236"/>
    </row>
    <row r="6" spans="1:7" x14ac:dyDescent="0.3">
      <c r="B6" s="125">
        <f t="shared" ref="B6:B23" si="0">ROW() - 5</f>
        <v>1</v>
      </c>
      <c r="C6" s="126" t="s">
        <v>291</v>
      </c>
      <c r="D6" s="116"/>
      <c r="E6" s="116" t="s">
        <v>292</v>
      </c>
      <c r="F6" s="116"/>
      <c r="G6" s="127" t="s">
        <v>28</v>
      </c>
    </row>
    <row r="7" spans="1:7" x14ac:dyDescent="0.3">
      <c r="B7" s="125">
        <f t="shared" si="0"/>
        <v>2</v>
      </c>
      <c r="C7" s="126" t="s">
        <v>29</v>
      </c>
      <c r="D7" s="116"/>
      <c r="E7" s="116" t="s">
        <v>292</v>
      </c>
      <c r="F7" s="116"/>
      <c r="G7" s="127" t="s">
        <v>30</v>
      </c>
    </row>
    <row r="8" spans="1:7" x14ac:dyDescent="0.3">
      <c r="B8" s="125">
        <f t="shared" si="0"/>
        <v>3</v>
      </c>
      <c r="C8" s="126" t="s">
        <v>293</v>
      </c>
      <c r="D8" s="116"/>
      <c r="E8" s="116" t="s">
        <v>292</v>
      </c>
      <c r="F8" s="116"/>
      <c r="G8" s="128" t="s">
        <v>25</v>
      </c>
    </row>
    <row r="9" spans="1:7" x14ac:dyDescent="0.3">
      <c r="B9" s="125">
        <f t="shared" si="0"/>
        <v>4</v>
      </c>
      <c r="C9" s="129" t="s">
        <v>294</v>
      </c>
      <c r="D9" s="116"/>
      <c r="E9" s="116" t="s">
        <v>292</v>
      </c>
      <c r="F9" s="120"/>
      <c r="G9" s="128" t="s">
        <v>24</v>
      </c>
    </row>
    <row r="10" spans="1:7" x14ac:dyDescent="0.3">
      <c r="B10" s="125">
        <f t="shared" si="0"/>
        <v>5</v>
      </c>
      <c r="C10" s="129" t="s">
        <v>295</v>
      </c>
      <c r="D10" s="116"/>
      <c r="E10" s="116" t="s">
        <v>292</v>
      </c>
      <c r="F10" s="120"/>
      <c r="G10" s="128" t="s">
        <v>26</v>
      </c>
    </row>
    <row r="11" spans="1:7" x14ac:dyDescent="0.3">
      <c r="B11" s="125">
        <f t="shared" si="0"/>
        <v>6</v>
      </c>
      <c r="C11" s="129" t="s">
        <v>296</v>
      </c>
      <c r="D11" s="116"/>
      <c r="E11" s="116" t="s">
        <v>292</v>
      </c>
      <c r="F11" s="120"/>
      <c r="G11" s="127" t="s">
        <v>27</v>
      </c>
    </row>
    <row r="12" spans="1:7" x14ac:dyDescent="0.3">
      <c r="B12" s="125">
        <f t="shared" si="0"/>
        <v>7</v>
      </c>
      <c r="C12" s="126"/>
      <c r="D12" s="116"/>
      <c r="E12" s="116"/>
      <c r="F12" s="116"/>
      <c r="G12" s="127"/>
    </row>
    <row r="13" spans="1:7" x14ac:dyDescent="0.3">
      <c r="B13" s="125">
        <f t="shared" si="0"/>
        <v>8</v>
      </c>
      <c r="C13" s="126"/>
      <c r="D13" s="116"/>
      <c r="E13" s="116"/>
      <c r="F13" s="116"/>
      <c r="G13" s="128"/>
    </row>
    <row r="14" spans="1:7" x14ac:dyDescent="0.3">
      <c r="B14" s="125">
        <f t="shared" si="0"/>
        <v>9</v>
      </c>
      <c r="C14" s="129"/>
      <c r="D14" s="116"/>
      <c r="E14" s="116"/>
      <c r="F14" s="120"/>
      <c r="G14" s="128"/>
    </row>
    <row r="15" spans="1:7" x14ac:dyDescent="0.3">
      <c r="B15" s="125">
        <f t="shared" si="0"/>
        <v>10</v>
      </c>
      <c r="C15" s="129"/>
      <c r="D15" s="116"/>
      <c r="E15" s="116"/>
      <c r="F15" s="120"/>
      <c r="G15" s="128"/>
    </row>
    <row r="16" spans="1:7" x14ac:dyDescent="0.3">
      <c r="B16" s="125">
        <f t="shared" si="0"/>
        <v>11</v>
      </c>
      <c r="C16" s="129"/>
      <c r="D16" s="116"/>
      <c r="E16" s="116"/>
      <c r="F16" s="120"/>
      <c r="G16" s="127"/>
    </row>
    <row r="17" spans="2:7" x14ac:dyDescent="0.3">
      <c r="B17" s="125">
        <f t="shared" si="0"/>
        <v>12</v>
      </c>
      <c r="C17" s="126"/>
      <c r="D17" s="116"/>
      <c r="E17" s="116"/>
      <c r="F17" s="116"/>
      <c r="G17" s="127"/>
    </row>
    <row r="18" spans="2:7" x14ac:dyDescent="0.3">
      <c r="B18" s="125">
        <f t="shared" si="0"/>
        <v>13</v>
      </c>
      <c r="C18" s="126"/>
      <c r="D18" s="116"/>
      <c r="E18" s="116"/>
      <c r="F18" s="116"/>
      <c r="G18" s="127"/>
    </row>
    <row r="19" spans="2:7" x14ac:dyDescent="0.3">
      <c r="B19" s="125">
        <f t="shared" si="0"/>
        <v>14</v>
      </c>
      <c r="C19" s="126"/>
      <c r="D19" s="116"/>
      <c r="E19" s="116"/>
      <c r="F19" s="116"/>
      <c r="G19" s="128"/>
    </row>
    <row r="20" spans="2:7" x14ac:dyDescent="0.3">
      <c r="B20" s="125">
        <f t="shared" si="0"/>
        <v>15</v>
      </c>
      <c r="C20" s="126"/>
      <c r="D20" s="116"/>
      <c r="E20" s="116"/>
      <c r="F20" s="116"/>
      <c r="G20" s="128"/>
    </row>
    <row r="21" spans="2:7" x14ac:dyDescent="0.3">
      <c r="B21" s="125">
        <f t="shared" si="0"/>
        <v>16</v>
      </c>
      <c r="C21" s="129"/>
      <c r="D21" s="116"/>
      <c r="E21" s="116"/>
      <c r="F21" s="120"/>
      <c r="G21" s="128"/>
    </row>
    <row r="22" spans="2:7" x14ac:dyDescent="0.3">
      <c r="B22" s="125">
        <f t="shared" si="0"/>
        <v>17</v>
      </c>
      <c r="C22" s="129"/>
      <c r="D22" s="116"/>
      <c r="E22" s="116"/>
      <c r="F22" s="120"/>
      <c r="G22" s="128"/>
    </row>
    <row r="23" spans="2:7" x14ac:dyDescent="0.3">
      <c r="B23" s="125">
        <f t="shared" si="0"/>
        <v>18</v>
      </c>
      <c r="C23" s="129"/>
      <c r="D23" s="116"/>
      <c r="E23" s="116"/>
      <c r="F23" s="120"/>
      <c r="G23" s="127"/>
    </row>
  </sheetData>
  <sheetProtection sort="0" autoFilter="0"/>
  <mergeCells count="2">
    <mergeCell ref="B4:B5"/>
    <mergeCell ref="G4:G5"/>
  </mergeCells>
  <phoneticPr fontId="13"/>
  <hyperlinks>
    <hyperlink ref="A3" location="パラメータ設定一覧!A1" display="パラメータ設定一覧へ" xr:uid="{27FFE07F-D36A-4082-8C64-581E1B999E71}"/>
  </hyperlinks>
  <pageMargins left="0.7" right="0.7" top="0.75" bottom="0.75" header="0.3" footer="0.3"/>
  <pageSetup paperSize="9" orientation="portrait" horizontalDpi="1200" verticalDpi="12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DBEC45-1225-4FD8-95F9-F50FF107B155}">
  <sheetPr codeName="Sheet8"/>
  <dimension ref="A1:I23"/>
  <sheetViews>
    <sheetView showGridLines="0" zoomScaleNormal="100" workbookViewId="0">
      <pane ySplit="5" topLeftCell="A6" activePane="bottomLeft" state="frozen"/>
      <selection pane="bottomLeft" activeCell="A6" sqref="A6"/>
    </sheetView>
  </sheetViews>
  <sheetFormatPr defaultColWidth="8.78515625" defaultRowHeight="13.5" x14ac:dyDescent="0.35"/>
  <cols>
    <col min="1" max="1" width="2.78515625" style="38" customWidth="1"/>
    <col min="2" max="2" width="3.5703125" style="38" bestFit="1" customWidth="1"/>
    <col min="3" max="3" width="26.2109375" style="38" bestFit="1" customWidth="1"/>
    <col min="4" max="9" width="17.78515625" style="38" customWidth="1"/>
    <col min="10" max="16384" width="8.78515625" style="38"/>
  </cols>
  <sheetData>
    <row r="1" spans="1:9" customFormat="1" ht="19.5" x14ac:dyDescent="0.35">
      <c r="A1" s="7" t="s">
        <v>601</v>
      </c>
    </row>
    <row r="2" spans="1:9" customFormat="1" ht="15" x14ac:dyDescent="0.35"/>
    <row r="3" spans="1:9" customFormat="1" ht="15" x14ac:dyDescent="0.35">
      <c r="A3" s="9" t="s">
        <v>670</v>
      </c>
    </row>
    <row r="4" spans="1:9" x14ac:dyDescent="0.35">
      <c r="B4" s="237" t="s">
        <v>1</v>
      </c>
      <c r="C4" s="34" t="s">
        <v>507</v>
      </c>
      <c r="D4" s="94" t="s">
        <v>509</v>
      </c>
      <c r="E4" s="94" t="s">
        <v>510</v>
      </c>
      <c r="F4" s="94" t="s">
        <v>511</v>
      </c>
      <c r="G4" s="94" t="s">
        <v>512</v>
      </c>
      <c r="H4" s="94" t="s">
        <v>513</v>
      </c>
      <c r="I4" s="94" t="s">
        <v>515</v>
      </c>
    </row>
    <row r="5" spans="1:9" x14ac:dyDescent="0.35">
      <c r="B5" s="238"/>
      <c r="C5" s="3"/>
      <c r="D5" s="4" t="s">
        <v>44</v>
      </c>
      <c r="E5" s="4" t="s">
        <v>55</v>
      </c>
      <c r="F5" s="4" t="s">
        <v>44</v>
      </c>
      <c r="G5" s="4" t="s">
        <v>44</v>
      </c>
      <c r="H5" s="4" t="s">
        <v>44</v>
      </c>
      <c r="I5" s="4" t="s">
        <v>44</v>
      </c>
    </row>
    <row r="6" spans="1:9" x14ac:dyDescent="0.3">
      <c r="B6" s="125">
        <f t="shared" ref="B6:B23" si="0">ROW() - 5</f>
        <v>1</v>
      </c>
      <c r="C6" s="126"/>
      <c r="D6" s="116"/>
      <c r="E6" s="116"/>
      <c r="F6" s="116"/>
      <c r="G6" s="116"/>
      <c r="H6" s="116"/>
      <c r="I6" s="116"/>
    </row>
    <row r="7" spans="1:9" x14ac:dyDescent="0.3">
      <c r="B7" s="125">
        <f t="shared" si="0"/>
        <v>2</v>
      </c>
      <c r="C7" s="126"/>
      <c r="D7" s="116"/>
      <c r="E7" s="116"/>
      <c r="F7" s="116"/>
      <c r="G7" s="116"/>
      <c r="H7" s="116"/>
      <c r="I7" s="116"/>
    </row>
    <row r="8" spans="1:9" x14ac:dyDescent="0.3">
      <c r="B8" s="125">
        <f t="shared" si="0"/>
        <v>3</v>
      </c>
      <c r="C8" s="126"/>
      <c r="D8" s="116"/>
      <c r="E8" s="116"/>
      <c r="F8" s="116"/>
      <c r="G8" s="116"/>
      <c r="H8" s="116"/>
      <c r="I8" s="116"/>
    </row>
    <row r="9" spans="1:9" x14ac:dyDescent="0.3">
      <c r="B9" s="125">
        <f t="shared" si="0"/>
        <v>4</v>
      </c>
      <c r="C9" s="129"/>
      <c r="D9" s="116"/>
      <c r="E9" s="116"/>
      <c r="F9" s="116"/>
      <c r="G9" s="116"/>
      <c r="H9" s="116"/>
      <c r="I9" s="116"/>
    </row>
    <row r="10" spans="1:9" x14ac:dyDescent="0.3">
      <c r="B10" s="125">
        <f t="shared" si="0"/>
        <v>5</v>
      </c>
      <c r="C10" s="129"/>
      <c r="D10" s="116"/>
      <c r="E10" s="116"/>
      <c r="F10" s="116"/>
      <c r="G10" s="116"/>
      <c r="H10" s="116"/>
      <c r="I10" s="116"/>
    </row>
    <row r="11" spans="1:9" x14ac:dyDescent="0.3">
      <c r="B11" s="125">
        <f t="shared" si="0"/>
        <v>6</v>
      </c>
      <c r="C11" s="129"/>
      <c r="D11" s="116"/>
      <c r="E11" s="116"/>
      <c r="F11" s="116"/>
      <c r="G11" s="116"/>
      <c r="H11" s="116"/>
      <c r="I11" s="116"/>
    </row>
    <row r="12" spans="1:9" x14ac:dyDescent="0.3">
      <c r="B12" s="125">
        <f t="shared" si="0"/>
        <v>7</v>
      </c>
      <c r="C12" s="126"/>
      <c r="D12" s="116"/>
      <c r="E12" s="116"/>
      <c r="F12" s="116"/>
      <c r="G12" s="116"/>
      <c r="H12" s="116"/>
      <c r="I12" s="116"/>
    </row>
    <row r="13" spans="1:9" x14ac:dyDescent="0.3">
      <c r="B13" s="125">
        <f t="shared" si="0"/>
        <v>8</v>
      </c>
      <c r="C13" s="126"/>
      <c r="D13" s="116"/>
      <c r="E13" s="116"/>
      <c r="F13" s="116"/>
      <c r="G13" s="116"/>
      <c r="H13" s="116"/>
      <c r="I13" s="116"/>
    </row>
    <row r="14" spans="1:9" x14ac:dyDescent="0.3">
      <c r="B14" s="125">
        <f t="shared" si="0"/>
        <v>9</v>
      </c>
      <c r="C14" s="129"/>
      <c r="D14" s="116"/>
      <c r="E14" s="116"/>
      <c r="F14" s="116"/>
      <c r="G14" s="116"/>
      <c r="H14" s="116"/>
      <c r="I14" s="116"/>
    </row>
    <row r="15" spans="1:9" x14ac:dyDescent="0.3">
      <c r="B15" s="125">
        <f t="shared" si="0"/>
        <v>10</v>
      </c>
      <c r="C15" s="129"/>
      <c r="D15" s="116"/>
      <c r="E15" s="116"/>
      <c r="F15" s="116"/>
      <c r="G15" s="116"/>
      <c r="H15" s="116"/>
      <c r="I15" s="116"/>
    </row>
    <row r="16" spans="1:9" x14ac:dyDescent="0.3">
      <c r="B16" s="125">
        <f t="shared" si="0"/>
        <v>11</v>
      </c>
      <c r="C16" s="129"/>
      <c r="D16" s="116"/>
      <c r="E16" s="116"/>
      <c r="F16" s="116"/>
      <c r="G16" s="116"/>
      <c r="H16" s="116"/>
      <c r="I16" s="116"/>
    </row>
    <row r="17" spans="2:9" x14ac:dyDescent="0.3">
      <c r="B17" s="125">
        <f t="shared" si="0"/>
        <v>12</v>
      </c>
      <c r="C17" s="126"/>
      <c r="D17" s="116"/>
      <c r="E17" s="116"/>
      <c r="F17" s="116"/>
      <c r="G17" s="116"/>
      <c r="H17" s="116"/>
      <c r="I17" s="116"/>
    </row>
    <row r="18" spans="2:9" x14ac:dyDescent="0.3">
      <c r="B18" s="125">
        <f t="shared" si="0"/>
        <v>13</v>
      </c>
      <c r="C18" s="126"/>
      <c r="D18" s="116"/>
      <c r="E18" s="116"/>
      <c r="F18" s="116"/>
      <c r="G18" s="116"/>
      <c r="H18" s="116"/>
      <c r="I18" s="116"/>
    </row>
    <row r="19" spans="2:9" x14ac:dyDescent="0.3">
      <c r="B19" s="125">
        <f t="shared" si="0"/>
        <v>14</v>
      </c>
      <c r="C19" s="126"/>
      <c r="D19" s="116"/>
      <c r="E19" s="116"/>
      <c r="F19" s="116"/>
      <c r="G19" s="116"/>
      <c r="H19" s="116"/>
      <c r="I19" s="116"/>
    </row>
    <row r="20" spans="2:9" x14ac:dyDescent="0.3">
      <c r="B20" s="125">
        <f t="shared" si="0"/>
        <v>15</v>
      </c>
      <c r="C20" s="126"/>
      <c r="D20" s="116"/>
      <c r="E20" s="116"/>
      <c r="F20" s="116"/>
      <c r="G20" s="116"/>
      <c r="H20" s="116"/>
      <c r="I20" s="116"/>
    </row>
    <row r="21" spans="2:9" x14ac:dyDescent="0.3">
      <c r="B21" s="125">
        <f t="shared" si="0"/>
        <v>16</v>
      </c>
      <c r="C21" s="129"/>
      <c r="D21" s="116"/>
      <c r="E21" s="116"/>
      <c r="F21" s="116"/>
      <c r="G21" s="116"/>
      <c r="H21" s="116"/>
      <c r="I21" s="116"/>
    </row>
    <row r="22" spans="2:9" x14ac:dyDescent="0.3">
      <c r="B22" s="125">
        <f t="shared" si="0"/>
        <v>17</v>
      </c>
      <c r="C22" s="129"/>
      <c r="D22" s="116"/>
      <c r="E22" s="116"/>
      <c r="F22" s="116"/>
      <c r="G22" s="116"/>
      <c r="H22" s="116"/>
      <c r="I22" s="116"/>
    </row>
    <row r="23" spans="2:9" x14ac:dyDescent="0.3">
      <c r="B23" s="125">
        <f t="shared" si="0"/>
        <v>18</v>
      </c>
      <c r="C23" s="129"/>
      <c r="D23" s="116"/>
      <c r="E23" s="116"/>
      <c r="F23" s="116"/>
      <c r="G23" s="116"/>
      <c r="H23" s="116"/>
      <c r="I23" s="116"/>
    </row>
  </sheetData>
  <sheetProtection sort="0" autoFilter="0"/>
  <mergeCells count="1">
    <mergeCell ref="B4:B5"/>
  </mergeCells>
  <phoneticPr fontId="13"/>
  <hyperlinks>
    <hyperlink ref="A3" location="パラメータ設定一覧!A1" display="パラメータ設定一覧へ" xr:uid="{41306081-4DB0-4C39-8C59-19C891815903}"/>
  </hyperlinks>
  <pageMargins left="0.7" right="0.7" top="0.75" bottom="0.75" header="0.3" footer="0.3"/>
  <pageSetup paperSize="9"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B3195C-1A6E-4D08-A562-08965F031C5D}">
  <sheetPr codeName="Sheet9"/>
  <dimension ref="A1:D23"/>
  <sheetViews>
    <sheetView showGridLines="0" zoomScaleNormal="100" workbookViewId="0">
      <pane ySplit="5" topLeftCell="A6" activePane="bottomLeft" state="frozen"/>
      <selection pane="bottomLeft"/>
    </sheetView>
  </sheetViews>
  <sheetFormatPr defaultColWidth="8.78515625" defaultRowHeight="13.5" x14ac:dyDescent="0.35"/>
  <cols>
    <col min="1" max="1" width="2.78515625" style="38" customWidth="1"/>
    <col min="2" max="2" width="3.5703125" style="38" bestFit="1" customWidth="1"/>
    <col min="3" max="3" width="26.2109375" style="38" bestFit="1" customWidth="1"/>
    <col min="4" max="4" width="17.78515625" style="38" customWidth="1"/>
    <col min="5" max="16384" width="8.78515625" style="38"/>
  </cols>
  <sheetData>
    <row r="1" spans="1:4" customFormat="1" ht="19.5" x14ac:dyDescent="0.35">
      <c r="A1" s="7" t="s">
        <v>602</v>
      </c>
    </row>
    <row r="2" spans="1:4" customFormat="1" ht="15" x14ac:dyDescent="0.35"/>
    <row r="3" spans="1:4" customFormat="1" ht="15" x14ac:dyDescent="0.35">
      <c r="A3" s="9" t="s">
        <v>670</v>
      </c>
    </row>
    <row r="4" spans="1:4" ht="27" x14ac:dyDescent="0.35">
      <c r="B4" s="230" t="s">
        <v>1</v>
      </c>
      <c r="C4" s="34" t="s">
        <v>404</v>
      </c>
      <c r="D4" s="94" t="s">
        <v>522</v>
      </c>
    </row>
    <row r="5" spans="1:4" x14ac:dyDescent="0.35">
      <c r="B5" s="230"/>
      <c r="C5" s="3" t="s">
        <v>44</v>
      </c>
      <c r="D5" s="4" t="s">
        <v>44</v>
      </c>
    </row>
    <row r="6" spans="1:4" x14ac:dyDescent="0.3">
      <c r="B6" s="125">
        <f t="shared" ref="B6:B23" si="0">ROW() - 5</f>
        <v>1</v>
      </c>
      <c r="C6" s="126"/>
      <c r="D6" s="116"/>
    </row>
    <row r="7" spans="1:4" x14ac:dyDescent="0.3">
      <c r="B7" s="125">
        <f t="shared" si="0"/>
        <v>2</v>
      </c>
      <c r="C7" s="126"/>
      <c r="D7" s="116"/>
    </row>
    <row r="8" spans="1:4" x14ac:dyDescent="0.3">
      <c r="B8" s="125">
        <f t="shared" si="0"/>
        <v>3</v>
      </c>
      <c r="C8" s="126"/>
      <c r="D8" s="116"/>
    </row>
    <row r="9" spans="1:4" x14ac:dyDescent="0.3">
      <c r="B9" s="125">
        <f t="shared" si="0"/>
        <v>4</v>
      </c>
      <c r="C9" s="129"/>
      <c r="D9" s="116"/>
    </row>
    <row r="10" spans="1:4" x14ac:dyDescent="0.3">
      <c r="B10" s="125">
        <f t="shared" si="0"/>
        <v>5</v>
      </c>
      <c r="C10" s="129"/>
      <c r="D10" s="116"/>
    </row>
    <row r="11" spans="1:4" x14ac:dyDescent="0.3">
      <c r="B11" s="125">
        <f t="shared" si="0"/>
        <v>6</v>
      </c>
      <c r="C11" s="129"/>
      <c r="D11" s="116"/>
    </row>
    <row r="12" spans="1:4" x14ac:dyDescent="0.3">
      <c r="B12" s="125">
        <f t="shared" si="0"/>
        <v>7</v>
      </c>
      <c r="C12" s="126"/>
      <c r="D12" s="116"/>
    </row>
    <row r="13" spans="1:4" x14ac:dyDescent="0.3">
      <c r="B13" s="125">
        <f t="shared" si="0"/>
        <v>8</v>
      </c>
      <c r="C13" s="126"/>
      <c r="D13" s="116"/>
    </row>
    <row r="14" spans="1:4" x14ac:dyDescent="0.3">
      <c r="B14" s="125">
        <f t="shared" si="0"/>
        <v>9</v>
      </c>
      <c r="C14" s="129"/>
      <c r="D14" s="116"/>
    </row>
    <row r="15" spans="1:4" x14ac:dyDescent="0.3">
      <c r="B15" s="125">
        <f t="shared" si="0"/>
        <v>10</v>
      </c>
      <c r="C15" s="129"/>
      <c r="D15" s="116"/>
    </row>
    <row r="16" spans="1:4" x14ac:dyDescent="0.3">
      <c r="B16" s="125">
        <f t="shared" si="0"/>
        <v>11</v>
      </c>
      <c r="C16" s="129"/>
      <c r="D16" s="116"/>
    </row>
    <row r="17" spans="2:4" x14ac:dyDescent="0.3">
      <c r="B17" s="125">
        <f t="shared" si="0"/>
        <v>12</v>
      </c>
      <c r="C17" s="126"/>
      <c r="D17" s="116"/>
    </row>
    <row r="18" spans="2:4" x14ac:dyDescent="0.3">
      <c r="B18" s="125">
        <f t="shared" si="0"/>
        <v>13</v>
      </c>
      <c r="C18" s="126"/>
      <c r="D18" s="116"/>
    </row>
    <row r="19" spans="2:4" x14ac:dyDescent="0.3">
      <c r="B19" s="125">
        <f t="shared" si="0"/>
        <v>14</v>
      </c>
      <c r="C19" s="126"/>
      <c r="D19" s="116"/>
    </row>
    <row r="20" spans="2:4" x14ac:dyDescent="0.3">
      <c r="B20" s="125">
        <f t="shared" si="0"/>
        <v>15</v>
      </c>
      <c r="C20" s="126"/>
      <c r="D20" s="116"/>
    </row>
    <row r="21" spans="2:4" x14ac:dyDescent="0.3">
      <c r="B21" s="125">
        <f t="shared" si="0"/>
        <v>16</v>
      </c>
      <c r="C21" s="129"/>
      <c r="D21" s="116"/>
    </row>
    <row r="22" spans="2:4" x14ac:dyDescent="0.3">
      <c r="B22" s="125">
        <f t="shared" si="0"/>
        <v>17</v>
      </c>
      <c r="C22" s="129"/>
      <c r="D22" s="116"/>
    </row>
    <row r="23" spans="2:4" x14ac:dyDescent="0.3">
      <c r="B23" s="125">
        <f t="shared" si="0"/>
        <v>18</v>
      </c>
      <c r="C23" s="129"/>
      <c r="D23" s="116"/>
    </row>
  </sheetData>
  <sheetProtection sort="0" autoFilter="0"/>
  <mergeCells count="1">
    <mergeCell ref="B4:B5"/>
  </mergeCells>
  <phoneticPr fontId="13"/>
  <hyperlinks>
    <hyperlink ref="A3" location="パラメータ設定一覧!A1" display="パラメータ設定一覧へ" xr:uid="{1CE9EE20-1899-4996-BC3E-84C2FDD68729}"/>
  </hyperlinks>
  <pageMargins left="0.7" right="0.7" top="0.75" bottom="0.75" header="0.3" footer="0.3"/>
  <pageSetup paperSize="9" orientation="portrait" horizontalDpi="1200" verticalDpi="12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00B4E8-B4AF-4A4D-ACDA-636342E78D71}">
  <sheetPr codeName="Sheet124"/>
  <dimension ref="A1:L34"/>
  <sheetViews>
    <sheetView showGridLines="0" zoomScaleNormal="100" workbookViewId="0">
      <pane xSplit="6" ySplit="5" topLeftCell="G6" activePane="bottomRight" state="frozen"/>
      <selection pane="topRight"/>
      <selection pane="bottomLeft"/>
      <selection pane="bottomRight"/>
    </sheetView>
  </sheetViews>
  <sheetFormatPr defaultColWidth="8.78515625" defaultRowHeight="13.5" x14ac:dyDescent="0.35"/>
  <cols>
    <col min="1" max="1" width="2.78515625" style="90" customWidth="1"/>
    <col min="2" max="2" width="3.78515625" style="90" customWidth="1"/>
    <col min="3" max="3" width="16.78515625" style="90" customWidth="1"/>
    <col min="4" max="4" width="19.2109375" style="90" customWidth="1"/>
    <col min="5" max="5" width="16.5703125" style="90" customWidth="1"/>
    <col min="6" max="6" width="22.5703125" style="90" customWidth="1"/>
    <col min="7" max="7" width="44.640625" style="90" customWidth="1"/>
    <col min="8" max="8" width="27.5703125" style="90" customWidth="1"/>
    <col min="9" max="9" width="17.42578125" style="91" customWidth="1"/>
    <col min="10" max="10" width="22.42578125" style="90" customWidth="1"/>
    <col min="11" max="11" width="18.2109375" style="90" customWidth="1"/>
    <col min="12" max="12" width="13.2109375" style="90" customWidth="1"/>
    <col min="13" max="16384" width="8.78515625" style="90"/>
  </cols>
  <sheetData>
    <row r="1" spans="1:12" s="89" customFormat="1" ht="19.5" x14ac:dyDescent="0.35">
      <c r="A1" s="88" t="s">
        <v>8</v>
      </c>
      <c r="C1" s="90"/>
      <c r="D1" s="90"/>
      <c r="E1" s="90"/>
      <c r="F1" s="90"/>
      <c r="G1" s="90"/>
      <c r="H1" s="90"/>
      <c r="I1" s="91"/>
    </row>
    <row r="2" spans="1:12" s="89" customFormat="1" ht="15" x14ac:dyDescent="0.35">
      <c r="B2" s="89" t="s">
        <v>297</v>
      </c>
      <c r="C2" s="90"/>
      <c r="D2" s="90"/>
      <c r="E2" s="90"/>
      <c r="F2" s="90"/>
      <c r="G2" s="90"/>
      <c r="H2" s="90"/>
      <c r="I2" s="91"/>
    </row>
    <row r="3" spans="1:12" s="89" customFormat="1" ht="15" x14ac:dyDescent="0.35">
      <c r="B3" s="89" t="s">
        <v>641</v>
      </c>
      <c r="C3" s="90"/>
      <c r="D3" s="90"/>
      <c r="E3" s="90"/>
      <c r="F3" s="90"/>
      <c r="G3" s="90"/>
      <c r="H3" s="90"/>
      <c r="I3" s="91"/>
    </row>
    <row r="4" spans="1:12" s="89" customFormat="1" ht="15" x14ac:dyDescent="0.35">
      <c r="A4" s="92" t="s">
        <v>670</v>
      </c>
      <c r="C4" s="90"/>
      <c r="D4" s="90"/>
      <c r="E4" s="90"/>
      <c r="F4" s="90"/>
      <c r="G4" s="90"/>
      <c r="H4" s="90"/>
      <c r="I4" s="91"/>
    </row>
    <row r="5" spans="1:12" x14ac:dyDescent="0.35">
      <c r="B5" s="10" t="s">
        <v>1</v>
      </c>
      <c r="C5" s="10" t="s">
        <v>32</v>
      </c>
      <c r="D5" s="10" t="s">
        <v>33</v>
      </c>
      <c r="E5" s="10" t="s">
        <v>34</v>
      </c>
      <c r="F5" s="18" t="s">
        <v>35</v>
      </c>
      <c r="G5" s="18" t="s">
        <v>36</v>
      </c>
      <c r="H5" s="10" t="s">
        <v>37</v>
      </c>
      <c r="I5" s="10" t="s">
        <v>38</v>
      </c>
      <c r="J5" s="10" t="s">
        <v>39</v>
      </c>
      <c r="K5" s="12" t="s">
        <v>40</v>
      </c>
      <c r="L5" s="12" t="s">
        <v>41</v>
      </c>
    </row>
    <row r="6" spans="1:12" ht="121.5" x14ac:dyDescent="0.35">
      <c r="B6" s="19">
        <f>ROW() - 5</f>
        <v>1</v>
      </c>
      <c r="C6" s="14" t="s">
        <v>49</v>
      </c>
      <c r="D6" s="14" t="s">
        <v>298</v>
      </c>
      <c r="E6" s="99" t="s">
        <v>299</v>
      </c>
      <c r="F6" s="20" t="s">
        <v>300</v>
      </c>
      <c r="G6" s="20"/>
      <c r="H6" s="20" t="s">
        <v>526</v>
      </c>
      <c r="I6" s="21" t="s">
        <v>302</v>
      </c>
      <c r="J6" s="21" t="s">
        <v>675</v>
      </c>
      <c r="K6" s="1"/>
      <c r="L6" s="2"/>
    </row>
    <row r="7" spans="1:12" x14ac:dyDescent="0.35">
      <c r="B7" s="19">
        <f>ROW() - 5</f>
        <v>2</v>
      </c>
      <c r="C7" s="73"/>
      <c r="D7" s="35"/>
      <c r="E7" s="14" t="s">
        <v>303</v>
      </c>
      <c r="F7" s="20" t="s">
        <v>304</v>
      </c>
      <c r="G7" s="20"/>
      <c r="H7" s="20" t="s">
        <v>55</v>
      </c>
      <c r="I7" s="21" t="s">
        <v>56</v>
      </c>
      <c r="J7" s="21"/>
      <c r="K7" s="1"/>
      <c r="L7" s="2"/>
    </row>
    <row r="8" spans="1:12" x14ac:dyDescent="0.35">
      <c r="B8" s="19">
        <f>ROW() - 5</f>
        <v>3</v>
      </c>
      <c r="C8" s="73"/>
      <c r="D8" s="73"/>
      <c r="E8" s="73"/>
      <c r="F8" s="20" t="s">
        <v>305</v>
      </c>
      <c r="G8" s="20" t="s">
        <v>306</v>
      </c>
      <c r="H8" s="20" t="s">
        <v>55</v>
      </c>
      <c r="I8" s="21" t="s">
        <v>307</v>
      </c>
      <c r="J8" s="21"/>
      <c r="K8" s="1"/>
      <c r="L8" s="2"/>
    </row>
    <row r="9" spans="1:12" x14ac:dyDescent="0.35">
      <c r="B9" s="19">
        <f t="shared" ref="B9:B19" si="0">ROW() - 5</f>
        <v>4</v>
      </c>
      <c r="C9" s="73"/>
      <c r="D9" s="73"/>
      <c r="E9" s="14" t="s">
        <v>308</v>
      </c>
      <c r="F9" s="20" t="s">
        <v>309</v>
      </c>
      <c r="G9" s="20"/>
      <c r="H9" s="20" t="s">
        <v>55</v>
      </c>
      <c r="I9" s="21" t="s">
        <v>56</v>
      </c>
      <c r="J9" s="21"/>
      <c r="K9" s="1"/>
      <c r="L9" s="2"/>
    </row>
    <row r="10" spans="1:12" x14ac:dyDescent="0.35">
      <c r="B10" s="19">
        <f t="shared" si="0"/>
        <v>5</v>
      </c>
      <c r="C10" s="73"/>
      <c r="D10" s="73"/>
      <c r="E10" s="73"/>
      <c r="F10" s="20" t="s">
        <v>310</v>
      </c>
      <c r="G10" s="20"/>
      <c r="H10" s="20" t="s">
        <v>55</v>
      </c>
      <c r="I10" s="21" t="s">
        <v>307</v>
      </c>
      <c r="J10" s="21"/>
      <c r="K10" s="1"/>
      <c r="L10" s="2"/>
    </row>
    <row r="11" spans="1:12" ht="32.25" customHeight="1" x14ac:dyDescent="0.35">
      <c r="B11" s="19">
        <f t="shared" si="0"/>
        <v>6</v>
      </c>
      <c r="C11" s="73"/>
      <c r="D11" s="73"/>
      <c r="E11" s="14" t="s">
        <v>311</v>
      </c>
      <c r="F11" s="20" t="s">
        <v>312</v>
      </c>
      <c r="G11" s="20"/>
      <c r="H11" s="20" t="s">
        <v>313</v>
      </c>
      <c r="I11" s="21" t="s">
        <v>314</v>
      </c>
      <c r="J11" s="21"/>
      <c r="K11" s="1"/>
      <c r="L11" s="2"/>
    </row>
    <row r="12" spans="1:12" ht="40.5" x14ac:dyDescent="0.35">
      <c r="B12" s="19">
        <f t="shared" si="0"/>
        <v>7</v>
      </c>
      <c r="C12" s="73"/>
      <c r="D12" s="73"/>
      <c r="E12" s="14" t="s">
        <v>315</v>
      </c>
      <c r="F12" s="20" t="s">
        <v>316</v>
      </c>
      <c r="G12" s="20" t="s">
        <v>317</v>
      </c>
      <c r="H12" s="20" t="s">
        <v>55</v>
      </c>
      <c r="I12" s="21" t="s">
        <v>56</v>
      </c>
      <c r="J12" s="21"/>
      <c r="K12" s="1"/>
      <c r="L12" s="2"/>
    </row>
    <row r="13" spans="1:12" ht="27" x14ac:dyDescent="0.35">
      <c r="B13" s="19">
        <f t="shared" si="0"/>
        <v>8</v>
      </c>
      <c r="C13" s="73"/>
      <c r="D13" s="73"/>
      <c r="E13" s="14" t="s">
        <v>527</v>
      </c>
      <c r="F13" s="20" t="s">
        <v>529</v>
      </c>
      <c r="G13" s="20" t="s">
        <v>531</v>
      </c>
      <c r="H13" s="20" t="s">
        <v>55</v>
      </c>
      <c r="I13" s="21" t="s">
        <v>56</v>
      </c>
      <c r="J13" s="21"/>
      <c r="K13" s="1"/>
      <c r="L13" s="2"/>
    </row>
    <row r="14" spans="1:12" ht="27" x14ac:dyDescent="0.35">
      <c r="B14" s="19">
        <f t="shared" si="0"/>
        <v>9</v>
      </c>
      <c r="C14" s="73"/>
      <c r="D14" s="73"/>
      <c r="E14" s="14" t="s">
        <v>528</v>
      </c>
      <c r="F14" s="20" t="s">
        <v>530</v>
      </c>
      <c r="G14" s="20" t="s">
        <v>532</v>
      </c>
      <c r="H14" s="20" t="s">
        <v>55</v>
      </c>
      <c r="I14" s="21" t="s">
        <v>56</v>
      </c>
      <c r="J14" s="21"/>
      <c r="K14" s="1"/>
      <c r="L14" s="2"/>
    </row>
    <row r="15" spans="1:12" ht="27" x14ac:dyDescent="0.35">
      <c r="B15" s="19">
        <f t="shared" si="0"/>
        <v>10</v>
      </c>
      <c r="C15" s="73"/>
      <c r="D15" s="73"/>
      <c r="E15" s="14" t="s">
        <v>318</v>
      </c>
      <c r="F15" s="20" t="s">
        <v>319</v>
      </c>
      <c r="G15" s="20"/>
      <c r="H15" s="20" t="s">
        <v>313</v>
      </c>
      <c r="I15" s="21" t="s">
        <v>314</v>
      </c>
      <c r="J15" s="21"/>
      <c r="K15" s="1"/>
      <c r="L15" s="2"/>
    </row>
    <row r="16" spans="1:12" ht="27" x14ac:dyDescent="0.35">
      <c r="B16" s="19">
        <f t="shared" si="0"/>
        <v>11</v>
      </c>
      <c r="C16" s="73"/>
      <c r="D16" s="73"/>
      <c r="E16" s="73"/>
      <c r="F16" s="20" t="s">
        <v>320</v>
      </c>
      <c r="G16" s="20"/>
      <c r="H16" s="20" t="s">
        <v>313</v>
      </c>
      <c r="I16" s="21" t="s">
        <v>314</v>
      </c>
      <c r="J16" s="21"/>
      <c r="K16" s="1"/>
      <c r="L16" s="2"/>
    </row>
    <row r="17" spans="2:12" ht="27" x14ac:dyDescent="0.35">
      <c r="B17" s="19">
        <f t="shared" si="0"/>
        <v>12</v>
      </c>
      <c r="C17" s="73"/>
      <c r="D17" s="73"/>
      <c r="E17" s="73"/>
      <c r="F17" s="20" t="s">
        <v>321</v>
      </c>
      <c r="G17" s="20"/>
      <c r="H17" s="20" t="s">
        <v>313</v>
      </c>
      <c r="I17" s="21" t="s">
        <v>314</v>
      </c>
      <c r="J17" s="21"/>
      <c r="K17" s="1"/>
      <c r="L17" s="2"/>
    </row>
    <row r="18" spans="2:12" ht="27" x14ac:dyDescent="0.35">
      <c r="B18" s="19">
        <f t="shared" si="0"/>
        <v>13</v>
      </c>
      <c r="C18" s="73"/>
      <c r="D18" s="73"/>
      <c r="E18" s="73"/>
      <c r="F18" s="20" t="s">
        <v>322</v>
      </c>
      <c r="G18" s="20"/>
      <c r="H18" s="20" t="s">
        <v>313</v>
      </c>
      <c r="I18" s="21" t="s">
        <v>314</v>
      </c>
      <c r="J18" s="21"/>
      <c r="K18" s="1"/>
      <c r="L18" s="2"/>
    </row>
    <row r="19" spans="2:12" ht="116.65" customHeight="1" x14ac:dyDescent="0.35">
      <c r="B19" s="239">
        <f t="shared" si="0"/>
        <v>14</v>
      </c>
      <c r="C19" s="14" t="s">
        <v>323</v>
      </c>
      <c r="D19" s="14" t="s">
        <v>533</v>
      </c>
      <c r="E19" s="14"/>
      <c r="F19" s="102" t="s">
        <v>324</v>
      </c>
      <c r="G19" s="102"/>
      <c r="H19" s="242" t="s">
        <v>534</v>
      </c>
      <c r="I19" s="242" t="s">
        <v>534</v>
      </c>
      <c r="J19" s="245" t="s">
        <v>325</v>
      </c>
      <c r="K19" s="248"/>
      <c r="L19" s="248"/>
    </row>
    <row r="20" spans="2:12" ht="409.5" customHeight="1" x14ac:dyDescent="0.35">
      <c r="B20" s="240"/>
      <c r="C20" s="251"/>
      <c r="D20" s="251"/>
      <c r="E20" s="251"/>
      <c r="F20" s="103"/>
      <c r="G20" s="103"/>
      <c r="H20" s="243"/>
      <c r="I20" s="243"/>
      <c r="J20" s="246"/>
      <c r="K20" s="249"/>
      <c r="L20" s="249"/>
    </row>
    <row r="21" spans="2:12" ht="409.5" customHeight="1" x14ac:dyDescent="0.35">
      <c r="B21" s="240"/>
      <c r="C21" s="251"/>
      <c r="D21" s="251"/>
      <c r="E21" s="251"/>
      <c r="F21" s="103"/>
      <c r="G21" s="103"/>
      <c r="H21" s="243"/>
      <c r="I21" s="243"/>
      <c r="J21" s="246"/>
      <c r="K21" s="249"/>
      <c r="L21" s="249"/>
    </row>
    <row r="22" spans="2:12" ht="409.5" customHeight="1" x14ac:dyDescent="0.35">
      <c r="B22" s="240"/>
      <c r="C22" s="251"/>
      <c r="D22" s="251"/>
      <c r="E22" s="251"/>
      <c r="F22" s="103"/>
      <c r="G22" s="103"/>
      <c r="H22" s="243"/>
      <c r="I22" s="243"/>
      <c r="J22" s="246"/>
      <c r="K22" s="249"/>
      <c r="L22" s="249"/>
    </row>
    <row r="23" spans="2:12" ht="409.5" customHeight="1" x14ac:dyDescent="0.35">
      <c r="B23" s="240"/>
      <c r="C23" s="251"/>
      <c r="D23" s="251"/>
      <c r="E23" s="251"/>
      <c r="F23" s="103"/>
      <c r="G23" s="103"/>
      <c r="H23" s="243"/>
      <c r="I23" s="243"/>
      <c r="J23" s="246"/>
      <c r="K23" s="249"/>
      <c r="L23" s="249"/>
    </row>
    <row r="24" spans="2:12" ht="15.75" customHeight="1" x14ac:dyDescent="0.35">
      <c r="B24" s="240"/>
      <c r="C24" s="251"/>
      <c r="D24" s="251"/>
      <c r="E24" s="251"/>
      <c r="F24" s="103"/>
      <c r="G24" s="103"/>
      <c r="H24" s="243"/>
      <c r="I24" s="243"/>
      <c r="J24" s="246"/>
      <c r="K24" s="249"/>
      <c r="L24" s="249"/>
    </row>
    <row r="25" spans="2:12" x14ac:dyDescent="0.35">
      <c r="B25" s="241"/>
      <c r="C25" s="251"/>
      <c r="D25" s="251"/>
      <c r="E25" s="251"/>
      <c r="F25" s="103"/>
      <c r="G25" s="103"/>
      <c r="H25" s="244"/>
      <c r="I25" s="244"/>
      <c r="J25" s="247"/>
      <c r="K25" s="250"/>
      <c r="L25" s="250"/>
    </row>
    <row r="26" spans="2:12" x14ac:dyDescent="0.35">
      <c r="B26" s="239">
        <f>ROW() - 11</f>
        <v>15</v>
      </c>
      <c r="C26" s="73"/>
      <c r="D26" s="73"/>
      <c r="E26" s="73"/>
      <c r="F26" s="252" t="s">
        <v>326</v>
      </c>
      <c r="G26" s="252"/>
      <c r="H26" s="242" t="s">
        <v>535</v>
      </c>
      <c r="I26" s="242" t="s">
        <v>535</v>
      </c>
      <c r="J26" s="245"/>
      <c r="K26" s="248"/>
      <c r="L26" s="248"/>
    </row>
    <row r="27" spans="2:12" x14ac:dyDescent="0.35">
      <c r="B27" s="240"/>
      <c r="C27" s="73"/>
      <c r="D27" s="73"/>
      <c r="E27" s="73"/>
      <c r="F27" s="253"/>
      <c r="G27" s="253"/>
      <c r="H27" s="243"/>
      <c r="I27" s="243"/>
      <c r="J27" s="246"/>
      <c r="K27" s="249"/>
      <c r="L27" s="249"/>
    </row>
    <row r="28" spans="2:12" x14ac:dyDescent="0.35">
      <c r="B28" s="240"/>
      <c r="C28" s="73"/>
      <c r="D28" s="73"/>
      <c r="E28" s="73"/>
      <c r="F28" s="253"/>
      <c r="G28" s="253"/>
      <c r="H28" s="243"/>
      <c r="I28" s="243"/>
      <c r="J28" s="246"/>
      <c r="K28" s="249"/>
      <c r="L28" s="249"/>
    </row>
    <row r="29" spans="2:12" x14ac:dyDescent="0.35">
      <c r="B29" s="240"/>
      <c r="C29" s="73"/>
      <c r="D29" s="73"/>
      <c r="E29" s="73"/>
      <c r="F29" s="253"/>
      <c r="G29" s="253"/>
      <c r="H29" s="243"/>
      <c r="I29" s="243"/>
      <c r="J29" s="246"/>
      <c r="K29" s="249"/>
      <c r="L29" s="249"/>
    </row>
    <row r="30" spans="2:12" x14ac:dyDescent="0.35">
      <c r="B30" s="240"/>
      <c r="C30" s="73"/>
      <c r="D30" s="73"/>
      <c r="E30" s="73"/>
      <c r="F30" s="253"/>
      <c r="G30" s="253"/>
      <c r="H30" s="243"/>
      <c r="I30" s="243"/>
      <c r="J30" s="246"/>
      <c r="K30" s="249"/>
      <c r="L30" s="249"/>
    </row>
    <row r="31" spans="2:12" x14ac:dyDescent="0.35">
      <c r="B31" s="240"/>
      <c r="C31" s="73"/>
      <c r="D31" s="73"/>
      <c r="E31" s="73"/>
      <c r="F31" s="253"/>
      <c r="G31" s="253"/>
      <c r="H31" s="243"/>
      <c r="I31" s="243"/>
      <c r="J31" s="246"/>
      <c r="K31" s="249"/>
      <c r="L31" s="249"/>
    </row>
    <row r="32" spans="2:12" x14ac:dyDescent="0.35">
      <c r="B32" s="240"/>
      <c r="C32" s="73"/>
      <c r="D32" s="73"/>
      <c r="E32" s="73"/>
      <c r="F32" s="253"/>
      <c r="G32" s="253"/>
      <c r="H32" s="243"/>
      <c r="I32" s="243"/>
      <c r="J32" s="246"/>
      <c r="K32" s="249"/>
      <c r="L32" s="249"/>
    </row>
    <row r="33" spans="2:12" x14ac:dyDescent="0.35">
      <c r="B33" s="240"/>
      <c r="C33" s="73"/>
      <c r="D33" s="73"/>
      <c r="E33" s="73"/>
      <c r="F33" s="253"/>
      <c r="G33" s="253"/>
      <c r="H33" s="243"/>
      <c r="I33" s="243"/>
      <c r="J33" s="246"/>
      <c r="K33" s="249"/>
      <c r="L33" s="249"/>
    </row>
    <row r="34" spans="2:12" x14ac:dyDescent="0.35">
      <c r="B34" s="241"/>
      <c r="C34" s="17"/>
      <c r="D34" s="17"/>
      <c r="E34" s="17"/>
      <c r="F34" s="254"/>
      <c r="G34" s="254"/>
      <c r="H34" s="244"/>
      <c r="I34" s="244"/>
      <c r="J34" s="247"/>
      <c r="K34" s="250"/>
      <c r="L34" s="250"/>
    </row>
  </sheetData>
  <mergeCells count="17">
    <mergeCell ref="B26:B34"/>
    <mergeCell ref="F26:F34"/>
    <mergeCell ref="G26:G34"/>
    <mergeCell ref="H26:H34"/>
    <mergeCell ref="I26:I34"/>
    <mergeCell ref="L19:L25"/>
    <mergeCell ref="C20:C25"/>
    <mergeCell ref="D20:D25"/>
    <mergeCell ref="E20:E25"/>
    <mergeCell ref="J26:J34"/>
    <mergeCell ref="K26:K34"/>
    <mergeCell ref="L26:L34"/>
    <mergeCell ref="B19:B25"/>
    <mergeCell ref="H19:H25"/>
    <mergeCell ref="I19:I25"/>
    <mergeCell ref="J19:J25"/>
    <mergeCell ref="K19:K25"/>
  </mergeCells>
  <phoneticPr fontId="13"/>
  <hyperlinks>
    <hyperlink ref="A4" location="パラメータ設定一覧!A1" display="パラメータ設定一覧へ" xr:uid="{B587C5FB-AE58-41AF-9172-6B689ABFF2A0}"/>
  </hyperlinks>
  <pageMargins left="0.7" right="0.7" top="0.75" bottom="0.75" header="0.3" footer="0.3"/>
  <pageSetup paperSize="9" orientation="portrait" horizontalDpi="1200" verticalDpi="12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3D7A12-C98D-4CBD-935B-2CFEBC6140E4}">
  <sheetPr codeName="Sheet125"/>
  <dimension ref="A1:L9"/>
  <sheetViews>
    <sheetView showGridLines="0" zoomScaleNormal="100" workbookViewId="0">
      <pane xSplit="6" ySplit="5" topLeftCell="G6" activePane="bottomRight" state="frozen"/>
      <selection pane="topRight"/>
      <selection pane="bottomLeft"/>
      <selection pane="bottomRight"/>
    </sheetView>
  </sheetViews>
  <sheetFormatPr defaultColWidth="8.78515625" defaultRowHeight="13.5" x14ac:dyDescent="0.35"/>
  <cols>
    <col min="1" max="1" width="2.78515625" style="38" customWidth="1"/>
    <col min="2" max="2" width="3.78515625" style="38" customWidth="1"/>
    <col min="3" max="3" width="16.78515625" style="38" customWidth="1"/>
    <col min="4" max="4" width="19.2109375" style="38" customWidth="1"/>
    <col min="5" max="5" width="16.5703125" style="38" customWidth="1"/>
    <col min="6" max="6" width="22.5703125" style="38" customWidth="1"/>
    <col min="7" max="7" width="44.640625" style="38" customWidth="1"/>
    <col min="8" max="8" width="27.5703125" style="38" customWidth="1"/>
    <col min="9" max="9" width="17.42578125" style="40" customWidth="1"/>
    <col min="10" max="10" width="22.42578125" style="38" customWidth="1"/>
    <col min="11" max="11" width="18.2109375" style="38" customWidth="1"/>
    <col min="12" max="12" width="13.2109375" style="38" customWidth="1"/>
    <col min="13" max="16384" width="8.78515625" style="38"/>
  </cols>
  <sheetData>
    <row r="1" spans="1:12" customFormat="1" ht="19.5" x14ac:dyDescent="0.35">
      <c r="A1" s="7" t="s">
        <v>9</v>
      </c>
      <c r="C1" s="38"/>
      <c r="D1" s="38"/>
      <c r="E1" s="38"/>
      <c r="F1" s="38"/>
      <c r="G1" s="38"/>
      <c r="H1" s="38"/>
      <c r="I1" s="40"/>
    </row>
    <row r="2" spans="1:12" customFormat="1" ht="15" x14ac:dyDescent="0.35">
      <c r="B2" t="s">
        <v>327</v>
      </c>
      <c r="C2" s="38"/>
      <c r="D2" s="38"/>
      <c r="E2" s="38"/>
      <c r="F2" s="38"/>
      <c r="G2" s="38"/>
      <c r="H2" s="38"/>
      <c r="I2" s="40"/>
    </row>
    <row r="3" spans="1:12" customFormat="1" ht="15" x14ac:dyDescent="0.35">
      <c r="B3" t="s">
        <v>649</v>
      </c>
      <c r="C3" s="38"/>
      <c r="D3" s="38"/>
      <c r="E3" s="38"/>
      <c r="F3" s="38"/>
      <c r="G3" s="38"/>
      <c r="H3" s="38"/>
      <c r="I3" s="40"/>
    </row>
    <row r="4" spans="1:12" customFormat="1" ht="15" x14ac:dyDescent="0.35">
      <c r="A4" s="9" t="s">
        <v>670</v>
      </c>
      <c r="C4" s="38"/>
      <c r="D4" s="38"/>
      <c r="E4" s="38"/>
      <c r="F4" s="38"/>
      <c r="G4" s="38"/>
      <c r="H4" s="38"/>
      <c r="I4" s="40"/>
    </row>
    <row r="5" spans="1:12" x14ac:dyDescent="0.35">
      <c r="B5" s="10" t="s">
        <v>1</v>
      </c>
      <c r="C5" s="10" t="s">
        <v>32</v>
      </c>
      <c r="D5" s="10" t="s">
        <v>33</v>
      </c>
      <c r="E5" s="10" t="s">
        <v>34</v>
      </c>
      <c r="F5" s="18" t="s">
        <v>35</v>
      </c>
      <c r="G5" s="18" t="s">
        <v>36</v>
      </c>
      <c r="H5" s="10" t="s">
        <v>37</v>
      </c>
      <c r="I5" s="41" t="s">
        <v>38</v>
      </c>
      <c r="J5" s="10" t="s">
        <v>39</v>
      </c>
      <c r="K5" s="12" t="s">
        <v>40</v>
      </c>
      <c r="L5" s="12" t="s">
        <v>41</v>
      </c>
    </row>
    <row r="6" spans="1:12" x14ac:dyDescent="0.35">
      <c r="B6" s="19">
        <f>ROW() - 5</f>
        <v>1</v>
      </c>
      <c r="C6" s="14"/>
      <c r="D6" s="14"/>
      <c r="E6" s="99" t="s">
        <v>328</v>
      </c>
      <c r="F6" s="20" t="s">
        <v>43</v>
      </c>
      <c r="G6" s="20"/>
      <c r="H6" s="39" t="s">
        <v>44</v>
      </c>
      <c r="I6" s="37" t="s">
        <v>329</v>
      </c>
      <c r="J6" s="21"/>
      <c r="K6" s="1"/>
      <c r="L6" s="2"/>
    </row>
    <row r="7" spans="1:12" x14ac:dyDescent="0.35">
      <c r="B7" s="19">
        <f>ROW() - 5</f>
        <v>2</v>
      </c>
      <c r="C7" s="73"/>
      <c r="D7" s="35"/>
      <c r="E7" s="17"/>
      <c r="F7" s="20" t="s">
        <v>88</v>
      </c>
      <c r="G7" s="20" t="s">
        <v>330</v>
      </c>
      <c r="H7" s="39" t="s">
        <v>44</v>
      </c>
      <c r="I7" s="37" t="s">
        <v>329</v>
      </c>
      <c r="J7" s="21"/>
      <c r="K7" s="1"/>
      <c r="L7" s="2"/>
    </row>
    <row r="8" spans="1:12" ht="54" x14ac:dyDescent="0.35">
      <c r="B8" s="19">
        <f>ROW() - 5</f>
        <v>3</v>
      </c>
      <c r="C8" s="73"/>
      <c r="D8" s="73"/>
      <c r="E8" s="73" t="s">
        <v>331</v>
      </c>
      <c r="F8" s="20" t="s">
        <v>332</v>
      </c>
      <c r="G8" s="20"/>
      <c r="H8" s="39" t="s">
        <v>333</v>
      </c>
      <c r="I8" s="39" t="s">
        <v>333</v>
      </c>
      <c r="J8" s="21" t="s">
        <v>334</v>
      </c>
      <c r="K8" s="1"/>
      <c r="L8" s="2"/>
    </row>
    <row r="9" spans="1:12" ht="54" x14ac:dyDescent="0.35">
      <c r="B9" s="19">
        <f t="shared" ref="B9" si="0">ROW() - 5</f>
        <v>4</v>
      </c>
      <c r="C9" s="17"/>
      <c r="D9" s="17"/>
      <c r="E9" s="17"/>
      <c r="F9" s="20" t="s">
        <v>335</v>
      </c>
      <c r="G9" s="20"/>
      <c r="H9" s="39" t="s">
        <v>333</v>
      </c>
      <c r="I9" s="37" t="s">
        <v>329</v>
      </c>
      <c r="J9" s="21" t="s">
        <v>334</v>
      </c>
      <c r="K9" s="1"/>
      <c r="L9" s="2"/>
    </row>
  </sheetData>
  <phoneticPr fontId="13"/>
  <hyperlinks>
    <hyperlink ref="A4" location="パラメータ設定一覧!A1" display="パラメータ設定一覧へ" xr:uid="{0149BA87-569D-45F2-B28B-9C76399CDFDE}"/>
  </hyperlinks>
  <pageMargins left="0.7" right="0.7" top="0.75" bottom="0.75" header="0.3" footer="0.3"/>
  <pageSetup paperSize="9" orientation="portrait" horizontalDpi="1200" verticalDpi="12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89A770-0908-4AB5-91F2-9315AD94F216}">
  <sheetPr codeName="Sheet126"/>
  <dimension ref="A1:L15"/>
  <sheetViews>
    <sheetView showGridLines="0" zoomScaleNormal="100" workbookViewId="0">
      <pane xSplit="6" ySplit="5" topLeftCell="G6" activePane="bottomRight" state="frozen"/>
      <selection pane="topRight"/>
      <selection pane="bottomLeft"/>
      <selection pane="bottomRight"/>
    </sheetView>
  </sheetViews>
  <sheetFormatPr defaultColWidth="8.78515625" defaultRowHeight="13.5" x14ac:dyDescent="0.35"/>
  <cols>
    <col min="1" max="1" width="2.78515625" style="38" customWidth="1"/>
    <col min="2" max="2" width="3.78515625" style="38" customWidth="1"/>
    <col min="3" max="3" width="16.78515625" style="38" customWidth="1"/>
    <col min="4" max="4" width="19.2109375" style="38" customWidth="1"/>
    <col min="5" max="5" width="16.5703125" style="38" customWidth="1"/>
    <col min="6" max="6" width="22.5703125" style="38" customWidth="1"/>
    <col min="7" max="7" width="44.640625" style="38" customWidth="1"/>
    <col min="8" max="8" width="27.5703125" style="38" customWidth="1"/>
    <col min="9" max="9" width="17.42578125" style="40" customWidth="1"/>
    <col min="10" max="10" width="22.42578125" style="38" customWidth="1"/>
    <col min="11" max="11" width="18.2109375" style="38" customWidth="1"/>
    <col min="12" max="12" width="13.2109375" style="38" customWidth="1"/>
    <col min="13" max="16384" width="8.78515625" style="38"/>
  </cols>
  <sheetData>
    <row r="1" spans="1:12" customFormat="1" ht="19.5" x14ac:dyDescent="0.35">
      <c r="A1" s="7" t="s">
        <v>10</v>
      </c>
      <c r="C1" s="38"/>
      <c r="D1" s="38"/>
      <c r="E1" s="38"/>
      <c r="F1" s="38"/>
      <c r="G1" s="38"/>
      <c r="H1" s="38"/>
      <c r="I1" s="40"/>
    </row>
    <row r="2" spans="1:12" customFormat="1" ht="15" x14ac:dyDescent="0.35">
      <c r="B2" t="s">
        <v>336</v>
      </c>
      <c r="C2" s="38"/>
      <c r="D2" s="38"/>
      <c r="E2" s="38"/>
      <c r="F2" s="38"/>
      <c r="G2" s="38"/>
      <c r="H2" s="38"/>
      <c r="I2" s="40"/>
    </row>
    <row r="3" spans="1:12" customFormat="1" ht="15" x14ac:dyDescent="0.35">
      <c r="B3" t="s">
        <v>642</v>
      </c>
      <c r="C3" s="38"/>
      <c r="D3" s="38"/>
      <c r="E3" s="38"/>
      <c r="F3" s="38"/>
      <c r="G3" s="38"/>
      <c r="H3" s="38"/>
      <c r="I3" s="40"/>
    </row>
    <row r="4" spans="1:12" customFormat="1" ht="15" x14ac:dyDescent="0.35">
      <c r="A4" s="9" t="s">
        <v>670</v>
      </c>
      <c r="C4" s="38"/>
      <c r="D4" s="38"/>
      <c r="E4" s="38"/>
      <c r="F4" s="38"/>
      <c r="G4" s="38"/>
      <c r="H4" s="38"/>
      <c r="I4" s="40"/>
    </row>
    <row r="5" spans="1:12" x14ac:dyDescent="0.35">
      <c r="B5" s="10" t="s">
        <v>1</v>
      </c>
      <c r="C5" s="10" t="s">
        <v>32</v>
      </c>
      <c r="D5" s="10" t="s">
        <v>33</v>
      </c>
      <c r="E5" s="10" t="s">
        <v>34</v>
      </c>
      <c r="F5" s="18" t="s">
        <v>35</v>
      </c>
      <c r="G5" s="18" t="s">
        <v>36</v>
      </c>
      <c r="H5" s="10" t="s">
        <v>37</v>
      </c>
      <c r="I5" s="41" t="s">
        <v>38</v>
      </c>
      <c r="J5" s="10" t="s">
        <v>39</v>
      </c>
      <c r="K5" s="12" t="s">
        <v>40</v>
      </c>
      <c r="L5" s="12" t="s">
        <v>41</v>
      </c>
    </row>
    <row r="6" spans="1:12" ht="121.5" x14ac:dyDescent="0.35">
      <c r="B6" s="19">
        <f>ROW() - 5</f>
        <v>1</v>
      </c>
      <c r="C6" s="14"/>
      <c r="D6" s="14"/>
      <c r="E6" s="99" t="s">
        <v>300</v>
      </c>
      <c r="F6" s="20" t="s">
        <v>300</v>
      </c>
      <c r="G6" s="20"/>
      <c r="H6" s="39" t="s">
        <v>44</v>
      </c>
      <c r="I6" s="37" t="s">
        <v>301</v>
      </c>
      <c r="J6" s="21" t="s">
        <v>337</v>
      </c>
      <c r="K6" s="1" t="s">
        <v>595</v>
      </c>
      <c r="L6" s="2"/>
    </row>
    <row r="7" spans="1:12" ht="409.5" customHeight="1" x14ac:dyDescent="0.35">
      <c r="B7" s="19">
        <f>ROW() - 5</f>
        <v>2</v>
      </c>
      <c r="C7" s="73"/>
      <c r="D7" s="35"/>
      <c r="E7" s="73"/>
      <c r="F7" s="20" t="s">
        <v>88</v>
      </c>
      <c r="G7" s="20"/>
      <c r="H7" s="39" t="s">
        <v>44</v>
      </c>
      <c r="I7" s="37" t="s">
        <v>338</v>
      </c>
      <c r="J7" s="21" t="s">
        <v>339</v>
      </c>
      <c r="K7" s="1" t="s">
        <v>595</v>
      </c>
      <c r="L7" s="2"/>
    </row>
    <row r="8" spans="1:12" ht="67.5" x14ac:dyDescent="0.35">
      <c r="B8" s="19">
        <f>ROW() - 5</f>
        <v>3</v>
      </c>
      <c r="C8" s="73"/>
      <c r="D8" s="73"/>
      <c r="E8" s="73"/>
      <c r="F8" s="20" t="s">
        <v>88</v>
      </c>
      <c r="G8" s="20"/>
      <c r="H8" s="39" t="s">
        <v>340</v>
      </c>
      <c r="I8" s="39" t="s">
        <v>329</v>
      </c>
      <c r="J8" s="39" t="s">
        <v>341</v>
      </c>
      <c r="K8" s="1" t="s">
        <v>595</v>
      </c>
      <c r="L8" s="2"/>
    </row>
    <row r="9" spans="1:12" x14ac:dyDescent="0.35">
      <c r="B9" s="19">
        <f t="shared" ref="B9:B15" si="0">ROW() - 5</f>
        <v>4</v>
      </c>
      <c r="C9" s="73"/>
      <c r="D9" s="73"/>
      <c r="E9" s="73"/>
      <c r="F9" s="20" t="s">
        <v>342</v>
      </c>
      <c r="G9" s="20"/>
      <c r="H9" s="39" t="s">
        <v>44</v>
      </c>
      <c r="I9" s="37" t="s">
        <v>329</v>
      </c>
      <c r="J9" s="21"/>
      <c r="K9" s="1" t="s">
        <v>595</v>
      </c>
      <c r="L9" s="2"/>
    </row>
    <row r="10" spans="1:12" ht="67.5" x14ac:dyDescent="0.35">
      <c r="B10" s="19">
        <f t="shared" si="0"/>
        <v>5</v>
      </c>
      <c r="C10" s="73"/>
      <c r="D10" s="73"/>
      <c r="E10" s="73"/>
      <c r="F10" s="20" t="s">
        <v>342</v>
      </c>
      <c r="G10" s="20"/>
      <c r="H10" s="39" t="s">
        <v>340</v>
      </c>
      <c r="I10" s="39" t="s">
        <v>329</v>
      </c>
      <c r="J10" s="39" t="s">
        <v>341</v>
      </c>
      <c r="K10" s="1" t="s">
        <v>595</v>
      </c>
      <c r="L10" s="2"/>
    </row>
    <row r="11" spans="1:12" x14ac:dyDescent="0.35">
      <c r="B11" s="19">
        <f t="shared" si="0"/>
        <v>6</v>
      </c>
      <c r="C11" s="73"/>
      <c r="D11" s="73"/>
      <c r="E11" s="73"/>
      <c r="F11" s="20" t="s">
        <v>342</v>
      </c>
      <c r="G11" s="20"/>
      <c r="H11" s="39" t="s">
        <v>329</v>
      </c>
      <c r="I11" s="37" t="s">
        <v>329</v>
      </c>
      <c r="J11" s="21"/>
      <c r="K11" s="1" t="s">
        <v>595</v>
      </c>
      <c r="L11" s="2"/>
    </row>
    <row r="12" spans="1:12" ht="54" x14ac:dyDescent="0.35">
      <c r="B12" s="19">
        <f t="shared" si="0"/>
        <v>7</v>
      </c>
      <c r="C12" s="73"/>
      <c r="D12" s="73"/>
      <c r="E12" s="73"/>
      <c r="F12" s="20" t="s">
        <v>342</v>
      </c>
      <c r="G12" s="20"/>
      <c r="H12" s="39" t="s">
        <v>343</v>
      </c>
      <c r="I12" s="39" t="s">
        <v>329</v>
      </c>
      <c r="J12" s="39" t="s">
        <v>341</v>
      </c>
      <c r="K12" s="1" t="s">
        <v>595</v>
      </c>
      <c r="L12" s="2"/>
    </row>
    <row r="13" spans="1:12" x14ac:dyDescent="0.35">
      <c r="B13" s="19">
        <f t="shared" si="0"/>
        <v>8</v>
      </c>
      <c r="C13" s="73"/>
      <c r="D13" s="73"/>
      <c r="E13" s="73"/>
      <c r="F13" s="20" t="s">
        <v>342</v>
      </c>
      <c r="G13" s="20"/>
      <c r="H13" s="39" t="s">
        <v>44</v>
      </c>
      <c r="I13" s="37" t="s">
        <v>329</v>
      </c>
      <c r="J13" s="21"/>
      <c r="K13" s="1" t="s">
        <v>595</v>
      </c>
      <c r="L13" s="2"/>
    </row>
    <row r="14" spans="1:12" ht="67.5" x14ac:dyDescent="0.35">
      <c r="B14" s="19">
        <f t="shared" si="0"/>
        <v>9</v>
      </c>
      <c r="C14" s="73"/>
      <c r="D14" s="73"/>
      <c r="E14" s="73"/>
      <c r="F14" s="20" t="s">
        <v>342</v>
      </c>
      <c r="G14" s="20"/>
      <c r="H14" s="39" t="s">
        <v>344</v>
      </c>
      <c r="I14" s="37" t="s">
        <v>329</v>
      </c>
      <c r="J14" s="21"/>
      <c r="K14" s="1" t="s">
        <v>595</v>
      </c>
      <c r="L14" s="2"/>
    </row>
    <row r="15" spans="1:12" ht="30.75" customHeight="1" x14ac:dyDescent="0.35">
      <c r="B15" s="19">
        <f t="shared" si="0"/>
        <v>10</v>
      </c>
      <c r="C15" s="17"/>
      <c r="D15" s="17"/>
      <c r="E15" s="17"/>
      <c r="F15" s="20" t="s">
        <v>345</v>
      </c>
      <c r="G15" s="20"/>
      <c r="H15" s="39" t="s">
        <v>329</v>
      </c>
      <c r="I15" s="37" t="s">
        <v>329</v>
      </c>
      <c r="J15" s="21" t="s">
        <v>346</v>
      </c>
      <c r="K15" s="1" t="s">
        <v>595</v>
      </c>
      <c r="L15" s="2"/>
    </row>
  </sheetData>
  <phoneticPr fontId="13"/>
  <hyperlinks>
    <hyperlink ref="A4" location="パラメータ設定一覧!A1" display="パラメータ設定一覧へ" xr:uid="{849552A0-2D93-4662-8413-71A68D5B4888}"/>
  </hyperlinks>
  <pageMargins left="0.7" right="0.7" top="0.75" bottom="0.75" header="0.3" footer="0.3"/>
  <pageSetup paperSize="9" orientation="portrait" horizontalDpi="1200" verticalDpi="12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6ACE18-DAC8-48F1-92CC-EFB70A6513A5}">
  <sheetPr codeName="Sheet127"/>
  <dimension ref="A1:L15"/>
  <sheetViews>
    <sheetView showGridLines="0" zoomScaleNormal="100" workbookViewId="0">
      <pane xSplit="3" ySplit="6" topLeftCell="D7" activePane="bottomRight" state="frozen"/>
      <selection pane="topRight"/>
      <selection pane="bottomLeft"/>
      <selection pane="bottomRight"/>
    </sheetView>
  </sheetViews>
  <sheetFormatPr defaultColWidth="8.78515625" defaultRowHeight="13.5" x14ac:dyDescent="0.35"/>
  <cols>
    <col min="1" max="1" width="2.78515625" style="38" customWidth="1"/>
    <col min="2" max="2" width="3.5703125" style="38" bestFit="1" customWidth="1"/>
    <col min="3" max="3" width="17.2109375" style="38" customWidth="1"/>
    <col min="4" max="5" width="19.78515625" style="38" customWidth="1"/>
    <col min="6" max="12" width="18.42578125" style="38" customWidth="1"/>
    <col min="13" max="16384" width="8.78515625" style="38"/>
  </cols>
  <sheetData>
    <row r="1" spans="1:12" customFormat="1" ht="19.5" x14ac:dyDescent="0.35">
      <c r="A1" s="7" t="s">
        <v>596</v>
      </c>
    </row>
    <row r="2" spans="1:12" customFormat="1" ht="15" x14ac:dyDescent="0.35"/>
    <row r="3" spans="1:12" customFormat="1" ht="15" x14ac:dyDescent="0.35">
      <c r="A3" s="9" t="s">
        <v>670</v>
      </c>
      <c r="D3" t="s">
        <v>347</v>
      </c>
    </row>
    <row r="4" spans="1:12" x14ac:dyDescent="0.35">
      <c r="B4" s="229" t="s">
        <v>1</v>
      </c>
      <c r="C4" s="105" t="s">
        <v>300</v>
      </c>
      <c r="D4" s="106"/>
      <c r="E4" s="106"/>
      <c r="F4" s="106"/>
      <c r="G4" s="106"/>
      <c r="H4" s="106"/>
      <c r="I4" s="106"/>
      <c r="J4" s="106"/>
      <c r="K4" s="106"/>
      <c r="L4" s="104"/>
    </row>
    <row r="5" spans="1:12" x14ac:dyDescent="0.35">
      <c r="B5" s="230"/>
      <c r="C5" s="95" t="s">
        <v>300</v>
      </c>
      <c r="D5" s="95" t="s">
        <v>88</v>
      </c>
      <c r="E5" s="95" t="s">
        <v>88</v>
      </c>
      <c r="F5" s="95" t="s">
        <v>342</v>
      </c>
      <c r="G5" s="95" t="s">
        <v>342</v>
      </c>
      <c r="H5" s="95" t="s">
        <v>342</v>
      </c>
      <c r="I5" s="95" t="s">
        <v>342</v>
      </c>
      <c r="J5" s="95" t="s">
        <v>342</v>
      </c>
      <c r="K5" s="95" t="s">
        <v>342</v>
      </c>
      <c r="L5" s="95" t="s">
        <v>345</v>
      </c>
    </row>
    <row r="6" spans="1:12" x14ac:dyDescent="0.35">
      <c r="B6" s="230"/>
      <c r="C6" s="4"/>
      <c r="D6" s="4" t="s">
        <v>44</v>
      </c>
      <c r="E6" s="4"/>
      <c r="F6" s="4" t="s">
        <v>44</v>
      </c>
      <c r="G6" s="4"/>
      <c r="H6" s="4" t="s">
        <v>44</v>
      </c>
      <c r="I6" s="4"/>
      <c r="J6" s="4" t="s">
        <v>44</v>
      </c>
      <c r="K6" s="4"/>
      <c r="L6" s="4" t="s">
        <v>348</v>
      </c>
    </row>
    <row r="7" spans="1:12" x14ac:dyDescent="0.3">
      <c r="B7" s="116">
        <f>ROW() - 6</f>
        <v>1</v>
      </c>
      <c r="C7" s="117" t="s">
        <v>349</v>
      </c>
      <c r="D7" s="117" t="s">
        <v>609</v>
      </c>
      <c r="E7" s="117" t="s">
        <v>618</v>
      </c>
      <c r="F7" s="116" t="s">
        <v>629</v>
      </c>
      <c r="G7" s="116" t="s">
        <v>619</v>
      </c>
      <c r="H7" s="118" t="s">
        <v>539</v>
      </c>
      <c r="I7" s="116" t="s">
        <v>473</v>
      </c>
      <c r="J7" s="118" t="s">
        <v>45</v>
      </c>
      <c r="K7" s="116" t="s">
        <v>45</v>
      </c>
      <c r="L7" s="116" t="s">
        <v>620</v>
      </c>
    </row>
    <row r="8" spans="1:12" x14ac:dyDescent="0.3">
      <c r="B8" s="116">
        <f t="shared" ref="B8:B15" si="0">ROW() - 6</f>
        <v>2</v>
      </c>
      <c r="C8" s="117" t="s">
        <v>350</v>
      </c>
      <c r="D8" s="116" t="s">
        <v>610</v>
      </c>
      <c r="E8" s="116" t="s">
        <v>618</v>
      </c>
      <c r="F8" s="116" t="s">
        <v>629</v>
      </c>
      <c r="G8" s="116" t="s">
        <v>619</v>
      </c>
      <c r="H8" s="118" t="s">
        <v>629</v>
      </c>
      <c r="I8" s="116" t="s">
        <v>476</v>
      </c>
      <c r="J8" s="118" t="s">
        <v>45</v>
      </c>
      <c r="K8" s="116" t="s">
        <v>473</v>
      </c>
      <c r="L8" s="116" t="s">
        <v>621</v>
      </c>
    </row>
    <row r="9" spans="1:12" x14ac:dyDescent="0.3">
      <c r="B9" s="116">
        <f t="shared" si="0"/>
        <v>3</v>
      </c>
      <c r="C9" s="117" t="s">
        <v>351</v>
      </c>
      <c r="D9" s="116" t="s">
        <v>611</v>
      </c>
      <c r="E9" s="116" t="s">
        <v>618</v>
      </c>
      <c r="F9" s="116" t="s">
        <v>629</v>
      </c>
      <c r="G9" s="116" t="s">
        <v>476</v>
      </c>
      <c r="H9" s="118" t="s">
        <v>629</v>
      </c>
      <c r="I9" s="116" t="s">
        <v>619</v>
      </c>
      <c r="J9" s="118" t="s">
        <v>45</v>
      </c>
      <c r="K9" s="116" t="s">
        <v>473</v>
      </c>
      <c r="L9" s="116" t="s">
        <v>622</v>
      </c>
    </row>
    <row r="10" spans="1:12" x14ac:dyDescent="0.3">
      <c r="B10" s="116">
        <f t="shared" si="0"/>
        <v>4</v>
      </c>
      <c r="C10" s="119" t="s">
        <v>352</v>
      </c>
      <c r="D10" s="116" t="s">
        <v>612</v>
      </c>
      <c r="E10" s="116" t="s">
        <v>619</v>
      </c>
      <c r="F10" s="116" t="s">
        <v>626</v>
      </c>
      <c r="G10" s="116" t="s">
        <v>618</v>
      </c>
      <c r="H10" s="118" t="s">
        <v>539</v>
      </c>
      <c r="I10" s="116" t="s">
        <v>473</v>
      </c>
      <c r="J10" s="118" t="s">
        <v>45</v>
      </c>
      <c r="K10" s="116" t="s">
        <v>45</v>
      </c>
      <c r="L10" s="116" t="s">
        <v>623</v>
      </c>
    </row>
    <row r="11" spans="1:12" x14ac:dyDescent="0.3">
      <c r="B11" s="116">
        <f t="shared" si="0"/>
        <v>5</v>
      </c>
      <c r="C11" s="119" t="s">
        <v>353</v>
      </c>
      <c r="D11" s="130" t="s">
        <v>613</v>
      </c>
      <c r="E11" s="116" t="s">
        <v>619</v>
      </c>
      <c r="F11" s="116" t="s">
        <v>626</v>
      </c>
      <c r="G11" s="116" t="s">
        <v>618</v>
      </c>
      <c r="H11" s="118" t="s">
        <v>629</v>
      </c>
      <c r="I11" s="116" t="s">
        <v>476</v>
      </c>
      <c r="J11" s="118" t="s">
        <v>45</v>
      </c>
      <c r="K11" s="116" t="s">
        <v>473</v>
      </c>
      <c r="L11" s="116" t="s">
        <v>624</v>
      </c>
    </row>
    <row r="12" spans="1:12" x14ac:dyDescent="0.3">
      <c r="B12" s="116">
        <f t="shared" si="0"/>
        <v>6</v>
      </c>
      <c r="C12" s="118" t="s">
        <v>354</v>
      </c>
      <c r="D12" s="118" t="s">
        <v>354</v>
      </c>
      <c r="E12" s="118" t="s">
        <v>619</v>
      </c>
      <c r="F12" s="116" t="s">
        <v>629</v>
      </c>
      <c r="G12" s="116" t="s">
        <v>618</v>
      </c>
      <c r="H12" s="118" t="s">
        <v>539</v>
      </c>
      <c r="I12" s="116" t="s">
        <v>473</v>
      </c>
      <c r="J12" s="118" t="s">
        <v>45</v>
      </c>
      <c r="K12" s="116" t="s">
        <v>45</v>
      </c>
      <c r="L12" s="116" t="s">
        <v>625</v>
      </c>
    </row>
    <row r="13" spans="1:12" x14ac:dyDescent="0.3">
      <c r="B13" s="116">
        <f t="shared" si="0"/>
        <v>7</v>
      </c>
      <c r="C13" s="118" t="s">
        <v>355</v>
      </c>
      <c r="D13" s="116" t="s">
        <v>614</v>
      </c>
      <c r="E13" s="118" t="s">
        <v>619</v>
      </c>
      <c r="F13" s="116" t="s">
        <v>629</v>
      </c>
      <c r="G13" s="116" t="s">
        <v>618</v>
      </c>
      <c r="H13" s="118" t="s">
        <v>629</v>
      </c>
      <c r="I13" s="116" t="s">
        <v>476</v>
      </c>
      <c r="J13" s="118" t="s">
        <v>45</v>
      </c>
      <c r="K13" s="116" t="s">
        <v>473</v>
      </c>
      <c r="L13" s="116" t="s">
        <v>627</v>
      </c>
    </row>
    <row r="14" spans="1:12" x14ac:dyDescent="0.3">
      <c r="B14" s="116">
        <f t="shared" si="0"/>
        <v>8</v>
      </c>
      <c r="C14" s="118" t="s">
        <v>356</v>
      </c>
      <c r="D14" s="130" t="s">
        <v>615</v>
      </c>
      <c r="E14" s="118" t="s">
        <v>619</v>
      </c>
      <c r="F14" s="116" t="s">
        <v>629</v>
      </c>
      <c r="G14" s="116" t="s">
        <v>476</v>
      </c>
      <c r="H14" s="118" t="s">
        <v>629</v>
      </c>
      <c r="I14" s="116" t="s">
        <v>618</v>
      </c>
      <c r="J14" s="118" t="s">
        <v>45</v>
      </c>
      <c r="K14" s="116" t="s">
        <v>473</v>
      </c>
      <c r="L14" s="116" t="s">
        <v>628</v>
      </c>
    </row>
    <row r="15" spans="1:12" x14ac:dyDescent="0.3">
      <c r="B15" s="116">
        <f t="shared" si="0"/>
        <v>9</v>
      </c>
      <c r="C15" s="118" t="s">
        <v>357</v>
      </c>
      <c r="D15" s="116" t="s">
        <v>617</v>
      </c>
      <c r="E15" s="118" t="s">
        <v>619</v>
      </c>
      <c r="F15" s="116" t="s">
        <v>629</v>
      </c>
      <c r="G15" s="116" t="s">
        <v>618</v>
      </c>
      <c r="H15" s="118" t="s">
        <v>539</v>
      </c>
      <c r="I15" s="116" t="s">
        <v>473</v>
      </c>
      <c r="J15" s="118" t="s">
        <v>45</v>
      </c>
      <c r="K15" s="116" t="s">
        <v>45</v>
      </c>
      <c r="L15" s="118" t="s">
        <v>616</v>
      </c>
    </row>
  </sheetData>
  <sheetProtection insertRows="0" deleteRows="0" sort="0" autoFilter="0"/>
  <dataConsolidate/>
  <mergeCells count="1">
    <mergeCell ref="B4:B6"/>
  </mergeCells>
  <phoneticPr fontId="13"/>
  <dataValidations count="1">
    <dataValidation allowBlank="1" showInputMessage="1" sqref="E7:L15" xr:uid="{98214A83-1E05-4A45-8600-033ADF2A4B86}"/>
  </dataValidations>
  <hyperlinks>
    <hyperlink ref="A3" location="パラメータ設定一覧!A1" display="パラメータ設定一覧へ" xr:uid="{695EF820-7F05-457B-83CC-7B26904C51D9}"/>
  </hyperlink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436F56-12ED-42B4-99B4-95633E1BDBB5}">
  <sheetPr codeName="Sheet128"/>
  <dimension ref="A1:L9"/>
  <sheetViews>
    <sheetView showGridLines="0" zoomScaleNormal="100" workbookViewId="0">
      <pane xSplit="6" ySplit="5" topLeftCell="G6" activePane="bottomRight" state="frozen"/>
      <selection pane="topRight"/>
      <selection pane="bottomLeft"/>
      <selection pane="bottomRight"/>
    </sheetView>
  </sheetViews>
  <sheetFormatPr defaultColWidth="8.78515625" defaultRowHeight="13.5" x14ac:dyDescent="0.35"/>
  <cols>
    <col min="1" max="1" width="2.78515625" style="38" customWidth="1"/>
    <col min="2" max="2" width="3.78515625" style="38" customWidth="1"/>
    <col min="3" max="3" width="16.78515625" style="38" customWidth="1"/>
    <col min="4" max="4" width="19.2109375" style="38" customWidth="1"/>
    <col min="5" max="5" width="16.5703125" style="38" customWidth="1"/>
    <col min="6" max="6" width="22.5703125" style="38" customWidth="1"/>
    <col min="7" max="7" width="44.640625" style="38" customWidth="1"/>
    <col min="8" max="8" width="27.5703125" style="38" customWidth="1"/>
    <col min="9" max="9" width="17.42578125" style="40" customWidth="1"/>
    <col min="10" max="10" width="22.42578125" style="38" customWidth="1"/>
    <col min="11" max="11" width="18.2109375" style="38" customWidth="1"/>
    <col min="12" max="12" width="13.2109375" style="38" customWidth="1"/>
    <col min="13" max="16384" width="8.78515625" style="38"/>
  </cols>
  <sheetData>
    <row r="1" spans="1:12" customFormat="1" ht="19.5" x14ac:dyDescent="0.35">
      <c r="A1" s="7" t="s">
        <v>11</v>
      </c>
      <c r="C1" s="38"/>
      <c r="D1" s="38"/>
      <c r="E1" s="38"/>
      <c r="F1" s="38"/>
      <c r="G1" s="38"/>
      <c r="H1" s="38"/>
      <c r="I1" s="40"/>
    </row>
    <row r="2" spans="1:12" customFormat="1" ht="15" x14ac:dyDescent="0.35">
      <c r="B2" t="s">
        <v>358</v>
      </c>
      <c r="C2" s="38"/>
      <c r="D2" s="38"/>
      <c r="E2" s="38"/>
      <c r="F2" s="38"/>
      <c r="G2" s="38"/>
      <c r="H2" s="38"/>
      <c r="I2" s="40"/>
    </row>
    <row r="3" spans="1:12" customFormat="1" ht="15" x14ac:dyDescent="0.35">
      <c r="B3" t="s">
        <v>359</v>
      </c>
      <c r="C3" s="38"/>
      <c r="D3" s="38"/>
      <c r="E3" s="38"/>
      <c r="F3" s="38"/>
      <c r="G3" s="38"/>
      <c r="H3" s="38"/>
      <c r="I3" s="40"/>
    </row>
    <row r="4" spans="1:12" customFormat="1" ht="15" x14ac:dyDescent="0.35">
      <c r="A4" s="9" t="s">
        <v>670</v>
      </c>
      <c r="C4" s="38"/>
      <c r="D4" s="38"/>
      <c r="E4" s="38"/>
      <c r="F4" s="38"/>
      <c r="G4" s="38"/>
      <c r="H4" s="38"/>
      <c r="I4" s="40"/>
    </row>
    <row r="5" spans="1:12" x14ac:dyDescent="0.35">
      <c r="B5" s="10" t="s">
        <v>1</v>
      </c>
      <c r="C5" s="10" t="s">
        <v>32</v>
      </c>
      <c r="D5" s="10" t="s">
        <v>33</v>
      </c>
      <c r="E5" s="10" t="s">
        <v>34</v>
      </c>
      <c r="F5" s="18" t="s">
        <v>35</v>
      </c>
      <c r="G5" s="18" t="s">
        <v>36</v>
      </c>
      <c r="H5" s="10" t="s">
        <v>37</v>
      </c>
      <c r="I5" s="41" t="s">
        <v>38</v>
      </c>
      <c r="J5" s="10" t="s">
        <v>39</v>
      </c>
      <c r="K5" s="12" t="s">
        <v>40</v>
      </c>
      <c r="L5" s="12" t="s">
        <v>41</v>
      </c>
    </row>
    <row r="6" spans="1:12" ht="27" x14ac:dyDescent="0.35">
      <c r="B6" s="19">
        <f>ROW() - 5</f>
        <v>1</v>
      </c>
      <c r="C6" s="14"/>
      <c r="D6" s="14"/>
      <c r="E6" s="99" t="s">
        <v>360</v>
      </c>
      <c r="F6" s="20" t="s">
        <v>73</v>
      </c>
      <c r="G6" s="20"/>
      <c r="H6" s="39" t="s">
        <v>44</v>
      </c>
      <c r="I6" s="37" t="s">
        <v>329</v>
      </c>
      <c r="J6" s="21"/>
      <c r="K6" s="1" t="s">
        <v>593</v>
      </c>
      <c r="L6" s="2"/>
    </row>
    <row r="7" spans="1:12" ht="27" x14ac:dyDescent="0.35">
      <c r="B7" s="19">
        <f>ROW() - 5</f>
        <v>2</v>
      </c>
      <c r="C7" s="73"/>
      <c r="D7" s="35"/>
      <c r="E7" s="73"/>
      <c r="F7" s="20" t="s">
        <v>88</v>
      </c>
      <c r="G7" s="20"/>
      <c r="H7" s="39" t="s">
        <v>44</v>
      </c>
      <c r="I7" s="37" t="s">
        <v>329</v>
      </c>
      <c r="J7" s="21"/>
      <c r="K7" s="1" t="s">
        <v>593</v>
      </c>
      <c r="L7" s="2"/>
    </row>
    <row r="8" spans="1:12" ht="27" x14ac:dyDescent="0.35">
      <c r="B8" s="19">
        <f>ROW() - 5</f>
        <v>3</v>
      </c>
      <c r="C8" s="73"/>
      <c r="D8" s="73"/>
      <c r="E8" s="73"/>
      <c r="F8" s="20" t="s">
        <v>361</v>
      </c>
      <c r="G8" s="20"/>
      <c r="H8" s="39" t="s">
        <v>362</v>
      </c>
      <c r="I8" s="39" t="s">
        <v>329</v>
      </c>
      <c r="J8" s="39"/>
      <c r="K8" s="1" t="s">
        <v>593</v>
      </c>
      <c r="L8" s="2"/>
    </row>
    <row r="9" spans="1:12" ht="27" x14ac:dyDescent="0.35">
      <c r="B9" s="19">
        <f t="shared" ref="B9" si="0">ROW() - 5</f>
        <v>4</v>
      </c>
      <c r="C9" s="17"/>
      <c r="D9" s="17"/>
      <c r="E9" s="17"/>
      <c r="F9" s="20" t="s">
        <v>363</v>
      </c>
      <c r="G9" s="20" t="s">
        <v>536</v>
      </c>
      <c r="H9" s="39" t="s">
        <v>362</v>
      </c>
      <c r="I9" s="37" t="s">
        <v>329</v>
      </c>
      <c r="J9" s="21"/>
      <c r="K9" s="1" t="s">
        <v>593</v>
      </c>
      <c r="L9" s="2"/>
    </row>
  </sheetData>
  <phoneticPr fontId="13"/>
  <hyperlinks>
    <hyperlink ref="A4" location="パラメータ設定一覧!A1" display="パラメータ設定一覧へ" xr:uid="{FBBA716A-A172-4D28-B5A9-0CB1167DA75F}"/>
  </hyperlinks>
  <pageMargins left="0.7" right="0.7" top="0.75" bottom="0.75" header="0.3" footer="0.3"/>
  <pageSetup paperSize="9" orientation="portrait" horizontalDpi="1200" verticalDpi="12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FB7B94-0804-4E28-B0E6-37EFCBF3BA22}">
  <sheetPr codeName="Sheet129"/>
  <dimension ref="A1:F25"/>
  <sheetViews>
    <sheetView showGridLines="0" zoomScaleNormal="100" workbookViewId="0">
      <pane ySplit="5" topLeftCell="A6" activePane="bottomLeft" state="frozen"/>
      <selection pane="bottomLeft"/>
    </sheetView>
  </sheetViews>
  <sheetFormatPr defaultColWidth="8.78515625" defaultRowHeight="13.5" x14ac:dyDescent="0.35"/>
  <cols>
    <col min="1" max="1" width="2.78515625" style="38" customWidth="1"/>
    <col min="2" max="2" width="3.5703125" style="38" bestFit="1" customWidth="1"/>
    <col min="3" max="3" width="26.2109375" style="38" bestFit="1" customWidth="1"/>
    <col min="4" max="6" width="17.78515625" style="38" customWidth="1"/>
    <col min="7" max="16384" width="8.78515625" style="38"/>
  </cols>
  <sheetData>
    <row r="1" spans="1:6" customFormat="1" ht="19.5" x14ac:dyDescent="0.35">
      <c r="A1" s="7" t="s">
        <v>594</v>
      </c>
    </row>
    <row r="2" spans="1:6" customFormat="1" ht="15" x14ac:dyDescent="0.35"/>
    <row r="3" spans="1:6" customFormat="1" ht="15" x14ac:dyDescent="0.35">
      <c r="A3" s="9" t="s">
        <v>670</v>
      </c>
      <c r="D3" t="s">
        <v>676</v>
      </c>
    </row>
    <row r="4" spans="1:6" x14ac:dyDescent="0.35">
      <c r="B4" s="237" t="s">
        <v>1</v>
      </c>
      <c r="C4" s="34" t="s">
        <v>73</v>
      </c>
      <c r="D4" s="94" t="s">
        <v>22</v>
      </c>
      <c r="E4" s="94" t="s">
        <v>361</v>
      </c>
      <c r="F4" s="94" t="s">
        <v>363</v>
      </c>
    </row>
    <row r="5" spans="1:6" x14ac:dyDescent="0.35">
      <c r="B5" s="238"/>
      <c r="C5" s="3" t="s">
        <v>23</v>
      </c>
      <c r="D5" s="4" t="s">
        <v>348</v>
      </c>
      <c r="E5" s="4" t="s">
        <v>228</v>
      </c>
      <c r="F5" s="4" t="s">
        <v>228</v>
      </c>
    </row>
    <row r="6" spans="1:6" x14ac:dyDescent="0.3">
      <c r="B6" s="125">
        <f t="shared" ref="B6:B25" si="0">ROW() - 5</f>
        <v>1</v>
      </c>
      <c r="C6" s="126" t="s">
        <v>364</v>
      </c>
      <c r="D6" s="125" t="s">
        <v>365</v>
      </c>
      <c r="E6" s="116" t="s">
        <v>366</v>
      </c>
      <c r="F6" s="116" t="s">
        <v>366</v>
      </c>
    </row>
    <row r="7" spans="1:6" x14ac:dyDescent="0.3">
      <c r="B7" s="125">
        <f t="shared" si="0"/>
        <v>2</v>
      </c>
      <c r="C7" s="126" t="s">
        <v>367</v>
      </c>
      <c r="D7" s="125" t="s">
        <v>368</v>
      </c>
      <c r="E7" s="116" t="s">
        <v>366</v>
      </c>
      <c r="F7" s="116"/>
    </row>
    <row r="8" spans="1:6" x14ac:dyDescent="0.3">
      <c r="B8" s="125">
        <f t="shared" si="0"/>
        <v>3</v>
      </c>
      <c r="C8" s="126" t="s">
        <v>369</v>
      </c>
      <c r="D8" s="125" t="s">
        <v>370</v>
      </c>
      <c r="E8" s="116" t="s">
        <v>366</v>
      </c>
      <c r="F8" s="116"/>
    </row>
    <row r="9" spans="1:6" x14ac:dyDescent="0.3">
      <c r="B9" s="125">
        <f t="shared" si="0"/>
        <v>4</v>
      </c>
      <c r="C9" s="129" t="s">
        <v>371</v>
      </c>
      <c r="D9" s="125" t="s">
        <v>372</v>
      </c>
      <c r="E9" s="116" t="s">
        <v>366</v>
      </c>
      <c r="F9" s="120"/>
    </row>
    <row r="10" spans="1:6" x14ac:dyDescent="0.3">
      <c r="B10" s="125">
        <f t="shared" si="0"/>
        <v>5</v>
      </c>
      <c r="C10" s="129" t="s">
        <v>373</v>
      </c>
      <c r="D10" s="125" t="s">
        <v>374</v>
      </c>
      <c r="E10" s="116" t="s">
        <v>366</v>
      </c>
      <c r="F10" s="120"/>
    </row>
    <row r="11" spans="1:6" x14ac:dyDescent="0.3">
      <c r="B11" s="125">
        <f t="shared" si="0"/>
        <v>6</v>
      </c>
      <c r="C11" s="129" t="s">
        <v>375</v>
      </c>
      <c r="D11" s="125" t="s">
        <v>376</v>
      </c>
      <c r="E11" s="116" t="s">
        <v>366</v>
      </c>
      <c r="F11" s="116" t="s">
        <v>366</v>
      </c>
    </row>
    <row r="12" spans="1:6" x14ac:dyDescent="0.3">
      <c r="B12" s="125">
        <f t="shared" si="0"/>
        <v>7</v>
      </c>
      <c r="C12" s="129" t="s">
        <v>377</v>
      </c>
      <c r="D12" s="125" t="s">
        <v>378</v>
      </c>
      <c r="E12" s="116" t="s">
        <v>366</v>
      </c>
      <c r="F12" s="116" t="s">
        <v>366</v>
      </c>
    </row>
    <row r="13" spans="1:6" x14ac:dyDescent="0.3">
      <c r="B13" s="125">
        <f t="shared" si="0"/>
        <v>8</v>
      </c>
      <c r="C13" s="129" t="s">
        <v>379</v>
      </c>
      <c r="D13" s="125" t="s">
        <v>380</v>
      </c>
      <c r="E13" s="116" t="s">
        <v>366</v>
      </c>
      <c r="F13" s="120"/>
    </row>
    <row r="14" spans="1:6" x14ac:dyDescent="0.3">
      <c r="B14" s="125">
        <f t="shared" si="0"/>
        <v>9</v>
      </c>
      <c r="C14" s="129" t="s">
        <v>381</v>
      </c>
      <c r="D14" s="125" t="s">
        <v>382</v>
      </c>
      <c r="E14" s="116" t="s">
        <v>366</v>
      </c>
      <c r="F14" s="120"/>
    </row>
    <row r="15" spans="1:6" x14ac:dyDescent="0.3">
      <c r="B15" s="125">
        <f t="shared" si="0"/>
        <v>10</v>
      </c>
      <c r="C15" s="129" t="s">
        <v>383</v>
      </c>
      <c r="D15" s="125" t="s">
        <v>384</v>
      </c>
      <c r="E15" s="116" t="s">
        <v>366</v>
      </c>
      <c r="F15" s="116" t="s">
        <v>366</v>
      </c>
    </row>
    <row r="16" spans="1:6" x14ac:dyDescent="0.3">
      <c r="B16" s="125">
        <f t="shared" si="0"/>
        <v>11</v>
      </c>
      <c r="C16" s="129" t="s">
        <v>385</v>
      </c>
      <c r="D16" s="125" t="s">
        <v>386</v>
      </c>
      <c r="E16" s="116" t="s">
        <v>366</v>
      </c>
      <c r="F16" s="120"/>
    </row>
    <row r="17" spans="2:6" x14ac:dyDescent="0.3">
      <c r="B17" s="125">
        <f t="shared" si="0"/>
        <v>12</v>
      </c>
      <c r="C17" s="129" t="s">
        <v>387</v>
      </c>
      <c r="D17" s="125" t="s">
        <v>388</v>
      </c>
      <c r="E17" s="116" t="s">
        <v>366</v>
      </c>
      <c r="F17" s="120"/>
    </row>
    <row r="18" spans="2:6" x14ac:dyDescent="0.3">
      <c r="B18" s="125">
        <f t="shared" si="0"/>
        <v>13</v>
      </c>
      <c r="C18" s="129" t="s">
        <v>389</v>
      </c>
      <c r="D18" s="125" t="s">
        <v>390</v>
      </c>
      <c r="E18" s="116" t="s">
        <v>366</v>
      </c>
      <c r="F18" s="116" t="s">
        <v>366</v>
      </c>
    </row>
    <row r="19" spans="2:6" x14ac:dyDescent="0.3">
      <c r="B19" s="125">
        <f t="shared" si="0"/>
        <v>14</v>
      </c>
      <c r="C19" s="129" t="s">
        <v>391</v>
      </c>
      <c r="D19" s="125" t="s">
        <v>392</v>
      </c>
      <c r="E19" s="116" t="s">
        <v>366</v>
      </c>
      <c r="F19" s="120"/>
    </row>
    <row r="20" spans="2:6" x14ac:dyDescent="0.3">
      <c r="B20" s="125">
        <f t="shared" si="0"/>
        <v>15</v>
      </c>
      <c r="C20" s="129" t="s">
        <v>393</v>
      </c>
      <c r="D20" s="125" t="s">
        <v>394</v>
      </c>
      <c r="E20" s="116" t="s">
        <v>366</v>
      </c>
      <c r="F20" s="120"/>
    </row>
    <row r="21" spans="2:6" x14ac:dyDescent="0.3">
      <c r="B21" s="125">
        <f t="shared" si="0"/>
        <v>16</v>
      </c>
      <c r="C21" s="129" t="s">
        <v>395</v>
      </c>
      <c r="D21" s="125" t="s">
        <v>395</v>
      </c>
      <c r="E21" s="116"/>
      <c r="F21" s="116" t="s">
        <v>366</v>
      </c>
    </row>
    <row r="22" spans="2:6" x14ac:dyDescent="0.3">
      <c r="B22" s="125">
        <f t="shared" si="0"/>
        <v>17</v>
      </c>
      <c r="C22" s="129" t="s">
        <v>396</v>
      </c>
      <c r="D22" s="125" t="s">
        <v>397</v>
      </c>
      <c r="E22" s="116" t="s">
        <v>366</v>
      </c>
      <c r="F22" s="120"/>
    </row>
    <row r="23" spans="2:6" x14ac:dyDescent="0.3">
      <c r="B23" s="125">
        <f t="shared" si="0"/>
        <v>18</v>
      </c>
      <c r="C23" s="129" t="s">
        <v>398</v>
      </c>
      <c r="D23" s="125" t="s">
        <v>399</v>
      </c>
      <c r="E23" s="116" t="s">
        <v>366</v>
      </c>
      <c r="F23" s="120"/>
    </row>
    <row r="24" spans="2:6" x14ac:dyDescent="0.3">
      <c r="B24" s="125">
        <f t="shared" si="0"/>
        <v>19</v>
      </c>
      <c r="C24" s="129" t="s">
        <v>400</v>
      </c>
      <c r="D24" s="125" t="s">
        <v>400</v>
      </c>
      <c r="E24" s="116" t="s">
        <v>366</v>
      </c>
      <c r="F24" s="120"/>
    </row>
    <row r="25" spans="2:6" x14ac:dyDescent="0.3">
      <c r="B25" s="125">
        <f t="shared" si="0"/>
        <v>20</v>
      </c>
      <c r="C25" s="129" t="s">
        <v>401</v>
      </c>
      <c r="D25" s="125" t="s">
        <v>402</v>
      </c>
      <c r="E25" s="116" t="s">
        <v>366</v>
      </c>
      <c r="F25" s="120"/>
    </row>
  </sheetData>
  <sheetProtection sort="0" autoFilter="0"/>
  <mergeCells count="1">
    <mergeCell ref="B4:B5"/>
  </mergeCells>
  <phoneticPr fontId="13"/>
  <hyperlinks>
    <hyperlink ref="A3" location="パラメータ設定一覧!A1" display="パラメータ設定一覧へ" xr:uid="{331F9674-BC12-4CED-A359-E3D756A238F7}"/>
  </hyperlinks>
  <pageMargins left="0.7" right="0.7" top="0.75" bottom="0.75" header="0.3" footer="0.3"/>
  <pageSetup paperSize="9" orientation="portrait" horizontalDpi="1200" verticalDpi="12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9884A4-FB7D-423A-9A7E-A059305DAB3F}">
  <sheetPr codeName="Sheet142"/>
  <dimension ref="A1:L8"/>
  <sheetViews>
    <sheetView showGridLines="0" zoomScaleNormal="100" workbookViewId="0">
      <pane xSplit="6" ySplit="5" topLeftCell="G6" activePane="bottomRight" state="frozen"/>
      <selection pane="topRight"/>
      <selection pane="bottomLeft"/>
      <selection pane="bottomRight"/>
    </sheetView>
  </sheetViews>
  <sheetFormatPr defaultColWidth="8.78515625" defaultRowHeight="13.5" x14ac:dyDescent="0.35"/>
  <cols>
    <col min="1" max="1" width="2.78515625" style="38" customWidth="1"/>
    <col min="2" max="2" width="3.78515625" style="38" customWidth="1"/>
    <col min="3" max="3" width="16.78515625" style="38" customWidth="1"/>
    <col min="4" max="4" width="19.2109375" style="38" customWidth="1"/>
    <col min="5" max="5" width="16.5703125" style="38" customWidth="1"/>
    <col min="6" max="6" width="22.5703125" style="38" customWidth="1"/>
    <col min="7" max="7" width="44.640625" style="38" customWidth="1"/>
    <col min="8" max="8" width="27.5703125" style="38" customWidth="1"/>
    <col min="9" max="9" width="17.42578125" style="40" customWidth="1"/>
    <col min="10" max="10" width="22.42578125" style="38" customWidth="1"/>
    <col min="11" max="11" width="18.2109375" style="38" customWidth="1"/>
    <col min="12" max="12" width="13.2109375" style="38" customWidth="1"/>
    <col min="13" max="16384" width="8.78515625" style="38"/>
  </cols>
  <sheetData>
    <row r="1" spans="1:12" customFormat="1" ht="19.5" x14ac:dyDescent="0.35">
      <c r="A1" s="8" t="s">
        <v>583</v>
      </c>
      <c r="C1" s="38"/>
      <c r="D1" s="38"/>
      <c r="E1" s="38"/>
      <c r="F1" s="38"/>
      <c r="G1" s="38"/>
      <c r="H1" s="38"/>
      <c r="I1" s="40"/>
    </row>
    <row r="2" spans="1:12" customFormat="1" ht="15" x14ac:dyDescent="0.35">
      <c r="B2" t="s">
        <v>407</v>
      </c>
      <c r="C2" s="38"/>
      <c r="D2" s="38"/>
      <c r="E2" s="38"/>
      <c r="F2" s="38"/>
      <c r="G2" s="38"/>
      <c r="H2" s="38"/>
      <c r="I2" s="40"/>
    </row>
    <row r="3" spans="1:12" customFormat="1" ht="15" x14ac:dyDescent="0.35">
      <c r="A3" s="9"/>
      <c r="B3" t="s">
        <v>643</v>
      </c>
      <c r="C3" s="38"/>
      <c r="D3" s="38"/>
      <c r="E3" s="38"/>
      <c r="F3" s="38"/>
      <c r="G3" s="38"/>
      <c r="H3" s="38"/>
      <c r="I3" s="40"/>
    </row>
    <row r="4" spans="1:12" customFormat="1" ht="15" x14ac:dyDescent="0.35">
      <c r="A4" s="9" t="s">
        <v>670</v>
      </c>
      <c r="C4" s="38"/>
      <c r="D4" s="38"/>
      <c r="E4" s="38"/>
      <c r="F4" s="38"/>
      <c r="G4" s="38"/>
      <c r="H4" s="38"/>
      <c r="I4" s="40"/>
    </row>
    <row r="5" spans="1:12" x14ac:dyDescent="0.35">
      <c r="B5" s="10" t="s">
        <v>1</v>
      </c>
      <c r="C5" s="10" t="s">
        <v>32</v>
      </c>
      <c r="D5" s="10" t="s">
        <v>33</v>
      </c>
      <c r="E5" s="10" t="s">
        <v>34</v>
      </c>
      <c r="F5" s="18" t="s">
        <v>35</v>
      </c>
      <c r="G5" s="18" t="s">
        <v>36</v>
      </c>
      <c r="H5" s="10" t="s">
        <v>37</v>
      </c>
      <c r="I5" s="41" t="s">
        <v>38</v>
      </c>
      <c r="J5" s="10" t="s">
        <v>39</v>
      </c>
      <c r="K5" s="12" t="s">
        <v>40</v>
      </c>
      <c r="L5" s="12" t="s">
        <v>41</v>
      </c>
    </row>
    <row r="6" spans="1:12" x14ac:dyDescent="0.35">
      <c r="B6" s="19">
        <f>ROW() - 5</f>
        <v>1</v>
      </c>
      <c r="C6" s="14" t="s">
        <v>408</v>
      </c>
      <c r="D6" s="14"/>
      <c r="E6" s="99"/>
      <c r="F6" s="20" t="s">
        <v>43</v>
      </c>
      <c r="G6" s="20"/>
      <c r="H6" s="39" t="s">
        <v>44</v>
      </c>
      <c r="I6" s="37" t="s">
        <v>329</v>
      </c>
      <c r="J6" s="21"/>
      <c r="K6" s="1" t="s">
        <v>592</v>
      </c>
      <c r="L6" s="2"/>
    </row>
    <row r="7" spans="1:12" ht="243" x14ac:dyDescent="0.35">
      <c r="B7" s="19">
        <f>ROW() - 5</f>
        <v>2</v>
      </c>
      <c r="C7" s="15" t="s">
        <v>73</v>
      </c>
      <c r="D7" s="53"/>
      <c r="E7" s="15"/>
      <c r="F7" s="20" t="s">
        <v>409</v>
      </c>
      <c r="G7" s="20"/>
      <c r="H7" s="39" t="s">
        <v>524</v>
      </c>
      <c r="I7" s="37" t="s">
        <v>329</v>
      </c>
      <c r="J7" s="21"/>
      <c r="K7" s="1" t="s">
        <v>592</v>
      </c>
      <c r="L7" s="2"/>
    </row>
    <row r="8" spans="1:12" ht="81" x14ac:dyDescent="0.35">
      <c r="B8" s="19">
        <f>ROW() - 5</f>
        <v>3</v>
      </c>
      <c r="C8" s="17" t="s">
        <v>410</v>
      </c>
      <c r="D8" s="17"/>
      <c r="E8" s="17"/>
      <c r="F8" s="20" t="s">
        <v>410</v>
      </c>
      <c r="G8" s="20"/>
      <c r="H8" s="39" t="s">
        <v>525</v>
      </c>
      <c r="I8" s="39" t="s">
        <v>329</v>
      </c>
      <c r="J8" s="39"/>
      <c r="K8" s="1" t="s">
        <v>592</v>
      </c>
      <c r="L8" s="2"/>
    </row>
  </sheetData>
  <phoneticPr fontId="13"/>
  <hyperlinks>
    <hyperlink ref="A4" location="パラメータ設定一覧!A1" display="パラメータ設定一覧へ" xr:uid="{7F8B8053-3A99-41E7-AFB0-3F5EEA18E5F6}"/>
  </hyperlinks>
  <pageMargins left="0.7" right="0.7" top="0.75" bottom="0.75" header="0.3" footer="0.3"/>
  <pageSetup paperSize="9" orientation="portrait" horizontalDpi="1200" verticalDpi="120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BF0230-EACD-42E0-8894-96063057EEB9}">
  <sheetPr codeName="Sheet143"/>
  <dimension ref="A1:E11"/>
  <sheetViews>
    <sheetView showGridLines="0" zoomScaleNormal="100" workbookViewId="0">
      <pane xSplit="3" ySplit="6" topLeftCell="D7" activePane="bottomRight" state="frozen"/>
      <selection pane="topRight"/>
      <selection pane="bottomLeft"/>
      <selection pane="bottomRight"/>
    </sheetView>
  </sheetViews>
  <sheetFormatPr defaultColWidth="8.78515625" defaultRowHeight="13.5" x14ac:dyDescent="0.35"/>
  <cols>
    <col min="1" max="1" width="2.78515625" style="38" customWidth="1"/>
    <col min="2" max="2" width="3.5703125" style="38" bestFit="1" customWidth="1"/>
    <col min="3" max="3" width="17.2109375" style="38" customWidth="1"/>
    <col min="4" max="5" width="19.78515625" style="38" customWidth="1"/>
    <col min="6" max="16384" width="8.78515625" style="38"/>
  </cols>
  <sheetData>
    <row r="1" spans="1:5" customFormat="1" ht="19.5" x14ac:dyDescent="0.35">
      <c r="A1" s="8" t="s">
        <v>582</v>
      </c>
    </row>
    <row r="2" spans="1:5" customFormat="1" ht="15" x14ac:dyDescent="0.35"/>
    <row r="3" spans="1:5" customFormat="1" ht="15" x14ac:dyDescent="0.35">
      <c r="A3" s="9" t="s">
        <v>670</v>
      </c>
    </row>
    <row r="4" spans="1:5" x14ac:dyDescent="0.35">
      <c r="B4" s="237" t="s">
        <v>1</v>
      </c>
      <c r="C4" s="65" t="s">
        <v>408</v>
      </c>
      <c r="D4" s="67" t="s">
        <v>73</v>
      </c>
      <c r="E4" s="93" t="s">
        <v>410</v>
      </c>
    </row>
    <row r="5" spans="1:5" x14ac:dyDescent="0.35">
      <c r="B5" s="255"/>
      <c r="C5" s="94" t="s">
        <v>43</v>
      </c>
      <c r="D5" s="94" t="s">
        <v>409</v>
      </c>
      <c r="E5" s="94" t="s">
        <v>410</v>
      </c>
    </row>
    <row r="6" spans="1:5" x14ac:dyDescent="0.35">
      <c r="B6" s="238"/>
      <c r="C6" s="4" t="s">
        <v>44</v>
      </c>
      <c r="D6" s="4"/>
      <c r="E6" s="4"/>
    </row>
    <row r="7" spans="1:5" x14ac:dyDescent="0.35">
      <c r="B7" s="124">
        <f>ROW() - 6</f>
        <v>1</v>
      </c>
      <c r="C7" s="124"/>
      <c r="D7" s="124"/>
      <c r="E7" s="131"/>
    </row>
    <row r="8" spans="1:5" x14ac:dyDescent="0.3">
      <c r="B8" s="124">
        <f t="shared" ref="B8:B11" si="0">ROW() - 6</f>
        <v>2</v>
      </c>
      <c r="C8" s="116"/>
      <c r="D8" s="116"/>
      <c r="E8" s="116"/>
    </row>
    <row r="9" spans="1:5" x14ac:dyDescent="0.3">
      <c r="B9" s="124">
        <f t="shared" si="0"/>
        <v>3</v>
      </c>
      <c r="C9" s="116"/>
      <c r="D9" s="116"/>
      <c r="E9" s="116"/>
    </row>
    <row r="10" spans="1:5" x14ac:dyDescent="0.3">
      <c r="B10" s="124">
        <f t="shared" si="0"/>
        <v>4</v>
      </c>
      <c r="C10" s="116"/>
      <c r="D10" s="116"/>
      <c r="E10" s="116"/>
    </row>
    <row r="11" spans="1:5" x14ac:dyDescent="0.3">
      <c r="B11" s="124">
        <f t="shared" si="0"/>
        <v>5</v>
      </c>
      <c r="C11" s="116"/>
      <c r="D11" s="116"/>
      <c r="E11" s="116"/>
    </row>
  </sheetData>
  <sheetProtection insertRows="0" deleteRows="0" sort="0" autoFilter="0"/>
  <dataConsolidate/>
  <mergeCells count="1">
    <mergeCell ref="B4:B6"/>
  </mergeCells>
  <phoneticPr fontId="13"/>
  <hyperlinks>
    <hyperlink ref="A3" location="パラメータ設定一覧!A1" display="パラメータ設定一覧へ" xr:uid="{4D5D9482-9DF7-4C2F-920A-EFF712CD9520}"/>
  </hyperlinks>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91F57C-16C2-4B74-A193-79AAC78FEB2D}">
  <sheetPr codeName="Sheet144"/>
  <dimension ref="A1:L9"/>
  <sheetViews>
    <sheetView showGridLines="0" zoomScaleNormal="100" workbookViewId="0">
      <pane xSplit="6" ySplit="5" topLeftCell="G6" activePane="bottomRight" state="frozen"/>
      <selection pane="topRight"/>
      <selection pane="bottomLeft"/>
      <selection pane="bottomRight"/>
    </sheetView>
  </sheetViews>
  <sheetFormatPr defaultColWidth="8.78515625" defaultRowHeight="13.5" x14ac:dyDescent="0.35"/>
  <cols>
    <col min="1" max="1" width="2.78515625" style="38" customWidth="1"/>
    <col min="2" max="2" width="3.78515625" style="38" customWidth="1"/>
    <col min="3" max="3" width="16.78515625" style="38" customWidth="1"/>
    <col min="4" max="4" width="19.2109375" style="38" customWidth="1"/>
    <col min="5" max="5" width="16.5703125" style="38" customWidth="1"/>
    <col min="6" max="6" width="22.5703125" style="38" customWidth="1"/>
    <col min="7" max="7" width="44.640625" style="38" customWidth="1"/>
    <col min="8" max="8" width="27.5703125" style="38" customWidth="1"/>
    <col min="9" max="9" width="17.42578125" style="40" customWidth="1"/>
    <col min="10" max="10" width="22.42578125" style="38" customWidth="1"/>
    <col min="11" max="11" width="18.2109375" style="38" customWidth="1"/>
    <col min="12" max="12" width="13.2109375" style="38" customWidth="1"/>
    <col min="13" max="16384" width="8.78515625" style="38"/>
  </cols>
  <sheetData>
    <row r="1" spans="1:12" customFormat="1" ht="19.5" x14ac:dyDescent="0.35">
      <c r="A1" s="8" t="s">
        <v>581</v>
      </c>
      <c r="C1" s="38"/>
      <c r="D1" s="38"/>
      <c r="E1" s="38"/>
      <c r="F1" s="38"/>
      <c r="G1" s="38"/>
      <c r="H1" s="38"/>
      <c r="I1" s="40"/>
    </row>
    <row r="2" spans="1:12" customFormat="1" ht="15" x14ac:dyDescent="0.35">
      <c r="B2" t="s">
        <v>411</v>
      </c>
      <c r="C2" s="38"/>
      <c r="D2" s="38"/>
      <c r="E2" s="38"/>
      <c r="F2" s="38"/>
      <c r="G2" s="38"/>
      <c r="H2" s="38"/>
      <c r="I2" s="40"/>
    </row>
    <row r="3" spans="1:12" customFormat="1" ht="15" x14ac:dyDescent="0.35">
      <c r="A3" s="9"/>
      <c r="B3" t="s">
        <v>644</v>
      </c>
      <c r="C3" s="38"/>
      <c r="D3" s="38"/>
      <c r="E3" s="38"/>
      <c r="F3" s="38"/>
      <c r="G3" s="38"/>
      <c r="H3" s="38"/>
      <c r="I3" s="40"/>
    </row>
    <row r="4" spans="1:12" customFormat="1" ht="15" x14ac:dyDescent="0.35">
      <c r="A4" s="9" t="s">
        <v>670</v>
      </c>
      <c r="C4" s="38"/>
      <c r="D4" s="38"/>
      <c r="E4" s="38"/>
      <c r="F4" s="38"/>
      <c r="G4" s="38"/>
      <c r="H4" s="38"/>
      <c r="I4" s="40"/>
    </row>
    <row r="5" spans="1:12" x14ac:dyDescent="0.35">
      <c r="B5" s="10" t="s">
        <v>1</v>
      </c>
      <c r="C5" s="10" t="s">
        <v>32</v>
      </c>
      <c r="D5" s="10" t="s">
        <v>33</v>
      </c>
      <c r="E5" s="10" t="s">
        <v>34</v>
      </c>
      <c r="F5" s="18" t="s">
        <v>35</v>
      </c>
      <c r="G5" s="18" t="s">
        <v>36</v>
      </c>
      <c r="H5" s="10" t="s">
        <v>37</v>
      </c>
      <c r="I5" s="41" t="s">
        <v>38</v>
      </c>
      <c r="J5" s="10" t="s">
        <v>39</v>
      </c>
      <c r="K5" s="12" t="s">
        <v>40</v>
      </c>
      <c r="L5" s="12" t="s">
        <v>41</v>
      </c>
    </row>
    <row r="6" spans="1:12" ht="243" x14ac:dyDescent="0.35">
      <c r="B6" s="19">
        <f>ROW() - 5</f>
        <v>1</v>
      </c>
      <c r="C6" s="14" t="s">
        <v>412</v>
      </c>
      <c r="D6" s="14"/>
      <c r="E6" s="99"/>
      <c r="F6" s="20" t="s">
        <v>73</v>
      </c>
      <c r="G6" s="20"/>
      <c r="H6" s="39" t="s">
        <v>413</v>
      </c>
      <c r="I6" s="37" t="s">
        <v>329</v>
      </c>
      <c r="J6" s="21" t="s">
        <v>414</v>
      </c>
      <c r="K6" s="1" t="s">
        <v>591</v>
      </c>
      <c r="L6" s="2"/>
    </row>
    <row r="7" spans="1:12" ht="27" x14ac:dyDescent="0.35">
      <c r="B7" s="19">
        <f>ROW() - 5</f>
        <v>2</v>
      </c>
      <c r="C7" s="14" t="s">
        <v>415</v>
      </c>
      <c r="D7" s="43"/>
      <c r="E7" s="14"/>
      <c r="F7" s="20" t="s">
        <v>247</v>
      </c>
      <c r="G7" s="20"/>
      <c r="H7" s="38" t="s">
        <v>362</v>
      </c>
      <c r="I7" s="37" t="s">
        <v>329</v>
      </c>
      <c r="J7" s="21" t="s">
        <v>416</v>
      </c>
      <c r="K7" s="1" t="s">
        <v>591</v>
      </c>
      <c r="L7" s="2"/>
    </row>
    <row r="8" spans="1:12" ht="121.5" x14ac:dyDescent="0.35">
      <c r="B8" s="19">
        <f>ROW() - 5</f>
        <v>3</v>
      </c>
      <c r="C8" s="17"/>
      <c r="D8" s="36"/>
      <c r="E8" s="17"/>
      <c r="F8" s="20" t="s">
        <v>417</v>
      </c>
      <c r="G8" s="20" t="s">
        <v>136</v>
      </c>
      <c r="H8" s="39" t="s">
        <v>418</v>
      </c>
      <c r="I8" s="37" t="s">
        <v>329</v>
      </c>
      <c r="J8" s="21" t="s">
        <v>416</v>
      </c>
      <c r="K8" s="1" t="s">
        <v>591</v>
      </c>
      <c r="L8" s="2"/>
    </row>
    <row r="9" spans="1:12" ht="81" x14ac:dyDescent="0.35">
      <c r="B9" s="19">
        <f>ROW() - 5</f>
        <v>4</v>
      </c>
      <c r="C9" s="17" t="s">
        <v>410</v>
      </c>
      <c r="D9" s="17"/>
      <c r="E9" s="17"/>
      <c r="F9" s="20" t="s">
        <v>410</v>
      </c>
      <c r="G9" s="20"/>
      <c r="H9" s="39" t="s">
        <v>525</v>
      </c>
      <c r="I9" s="39" t="s">
        <v>329</v>
      </c>
      <c r="J9" s="21" t="s">
        <v>416</v>
      </c>
      <c r="K9" s="1" t="s">
        <v>591</v>
      </c>
      <c r="L9" s="2"/>
    </row>
  </sheetData>
  <phoneticPr fontId="13"/>
  <hyperlinks>
    <hyperlink ref="A4" location="パラメータ設定一覧!A1" display="パラメータ設定一覧へ" xr:uid="{06FF8E37-4764-4270-AB11-AD3367AAE081}"/>
  </hyperlinks>
  <pageMargins left="0.7" right="0.7" top="0.75" bottom="0.75" header="0.3" footer="0.3"/>
  <pageSetup paperSize="9" orientation="portrait" horizontalDpi="1200" verticalDpi="120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47241-5BFC-4113-BC18-E627AD27484F}">
  <sheetPr codeName="Sheet145"/>
  <dimension ref="A1:F24"/>
  <sheetViews>
    <sheetView showGridLines="0" zoomScaleNormal="100" workbookViewId="0">
      <pane xSplit="3" ySplit="6" topLeftCell="D7" activePane="bottomRight" state="frozen"/>
      <selection pane="topRight"/>
      <selection pane="bottomLeft"/>
      <selection pane="bottomRight"/>
    </sheetView>
  </sheetViews>
  <sheetFormatPr defaultColWidth="8.78515625" defaultRowHeight="13.5" x14ac:dyDescent="0.35"/>
  <cols>
    <col min="1" max="1" width="2.78515625" style="38" customWidth="1"/>
    <col min="2" max="2" width="3.5703125" style="38" bestFit="1" customWidth="1"/>
    <col min="3" max="3" width="17.2109375" style="38" customWidth="1"/>
    <col min="4" max="6" width="19.78515625" style="38" customWidth="1"/>
    <col min="7" max="16384" width="8.78515625" style="38"/>
  </cols>
  <sheetData>
    <row r="1" spans="1:6" customFormat="1" ht="19.5" x14ac:dyDescent="0.35">
      <c r="A1" s="8" t="s">
        <v>580</v>
      </c>
    </row>
    <row r="2" spans="1:6" customFormat="1" ht="15" x14ac:dyDescent="0.35"/>
    <row r="3" spans="1:6" customFormat="1" ht="15" x14ac:dyDescent="0.35">
      <c r="A3" s="9" t="s">
        <v>670</v>
      </c>
    </row>
    <row r="4" spans="1:6" x14ac:dyDescent="0.35">
      <c r="B4" s="237" t="s">
        <v>1</v>
      </c>
      <c r="C4" s="65" t="s">
        <v>412</v>
      </c>
      <c r="D4" s="66" t="s">
        <v>417</v>
      </c>
      <c r="E4" s="67"/>
      <c r="F4" s="93" t="s">
        <v>410</v>
      </c>
    </row>
    <row r="5" spans="1:6" x14ac:dyDescent="0.35">
      <c r="B5" s="255"/>
      <c r="C5" s="94" t="s">
        <v>43</v>
      </c>
      <c r="D5" s="94" t="s">
        <v>247</v>
      </c>
      <c r="E5" s="94" t="s">
        <v>417</v>
      </c>
      <c r="F5" s="94" t="s">
        <v>410</v>
      </c>
    </row>
    <row r="6" spans="1:6" x14ac:dyDescent="0.35">
      <c r="B6" s="238"/>
      <c r="C6" s="4"/>
      <c r="D6" s="4" t="s">
        <v>362</v>
      </c>
      <c r="E6" s="4"/>
      <c r="F6" s="4"/>
    </row>
    <row r="7" spans="1:6" x14ac:dyDescent="0.3">
      <c r="B7" s="116">
        <f>ROW() - 6</f>
        <v>1</v>
      </c>
      <c r="C7" s="124"/>
      <c r="D7" s="116"/>
      <c r="E7" s="116"/>
      <c r="F7" s="131"/>
    </row>
    <row r="8" spans="1:6" x14ac:dyDescent="0.3">
      <c r="B8" s="116">
        <f t="shared" ref="B8:B24" si="0">ROW() - 6</f>
        <v>2</v>
      </c>
      <c r="C8" s="124"/>
      <c r="D8" s="116"/>
      <c r="E8" s="116"/>
      <c r="F8" s="131"/>
    </row>
    <row r="9" spans="1:6" x14ac:dyDescent="0.3">
      <c r="B9" s="116">
        <f t="shared" si="0"/>
        <v>3</v>
      </c>
      <c r="C9" s="124"/>
      <c r="D9" s="124"/>
      <c r="E9" s="124"/>
      <c r="F9" s="131"/>
    </row>
    <row r="10" spans="1:6" x14ac:dyDescent="0.3">
      <c r="B10" s="116">
        <f t="shared" si="0"/>
        <v>4</v>
      </c>
      <c r="C10" s="124"/>
      <c r="D10" s="120"/>
      <c r="E10" s="116"/>
      <c r="F10" s="131"/>
    </row>
    <row r="11" spans="1:6" x14ac:dyDescent="0.3">
      <c r="B11" s="116">
        <f t="shared" si="0"/>
        <v>5</v>
      </c>
      <c r="C11" s="124"/>
      <c r="D11" s="120"/>
      <c r="E11" s="116"/>
      <c r="F11" s="131"/>
    </row>
    <row r="12" spans="1:6" x14ac:dyDescent="0.3">
      <c r="B12" s="116">
        <f t="shared" si="0"/>
        <v>6</v>
      </c>
      <c r="C12" s="124"/>
      <c r="D12" s="120"/>
      <c r="E12" s="116"/>
      <c r="F12" s="131"/>
    </row>
    <row r="13" spans="1:6" x14ac:dyDescent="0.3">
      <c r="B13" s="116">
        <f t="shared" si="0"/>
        <v>7</v>
      </c>
      <c r="C13" s="124"/>
      <c r="D13" s="120"/>
      <c r="E13" s="116"/>
      <c r="F13" s="131"/>
    </row>
    <row r="14" spans="1:6" x14ac:dyDescent="0.3">
      <c r="B14" s="116">
        <f t="shared" si="0"/>
        <v>8</v>
      </c>
      <c r="C14" s="124"/>
      <c r="D14" s="120"/>
      <c r="E14" s="116"/>
      <c r="F14" s="131"/>
    </row>
    <row r="15" spans="1:6" x14ac:dyDescent="0.3">
      <c r="B15" s="116">
        <f t="shared" si="0"/>
        <v>9</v>
      </c>
      <c r="C15" s="124"/>
      <c r="D15" s="120"/>
      <c r="E15" s="116"/>
      <c r="F15" s="131"/>
    </row>
    <row r="16" spans="1:6" x14ac:dyDescent="0.3">
      <c r="B16" s="116">
        <f t="shared" si="0"/>
        <v>10</v>
      </c>
      <c r="C16" s="124"/>
      <c r="D16" s="120"/>
      <c r="E16" s="116"/>
      <c r="F16" s="131"/>
    </row>
    <row r="17" spans="2:6" x14ac:dyDescent="0.3">
      <c r="B17" s="116">
        <f t="shared" si="0"/>
        <v>11</v>
      </c>
      <c r="C17" s="124"/>
      <c r="D17" s="120"/>
      <c r="E17" s="116"/>
      <c r="F17" s="131"/>
    </row>
    <row r="18" spans="2:6" x14ac:dyDescent="0.3">
      <c r="B18" s="116">
        <f t="shared" si="0"/>
        <v>12</v>
      </c>
      <c r="C18" s="124"/>
      <c r="D18" s="120"/>
      <c r="E18" s="116"/>
      <c r="F18" s="116"/>
    </row>
    <row r="19" spans="2:6" x14ac:dyDescent="0.3">
      <c r="B19" s="116">
        <f t="shared" si="0"/>
        <v>13</v>
      </c>
      <c r="C19" s="124"/>
      <c r="D19" s="120"/>
      <c r="E19" s="116"/>
      <c r="F19" s="131"/>
    </row>
    <row r="20" spans="2:6" x14ac:dyDescent="0.3">
      <c r="B20" s="116">
        <f t="shared" si="0"/>
        <v>14</v>
      </c>
      <c r="C20" s="124"/>
      <c r="D20" s="120"/>
      <c r="E20" s="116"/>
      <c r="F20" s="131"/>
    </row>
    <row r="21" spans="2:6" x14ac:dyDescent="0.3">
      <c r="B21" s="116">
        <f t="shared" si="0"/>
        <v>15</v>
      </c>
      <c r="C21" s="124"/>
      <c r="D21" s="120"/>
      <c r="E21" s="116"/>
      <c r="F21" s="131"/>
    </row>
    <row r="22" spans="2:6" x14ac:dyDescent="0.3">
      <c r="B22" s="116">
        <f t="shared" si="0"/>
        <v>16</v>
      </c>
      <c r="C22" s="124"/>
      <c r="D22" s="120"/>
      <c r="E22" s="116"/>
      <c r="F22" s="131"/>
    </row>
    <row r="23" spans="2:6" x14ac:dyDescent="0.3">
      <c r="B23" s="116">
        <f t="shared" si="0"/>
        <v>17</v>
      </c>
      <c r="C23" s="124"/>
      <c r="D23" s="120"/>
      <c r="E23" s="116"/>
      <c r="F23" s="131"/>
    </row>
    <row r="24" spans="2:6" x14ac:dyDescent="0.3">
      <c r="B24" s="116">
        <f t="shared" si="0"/>
        <v>18</v>
      </c>
      <c r="C24" s="124"/>
      <c r="D24" s="120"/>
      <c r="E24" s="116"/>
      <c r="F24" s="131"/>
    </row>
  </sheetData>
  <sheetProtection insertRows="0" deleteRows="0" sort="0" autoFilter="0"/>
  <dataConsolidate/>
  <mergeCells count="1">
    <mergeCell ref="B4:B6"/>
  </mergeCells>
  <phoneticPr fontId="13"/>
  <hyperlinks>
    <hyperlink ref="A3" location="パラメータ設定一覧!A1" display="パラメータ設定一覧へ" xr:uid="{EC275CF5-3D5B-46C4-9CB1-DDE64C5533B8}"/>
  </hyperlinks>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25B73-08C6-4C72-8B4A-D235F10B47CA}">
  <sheetPr codeName="Sheet146"/>
  <dimension ref="A1:L36"/>
  <sheetViews>
    <sheetView showGridLines="0" zoomScaleNormal="100" workbookViewId="0">
      <pane xSplit="6" ySplit="5" topLeftCell="G6" activePane="bottomRight" state="frozen"/>
      <selection pane="topRight"/>
      <selection pane="bottomLeft"/>
      <selection pane="bottomRight"/>
    </sheetView>
  </sheetViews>
  <sheetFormatPr defaultColWidth="8.78515625" defaultRowHeight="13.5" x14ac:dyDescent="0.35"/>
  <cols>
    <col min="1" max="1" width="2.78515625" style="38" customWidth="1"/>
    <col min="2" max="2" width="3.35546875" style="38" bestFit="1" customWidth="1"/>
    <col min="3" max="3" width="13" style="38" bestFit="1" customWidth="1"/>
    <col min="4" max="4" width="40.5703125" style="38" customWidth="1"/>
    <col min="5" max="5" width="16.78515625" style="38" customWidth="1"/>
    <col min="6" max="6" width="17.2109375" style="38" customWidth="1"/>
    <col min="7" max="7" width="26.78515625" style="38" customWidth="1"/>
    <col min="8" max="8" width="23" style="38" bestFit="1" customWidth="1"/>
    <col min="9" max="9" width="11.35546875" style="38" customWidth="1"/>
    <col min="10" max="10" width="21.5" style="38" customWidth="1"/>
    <col min="11" max="11" width="23.35546875" style="38" bestFit="1" customWidth="1"/>
    <col min="12" max="12" width="13.2109375" style="38" customWidth="1"/>
    <col min="13" max="16384" width="8.78515625" style="38"/>
  </cols>
  <sheetData>
    <row r="1" spans="1:12" customFormat="1" ht="19.5" x14ac:dyDescent="0.35">
      <c r="A1" s="6" t="s">
        <v>579</v>
      </c>
    </row>
    <row r="2" spans="1:12" customFormat="1" ht="15" x14ac:dyDescent="0.35">
      <c r="B2" t="s">
        <v>419</v>
      </c>
    </row>
    <row r="3" spans="1:12" customFormat="1" ht="15" x14ac:dyDescent="0.35">
      <c r="A3" s="9"/>
      <c r="B3" t="s">
        <v>645</v>
      </c>
    </row>
    <row r="4" spans="1:12" customFormat="1" ht="15" x14ac:dyDescent="0.35">
      <c r="A4" s="9" t="s">
        <v>670</v>
      </c>
    </row>
    <row r="5" spans="1:12" x14ac:dyDescent="0.35">
      <c r="B5" s="10" t="s">
        <v>1</v>
      </c>
      <c r="C5" s="11" t="s">
        <v>32</v>
      </c>
      <c r="D5" s="10" t="s">
        <v>33</v>
      </c>
      <c r="E5" s="10" t="s">
        <v>34</v>
      </c>
      <c r="F5" s="18" t="s">
        <v>35</v>
      </c>
      <c r="G5" s="18" t="s">
        <v>36</v>
      </c>
      <c r="H5" s="10" t="s">
        <v>37</v>
      </c>
      <c r="I5" s="10" t="s">
        <v>38</v>
      </c>
      <c r="J5" s="10" t="s">
        <v>39</v>
      </c>
      <c r="K5" s="12" t="s">
        <v>40</v>
      </c>
      <c r="L5" s="12" t="s">
        <v>41</v>
      </c>
    </row>
    <row r="6" spans="1:12" ht="21.75" customHeight="1" x14ac:dyDescent="0.35">
      <c r="B6" s="13">
        <f>ROW() - 5</f>
        <v>1</v>
      </c>
      <c r="C6" s="73" t="s">
        <v>199</v>
      </c>
      <c r="D6" s="54"/>
      <c r="E6" s="14"/>
      <c r="F6" s="20" t="s">
        <v>420</v>
      </c>
      <c r="G6" s="20"/>
      <c r="H6" s="20" t="s">
        <v>44</v>
      </c>
      <c r="I6" s="21" t="s">
        <v>45</v>
      </c>
      <c r="J6" s="21"/>
      <c r="K6" s="1" t="s">
        <v>590</v>
      </c>
      <c r="L6" s="2"/>
    </row>
    <row r="7" spans="1:12" x14ac:dyDescent="0.35">
      <c r="B7" s="13">
        <f t="shared" ref="B7:B36" si="0">ROW() - 5</f>
        <v>2</v>
      </c>
      <c r="C7" s="73"/>
      <c r="D7" s="73"/>
      <c r="E7" s="73"/>
      <c r="F7" s="20" t="s">
        <v>43</v>
      </c>
      <c r="G7" s="20"/>
      <c r="H7" s="20" t="s">
        <v>44</v>
      </c>
      <c r="I7" s="21" t="s">
        <v>45</v>
      </c>
      <c r="J7" s="21"/>
      <c r="K7" s="1" t="s">
        <v>590</v>
      </c>
      <c r="L7" s="2"/>
    </row>
    <row r="8" spans="1:12" ht="105.75" customHeight="1" x14ac:dyDescent="0.35">
      <c r="B8" s="13">
        <f t="shared" si="0"/>
        <v>3</v>
      </c>
      <c r="C8" s="14" t="s">
        <v>421</v>
      </c>
      <c r="D8" s="14"/>
      <c r="E8" s="14"/>
      <c r="F8" s="20" t="s">
        <v>422</v>
      </c>
      <c r="G8" s="20"/>
      <c r="H8" s="20" t="s">
        <v>423</v>
      </c>
      <c r="I8" s="21" t="s">
        <v>424</v>
      </c>
      <c r="J8" s="21"/>
      <c r="K8" s="1" t="s">
        <v>590</v>
      </c>
      <c r="L8" s="2"/>
    </row>
    <row r="9" spans="1:12" ht="40.5" x14ac:dyDescent="0.35">
      <c r="B9" s="13">
        <f t="shared" si="0"/>
        <v>4</v>
      </c>
      <c r="C9" s="73"/>
      <c r="D9" s="73"/>
      <c r="E9" s="73"/>
      <c r="F9" s="101" t="s">
        <v>46</v>
      </c>
      <c r="G9" s="20"/>
      <c r="H9" s="20"/>
      <c r="I9" s="21"/>
      <c r="J9" s="21" t="s">
        <v>490</v>
      </c>
      <c r="K9" s="1"/>
      <c r="L9" s="2"/>
    </row>
    <row r="10" spans="1:12" ht="40.5" x14ac:dyDescent="0.35">
      <c r="B10" s="13">
        <f t="shared" si="0"/>
        <v>5</v>
      </c>
      <c r="C10" s="73"/>
      <c r="D10" s="73"/>
      <c r="E10" s="73"/>
      <c r="F10" s="101" t="s">
        <v>474</v>
      </c>
      <c r="G10" s="20"/>
      <c r="H10" s="20"/>
      <c r="I10" s="21"/>
      <c r="J10" s="21" t="s">
        <v>491</v>
      </c>
      <c r="K10" s="1"/>
      <c r="L10" s="2"/>
    </row>
    <row r="11" spans="1:12" ht="27" x14ac:dyDescent="0.35">
      <c r="B11" s="13"/>
      <c r="C11" s="73"/>
      <c r="D11" s="73"/>
      <c r="E11" s="73"/>
      <c r="F11" s="101" t="s">
        <v>488</v>
      </c>
      <c r="G11" s="20"/>
      <c r="H11" s="20"/>
      <c r="I11" s="21"/>
      <c r="J11" s="21" t="s">
        <v>489</v>
      </c>
      <c r="K11" s="1"/>
      <c r="L11" s="2"/>
    </row>
    <row r="12" spans="1:12" ht="54" x14ac:dyDescent="0.35">
      <c r="B12" s="13">
        <f t="shared" si="0"/>
        <v>7</v>
      </c>
      <c r="C12" s="73"/>
      <c r="D12" s="73"/>
      <c r="E12" s="73"/>
      <c r="F12" s="101" t="s">
        <v>482</v>
      </c>
      <c r="G12" s="20" t="s">
        <v>485</v>
      </c>
      <c r="H12" s="20"/>
      <c r="I12" s="21"/>
      <c r="J12" s="21" t="s">
        <v>494</v>
      </c>
      <c r="K12" s="1"/>
      <c r="L12" s="2"/>
    </row>
    <row r="13" spans="1:12" ht="54" x14ac:dyDescent="0.35">
      <c r="B13" s="13">
        <f t="shared" si="0"/>
        <v>8</v>
      </c>
      <c r="C13" s="73"/>
      <c r="D13" s="73"/>
      <c r="E13" s="73"/>
      <c r="F13" s="101" t="s">
        <v>483</v>
      </c>
      <c r="G13" s="20" t="s">
        <v>486</v>
      </c>
      <c r="H13" s="20"/>
      <c r="I13" s="21"/>
      <c r="J13" s="21" t="s">
        <v>494</v>
      </c>
      <c r="K13" s="1"/>
      <c r="L13" s="2"/>
    </row>
    <row r="14" spans="1:12" ht="54" x14ac:dyDescent="0.35">
      <c r="B14" s="13">
        <f t="shared" si="0"/>
        <v>9</v>
      </c>
      <c r="C14" s="73"/>
      <c r="D14" s="73"/>
      <c r="E14" s="73"/>
      <c r="F14" s="101" t="s">
        <v>484</v>
      </c>
      <c r="G14" s="20" t="s">
        <v>487</v>
      </c>
      <c r="H14" s="20"/>
      <c r="I14" s="21"/>
      <c r="J14" s="21" t="s">
        <v>494</v>
      </c>
      <c r="K14" s="1"/>
      <c r="L14" s="2"/>
    </row>
    <row r="15" spans="1:12" ht="81" x14ac:dyDescent="0.35">
      <c r="B15" s="13">
        <f t="shared" si="0"/>
        <v>10</v>
      </c>
      <c r="C15" s="73"/>
      <c r="D15" s="73"/>
      <c r="E15" s="73"/>
      <c r="F15" s="101" t="s">
        <v>475</v>
      </c>
      <c r="G15" s="20"/>
      <c r="H15" s="20" t="s">
        <v>492</v>
      </c>
      <c r="I15" s="21"/>
      <c r="J15" s="21" t="s">
        <v>493</v>
      </c>
      <c r="K15" s="1"/>
      <c r="L15" s="2"/>
    </row>
    <row r="16" spans="1:12" ht="27" x14ac:dyDescent="0.35">
      <c r="B16" s="13">
        <f t="shared" si="0"/>
        <v>11</v>
      </c>
      <c r="C16" s="14" t="s">
        <v>425</v>
      </c>
      <c r="D16" s="14"/>
      <c r="E16" s="14" t="s">
        <v>405</v>
      </c>
      <c r="F16" s="101" t="s">
        <v>425</v>
      </c>
      <c r="G16" s="20"/>
      <c r="H16" s="20" t="s">
        <v>426</v>
      </c>
      <c r="I16" s="21" t="s">
        <v>427</v>
      </c>
      <c r="J16" s="21"/>
      <c r="K16" s="1" t="s">
        <v>590</v>
      </c>
      <c r="L16" s="2"/>
    </row>
    <row r="17" spans="2:12" x14ac:dyDescent="0.35">
      <c r="B17" s="13">
        <f t="shared" si="0"/>
        <v>12</v>
      </c>
      <c r="C17" s="73"/>
      <c r="D17" s="73"/>
      <c r="E17" s="73"/>
      <c r="F17" s="20" t="s">
        <v>428</v>
      </c>
      <c r="G17" s="55"/>
      <c r="H17" s="56" t="s">
        <v>44</v>
      </c>
      <c r="I17" s="26" t="s">
        <v>45</v>
      </c>
      <c r="J17" s="21"/>
      <c r="K17" s="1" t="s">
        <v>590</v>
      </c>
      <c r="L17" s="2"/>
    </row>
    <row r="18" spans="2:12" x14ac:dyDescent="0.35">
      <c r="B18" s="13">
        <f>ROW() - 5</f>
        <v>13</v>
      </c>
      <c r="C18" s="73"/>
      <c r="D18" s="73"/>
      <c r="E18" s="73"/>
      <c r="F18" s="20" t="s">
        <v>406</v>
      </c>
      <c r="G18" s="55"/>
      <c r="H18" s="56" t="s">
        <v>429</v>
      </c>
      <c r="I18" s="26" t="s">
        <v>45</v>
      </c>
      <c r="J18" s="21"/>
      <c r="K18" s="1" t="s">
        <v>590</v>
      </c>
      <c r="L18" s="2"/>
    </row>
    <row r="19" spans="2:12" ht="67.5" x14ac:dyDescent="0.35">
      <c r="B19" s="13">
        <f>ROW() - 5</f>
        <v>14</v>
      </c>
      <c r="C19" s="73"/>
      <c r="D19" s="73"/>
      <c r="E19" s="73"/>
      <c r="F19" s="20" t="s">
        <v>430</v>
      </c>
      <c r="G19" s="55" t="s">
        <v>431</v>
      </c>
      <c r="H19" s="56" t="s">
        <v>429</v>
      </c>
      <c r="I19" s="26" t="s">
        <v>45</v>
      </c>
      <c r="J19" s="21"/>
      <c r="K19" s="1" t="s">
        <v>590</v>
      </c>
      <c r="L19" s="2"/>
    </row>
    <row r="20" spans="2:12" ht="330.75" customHeight="1" x14ac:dyDescent="0.35">
      <c r="B20" s="13">
        <f t="shared" si="0"/>
        <v>15</v>
      </c>
      <c r="C20" s="14" t="s">
        <v>432</v>
      </c>
      <c r="D20" s="256"/>
      <c r="E20" s="14" t="s">
        <v>405</v>
      </c>
      <c r="F20" s="20" t="s">
        <v>433</v>
      </c>
      <c r="G20" s="20" t="s">
        <v>434</v>
      </c>
      <c r="H20" s="29" t="s">
        <v>435</v>
      </c>
      <c r="I20" s="29" t="s">
        <v>45</v>
      </c>
      <c r="J20" s="21"/>
      <c r="K20" s="1" t="s">
        <v>590</v>
      </c>
      <c r="L20" s="2"/>
    </row>
    <row r="21" spans="2:12" ht="27" x14ac:dyDescent="0.35">
      <c r="B21" s="13">
        <f t="shared" si="0"/>
        <v>16</v>
      </c>
      <c r="C21" s="73"/>
      <c r="D21" s="257"/>
      <c r="E21" s="73"/>
      <c r="F21" s="20" t="s">
        <v>432</v>
      </c>
      <c r="G21" s="20"/>
      <c r="H21" s="29" t="s">
        <v>656</v>
      </c>
      <c r="I21" s="29" t="s">
        <v>45</v>
      </c>
      <c r="J21" s="21"/>
      <c r="K21" s="1" t="s">
        <v>590</v>
      </c>
      <c r="L21" s="2"/>
    </row>
    <row r="22" spans="2:12" x14ac:dyDescent="0.35">
      <c r="B22" s="13">
        <f t="shared" si="0"/>
        <v>17</v>
      </c>
      <c r="C22" s="73"/>
      <c r="D22" s="257"/>
      <c r="E22" s="73"/>
      <c r="F22" s="20" t="s">
        <v>436</v>
      </c>
      <c r="G22" s="20"/>
      <c r="H22" s="29" t="s">
        <v>362</v>
      </c>
      <c r="I22" s="29" t="s">
        <v>292</v>
      </c>
      <c r="J22" s="21"/>
      <c r="K22" s="1" t="s">
        <v>590</v>
      </c>
      <c r="L22" s="2"/>
    </row>
    <row r="23" spans="2:12" x14ac:dyDescent="0.35">
      <c r="B23" s="13">
        <f t="shared" si="0"/>
        <v>18</v>
      </c>
      <c r="C23" s="132"/>
      <c r="D23" s="132"/>
      <c r="E23" s="73"/>
      <c r="F23" s="20" t="s">
        <v>437</v>
      </c>
      <c r="G23" s="20"/>
      <c r="H23" s="29" t="s">
        <v>438</v>
      </c>
      <c r="I23" s="29" t="s">
        <v>45</v>
      </c>
      <c r="J23" s="21"/>
      <c r="K23" s="1" t="s">
        <v>590</v>
      </c>
      <c r="L23" s="2"/>
    </row>
    <row r="24" spans="2:12" x14ac:dyDescent="0.35">
      <c r="B24" s="13">
        <f t="shared" si="0"/>
        <v>19</v>
      </c>
      <c r="C24" s="133" t="s">
        <v>49</v>
      </c>
      <c r="D24" s="133"/>
      <c r="E24" s="133" t="s">
        <v>439</v>
      </c>
      <c r="F24" s="20" t="s">
        <v>440</v>
      </c>
      <c r="G24" s="20"/>
      <c r="H24" s="29" t="s">
        <v>55</v>
      </c>
      <c r="I24" s="29" t="s">
        <v>56</v>
      </c>
      <c r="J24" s="21"/>
      <c r="K24" s="1" t="s">
        <v>590</v>
      </c>
      <c r="L24" s="2"/>
    </row>
    <row r="25" spans="2:12" x14ac:dyDescent="0.35">
      <c r="B25" s="13">
        <f t="shared" si="0"/>
        <v>20</v>
      </c>
      <c r="C25" s="132"/>
      <c r="D25" s="132"/>
      <c r="E25" s="132"/>
      <c r="F25" s="20" t="s">
        <v>441</v>
      </c>
      <c r="G25" s="20"/>
      <c r="H25" s="29" t="s">
        <v>55</v>
      </c>
      <c r="I25" s="29" t="s">
        <v>56</v>
      </c>
      <c r="J25" s="21"/>
      <c r="K25" s="1" t="s">
        <v>590</v>
      </c>
      <c r="L25" s="2"/>
    </row>
    <row r="26" spans="2:12" x14ac:dyDescent="0.35">
      <c r="B26" s="13">
        <f t="shared" si="0"/>
        <v>21</v>
      </c>
      <c r="C26" s="132"/>
      <c r="D26" s="132"/>
      <c r="E26" s="132"/>
      <c r="F26" s="20" t="s">
        <v>442</v>
      </c>
      <c r="G26" s="20"/>
      <c r="H26" s="29" t="s">
        <v>55</v>
      </c>
      <c r="I26" s="29" t="s">
        <v>56</v>
      </c>
      <c r="J26" s="21"/>
      <c r="K26" s="1" t="s">
        <v>590</v>
      </c>
      <c r="L26" s="2"/>
    </row>
    <row r="27" spans="2:12" x14ac:dyDescent="0.35">
      <c r="B27" s="13">
        <f t="shared" si="0"/>
        <v>22</v>
      </c>
      <c r="C27" s="132"/>
      <c r="D27" s="132"/>
      <c r="E27" s="134"/>
      <c r="F27" s="20" t="s">
        <v>443</v>
      </c>
      <c r="G27" s="20"/>
      <c r="H27" s="29" t="s">
        <v>55</v>
      </c>
      <c r="I27" s="29" t="s">
        <v>56</v>
      </c>
      <c r="J27" s="21"/>
      <c r="K27" s="1" t="s">
        <v>590</v>
      </c>
      <c r="L27" s="2"/>
    </row>
    <row r="28" spans="2:12" x14ac:dyDescent="0.35">
      <c r="B28" s="13">
        <f t="shared" si="0"/>
        <v>23</v>
      </c>
      <c r="C28" s="132"/>
      <c r="D28" s="132"/>
      <c r="E28" s="133" t="s">
        <v>444</v>
      </c>
      <c r="F28" s="20" t="s">
        <v>445</v>
      </c>
      <c r="G28" s="20"/>
      <c r="H28" s="29" t="s">
        <v>55</v>
      </c>
      <c r="I28" s="29" t="s">
        <v>56</v>
      </c>
      <c r="J28" s="21"/>
      <c r="K28" s="1" t="s">
        <v>590</v>
      </c>
      <c r="L28" s="2"/>
    </row>
    <row r="29" spans="2:12" x14ac:dyDescent="0.35">
      <c r="B29" s="13">
        <f t="shared" si="0"/>
        <v>24</v>
      </c>
      <c r="C29" s="132"/>
      <c r="D29" s="132"/>
      <c r="E29" s="134"/>
      <c r="F29" s="20" t="s">
        <v>446</v>
      </c>
      <c r="G29" s="20"/>
      <c r="H29" s="29" t="s">
        <v>55</v>
      </c>
      <c r="I29" s="29" t="s">
        <v>56</v>
      </c>
      <c r="J29" s="21"/>
      <c r="K29" s="1" t="s">
        <v>590</v>
      </c>
      <c r="L29" s="2"/>
    </row>
    <row r="30" spans="2:12" x14ac:dyDescent="0.35">
      <c r="B30" s="13">
        <f t="shared" si="0"/>
        <v>25</v>
      </c>
      <c r="C30" s="132"/>
      <c r="D30" s="132"/>
      <c r="E30" s="133" t="s">
        <v>447</v>
      </c>
      <c r="F30" s="20" t="s">
        <v>448</v>
      </c>
      <c r="G30" s="20"/>
      <c r="H30" s="29" t="s">
        <v>109</v>
      </c>
      <c r="I30" s="26">
        <v>1</v>
      </c>
      <c r="J30" s="21"/>
      <c r="K30" s="1" t="s">
        <v>590</v>
      </c>
      <c r="L30" s="2"/>
    </row>
    <row r="31" spans="2:12" x14ac:dyDescent="0.35">
      <c r="B31" s="13">
        <f t="shared" si="0"/>
        <v>26</v>
      </c>
      <c r="C31" s="132"/>
      <c r="D31" s="132"/>
      <c r="E31" s="132"/>
      <c r="F31" s="20" t="s">
        <v>449</v>
      </c>
      <c r="G31" s="20"/>
      <c r="H31" s="29" t="s">
        <v>109</v>
      </c>
      <c r="I31" s="26">
        <v>999999999</v>
      </c>
      <c r="J31" s="21"/>
      <c r="K31" s="1" t="s">
        <v>590</v>
      </c>
      <c r="L31" s="2"/>
    </row>
    <row r="32" spans="2:12" x14ac:dyDescent="0.35">
      <c r="B32" s="13">
        <f t="shared" si="0"/>
        <v>27</v>
      </c>
      <c r="C32" s="134"/>
      <c r="D32" s="134"/>
      <c r="E32" s="134"/>
      <c r="F32" s="20" t="s">
        <v>450</v>
      </c>
      <c r="G32" s="20"/>
      <c r="H32" s="29" t="s">
        <v>109</v>
      </c>
      <c r="I32" s="26">
        <v>1</v>
      </c>
      <c r="J32" s="21"/>
      <c r="K32" s="1" t="s">
        <v>590</v>
      </c>
      <c r="L32" s="2"/>
    </row>
    <row r="33" spans="2:12" ht="61.5" customHeight="1" x14ac:dyDescent="0.35">
      <c r="B33" s="13">
        <f t="shared" si="0"/>
        <v>28</v>
      </c>
      <c r="C33" s="99" t="s">
        <v>451</v>
      </c>
      <c r="D33" s="245" t="s">
        <v>452</v>
      </c>
      <c r="E33" s="19" t="s">
        <v>453</v>
      </c>
      <c r="F33" s="20" t="s">
        <v>454</v>
      </c>
      <c r="G33" s="20"/>
      <c r="H33" s="29" t="s">
        <v>55</v>
      </c>
      <c r="I33" s="29" t="s">
        <v>56</v>
      </c>
      <c r="J33" s="21"/>
      <c r="K33" s="1" t="s">
        <v>590</v>
      </c>
      <c r="L33" s="2"/>
    </row>
    <row r="34" spans="2:12" ht="63.75" customHeight="1" x14ac:dyDescent="0.35">
      <c r="B34" s="13">
        <f t="shared" si="0"/>
        <v>29</v>
      </c>
      <c r="C34" s="132"/>
      <c r="D34" s="246"/>
      <c r="E34" s="133" t="s">
        <v>455</v>
      </c>
      <c r="F34" s="20" t="s">
        <v>456</v>
      </c>
      <c r="G34" s="20"/>
      <c r="H34" s="29" t="s">
        <v>109</v>
      </c>
      <c r="I34" s="29" t="s">
        <v>45</v>
      </c>
      <c r="J34" s="21"/>
      <c r="K34" s="1" t="s">
        <v>590</v>
      </c>
      <c r="L34" s="2"/>
    </row>
    <row r="35" spans="2:12" ht="62.25" customHeight="1" x14ac:dyDescent="0.35">
      <c r="B35" s="13">
        <f t="shared" si="0"/>
        <v>30</v>
      </c>
      <c r="C35" s="132"/>
      <c r="D35" s="246"/>
      <c r="E35" s="132"/>
      <c r="F35" s="20" t="s">
        <v>450</v>
      </c>
      <c r="G35" s="20"/>
      <c r="H35" s="29" t="s">
        <v>429</v>
      </c>
      <c r="I35" s="29" t="s">
        <v>45</v>
      </c>
      <c r="J35" s="21"/>
      <c r="K35" s="1" t="s">
        <v>590</v>
      </c>
      <c r="L35" s="2"/>
    </row>
    <row r="36" spans="2:12" ht="17.25" customHeight="1" x14ac:dyDescent="0.35">
      <c r="B36" s="13">
        <f t="shared" si="0"/>
        <v>31</v>
      </c>
      <c r="C36" s="134"/>
      <c r="D36" s="247"/>
      <c r="E36" s="134"/>
      <c r="F36" s="20" t="s">
        <v>449</v>
      </c>
      <c r="G36" s="20"/>
      <c r="H36" s="29" t="s">
        <v>429</v>
      </c>
      <c r="I36" s="29" t="s">
        <v>45</v>
      </c>
      <c r="J36" s="21"/>
      <c r="K36" s="1" t="s">
        <v>590</v>
      </c>
      <c r="L36" s="2"/>
    </row>
  </sheetData>
  <mergeCells count="2">
    <mergeCell ref="D20:D22"/>
    <mergeCell ref="D33:D36"/>
  </mergeCells>
  <phoneticPr fontId="13"/>
  <hyperlinks>
    <hyperlink ref="A4" location="パラメータ設定一覧!A1" display="パラメータ設定一覧へ" xr:uid="{29D90437-4122-4448-B029-ED37DCEC45B4}"/>
  </hyperlinks>
  <pageMargins left="0.7" right="0.7" top="0.75" bottom="0.75" header="0.3" footer="0.3"/>
  <pageSetup paperSize="9" orientation="portrait" horizontalDpi="1200" verticalDpi="120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B17553-56F3-4F71-A2C9-3D365AAFBD6A}">
  <sheetPr codeName="Sheet147"/>
  <dimension ref="A1:AG31"/>
  <sheetViews>
    <sheetView showGridLines="0" zoomScaleNormal="100" workbookViewId="0">
      <pane xSplit="4" ySplit="7" topLeftCell="E8" activePane="bottomRight" state="frozen"/>
      <selection pane="topRight"/>
      <selection pane="bottomLeft"/>
      <selection pane="bottomRight"/>
    </sheetView>
  </sheetViews>
  <sheetFormatPr defaultColWidth="8.78515625" defaultRowHeight="13.5" x14ac:dyDescent="0.35"/>
  <cols>
    <col min="1" max="1" width="2.78515625" style="38" customWidth="1"/>
    <col min="2" max="2" width="6.5703125" style="38" bestFit="1" customWidth="1"/>
    <col min="3" max="3" width="16.78515625" style="38" customWidth="1"/>
    <col min="4" max="4" width="33.5703125" style="38" customWidth="1"/>
    <col min="5" max="11" width="16.78515625" style="38" customWidth="1"/>
    <col min="12" max="12" width="19.2109375" style="38" customWidth="1"/>
    <col min="13" max="13" width="12.2109375" style="38" customWidth="1"/>
    <col min="14" max="14" width="23" style="167" bestFit="1" customWidth="1"/>
    <col min="15" max="15" width="11.78515625" style="38" customWidth="1"/>
    <col min="16" max="16" width="22.5703125" style="38" customWidth="1"/>
    <col min="17" max="17" width="18.78515625" style="168" customWidth="1"/>
    <col min="18" max="18" width="16" style="168" bestFit="1" customWidth="1"/>
    <col min="19" max="19" width="16.640625" style="168" customWidth="1"/>
    <col min="20" max="20" width="15.2109375" style="168" customWidth="1"/>
    <col min="21" max="23" width="15.2109375" style="38" customWidth="1"/>
    <col min="24" max="24" width="11.78515625" style="38" customWidth="1"/>
    <col min="25" max="25" width="13" style="38" customWidth="1"/>
    <col min="26" max="26" width="12.2109375" style="38" customWidth="1"/>
    <col min="27" max="27" width="11.78515625" style="38" customWidth="1"/>
    <col min="28" max="28" width="19.5703125" style="38" bestFit="1" customWidth="1"/>
    <col min="29" max="29" width="12.2109375" style="38" bestFit="1" customWidth="1"/>
    <col min="30" max="30" width="15.35546875" style="38" customWidth="1"/>
    <col min="31" max="31" width="9.2109375" style="38" customWidth="1"/>
    <col min="32" max="33" width="8.2109375" style="38" customWidth="1"/>
    <col min="34" max="16384" width="8.78515625" style="38"/>
  </cols>
  <sheetData>
    <row r="1" spans="1:33" customFormat="1" ht="19.5" x14ac:dyDescent="0.35">
      <c r="A1" s="6" t="s">
        <v>578</v>
      </c>
      <c r="Q1" s="58"/>
      <c r="R1" s="58"/>
      <c r="S1" s="58"/>
      <c r="T1" s="58"/>
    </row>
    <row r="2" spans="1:33" customFormat="1" ht="15" x14ac:dyDescent="0.35">
      <c r="M2" s="57"/>
      <c r="N2" t="s">
        <v>457</v>
      </c>
      <c r="Q2" s="58" t="s">
        <v>458</v>
      </c>
      <c r="R2" s="58"/>
      <c r="S2" s="58"/>
      <c r="T2" s="58"/>
      <c r="U2" t="s">
        <v>459</v>
      </c>
    </row>
    <row r="3" spans="1:33" customFormat="1" ht="15" x14ac:dyDescent="0.35">
      <c r="A3" s="9" t="s">
        <v>670</v>
      </c>
      <c r="D3" t="s">
        <v>678</v>
      </c>
      <c r="Q3" s="58"/>
      <c r="R3" s="58"/>
      <c r="S3" s="58"/>
      <c r="T3" s="58"/>
    </row>
    <row r="4" spans="1:33" ht="15.75" customHeight="1" x14ac:dyDescent="0.35">
      <c r="B4" s="230" t="s">
        <v>1</v>
      </c>
      <c r="C4" s="135" t="s">
        <v>199</v>
      </c>
      <c r="D4" s="136"/>
      <c r="E4" s="135" t="s">
        <v>421</v>
      </c>
      <c r="F4" s="136"/>
      <c r="G4" s="136"/>
      <c r="H4" s="136"/>
      <c r="I4" s="136"/>
      <c r="J4" s="136"/>
      <c r="K4" s="136"/>
      <c r="L4" s="137"/>
      <c r="M4" s="135" t="s">
        <v>425</v>
      </c>
      <c r="N4" s="136"/>
      <c r="O4" s="136"/>
      <c r="P4" s="137"/>
      <c r="Q4" s="138" t="s">
        <v>432</v>
      </c>
      <c r="R4" s="139"/>
      <c r="S4" s="139"/>
      <c r="T4" s="140"/>
      <c r="U4" s="141" t="s">
        <v>49</v>
      </c>
      <c r="V4" s="141"/>
      <c r="W4" s="141"/>
      <c r="X4" s="141"/>
      <c r="Y4" s="141"/>
      <c r="Z4" s="141"/>
      <c r="AA4" s="141"/>
      <c r="AB4" s="141"/>
      <c r="AC4" s="142"/>
      <c r="AD4" s="143" t="s">
        <v>451</v>
      </c>
      <c r="AE4" s="141"/>
      <c r="AF4" s="141"/>
      <c r="AG4" s="142"/>
    </row>
    <row r="5" spans="1:33" x14ac:dyDescent="0.35">
      <c r="B5" s="230"/>
      <c r="C5" s="144"/>
      <c r="D5" s="145"/>
      <c r="E5" s="144"/>
      <c r="F5" s="146"/>
      <c r="G5" s="146"/>
      <c r="H5" s="146"/>
      <c r="I5" s="146"/>
      <c r="J5" s="146"/>
      <c r="K5" s="146"/>
      <c r="L5" s="145"/>
      <c r="M5" s="144"/>
      <c r="N5" s="146"/>
      <c r="O5" s="146"/>
      <c r="P5" s="145"/>
      <c r="Q5" s="147"/>
      <c r="R5" s="148"/>
      <c r="S5" s="148"/>
      <c r="T5" s="149"/>
      <c r="U5" s="141" t="s">
        <v>439</v>
      </c>
      <c r="V5" s="141"/>
      <c r="W5" s="141"/>
      <c r="X5" s="142"/>
      <c r="Y5" s="143" t="s">
        <v>444</v>
      </c>
      <c r="Z5" s="141"/>
      <c r="AA5" s="143" t="s">
        <v>447</v>
      </c>
      <c r="AB5" s="141"/>
      <c r="AC5" s="142"/>
      <c r="AD5" s="142" t="s">
        <v>460</v>
      </c>
      <c r="AE5" s="143" t="s">
        <v>455</v>
      </c>
      <c r="AF5" s="141"/>
      <c r="AG5" s="142"/>
    </row>
    <row r="6" spans="1:33" x14ac:dyDescent="0.35">
      <c r="B6" s="230"/>
      <c r="C6" s="150" t="s">
        <v>461</v>
      </c>
      <c r="D6" s="150" t="s">
        <v>43</v>
      </c>
      <c r="E6" s="151" t="s">
        <v>422</v>
      </c>
      <c r="F6" s="151" t="s">
        <v>46</v>
      </c>
      <c r="G6" s="151" t="s">
        <v>474</v>
      </c>
      <c r="H6" s="151" t="s">
        <v>488</v>
      </c>
      <c r="I6" s="151" t="s">
        <v>482</v>
      </c>
      <c r="J6" s="151" t="s">
        <v>495</v>
      </c>
      <c r="K6" s="151" t="s">
        <v>484</v>
      </c>
      <c r="L6" s="151" t="s">
        <v>496</v>
      </c>
      <c r="M6" s="94" t="s">
        <v>425</v>
      </c>
      <c r="N6" s="94" t="s">
        <v>428</v>
      </c>
      <c r="O6" s="94" t="s">
        <v>406</v>
      </c>
      <c r="P6" s="95" t="s">
        <v>430</v>
      </c>
      <c r="Q6" s="59" t="s">
        <v>433</v>
      </c>
      <c r="R6" s="59" t="s">
        <v>462</v>
      </c>
      <c r="S6" s="59" t="s">
        <v>436</v>
      </c>
      <c r="T6" s="59" t="s">
        <v>463</v>
      </c>
      <c r="U6" s="94" t="s">
        <v>440</v>
      </c>
      <c r="V6" s="94" t="s">
        <v>441</v>
      </c>
      <c r="W6" s="94" t="s">
        <v>442</v>
      </c>
      <c r="X6" s="94" t="s">
        <v>443</v>
      </c>
      <c r="Y6" s="94" t="s">
        <v>445</v>
      </c>
      <c r="Z6" s="94" t="s">
        <v>464</v>
      </c>
      <c r="AA6" s="94" t="s">
        <v>448</v>
      </c>
      <c r="AB6" s="94" t="s">
        <v>449</v>
      </c>
      <c r="AC6" s="94" t="s">
        <v>450</v>
      </c>
      <c r="AD6" s="94" t="s">
        <v>465</v>
      </c>
      <c r="AE6" s="94" t="s">
        <v>456</v>
      </c>
      <c r="AF6" s="94" t="s">
        <v>450</v>
      </c>
      <c r="AG6" s="94" t="s">
        <v>449</v>
      </c>
    </row>
    <row r="7" spans="1:33" ht="40.5" x14ac:dyDescent="0.35">
      <c r="B7" s="230"/>
      <c r="C7" s="4" t="s">
        <v>44</v>
      </c>
      <c r="D7" s="4" t="s">
        <v>44</v>
      </c>
      <c r="E7" s="4"/>
      <c r="F7" s="4" t="s">
        <v>663</v>
      </c>
      <c r="G7" s="4" t="s">
        <v>663</v>
      </c>
      <c r="H7" s="4" t="s">
        <v>664</v>
      </c>
      <c r="I7" s="4" t="s">
        <v>665</v>
      </c>
      <c r="J7" s="4" t="s">
        <v>666</v>
      </c>
      <c r="K7" s="4" t="s">
        <v>667</v>
      </c>
      <c r="L7" s="4" t="s">
        <v>664</v>
      </c>
      <c r="M7" s="4" t="s">
        <v>466</v>
      </c>
      <c r="N7" s="4" t="s">
        <v>44</v>
      </c>
      <c r="O7" s="4" t="s">
        <v>467</v>
      </c>
      <c r="P7" s="4" t="s">
        <v>467</v>
      </c>
      <c r="Q7" s="59"/>
      <c r="R7" s="59"/>
      <c r="S7" s="59" t="s">
        <v>362</v>
      </c>
      <c r="T7" s="59" t="s">
        <v>438</v>
      </c>
      <c r="U7" s="4" t="s">
        <v>55</v>
      </c>
      <c r="V7" s="4" t="s">
        <v>55</v>
      </c>
      <c r="W7" s="4" t="s">
        <v>55</v>
      </c>
      <c r="X7" s="4" t="s">
        <v>55</v>
      </c>
      <c r="Y7" s="4" t="s">
        <v>55</v>
      </c>
      <c r="Z7" s="4" t="s">
        <v>55</v>
      </c>
      <c r="AA7" s="4" t="s">
        <v>109</v>
      </c>
      <c r="AB7" s="4" t="s">
        <v>468</v>
      </c>
      <c r="AC7" s="4" t="s">
        <v>109</v>
      </c>
      <c r="AD7" s="4" t="s">
        <v>55</v>
      </c>
      <c r="AE7" s="4" t="s">
        <v>109</v>
      </c>
      <c r="AF7" s="4"/>
      <c r="AG7" s="4"/>
    </row>
    <row r="8" spans="1:33" x14ac:dyDescent="0.35">
      <c r="B8" s="267">
        <v>1</v>
      </c>
      <c r="C8" s="270"/>
      <c r="D8" s="267"/>
      <c r="E8" s="267"/>
      <c r="F8" s="267"/>
      <c r="G8" s="267"/>
      <c r="H8" s="152"/>
      <c r="I8" s="152"/>
      <c r="J8" s="152"/>
      <c r="K8" s="152"/>
      <c r="L8" s="267"/>
      <c r="M8" s="153"/>
      <c r="N8" s="154"/>
      <c r="O8" s="155"/>
      <c r="P8" s="261"/>
      <c r="Q8" s="156"/>
      <c r="R8" s="156"/>
      <c r="S8" s="157"/>
      <c r="T8" s="156"/>
      <c r="U8" s="156"/>
      <c r="V8" s="261"/>
      <c r="W8" s="261"/>
      <c r="X8" s="261"/>
      <c r="Y8" s="261"/>
      <c r="Z8" s="261"/>
      <c r="AA8" s="264"/>
      <c r="AB8" s="264"/>
      <c r="AC8" s="264"/>
      <c r="AD8" s="261"/>
      <c r="AE8" s="261"/>
      <c r="AF8" s="261"/>
      <c r="AG8" s="261"/>
    </row>
    <row r="9" spans="1:33" x14ac:dyDescent="0.35">
      <c r="B9" s="268"/>
      <c r="C9" s="270"/>
      <c r="D9" s="268"/>
      <c r="E9" s="268"/>
      <c r="F9" s="268"/>
      <c r="G9" s="268"/>
      <c r="H9" s="158"/>
      <c r="I9" s="158"/>
      <c r="J9" s="158"/>
      <c r="K9" s="158"/>
      <c r="L9" s="268"/>
      <c r="M9" s="159"/>
      <c r="N9" s="160"/>
      <c r="O9" s="155"/>
      <c r="P9" s="262"/>
      <c r="Q9" s="156"/>
      <c r="R9" s="156"/>
      <c r="S9" s="157"/>
      <c r="T9" s="156"/>
      <c r="U9" s="156"/>
      <c r="V9" s="262"/>
      <c r="W9" s="262"/>
      <c r="X9" s="262"/>
      <c r="Y9" s="262"/>
      <c r="Z9" s="262"/>
      <c r="AA9" s="265"/>
      <c r="AB9" s="265"/>
      <c r="AC9" s="265"/>
      <c r="AD9" s="262"/>
      <c r="AE9" s="262"/>
      <c r="AF9" s="262"/>
      <c r="AG9" s="262"/>
    </row>
    <row r="10" spans="1:33" x14ac:dyDescent="0.35">
      <c r="B10" s="269"/>
      <c r="C10" s="270"/>
      <c r="D10" s="269"/>
      <c r="E10" s="269"/>
      <c r="F10" s="269"/>
      <c r="G10" s="269"/>
      <c r="H10" s="161"/>
      <c r="I10" s="161"/>
      <c r="J10" s="161"/>
      <c r="K10" s="161"/>
      <c r="L10" s="269"/>
      <c r="M10" s="162"/>
      <c r="N10" s="163"/>
      <c r="O10" s="155"/>
      <c r="P10" s="263"/>
      <c r="Q10" s="156"/>
      <c r="R10" s="156"/>
      <c r="S10" s="157"/>
      <c r="T10" s="156"/>
      <c r="U10" s="156"/>
      <c r="V10" s="263"/>
      <c r="W10" s="263"/>
      <c r="X10" s="263"/>
      <c r="Y10" s="263"/>
      <c r="Z10" s="263"/>
      <c r="AA10" s="266"/>
      <c r="AB10" s="266"/>
      <c r="AC10" s="266"/>
      <c r="AD10" s="263"/>
      <c r="AE10" s="263"/>
      <c r="AF10" s="263"/>
      <c r="AG10" s="263"/>
    </row>
    <row r="11" spans="1:33" x14ac:dyDescent="0.35">
      <c r="B11" s="267">
        <v>2</v>
      </c>
      <c r="C11" s="270"/>
      <c r="D11" s="267"/>
      <c r="E11" s="267"/>
      <c r="F11" s="267"/>
      <c r="G11" s="267"/>
      <c r="H11" s="152"/>
      <c r="I11" s="152"/>
      <c r="J11" s="152"/>
      <c r="K11" s="152"/>
      <c r="L11" s="267"/>
      <c r="M11" s="153"/>
      <c r="N11" s="154"/>
      <c r="O11" s="155"/>
      <c r="P11" s="261"/>
      <c r="Q11" s="156"/>
      <c r="R11" s="156"/>
      <c r="S11" s="157"/>
      <c r="T11" s="156"/>
      <c r="U11" s="156"/>
      <c r="V11" s="261"/>
      <c r="W11" s="261"/>
      <c r="X11" s="261"/>
      <c r="Y11" s="261"/>
      <c r="Z11" s="261"/>
      <c r="AA11" s="264"/>
      <c r="AB11" s="264"/>
      <c r="AC11" s="264"/>
      <c r="AD11" s="261"/>
      <c r="AE11" s="261"/>
      <c r="AF11" s="261"/>
      <c r="AG11" s="261"/>
    </row>
    <row r="12" spans="1:33" x14ac:dyDescent="0.35">
      <c r="B12" s="268"/>
      <c r="C12" s="270"/>
      <c r="D12" s="268"/>
      <c r="E12" s="268"/>
      <c r="F12" s="268"/>
      <c r="G12" s="268"/>
      <c r="H12" s="158"/>
      <c r="I12" s="158"/>
      <c r="J12" s="158"/>
      <c r="K12" s="158"/>
      <c r="L12" s="268"/>
      <c r="M12" s="159"/>
      <c r="N12" s="160"/>
      <c r="O12" s="155"/>
      <c r="P12" s="262"/>
      <c r="Q12" s="156"/>
      <c r="R12" s="156"/>
      <c r="S12" s="157"/>
      <c r="T12" s="156"/>
      <c r="U12" s="156"/>
      <c r="V12" s="262"/>
      <c r="W12" s="262"/>
      <c r="X12" s="262"/>
      <c r="Y12" s="262"/>
      <c r="Z12" s="262"/>
      <c r="AA12" s="265"/>
      <c r="AB12" s="265"/>
      <c r="AC12" s="265"/>
      <c r="AD12" s="262"/>
      <c r="AE12" s="262"/>
      <c r="AF12" s="262"/>
      <c r="AG12" s="262"/>
    </row>
    <row r="13" spans="1:33" x14ac:dyDescent="0.35">
      <c r="B13" s="269"/>
      <c r="C13" s="270"/>
      <c r="D13" s="269"/>
      <c r="E13" s="269"/>
      <c r="F13" s="269"/>
      <c r="G13" s="269"/>
      <c r="H13" s="161"/>
      <c r="I13" s="161"/>
      <c r="J13" s="161"/>
      <c r="K13" s="161"/>
      <c r="L13" s="269"/>
      <c r="M13" s="162"/>
      <c r="N13" s="163"/>
      <c r="O13" s="155"/>
      <c r="P13" s="263"/>
      <c r="Q13" s="156"/>
      <c r="R13" s="156"/>
      <c r="S13" s="157"/>
      <c r="T13" s="156"/>
      <c r="U13" s="156"/>
      <c r="V13" s="263"/>
      <c r="W13" s="263"/>
      <c r="X13" s="263"/>
      <c r="Y13" s="263"/>
      <c r="Z13" s="263"/>
      <c r="AA13" s="266"/>
      <c r="AB13" s="266"/>
      <c r="AC13" s="266"/>
      <c r="AD13" s="263"/>
      <c r="AE13" s="263"/>
      <c r="AF13" s="263"/>
      <c r="AG13" s="263"/>
    </row>
    <row r="14" spans="1:33" x14ac:dyDescent="0.35">
      <c r="B14" s="267">
        <v>3</v>
      </c>
      <c r="C14" s="270"/>
      <c r="D14" s="267"/>
      <c r="E14" s="267"/>
      <c r="F14" s="267"/>
      <c r="G14" s="267"/>
      <c r="H14" s="152"/>
      <c r="I14" s="152"/>
      <c r="J14" s="152"/>
      <c r="K14" s="152"/>
      <c r="L14" s="267"/>
      <c r="M14" s="153"/>
      <c r="N14" s="154"/>
      <c r="O14" s="155"/>
      <c r="P14" s="261"/>
      <c r="Q14" s="156"/>
      <c r="R14" s="156"/>
      <c r="S14" s="157"/>
      <c r="T14" s="156"/>
      <c r="U14" s="156"/>
      <c r="V14" s="261"/>
      <c r="W14" s="261"/>
      <c r="X14" s="261"/>
      <c r="Y14" s="261"/>
      <c r="Z14" s="261"/>
      <c r="AA14" s="264"/>
      <c r="AB14" s="264"/>
      <c r="AC14" s="264"/>
      <c r="AD14" s="261"/>
      <c r="AE14" s="261"/>
      <c r="AF14" s="261"/>
      <c r="AG14" s="261"/>
    </row>
    <row r="15" spans="1:33" x14ac:dyDescent="0.35">
      <c r="B15" s="268"/>
      <c r="C15" s="270"/>
      <c r="D15" s="268"/>
      <c r="E15" s="268"/>
      <c r="F15" s="268"/>
      <c r="G15" s="268"/>
      <c r="H15" s="158"/>
      <c r="I15" s="158"/>
      <c r="J15" s="158"/>
      <c r="K15" s="158"/>
      <c r="L15" s="268"/>
      <c r="M15" s="159"/>
      <c r="N15" s="160"/>
      <c r="O15" s="155"/>
      <c r="P15" s="262"/>
      <c r="Q15" s="156"/>
      <c r="R15" s="156"/>
      <c r="S15" s="157"/>
      <c r="T15" s="156"/>
      <c r="U15" s="156"/>
      <c r="V15" s="262"/>
      <c r="W15" s="262"/>
      <c r="X15" s="262"/>
      <c r="Y15" s="262"/>
      <c r="Z15" s="262"/>
      <c r="AA15" s="265"/>
      <c r="AB15" s="265"/>
      <c r="AC15" s="265"/>
      <c r="AD15" s="262"/>
      <c r="AE15" s="262"/>
      <c r="AF15" s="262"/>
      <c r="AG15" s="262"/>
    </row>
    <row r="16" spans="1:33" x14ac:dyDescent="0.35">
      <c r="B16" s="269"/>
      <c r="C16" s="270"/>
      <c r="D16" s="269"/>
      <c r="E16" s="269"/>
      <c r="F16" s="269"/>
      <c r="G16" s="269"/>
      <c r="H16" s="161"/>
      <c r="I16" s="161"/>
      <c r="J16" s="161"/>
      <c r="K16" s="161"/>
      <c r="L16" s="269"/>
      <c r="M16" s="162"/>
      <c r="N16" s="163"/>
      <c r="O16" s="155"/>
      <c r="P16" s="263"/>
      <c r="Q16" s="156"/>
      <c r="R16" s="156"/>
      <c r="S16" s="157"/>
      <c r="T16" s="156"/>
      <c r="U16" s="156"/>
      <c r="V16" s="263"/>
      <c r="W16" s="263"/>
      <c r="X16" s="263"/>
      <c r="Y16" s="263"/>
      <c r="Z16" s="263"/>
      <c r="AA16" s="266"/>
      <c r="AB16" s="266"/>
      <c r="AC16" s="266"/>
      <c r="AD16" s="263"/>
      <c r="AE16" s="263"/>
      <c r="AF16" s="263"/>
      <c r="AG16" s="263"/>
    </row>
    <row r="17" spans="2:33" x14ac:dyDescent="0.35">
      <c r="B17" s="267">
        <v>4</v>
      </c>
      <c r="C17" s="270"/>
      <c r="D17" s="267"/>
      <c r="E17" s="267"/>
      <c r="F17" s="267"/>
      <c r="G17" s="267"/>
      <c r="H17" s="152"/>
      <c r="I17" s="152"/>
      <c r="J17" s="152"/>
      <c r="K17" s="152"/>
      <c r="L17" s="267"/>
      <c r="M17" s="153"/>
      <c r="N17" s="154"/>
      <c r="O17" s="155"/>
      <c r="P17" s="261"/>
      <c r="Q17" s="156"/>
      <c r="R17" s="156"/>
      <c r="S17" s="157"/>
      <c r="T17" s="156"/>
      <c r="U17" s="156"/>
      <c r="V17" s="261"/>
      <c r="W17" s="261"/>
      <c r="X17" s="261"/>
      <c r="Y17" s="261"/>
      <c r="Z17" s="261"/>
      <c r="AA17" s="264"/>
      <c r="AB17" s="264"/>
      <c r="AC17" s="264"/>
      <c r="AD17" s="261"/>
      <c r="AE17" s="261"/>
      <c r="AF17" s="261"/>
      <c r="AG17" s="261"/>
    </row>
    <row r="18" spans="2:33" x14ac:dyDescent="0.35">
      <c r="B18" s="268"/>
      <c r="C18" s="270"/>
      <c r="D18" s="268"/>
      <c r="E18" s="268"/>
      <c r="F18" s="268"/>
      <c r="G18" s="268"/>
      <c r="H18" s="158"/>
      <c r="I18" s="158"/>
      <c r="J18" s="158"/>
      <c r="K18" s="158"/>
      <c r="L18" s="268"/>
      <c r="M18" s="159"/>
      <c r="N18" s="160"/>
      <c r="O18" s="155"/>
      <c r="P18" s="262"/>
      <c r="Q18" s="156"/>
      <c r="R18" s="156"/>
      <c r="S18" s="157"/>
      <c r="T18" s="156"/>
      <c r="U18" s="156"/>
      <c r="V18" s="262"/>
      <c r="W18" s="262"/>
      <c r="X18" s="262"/>
      <c r="Y18" s="262"/>
      <c r="Z18" s="262"/>
      <c r="AA18" s="265"/>
      <c r="AB18" s="265"/>
      <c r="AC18" s="265"/>
      <c r="AD18" s="262"/>
      <c r="AE18" s="262"/>
      <c r="AF18" s="262"/>
      <c r="AG18" s="262"/>
    </row>
    <row r="19" spans="2:33" x14ac:dyDescent="0.35">
      <c r="B19" s="269"/>
      <c r="C19" s="270"/>
      <c r="D19" s="269"/>
      <c r="E19" s="269"/>
      <c r="F19" s="269"/>
      <c r="G19" s="269"/>
      <c r="H19" s="161"/>
      <c r="I19" s="161"/>
      <c r="J19" s="161"/>
      <c r="K19" s="161"/>
      <c r="L19" s="269"/>
      <c r="M19" s="162"/>
      <c r="N19" s="163"/>
      <c r="O19" s="155"/>
      <c r="P19" s="263"/>
      <c r="Q19" s="156"/>
      <c r="R19" s="156"/>
      <c r="S19" s="157"/>
      <c r="T19" s="156"/>
      <c r="U19" s="156"/>
      <c r="V19" s="263"/>
      <c r="W19" s="263"/>
      <c r="X19" s="263"/>
      <c r="Y19" s="263"/>
      <c r="Z19" s="263"/>
      <c r="AA19" s="266"/>
      <c r="AB19" s="266"/>
      <c r="AC19" s="266"/>
      <c r="AD19" s="263"/>
      <c r="AE19" s="263"/>
      <c r="AF19" s="263"/>
      <c r="AG19" s="263"/>
    </row>
    <row r="20" spans="2:33" x14ac:dyDescent="0.35">
      <c r="B20" s="267">
        <v>5</v>
      </c>
      <c r="C20" s="270"/>
      <c r="D20" s="267"/>
      <c r="E20" s="267"/>
      <c r="F20" s="267"/>
      <c r="G20" s="267"/>
      <c r="H20" s="152"/>
      <c r="I20" s="152"/>
      <c r="J20" s="152"/>
      <c r="K20" s="152"/>
      <c r="L20" s="267"/>
      <c r="M20" s="153"/>
      <c r="N20" s="154"/>
      <c r="O20" s="155"/>
      <c r="P20" s="261"/>
      <c r="Q20" s="156"/>
      <c r="R20" s="156"/>
      <c r="S20" s="157"/>
      <c r="T20" s="156"/>
      <c r="U20" s="156"/>
      <c r="V20" s="261"/>
      <c r="W20" s="261"/>
      <c r="X20" s="261"/>
      <c r="Y20" s="261"/>
      <c r="Z20" s="261"/>
      <c r="AA20" s="264"/>
      <c r="AB20" s="264"/>
      <c r="AC20" s="264"/>
      <c r="AD20" s="261"/>
      <c r="AE20" s="261"/>
      <c r="AF20" s="261"/>
      <c r="AG20" s="261"/>
    </row>
    <row r="21" spans="2:33" x14ac:dyDescent="0.35">
      <c r="B21" s="268"/>
      <c r="C21" s="270"/>
      <c r="D21" s="268"/>
      <c r="E21" s="268"/>
      <c r="F21" s="268"/>
      <c r="G21" s="268"/>
      <c r="H21" s="158"/>
      <c r="I21" s="158"/>
      <c r="J21" s="158"/>
      <c r="K21" s="158"/>
      <c r="L21" s="268"/>
      <c r="M21" s="159"/>
      <c r="N21" s="160"/>
      <c r="O21" s="155"/>
      <c r="P21" s="262"/>
      <c r="Q21" s="156"/>
      <c r="R21" s="156"/>
      <c r="S21" s="157"/>
      <c r="T21" s="156"/>
      <c r="U21" s="156"/>
      <c r="V21" s="262"/>
      <c r="W21" s="262"/>
      <c r="X21" s="262"/>
      <c r="Y21" s="262"/>
      <c r="Z21" s="262"/>
      <c r="AA21" s="265"/>
      <c r="AB21" s="265"/>
      <c r="AC21" s="265"/>
      <c r="AD21" s="262"/>
      <c r="AE21" s="262"/>
      <c r="AF21" s="262"/>
      <c r="AG21" s="262"/>
    </row>
    <row r="22" spans="2:33" x14ac:dyDescent="0.35">
      <c r="B22" s="269"/>
      <c r="C22" s="270"/>
      <c r="D22" s="269"/>
      <c r="E22" s="269"/>
      <c r="F22" s="269"/>
      <c r="G22" s="269"/>
      <c r="H22" s="161"/>
      <c r="I22" s="161"/>
      <c r="J22" s="161"/>
      <c r="K22" s="161"/>
      <c r="L22" s="269"/>
      <c r="M22" s="162"/>
      <c r="N22" s="163"/>
      <c r="O22" s="155"/>
      <c r="P22" s="263"/>
      <c r="Q22" s="156"/>
      <c r="R22" s="156"/>
      <c r="S22" s="157"/>
      <c r="T22" s="156"/>
      <c r="U22" s="156"/>
      <c r="V22" s="263"/>
      <c r="W22" s="263"/>
      <c r="X22" s="263"/>
      <c r="Y22" s="263"/>
      <c r="Z22" s="263"/>
      <c r="AA22" s="266"/>
      <c r="AB22" s="266"/>
      <c r="AC22" s="266"/>
      <c r="AD22" s="263"/>
      <c r="AE22" s="263"/>
      <c r="AF22" s="263"/>
      <c r="AG22" s="263"/>
    </row>
    <row r="23" spans="2:33" x14ac:dyDescent="0.35">
      <c r="B23" s="267">
        <v>6</v>
      </c>
      <c r="C23" s="270"/>
      <c r="D23" s="267"/>
      <c r="E23" s="267"/>
      <c r="F23" s="267"/>
      <c r="G23" s="267"/>
      <c r="H23" s="152"/>
      <c r="I23" s="152"/>
      <c r="J23" s="152"/>
      <c r="K23" s="152"/>
      <c r="L23" s="267"/>
      <c r="M23" s="153"/>
      <c r="N23" s="154"/>
      <c r="O23" s="155"/>
      <c r="P23" s="261"/>
      <c r="Q23" s="156"/>
      <c r="R23" s="156"/>
      <c r="S23" s="157"/>
      <c r="T23" s="156"/>
      <c r="U23" s="156"/>
      <c r="V23" s="261"/>
      <c r="W23" s="261"/>
      <c r="X23" s="261"/>
      <c r="Y23" s="261"/>
      <c r="Z23" s="261"/>
      <c r="AA23" s="264"/>
      <c r="AB23" s="264"/>
      <c r="AC23" s="264"/>
      <c r="AD23" s="261"/>
      <c r="AE23" s="261"/>
      <c r="AF23" s="261"/>
      <c r="AG23" s="261"/>
    </row>
    <row r="24" spans="2:33" x14ac:dyDescent="0.35">
      <c r="B24" s="268"/>
      <c r="C24" s="270"/>
      <c r="D24" s="268"/>
      <c r="E24" s="268"/>
      <c r="F24" s="268"/>
      <c r="G24" s="268"/>
      <c r="H24" s="158"/>
      <c r="I24" s="158"/>
      <c r="J24" s="158"/>
      <c r="K24" s="158"/>
      <c r="L24" s="268"/>
      <c r="M24" s="159"/>
      <c r="N24" s="160"/>
      <c r="O24" s="155"/>
      <c r="P24" s="262"/>
      <c r="Q24" s="156"/>
      <c r="R24" s="156"/>
      <c r="S24" s="157"/>
      <c r="T24" s="156"/>
      <c r="U24" s="156"/>
      <c r="V24" s="262"/>
      <c r="W24" s="262"/>
      <c r="X24" s="262"/>
      <c r="Y24" s="262"/>
      <c r="Z24" s="262"/>
      <c r="AA24" s="265"/>
      <c r="AB24" s="265"/>
      <c r="AC24" s="265"/>
      <c r="AD24" s="262"/>
      <c r="AE24" s="262"/>
      <c r="AF24" s="262"/>
      <c r="AG24" s="262"/>
    </row>
    <row r="25" spans="2:33" x14ac:dyDescent="0.35">
      <c r="B25" s="269"/>
      <c r="C25" s="270"/>
      <c r="D25" s="269"/>
      <c r="E25" s="269"/>
      <c r="F25" s="269"/>
      <c r="G25" s="269"/>
      <c r="H25" s="161"/>
      <c r="I25" s="161"/>
      <c r="J25" s="161"/>
      <c r="K25" s="161"/>
      <c r="L25" s="269"/>
      <c r="M25" s="162"/>
      <c r="N25" s="163"/>
      <c r="O25" s="155"/>
      <c r="P25" s="263"/>
      <c r="Q25" s="156"/>
      <c r="R25" s="156"/>
      <c r="S25" s="157"/>
      <c r="T25" s="156"/>
      <c r="U25" s="156"/>
      <c r="V25" s="263"/>
      <c r="W25" s="263"/>
      <c r="X25" s="263"/>
      <c r="Y25" s="263"/>
      <c r="Z25" s="263"/>
      <c r="AA25" s="266"/>
      <c r="AB25" s="266"/>
      <c r="AC25" s="266"/>
      <c r="AD25" s="263"/>
      <c r="AE25" s="263"/>
      <c r="AF25" s="263"/>
      <c r="AG25" s="263"/>
    </row>
    <row r="26" spans="2:33" x14ac:dyDescent="0.35">
      <c r="B26" s="267">
        <v>7</v>
      </c>
      <c r="C26" s="270"/>
      <c r="D26" s="267"/>
      <c r="E26" s="267"/>
      <c r="F26" s="271"/>
      <c r="G26" s="271"/>
      <c r="H26" s="152"/>
      <c r="I26" s="152"/>
      <c r="J26" s="152"/>
      <c r="K26" s="152"/>
      <c r="L26" s="271"/>
      <c r="M26" s="153"/>
      <c r="N26" s="154"/>
      <c r="O26" s="155"/>
      <c r="P26" s="261"/>
      <c r="Q26" s="258"/>
      <c r="R26" s="258"/>
      <c r="S26" s="258"/>
      <c r="T26" s="164"/>
      <c r="U26" s="258"/>
      <c r="V26" s="261"/>
      <c r="W26" s="261"/>
      <c r="X26" s="261"/>
      <c r="Y26" s="261"/>
      <c r="Z26" s="261"/>
      <c r="AA26" s="264"/>
      <c r="AB26" s="264"/>
      <c r="AC26" s="264"/>
      <c r="AD26" s="261"/>
      <c r="AE26" s="261"/>
      <c r="AF26" s="261"/>
      <c r="AG26" s="261"/>
    </row>
    <row r="27" spans="2:33" x14ac:dyDescent="0.35">
      <c r="B27" s="268"/>
      <c r="C27" s="270"/>
      <c r="D27" s="268"/>
      <c r="E27" s="268"/>
      <c r="F27" s="272"/>
      <c r="G27" s="272"/>
      <c r="H27" s="158"/>
      <c r="I27" s="158"/>
      <c r="J27" s="158"/>
      <c r="K27" s="158"/>
      <c r="L27" s="272"/>
      <c r="M27" s="159"/>
      <c r="N27" s="160"/>
      <c r="O27" s="155"/>
      <c r="P27" s="262"/>
      <c r="Q27" s="259"/>
      <c r="R27" s="259"/>
      <c r="S27" s="259"/>
      <c r="T27" s="165"/>
      <c r="U27" s="259"/>
      <c r="V27" s="262"/>
      <c r="W27" s="262"/>
      <c r="X27" s="262"/>
      <c r="Y27" s="262"/>
      <c r="Z27" s="262"/>
      <c r="AA27" s="265"/>
      <c r="AB27" s="265"/>
      <c r="AC27" s="265"/>
      <c r="AD27" s="262"/>
      <c r="AE27" s="262"/>
      <c r="AF27" s="262"/>
      <c r="AG27" s="262"/>
    </row>
    <row r="28" spans="2:33" x14ac:dyDescent="0.35">
      <c r="B28" s="269"/>
      <c r="C28" s="270"/>
      <c r="D28" s="269"/>
      <c r="E28" s="269"/>
      <c r="F28" s="273"/>
      <c r="G28" s="273"/>
      <c r="H28" s="161"/>
      <c r="I28" s="161"/>
      <c r="J28" s="161"/>
      <c r="K28" s="161"/>
      <c r="L28" s="273"/>
      <c r="M28" s="162"/>
      <c r="N28" s="163"/>
      <c r="O28" s="155"/>
      <c r="P28" s="263"/>
      <c r="Q28" s="260"/>
      <c r="R28" s="260"/>
      <c r="S28" s="260"/>
      <c r="T28" s="166"/>
      <c r="U28" s="260"/>
      <c r="V28" s="263"/>
      <c r="W28" s="263"/>
      <c r="X28" s="263"/>
      <c r="Y28" s="263"/>
      <c r="Z28" s="263"/>
      <c r="AA28" s="266"/>
      <c r="AB28" s="266"/>
      <c r="AC28" s="266"/>
      <c r="AD28" s="263"/>
      <c r="AE28" s="263"/>
      <c r="AF28" s="263"/>
      <c r="AG28" s="263"/>
    </row>
    <row r="29" spans="2:33" x14ac:dyDescent="0.35">
      <c r="B29" s="267">
        <v>8</v>
      </c>
      <c r="C29" s="270"/>
      <c r="D29" s="267"/>
      <c r="E29" s="267"/>
      <c r="F29" s="271"/>
      <c r="G29" s="271"/>
      <c r="H29" s="152"/>
      <c r="I29" s="152"/>
      <c r="J29" s="152"/>
      <c r="K29" s="152"/>
      <c r="L29" s="271"/>
      <c r="M29" s="153"/>
      <c r="N29" s="154"/>
      <c r="O29" s="155"/>
      <c r="P29" s="261"/>
      <c r="Q29" s="258"/>
      <c r="R29" s="258"/>
      <c r="S29" s="258"/>
      <c r="T29" s="164"/>
      <c r="U29" s="258"/>
      <c r="V29" s="261"/>
      <c r="W29" s="261"/>
      <c r="X29" s="261"/>
      <c r="Y29" s="261"/>
      <c r="Z29" s="261"/>
      <c r="AA29" s="264"/>
      <c r="AB29" s="264"/>
      <c r="AC29" s="264"/>
      <c r="AD29" s="261"/>
      <c r="AE29" s="261"/>
      <c r="AF29" s="261"/>
      <c r="AG29" s="261"/>
    </row>
    <row r="30" spans="2:33" x14ac:dyDescent="0.35">
      <c r="B30" s="268"/>
      <c r="C30" s="270"/>
      <c r="D30" s="268"/>
      <c r="E30" s="268"/>
      <c r="F30" s="272"/>
      <c r="G30" s="272"/>
      <c r="H30" s="158"/>
      <c r="I30" s="158"/>
      <c r="J30" s="158"/>
      <c r="K30" s="158"/>
      <c r="L30" s="272"/>
      <c r="M30" s="159"/>
      <c r="N30" s="160"/>
      <c r="O30" s="155"/>
      <c r="P30" s="262"/>
      <c r="Q30" s="259"/>
      <c r="R30" s="259"/>
      <c r="S30" s="259"/>
      <c r="T30" s="165"/>
      <c r="U30" s="259"/>
      <c r="V30" s="262"/>
      <c r="W30" s="262"/>
      <c r="X30" s="262"/>
      <c r="Y30" s="262"/>
      <c r="Z30" s="262"/>
      <c r="AA30" s="265"/>
      <c r="AB30" s="265"/>
      <c r="AC30" s="265"/>
      <c r="AD30" s="262"/>
      <c r="AE30" s="262"/>
      <c r="AF30" s="262"/>
      <c r="AG30" s="262"/>
    </row>
    <row r="31" spans="2:33" x14ac:dyDescent="0.35">
      <c r="B31" s="269"/>
      <c r="C31" s="270"/>
      <c r="D31" s="269"/>
      <c r="E31" s="269"/>
      <c r="F31" s="273"/>
      <c r="G31" s="273"/>
      <c r="H31" s="161"/>
      <c r="I31" s="161"/>
      <c r="J31" s="161"/>
      <c r="K31" s="161"/>
      <c r="L31" s="273"/>
      <c r="M31" s="162"/>
      <c r="N31" s="163"/>
      <c r="O31" s="155"/>
      <c r="P31" s="263"/>
      <c r="Q31" s="260"/>
      <c r="R31" s="260"/>
      <c r="S31" s="260"/>
      <c r="T31" s="166"/>
      <c r="U31" s="260"/>
      <c r="V31" s="263"/>
      <c r="W31" s="263"/>
      <c r="X31" s="263"/>
      <c r="Y31" s="263"/>
      <c r="Z31" s="263"/>
      <c r="AA31" s="266"/>
      <c r="AB31" s="266"/>
      <c r="AC31" s="266"/>
      <c r="AD31" s="263"/>
      <c r="AE31" s="263"/>
      <c r="AF31" s="263"/>
      <c r="AG31" s="263"/>
    </row>
  </sheetData>
  <sheetProtection insertRows="0" deleteRows="0" sort="0" autoFilter="0"/>
  <mergeCells count="169">
    <mergeCell ref="F11:F13"/>
    <mergeCell ref="F14:F16"/>
    <mergeCell ref="F17:F19"/>
    <mergeCell ref="F20:F22"/>
    <mergeCell ref="F23:F25"/>
    <mergeCell ref="F26:F28"/>
    <mergeCell ref="F29:F31"/>
    <mergeCell ref="G8:G10"/>
    <mergeCell ref="G11:G13"/>
    <mergeCell ref="G14:G16"/>
    <mergeCell ref="G17:G19"/>
    <mergeCell ref="G20:G22"/>
    <mergeCell ref="G23:G25"/>
    <mergeCell ref="G26:G28"/>
    <mergeCell ref="G29:G31"/>
    <mergeCell ref="AG29:AG31"/>
    <mergeCell ref="V29:V31"/>
    <mergeCell ref="W29:W31"/>
    <mergeCell ref="X29:X31"/>
    <mergeCell ref="Y29:Y31"/>
    <mergeCell ref="Z29:Z31"/>
    <mergeCell ref="AA29:AA31"/>
    <mergeCell ref="AB29:AB31"/>
    <mergeCell ref="AC29:AC31"/>
    <mergeCell ref="AD29:AD31"/>
    <mergeCell ref="B29:B31"/>
    <mergeCell ref="C29:C31"/>
    <mergeCell ref="D29:D31"/>
    <mergeCell ref="E29:E31"/>
    <mergeCell ref="L29:L31"/>
    <mergeCell ref="P29:P31"/>
    <mergeCell ref="Q29:Q31"/>
    <mergeCell ref="R29:R31"/>
    <mergeCell ref="S29:S31"/>
    <mergeCell ref="AC8:AC10"/>
    <mergeCell ref="AD8:AD10"/>
    <mergeCell ref="AE8:AE10"/>
    <mergeCell ref="AF8:AF10"/>
    <mergeCell ref="B4:B7"/>
    <mergeCell ref="B8:B10"/>
    <mergeCell ref="C8:C10"/>
    <mergeCell ref="D8:D10"/>
    <mergeCell ref="E8:E10"/>
    <mergeCell ref="L8:L10"/>
    <mergeCell ref="P8:P10"/>
    <mergeCell ref="V8:V10"/>
    <mergeCell ref="W8:W10"/>
    <mergeCell ref="F8:F10"/>
    <mergeCell ref="AG8:AG10"/>
    <mergeCell ref="B11:B13"/>
    <mergeCell ref="C11:C13"/>
    <mergeCell ref="D11:D13"/>
    <mergeCell ref="E11:E13"/>
    <mergeCell ref="L11:L13"/>
    <mergeCell ref="P11:P13"/>
    <mergeCell ref="V11:V13"/>
    <mergeCell ref="W11:W13"/>
    <mergeCell ref="X11:X13"/>
    <mergeCell ref="Y11:Y13"/>
    <mergeCell ref="Z11:Z13"/>
    <mergeCell ref="AA11:AA13"/>
    <mergeCell ref="AB11:AB13"/>
    <mergeCell ref="AC11:AC13"/>
    <mergeCell ref="AD11:AD13"/>
    <mergeCell ref="AE11:AE13"/>
    <mergeCell ref="AF11:AF13"/>
    <mergeCell ref="AG11:AG13"/>
    <mergeCell ref="X8:X10"/>
    <mergeCell ref="Y8:Y10"/>
    <mergeCell ref="Z8:Z10"/>
    <mergeCell ref="AA8:AA10"/>
    <mergeCell ref="AB8:AB10"/>
    <mergeCell ref="B14:B16"/>
    <mergeCell ref="C14:C16"/>
    <mergeCell ref="D14:D16"/>
    <mergeCell ref="E14:E16"/>
    <mergeCell ref="L14:L16"/>
    <mergeCell ref="P14:P16"/>
    <mergeCell ref="V14:V16"/>
    <mergeCell ref="W14:W16"/>
    <mergeCell ref="X14:X16"/>
    <mergeCell ref="Y14:Y16"/>
    <mergeCell ref="Z14:Z16"/>
    <mergeCell ref="AA14:AA16"/>
    <mergeCell ref="AB14:AB16"/>
    <mergeCell ref="AC14:AC16"/>
    <mergeCell ref="AD14:AD16"/>
    <mergeCell ref="AE14:AE16"/>
    <mergeCell ref="AF14:AF16"/>
    <mergeCell ref="AG14:AG16"/>
    <mergeCell ref="B17:B19"/>
    <mergeCell ref="C17:C19"/>
    <mergeCell ref="D17:D19"/>
    <mergeCell ref="E17:E19"/>
    <mergeCell ref="L17:L19"/>
    <mergeCell ref="P17:P19"/>
    <mergeCell ref="V17:V19"/>
    <mergeCell ref="W17:W19"/>
    <mergeCell ref="X17:X19"/>
    <mergeCell ref="Y17:Y19"/>
    <mergeCell ref="Z17:Z19"/>
    <mergeCell ref="AA17:AA19"/>
    <mergeCell ref="AB17:AB19"/>
    <mergeCell ref="AC17:AC19"/>
    <mergeCell ref="AD17:AD19"/>
    <mergeCell ref="AE17:AE19"/>
    <mergeCell ref="AF17:AF19"/>
    <mergeCell ref="AG17:AG19"/>
    <mergeCell ref="B20:B22"/>
    <mergeCell ref="C20:C22"/>
    <mergeCell ref="D20:D22"/>
    <mergeCell ref="E20:E22"/>
    <mergeCell ref="L20:L22"/>
    <mergeCell ref="P20:P22"/>
    <mergeCell ref="V20:V22"/>
    <mergeCell ref="W20:W22"/>
    <mergeCell ref="X20:X22"/>
    <mergeCell ref="Y20:Y22"/>
    <mergeCell ref="Z20:Z22"/>
    <mergeCell ref="AA20:AA22"/>
    <mergeCell ref="AB20:AB22"/>
    <mergeCell ref="AC20:AC22"/>
    <mergeCell ref="AD20:AD22"/>
    <mergeCell ref="AE20:AE22"/>
    <mergeCell ref="AF20:AF22"/>
    <mergeCell ref="AG20:AG22"/>
    <mergeCell ref="B23:B25"/>
    <mergeCell ref="C23:C25"/>
    <mergeCell ref="D23:D25"/>
    <mergeCell ref="E23:E25"/>
    <mergeCell ref="L23:L25"/>
    <mergeCell ref="P23:P25"/>
    <mergeCell ref="V23:V25"/>
    <mergeCell ref="W23:W25"/>
    <mergeCell ref="X23:X25"/>
    <mergeCell ref="Y23:Y25"/>
    <mergeCell ref="Z23:Z25"/>
    <mergeCell ref="AA23:AA25"/>
    <mergeCell ref="AB23:AB25"/>
    <mergeCell ref="AC23:AC25"/>
    <mergeCell ref="AD23:AD25"/>
    <mergeCell ref="AE23:AE25"/>
    <mergeCell ref="AF23:AF25"/>
    <mergeCell ref="AG23:AG25"/>
    <mergeCell ref="AG26:AG28"/>
    <mergeCell ref="B26:B28"/>
    <mergeCell ref="C26:C28"/>
    <mergeCell ref="D26:D28"/>
    <mergeCell ref="E26:E28"/>
    <mergeCell ref="L26:L28"/>
    <mergeCell ref="P26:P28"/>
    <mergeCell ref="V26:V28"/>
    <mergeCell ref="W26:W28"/>
    <mergeCell ref="X26:X28"/>
    <mergeCell ref="Q26:Q28"/>
    <mergeCell ref="R26:R28"/>
    <mergeCell ref="S26:S28"/>
    <mergeCell ref="U26:U28"/>
    <mergeCell ref="U29:U31"/>
    <mergeCell ref="Y26:Y28"/>
    <mergeCell ref="Z26:Z28"/>
    <mergeCell ref="AA26:AA28"/>
    <mergeCell ref="AB26:AB28"/>
    <mergeCell ref="AC26:AC28"/>
    <mergeCell ref="AD26:AD28"/>
    <mergeCell ref="AE26:AE28"/>
    <mergeCell ref="AF26:AF28"/>
    <mergeCell ref="AE29:AE31"/>
    <mergeCell ref="AF29:AF31"/>
  </mergeCells>
  <phoneticPr fontId="13"/>
  <dataValidations count="3">
    <dataValidation type="whole" allowBlank="1" showInputMessage="1" showErrorMessage="1" sqref="AA8 AC8 AA11 AA14 AA17 AA20 AA23 AC11 AC14 AC17 AC20 AC23 AA26 AC26 AA29 AC29" xr:uid="{493123E9-FB9C-41A7-BFA4-4C8DFBA57257}">
      <formula1>1</formula1>
      <formula2>999</formula2>
    </dataValidation>
    <dataValidation type="whole" allowBlank="1" showInputMessage="1" showErrorMessage="1" sqref="AB8 AB11 AB14 AB17 AB20 AB23 AB26 AB29" xr:uid="{F84149B1-C83E-410E-98A0-F700797FF5EC}">
      <formula1>1</formula1>
      <formula2>2147483647</formula2>
    </dataValidation>
    <dataValidation type="list" allowBlank="1" showInputMessage="1" showErrorMessage="1" sqref="R10 R13 R16 R19 R22 R25" xr:uid="{311371F0-9E2B-4E6A-BA7D-866C5B3927A1}">
      <formula1>番号順序参照</formula1>
    </dataValidation>
  </dataValidations>
  <hyperlinks>
    <hyperlink ref="A3" location="パラメータ設定一覧!A1" display="パラメータ設定一覧へ" xr:uid="{152D17E6-B6AC-4657-AB59-009EFFD41250}"/>
  </hyperlinks>
  <pageMargins left="0.7" right="0.7" top="0.75" bottom="0.75" header="0.3" footer="0.3"/>
  <pageSetup paperSize="9" orientation="portrait" horizontalDpi="1200" verticalDpi="1200"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897FC-66EC-4A18-93F4-467E84D6BD92}">
  <sheetPr codeName="Sheet17"/>
  <dimension ref="A1:L14"/>
  <sheetViews>
    <sheetView showGridLines="0" zoomScaleNormal="100" workbookViewId="0">
      <pane xSplit="6" ySplit="5" topLeftCell="G6" activePane="bottomRight" state="frozen"/>
      <selection pane="topRight"/>
      <selection pane="bottomLeft"/>
      <selection pane="bottomRight"/>
    </sheetView>
  </sheetViews>
  <sheetFormatPr defaultColWidth="8.78515625" defaultRowHeight="13.5" x14ac:dyDescent="0.35"/>
  <cols>
    <col min="1" max="1" width="2.78515625" style="38" customWidth="1"/>
    <col min="2" max="2" width="3.78515625" style="38" customWidth="1"/>
    <col min="3" max="3" width="16.78515625" style="38" customWidth="1"/>
    <col min="4" max="4" width="19.2109375" style="38" customWidth="1"/>
    <col min="5" max="5" width="16.5703125" style="38" customWidth="1"/>
    <col min="6" max="6" width="22.5703125" style="38" customWidth="1"/>
    <col min="7" max="7" width="44.640625" style="38" customWidth="1"/>
    <col min="8" max="8" width="27.5703125" style="38" customWidth="1"/>
    <col min="9" max="9" width="17.42578125" style="40" customWidth="1"/>
    <col min="10" max="10" width="22.42578125" style="38" customWidth="1"/>
    <col min="11" max="11" width="18.2109375" style="38" customWidth="1"/>
    <col min="12" max="12" width="13.2109375" style="38" customWidth="1"/>
    <col min="13" max="16384" width="8.78515625" style="38"/>
  </cols>
  <sheetData>
    <row r="1" spans="1:12" customFormat="1" ht="19.5" x14ac:dyDescent="0.35">
      <c r="A1" s="8" t="s">
        <v>585</v>
      </c>
      <c r="C1" s="38"/>
      <c r="D1" s="38"/>
      <c r="E1" s="38"/>
      <c r="F1" s="38"/>
      <c r="G1" s="38"/>
      <c r="H1" s="38"/>
      <c r="I1" s="40"/>
    </row>
    <row r="2" spans="1:12" customFormat="1" ht="15" x14ac:dyDescent="0.35">
      <c r="B2" t="s">
        <v>557</v>
      </c>
      <c r="C2" s="38"/>
      <c r="D2" s="38"/>
      <c r="E2" s="38"/>
      <c r="F2" s="38"/>
      <c r="G2" s="38"/>
      <c r="H2" s="38"/>
      <c r="I2" s="40"/>
    </row>
    <row r="3" spans="1:12" customFormat="1" ht="15" x14ac:dyDescent="0.35">
      <c r="A3" s="9"/>
      <c r="B3" t="s">
        <v>646</v>
      </c>
      <c r="C3" s="38"/>
      <c r="D3" s="38"/>
      <c r="E3" s="38"/>
      <c r="F3" s="38"/>
      <c r="G3" s="38"/>
      <c r="H3" s="38"/>
      <c r="I3" s="40"/>
    </row>
    <row r="4" spans="1:12" customFormat="1" ht="15" x14ac:dyDescent="0.35">
      <c r="A4" s="9" t="s">
        <v>670</v>
      </c>
      <c r="C4" s="38"/>
      <c r="D4" s="38"/>
      <c r="E4" s="38"/>
      <c r="F4" s="38"/>
      <c r="G4" s="38"/>
      <c r="H4" s="38"/>
      <c r="I4" s="40"/>
    </row>
    <row r="5" spans="1:12" x14ac:dyDescent="0.35">
      <c r="B5" s="10" t="s">
        <v>1</v>
      </c>
      <c r="C5" s="10" t="s">
        <v>32</v>
      </c>
      <c r="D5" s="10" t="s">
        <v>33</v>
      </c>
      <c r="E5" s="10" t="s">
        <v>34</v>
      </c>
      <c r="F5" s="18" t="s">
        <v>35</v>
      </c>
      <c r="G5" s="18" t="s">
        <v>36</v>
      </c>
      <c r="H5" s="10" t="s">
        <v>37</v>
      </c>
      <c r="I5" s="41" t="s">
        <v>38</v>
      </c>
      <c r="J5" s="10" t="s">
        <v>39</v>
      </c>
      <c r="K5" s="12" t="s">
        <v>40</v>
      </c>
      <c r="L5" s="12" t="s">
        <v>41</v>
      </c>
    </row>
    <row r="6" spans="1:12" ht="27" x14ac:dyDescent="0.35">
      <c r="B6" s="19">
        <f>ROW() - 5</f>
        <v>1</v>
      </c>
      <c r="C6" s="14"/>
      <c r="D6" s="14"/>
      <c r="E6" s="99"/>
      <c r="F6" s="20" t="s">
        <v>89</v>
      </c>
      <c r="G6" s="20"/>
      <c r="H6" s="39" t="s">
        <v>44</v>
      </c>
      <c r="I6" s="37" t="s">
        <v>539</v>
      </c>
      <c r="J6" s="21"/>
      <c r="K6" s="1" t="s">
        <v>584</v>
      </c>
      <c r="L6" s="2"/>
    </row>
    <row r="7" spans="1:12" ht="27" x14ac:dyDescent="0.35">
      <c r="B7" s="19">
        <f>ROW() - 5</f>
        <v>2</v>
      </c>
      <c r="C7" s="73"/>
      <c r="D7" s="35"/>
      <c r="E7" s="73"/>
      <c r="F7" s="20" t="s">
        <v>43</v>
      </c>
      <c r="G7" s="20"/>
      <c r="H7" s="38" t="s">
        <v>44</v>
      </c>
      <c r="I7" s="37" t="s">
        <v>539</v>
      </c>
      <c r="J7" s="21"/>
      <c r="K7" s="1" t="s">
        <v>584</v>
      </c>
      <c r="L7" s="2"/>
    </row>
    <row r="8" spans="1:12" ht="40.5" x14ac:dyDescent="0.35">
      <c r="B8" s="19">
        <f>ROW() - 5</f>
        <v>3</v>
      </c>
      <c r="C8" s="14" t="s">
        <v>49</v>
      </c>
      <c r="D8" s="43"/>
      <c r="E8" s="14"/>
      <c r="F8" s="20" t="s">
        <v>541</v>
      </c>
      <c r="G8" s="20"/>
      <c r="H8" s="39" t="s">
        <v>543</v>
      </c>
      <c r="I8" s="37" t="s">
        <v>544</v>
      </c>
      <c r="J8" s="21"/>
      <c r="K8" s="1" t="s">
        <v>584</v>
      </c>
      <c r="L8" s="2"/>
    </row>
    <row r="9" spans="1:12" ht="81" x14ac:dyDescent="0.35">
      <c r="B9" s="19">
        <f>ROW() - 5</f>
        <v>4</v>
      </c>
      <c r="C9" s="73"/>
      <c r="D9" s="73"/>
      <c r="E9" s="73"/>
      <c r="F9" s="20" t="s">
        <v>542</v>
      </c>
      <c r="G9" s="20"/>
      <c r="H9" s="39" t="s">
        <v>545</v>
      </c>
      <c r="I9" s="39" t="s">
        <v>546</v>
      </c>
      <c r="J9" s="21"/>
      <c r="K9" s="1" t="s">
        <v>584</v>
      </c>
      <c r="L9" s="2"/>
    </row>
    <row r="10" spans="1:12" ht="189" x14ac:dyDescent="0.35">
      <c r="B10" s="19">
        <f t="shared" ref="B10:B14" si="0">ROW() - 5</f>
        <v>5</v>
      </c>
      <c r="C10" s="73"/>
      <c r="D10" s="73"/>
      <c r="E10" s="73"/>
      <c r="F10" s="20" t="s">
        <v>471</v>
      </c>
      <c r="G10" s="20"/>
      <c r="H10" s="39" t="s">
        <v>547</v>
      </c>
      <c r="I10" s="39" t="s">
        <v>403</v>
      </c>
      <c r="J10" s="21"/>
      <c r="K10" s="1" t="s">
        <v>584</v>
      </c>
      <c r="L10" s="2"/>
    </row>
    <row r="11" spans="1:12" ht="40.5" x14ac:dyDescent="0.35">
      <c r="B11" s="19">
        <f t="shared" si="0"/>
        <v>6</v>
      </c>
      <c r="C11" s="73"/>
      <c r="D11" s="73"/>
      <c r="E11" s="73"/>
      <c r="F11" s="20" t="s">
        <v>469</v>
      </c>
      <c r="G11" s="20"/>
      <c r="H11" s="39" t="s">
        <v>548</v>
      </c>
      <c r="I11" s="39"/>
      <c r="J11" s="21"/>
      <c r="K11" s="1" t="s">
        <v>584</v>
      </c>
      <c r="L11" s="2"/>
    </row>
    <row r="12" spans="1:12" ht="27" x14ac:dyDescent="0.35">
      <c r="B12" s="19">
        <f t="shared" si="0"/>
        <v>7</v>
      </c>
      <c r="C12" s="73"/>
      <c r="D12" s="73"/>
      <c r="E12" s="73"/>
      <c r="F12" s="20" t="s">
        <v>550</v>
      </c>
      <c r="G12" s="20"/>
      <c r="H12" s="39"/>
      <c r="I12" s="39"/>
      <c r="J12" s="21"/>
      <c r="K12" s="1" t="s">
        <v>584</v>
      </c>
      <c r="L12" s="2"/>
    </row>
    <row r="13" spans="1:12" ht="27" x14ac:dyDescent="0.35">
      <c r="B13" s="19">
        <f t="shared" si="0"/>
        <v>8</v>
      </c>
      <c r="C13" s="73"/>
      <c r="D13" s="73"/>
      <c r="E13" s="14" t="s">
        <v>551</v>
      </c>
      <c r="F13" s="20" t="s">
        <v>243</v>
      </c>
      <c r="G13" s="20"/>
      <c r="H13" s="39" t="s">
        <v>553</v>
      </c>
      <c r="I13" s="39" t="s">
        <v>554</v>
      </c>
      <c r="J13" s="21"/>
      <c r="K13" s="1" t="s">
        <v>584</v>
      </c>
      <c r="L13" s="2"/>
    </row>
    <row r="14" spans="1:12" ht="27" x14ac:dyDescent="0.35">
      <c r="B14" s="19">
        <f t="shared" si="0"/>
        <v>9</v>
      </c>
      <c r="C14" s="17"/>
      <c r="D14" s="17"/>
      <c r="E14" s="17"/>
      <c r="F14" s="20" t="s">
        <v>552</v>
      </c>
      <c r="G14" s="20"/>
      <c r="H14" s="39" t="s">
        <v>55</v>
      </c>
      <c r="I14" s="39" t="s">
        <v>56</v>
      </c>
      <c r="J14" s="21"/>
      <c r="K14" s="1" t="s">
        <v>584</v>
      </c>
      <c r="L14" s="2"/>
    </row>
  </sheetData>
  <phoneticPr fontId="13"/>
  <hyperlinks>
    <hyperlink ref="A4" location="パラメータ設定一覧!A1" display="パラメータ設定一覧へ" xr:uid="{31850A6B-0A0B-4887-908D-8FBCA265CCCD}"/>
  </hyperlinks>
  <pageMargins left="0.7" right="0.7" top="0.75" bottom="0.75" header="0.3" footer="0.3"/>
  <pageSetup paperSize="9" orientation="portrait" horizontalDpi="1200" verticalDpi="1200"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D713AA-A8A0-4706-9FD9-D7C481A05741}">
  <sheetPr codeName="Sheet18"/>
  <dimension ref="A1:K24"/>
  <sheetViews>
    <sheetView showGridLines="0" zoomScaleNormal="100" workbookViewId="0">
      <pane xSplit="4" ySplit="6" topLeftCell="E7" activePane="bottomRight" state="frozen"/>
      <selection pane="topRight"/>
      <selection pane="bottomLeft"/>
      <selection pane="bottomRight"/>
    </sheetView>
  </sheetViews>
  <sheetFormatPr defaultColWidth="8.78515625" defaultRowHeight="13.5" x14ac:dyDescent="0.35"/>
  <cols>
    <col min="1" max="1" width="2.78515625" style="38" customWidth="1"/>
    <col min="2" max="2" width="3.5703125" style="38" bestFit="1" customWidth="1"/>
    <col min="3" max="3" width="17.2109375" style="38" customWidth="1"/>
    <col min="4" max="11" width="19.78515625" style="38" customWidth="1"/>
    <col min="12" max="16384" width="8.78515625" style="38"/>
  </cols>
  <sheetData>
    <row r="1" spans="1:11" customFormat="1" ht="19.5" x14ac:dyDescent="0.35">
      <c r="A1" s="8" t="s">
        <v>586</v>
      </c>
    </row>
    <row r="2" spans="1:11" customFormat="1" ht="15" x14ac:dyDescent="0.35"/>
    <row r="3" spans="1:11" customFormat="1" ht="15" x14ac:dyDescent="0.35">
      <c r="A3" s="9" t="s">
        <v>670</v>
      </c>
    </row>
    <row r="4" spans="1:11" x14ac:dyDescent="0.35">
      <c r="B4" s="237" t="s">
        <v>1</v>
      </c>
      <c r="C4" s="105"/>
      <c r="D4" s="104"/>
      <c r="E4" s="105" t="s">
        <v>49</v>
      </c>
      <c r="F4" s="169"/>
      <c r="G4" s="169"/>
      <c r="H4" s="169"/>
      <c r="I4" s="169"/>
      <c r="J4" s="169"/>
      <c r="K4" s="170"/>
    </row>
    <row r="5" spans="1:11" x14ac:dyDescent="0.35">
      <c r="B5" s="255"/>
      <c r="C5" s="94" t="s">
        <v>538</v>
      </c>
      <c r="D5" s="94" t="s">
        <v>43</v>
      </c>
      <c r="E5" s="94" t="s">
        <v>540</v>
      </c>
      <c r="F5" s="94" t="s">
        <v>470</v>
      </c>
      <c r="G5" s="94" t="s">
        <v>477</v>
      </c>
      <c r="H5" s="94" t="s">
        <v>469</v>
      </c>
      <c r="I5" s="94" t="s">
        <v>549</v>
      </c>
      <c r="J5" s="94" t="s">
        <v>243</v>
      </c>
      <c r="K5" s="94" t="s">
        <v>552</v>
      </c>
    </row>
    <row r="6" spans="1:11" x14ac:dyDescent="0.35">
      <c r="B6" s="238"/>
      <c r="C6" s="4" t="s">
        <v>44</v>
      </c>
      <c r="D6" s="4" t="s">
        <v>44</v>
      </c>
      <c r="E6" s="4"/>
      <c r="F6" s="4"/>
      <c r="G6" s="4"/>
      <c r="H6" s="4"/>
      <c r="I6" s="4" t="s">
        <v>44</v>
      </c>
      <c r="J6" s="4"/>
      <c r="K6" s="4" t="s">
        <v>55</v>
      </c>
    </row>
    <row r="7" spans="1:11" x14ac:dyDescent="0.3">
      <c r="B7" s="116">
        <f>ROW() - 6</f>
        <v>1</v>
      </c>
      <c r="C7" s="131"/>
      <c r="D7" s="131"/>
      <c r="E7" s="131"/>
      <c r="F7" s="131"/>
      <c r="G7" s="131"/>
      <c r="H7" s="131"/>
      <c r="I7" s="131"/>
      <c r="J7" s="131"/>
      <c r="K7" s="131"/>
    </row>
    <row r="8" spans="1:11" x14ac:dyDescent="0.3">
      <c r="B8" s="116">
        <f t="shared" ref="B8:B24" si="0">ROW() - 6</f>
        <v>2</v>
      </c>
      <c r="C8" s="131"/>
      <c r="D8" s="131"/>
      <c r="E8" s="131"/>
      <c r="F8" s="131"/>
      <c r="G8" s="131"/>
      <c r="H8" s="131"/>
      <c r="I8" s="131"/>
      <c r="J8" s="131"/>
      <c r="K8" s="131"/>
    </row>
    <row r="9" spans="1:11" x14ac:dyDescent="0.3">
      <c r="B9" s="116">
        <f t="shared" si="0"/>
        <v>3</v>
      </c>
      <c r="C9" s="131"/>
      <c r="D9" s="131"/>
      <c r="E9" s="131"/>
      <c r="F9" s="131"/>
      <c r="G9" s="131"/>
      <c r="H9" s="131"/>
      <c r="I9" s="131"/>
      <c r="J9" s="131"/>
      <c r="K9" s="131"/>
    </row>
    <row r="10" spans="1:11" x14ac:dyDescent="0.3">
      <c r="B10" s="116">
        <f t="shared" si="0"/>
        <v>4</v>
      </c>
      <c r="C10" s="131"/>
      <c r="D10" s="131"/>
      <c r="E10" s="131"/>
      <c r="F10" s="131"/>
      <c r="G10" s="131"/>
      <c r="H10" s="131"/>
      <c r="I10" s="131"/>
      <c r="J10" s="131"/>
      <c r="K10" s="131"/>
    </row>
    <row r="11" spans="1:11" x14ac:dyDescent="0.3">
      <c r="B11" s="116">
        <f t="shared" si="0"/>
        <v>5</v>
      </c>
      <c r="C11" s="131"/>
      <c r="D11" s="131"/>
      <c r="E11" s="131"/>
      <c r="F11" s="131"/>
      <c r="G11" s="131"/>
      <c r="H11" s="131"/>
      <c r="I11" s="131"/>
      <c r="J11" s="131"/>
      <c r="K11" s="131"/>
    </row>
    <row r="12" spans="1:11" x14ac:dyDescent="0.3">
      <c r="B12" s="116">
        <f t="shared" si="0"/>
        <v>6</v>
      </c>
      <c r="C12" s="131"/>
      <c r="D12" s="131"/>
      <c r="E12" s="131"/>
      <c r="F12" s="131"/>
      <c r="G12" s="131"/>
      <c r="H12" s="131"/>
      <c r="I12" s="131"/>
      <c r="J12" s="131"/>
      <c r="K12" s="131"/>
    </row>
    <row r="13" spans="1:11" x14ac:dyDescent="0.3">
      <c r="B13" s="116">
        <f t="shared" si="0"/>
        <v>7</v>
      </c>
      <c r="C13" s="131"/>
      <c r="D13" s="131"/>
      <c r="E13" s="131"/>
      <c r="F13" s="131"/>
      <c r="G13" s="131"/>
      <c r="H13" s="131"/>
      <c r="I13" s="131"/>
      <c r="J13" s="131"/>
      <c r="K13" s="131"/>
    </row>
    <row r="14" spans="1:11" x14ac:dyDescent="0.3">
      <c r="B14" s="116">
        <f t="shared" si="0"/>
        <v>8</v>
      </c>
      <c r="C14" s="131"/>
      <c r="D14" s="131"/>
      <c r="E14" s="131"/>
      <c r="F14" s="131"/>
      <c r="G14" s="131"/>
      <c r="H14" s="131"/>
      <c r="I14" s="131"/>
      <c r="J14" s="131"/>
      <c r="K14" s="131"/>
    </row>
    <row r="15" spans="1:11" x14ac:dyDescent="0.3">
      <c r="B15" s="116">
        <f t="shared" si="0"/>
        <v>9</v>
      </c>
      <c r="C15" s="131"/>
      <c r="D15" s="131"/>
      <c r="E15" s="131"/>
      <c r="F15" s="131"/>
      <c r="G15" s="131"/>
      <c r="H15" s="131"/>
      <c r="I15" s="131"/>
      <c r="J15" s="131"/>
      <c r="K15" s="131"/>
    </row>
    <row r="16" spans="1:11" x14ac:dyDescent="0.3">
      <c r="B16" s="116">
        <f t="shared" si="0"/>
        <v>10</v>
      </c>
      <c r="C16" s="131"/>
      <c r="D16" s="131"/>
      <c r="E16" s="131"/>
      <c r="F16" s="131"/>
      <c r="G16" s="131"/>
      <c r="H16" s="131"/>
      <c r="I16" s="131"/>
      <c r="J16" s="131"/>
      <c r="K16" s="131"/>
    </row>
    <row r="17" spans="2:11" x14ac:dyDescent="0.3">
      <c r="B17" s="116">
        <f t="shared" si="0"/>
        <v>11</v>
      </c>
      <c r="C17" s="131"/>
      <c r="D17" s="131"/>
      <c r="E17" s="131"/>
      <c r="F17" s="131"/>
      <c r="G17" s="131"/>
      <c r="H17" s="131"/>
      <c r="I17" s="131"/>
      <c r="J17" s="131"/>
      <c r="K17" s="131"/>
    </row>
    <row r="18" spans="2:11" x14ac:dyDescent="0.3">
      <c r="B18" s="116">
        <f t="shared" si="0"/>
        <v>12</v>
      </c>
      <c r="C18" s="116"/>
      <c r="D18" s="116"/>
      <c r="E18" s="116"/>
      <c r="F18" s="116"/>
      <c r="G18" s="116"/>
      <c r="H18" s="116"/>
      <c r="I18" s="116"/>
      <c r="J18" s="116"/>
      <c r="K18" s="116"/>
    </row>
    <row r="19" spans="2:11" x14ac:dyDescent="0.3">
      <c r="B19" s="116">
        <f t="shared" si="0"/>
        <v>13</v>
      </c>
      <c r="C19" s="131"/>
      <c r="D19" s="131"/>
      <c r="E19" s="131"/>
      <c r="F19" s="131"/>
      <c r="G19" s="131"/>
      <c r="H19" s="131"/>
      <c r="I19" s="131"/>
      <c r="J19" s="131"/>
      <c r="K19" s="131"/>
    </row>
    <row r="20" spans="2:11" x14ac:dyDescent="0.3">
      <c r="B20" s="116">
        <f t="shared" si="0"/>
        <v>14</v>
      </c>
      <c r="C20" s="131"/>
      <c r="D20" s="131"/>
      <c r="E20" s="131"/>
      <c r="F20" s="131"/>
      <c r="G20" s="131"/>
      <c r="H20" s="131"/>
      <c r="I20" s="131"/>
      <c r="J20" s="131"/>
      <c r="K20" s="131"/>
    </row>
    <row r="21" spans="2:11" x14ac:dyDescent="0.3">
      <c r="B21" s="116">
        <f t="shared" si="0"/>
        <v>15</v>
      </c>
      <c r="C21" s="131"/>
      <c r="D21" s="131"/>
      <c r="E21" s="131"/>
      <c r="F21" s="131"/>
      <c r="G21" s="131"/>
      <c r="H21" s="131"/>
      <c r="I21" s="131"/>
      <c r="J21" s="131"/>
      <c r="K21" s="131"/>
    </row>
    <row r="22" spans="2:11" x14ac:dyDescent="0.3">
      <c r="B22" s="116">
        <f t="shared" si="0"/>
        <v>16</v>
      </c>
      <c r="C22" s="131"/>
      <c r="D22" s="131"/>
      <c r="E22" s="131"/>
      <c r="F22" s="131"/>
      <c r="G22" s="131"/>
      <c r="H22" s="131"/>
      <c r="I22" s="131"/>
      <c r="J22" s="131"/>
      <c r="K22" s="131"/>
    </row>
    <row r="23" spans="2:11" x14ac:dyDescent="0.3">
      <c r="B23" s="116">
        <f t="shared" si="0"/>
        <v>17</v>
      </c>
      <c r="C23" s="131"/>
      <c r="D23" s="131"/>
      <c r="E23" s="131"/>
      <c r="F23" s="131"/>
      <c r="G23" s="131"/>
      <c r="H23" s="131"/>
      <c r="I23" s="131"/>
      <c r="J23" s="131"/>
      <c r="K23" s="131"/>
    </row>
    <row r="24" spans="2:11" x14ac:dyDescent="0.3">
      <c r="B24" s="116">
        <f t="shared" si="0"/>
        <v>18</v>
      </c>
      <c r="C24" s="131"/>
      <c r="D24" s="131"/>
      <c r="E24" s="131"/>
      <c r="F24" s="131"/>
      <c r="G24" s="131"/>
      <c r="H24" s="131"/>
      <c r="I24" s="131"/>
      <c r="J24" s="131"/>
      <c r="K24" s="131"/>
    </row>
  </sheetData>
  <sheetProtection insertRows="0" deleteRows="0" sort="0" autoFilter="0"/>
  <dataConsolidate/>
  <mergeCells count="1">
    <mergeCell ref="B4:B6"/>
  </mergeCells>
  <phoneticPr fontId="13"/>
  <hyperlinks>
    <hyperlink ref="A3" location="パラメータ設定一覧!A1" display="パラメータ設定一覧へ" xr:uid="{8939CFFD-B867-40EE-B382-4737C15B9DBB}"/>
  </hyperlinks>
  <pageMargins left="0.7" right="0.7" top="0.75" bottom="0.75" header="0.3" footer="0.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23820F-BA7B-4064-92A8-F8B029E88A9F}">
  <sheetPr codeName="Sheet19"/>
  <dimension ref="A1:L15"/>
  <sheetViews>
    <sheetView showGridLines="0" zoomScaleNormal="100" workbookViewId="0">
      <pane xSplit="6" ySplit="5" topLeftCell="J6" activePane="bottomRight" state="frozen"/>
      <selection pane="topRight"/>
      <selection pane="bottomLeft"/>
      <selection pane="bottomRight" activeCell="K6" sqref="K6:K11"/>
    </sheetView>
  </sheetViews>
  <sheetFormatPr defaultColWidth="8.78515625" defaultRowHeight="13.5" x14ac:dyDescent="0.35"/>
  <cols>
    <col min="1" max="1" width="2.78515625" style="38" customWidth="1"/>
    <col min="2" max="2" width="3.78515625" style="38" customWidth="1"/>
    <col min="3" max="3" width="16.78515625" style="38" customWidth="1"/>
    <col min="4" max="4" width="19.2109375" style="38" customWidth="1"/>
    <col min="5" max="5" width="16.5703125" style="38" customWidth="1"/>
    <col min="6" max="6" width="22.5703125" style="38" customWidth="1"/>
    <col min="7" max="7" width="44.640625" style="38" customWidth="1"/>
    <col min="8" max="8" width="27.5703125" style="38" customWidth="1"/>
    <col min="9" max="9" width="17.42578125" style="40" customWidth="1"/>
    <col min="10" max="10" width="22.42578125" style="38" customWidth="1"/>
    <col min="11" max="11" width="18.2109375" style="38" customWidth="1"/>
    <col min="12" max="12" width="13.2109375" style="38" customWidth="1"/>
    <col min="13" max="16384" width="8.78515625" style="38"/>
  </cols>
  <sheetData>
    <row r="1" spans="1:12" customFormat="1" ht="19.5" x14ac:dyDescent="0.35">
      <c r="A1" s="8" t="s">
        <v>588</v>
      </c>
      <c r="C1" s="38"/>
      <c r="D1" s="38"/>
      <c r="E1" s="38"/>
      <c r="F1" s="38"/>
      <c r="G1" s="38"/>
      <c r="H1" s="38"/>
      <c r="I1" s="40"/>
    </row>
    <row r="2" spans="1:12" customFormat="1" ht="15" x14ac:dyDescent="0.35">
      <c r="B2" t="s">
        <v>560</v>
      </c>
      <c r="C2" s="38"/>
      <c r="D2" s="38"/>
      <c r="E2" s="38"/>
      <c r="F2" s="38"/>
      <c r="G2" s="38"/>
      <c r="H2" s="38"/>
      <c r="I2" s="40"/>
    </row>
    <row r="3" spans="1:12" customFormat="1" ht="15" x14ac:dyDescent="0.35">
      <c r="A3" s="9"/>
      <c r="B3" t="s">
        <v>648</v>
      </c>
      <c r="C3" s="38"/>
      <c r="D3" s="38"/>
      <c r="E3" s="38"/>
      <c r="F3" s="38"/>
      <c r="G3" s="38"/>
      <c r="H3" s="38"/>
      <c r="I3" s="40"/>
    </row>
    <row r="4" spans="1:12" customFormat="1" ht="15" x14ac:dyDescent="0.35">
      <c r="A4" s="9" t="s">
        <v>670</v>
      </c>
      <c r="C4" s="38"/>
      <c r="D4" s="38"/>
      <c r="E4" s="38"/>
      <c r="F4" s="38"/>
      <c r="G4" s="38"/>
      <c r="H4" s="38"/>
      <c r="I4" s="40"/>
    </row>
    <row r="5" spans="1:12" x14ac:dyDescent="0.35">
      <c r="B5" s="10" t="s">
        <v>1</v>
      </c>
      <c r="C5" s="10" t="s">
        <v>32</v>
      </c>
      <c r="D5" s="10" t="s">
        <v>33</v>
      </c>
      <c r="E5" s="10" t="s">
        <v>34</v>
      </c>
      <c r="F5" s="18" t="s">
        <v>35</v>
      </c>
      <c r="G5" s="18" t="s">
        <v>36</v>
      </c>
      <c r="H5" s="10" t="s">
        <v>37</v>
      </c>
      <c r="I5" s="41" t="s">
        <v>38</v>
      </c>
      <c r="J5" s="10" t="s">
        <v>39</v>
      </c>
      <c r="K5" s="12" t="s">
        <v>40</v>
      </c>
      <c r="L5" s="12" t="s">
        <v>41</v>
      </c>
    </row>
    <row r="6" spans="1:12" x14ac:dyDescent="0.35">
      <c r="B6" s="19">
        <f>ROW() - 5</f>
        <v>1</v>
      </c>
      <c r="C6" s="14"/>
      <c r="D6" s="14"/>
      <c r="E6" s="99"/>
      <c r="F6" s="20" t="s">
        <v>561</v>
      </c>
      <c r="G6" s="20"/>
      <c r="H6" s="39" t="s">
        <v>44</v>
      </c>
      <c r="I6" s="37" t="s">
        <v>539</v>
      </c>
      <c r="J6" s="21"/>
      <c r="K6" s="1" t="s">
        <v>810</v>
      </c>
      <c r="L6" s="2"/>
    </row>
    <row r="7" spans="1:12" ht="27" x14ac:dyDescent="0.35">
      <c r="B7" s="19">
        <f t="shared" ref="B7:B9" si="0">ROW() - 5</f>
        <v>2</v>
      </c>
      <c r="C7" s="73"/>
      <c r="D7" s="35"/>
      <c r="E7" s="100"/>
      <c r="F7" s="20" t="s">
        <v>562</v>
      </c>
      <c r="G7" s="20"/>
      <c r="H7" s="39" t="s">
        <v>44</v>
      </c>
      <c r="I7" s="37" t="s">
        <v>539</v>
      </c>
      <c r="J7" s="21"/>
      <c r="K7" s="1" t="s">
        <v>811</v>
      </c>
      <c r="L7" s="2"/>
    </row>
    <row r="8" spans="1:12" x14ac:dyDescent="0.35">
      <c r="B8" s="19">
        <f t="shared" si="0"/>
        <v>3</v>
      </c>
      <c r="C8" s="73"/>
      <c r="D8" s="35"/>
      <c r="E8" s="100"/>
      <c r="F8" s="20" t="s">
        <v>563</v>
      </c>
      <c r="G8" s="20"/>
      <c r="H8" s="39" t="s">
        <v>44</v>
      </c>
      <c r="I8" s="37" t="s">
        <v>539</v>
      </c>
      <c r="J8" s="21"/>
      <c r="K8" s="1" t="s">
        <v>812</v>
      </c>
      <c r="L8" s="2"/>
    </row>
    <row r="9" spans="1:12" ht="27" x14ac:dyDescent="0.35">
      <c r="B9" s="19">
        <f t="shared" si="0"/>
        <v>4</v>
      </c>
      <c r="C9" s="73"/>
      <c r="D9" s="35"/>
      <c r="E9" s="73"/>
      <c r="F9" s="20" t="s">
        <v>564</v>
      </c>
      <c r="G9" s="20"/>
      <c r="H9" s="39" t="s">
        <v>44</v>
      </c>
      <c r="I9" s="37" t="s">
        <v>539</v>
      </c>
      <c r="J9" s="21"/>
      <c r="K9" s="1" t="s">
        <v>813</v>
      </c>
      <c r="L9" s="2"/>
    </row>
    <row r="10" spans="1:12" x14ac:dyDescent="0.35">
      <c r="B10" s="19">
        <f>ROW() - 5</f>
        <v>5</v>
      </c>
      <c r="C10" s="14" t="s">
        <v>49</v>
      </c>
      <c r="D10" s="43"/>
      <c r="E10" s="14"/>
      <c r="F10" s="20" t="s">
        <v>565</v>
      </c>
      <c r="G10" s="20"/>
      <c r="H10" s="39" t="s">
        <v>569</v>
      </c>
      <c r="I10" s="37" t="s">
        <v>539</v>
      </c>
      <c r="J10" s="21"/>
      <c r="K10" s="1" t="s">
        <v>814</v>
      </c>
      <c r="L10" s="2"/>
    </row>
    <row r="11" spans="1:12" ht="40.5" x14ac:dyDescent="0.35">
      <c r="B11" s="19">
        <f>ROW() - 5</f>
        <v>6</v>
      </c>
      <c r="C11" s="73"/>
      <c r="D11" s="73"/>
      <c r="E11" s="73"/>
      <c r="F11" s="20" t="s">
        <v>566</v>
      </c>
      <c r="G11" s="20"/>
      <c r="H11" s="39" t="s">
        <v>568</v>
      </c>
      <c r="I11" s="37" t="s">
        <v>472</v>
      </c>
      <c r="J11" s="21"/>
      <c r="K11" s="1" t="s">
        <v>472</v>
      </c>
      <c r="L11" s="2"/>
    </row>
    <row r="12" spans="1:12" x14ac:dyDescent="0.35">
      <c r="B12" s="19">
        <f t="shared" ref="B12" si="1">ROW() - 5</f>
        <v>7</v>
      </c>
      <c r="C12" s="73"/>
      <c r="D12" s="73"/>
      <c r="E12" s="73"/>
      <c r="F12" s="20" t="s">
        <v>567</v>
      </c>
      <c r="G12" s="20"/>
      <c r="H12" s="39" t="s">
        <v>570</v>
      </c>
      <c r="I12" s="37" t="s">
        <v>539</v>
      </c>
      <c r="J12" s="21"/>
      <c r="K12" s="1"/>
      <c r="L12" s="2"/>
    </row>
    <row r="13" spans="1:12" ht="27" x14ac:dyDescent="0.35">
      <c r="B13" s="19">
        <f>ROW() - 5</f>
        <v>8</v>
      </c>
      <c r="C13" s="14" t="s">
        <v>571</v>
      </c>
      <c r="D13" s="43"/>
      <c r="E13" s="14"/>
      <c r="F13" s="20" t="s">
        <v>65</v>
      </c>
      <c r="G13" s="20"/>
      <c r="H13" s="39" t="s">
        <v>569</v>
      </c>
      <c r="I13" s="37" t="s">
        <v>539</v>
      </c>
      <c r="J13" s="21"/>
      <c r="K13" s="1" t="s">
        <v>587</v>
      </c>
      <c r="L13" s="2"/>
    </row>
    <row r="14" spans="1:12" ht="27" x14ac:dyDescent="0.35">
      <c r="B14" s="19">
        <f>ROW() - 5</f>
        <v>9</v>
      </c>
      <c r="C14" s="73"/>
      <c r="D14" s="73"/>
      <c r="E14" s="73"/>
      <c r="F14" s="20" t="s">
        <v>572</v>
      </c>
      <c r="G14" s="20"/>
      <c r="H14" s="39" t="s">
        <v>44</v>
      </c>
      <c r="I14" s="37" t="s">
        <v>539</v>
      </c>
      <c r="J14" s="21"/>
      <c r="K14" s="1" t="s">
        <v>587</v>
      </c>
      <c r="L14" s="2"/>
    </row>
    <row r="15" spans="1:12" ht="27" x14ac:dyDescent="0.35">
      <c r="B15" s="19">
        <f t="shared" ref="B15" si="2">ROW() - 5</f>
        <v>10</v>
      </c>
      <c r="C15" s="17"/>
      <c r="D15" s="17"/>
      <c r="E15" s="17"/>
      <c r="F15" s="20" t="s">
        <v>573</v>
      </c>
      <c r="G15" s="20"/>
      <c r="H15" s="39" t="s">
        <v>577</v>
      </c>
      <c r="I15" s="37" t="s">
        <v>574</v>
      </c>
      <c r="J15" s="21"/>
      <c r="K15" s="1" t="s">
        <v>587</v>
      </c>
      <c r="L15" s="2"/>
    </row>
  </sheetData>
  <phoneticPr fontId="13"/>
  <hyperlinks>
    <hyperlink ref="A4" location="パラメータ設定一覧!A1" display="パラメータ設定一覧へ" xr:uid="{6B92AB29-2431-472B-8ACB-6A69D572E708}"/>
  </hyperlinks>
  <pageMargins left="0.7" right="0.7" top="0.75" bottom="0.75" header="0.3" footer="0.3"/>
  <pageSetup paperSize="9" orientation="portrait" horizontalDpi="1200" verticalDpi="1200"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8846E-43EE-4EFC-921C-9ABEC748A8E6}">
  <sheetPr codeName="Sheet20"/>
  <dimension ref="A1:E24"/>
  <sheetViews>
    <sheetView showGridLines="0" tabSelected="1" zoomScaleNormal="100" workbookViewId="0">
      <pane ySplit="6" topLeftCell="A7" activePane="bottomLeft" state="frozen"/>
      <selection pane="bottomLeft" activeCell="C7" sqref="C7:E7"/>
    </sheetView>
  </sheetViews>
  <sheetFormatPr defaultColWidth="8.78515625" defaultRowHeight="13.5" x14ac:dyDescent="0.35"/>
  <cols>
    <col min="1" max="1" width="2.78515625" style="38" customWidth="1"/>
    <col min="2" max="2" width="3.5703125" style="38" bestFit="1" customWidth="1"/>
    <col min="3" max="3" width="17.2109375" style="38" customWidth="1"/>
    <col min="4" max="5" width="19.78515625" style="38" customWidth="1"/>
    <col min="6" max="16384" width="8.78515625" style="38"/>
  </cols>
  <sheetData>
    <row r="1" spans="1:5" customFormat="1" ht="19.5" x14ac:dyDescent="0.35">
      <c r="A1" s="8" t="s">
        <v>589</v>
      </c>
    </row>
    <row r="2" spans="1:5" customFormat="1" ht="15" x14ac:dyDescent="0.35"/>
    <row r="3" spans="1:5" customFormat="1" ht="15" x14ac:dyDescent="0.35">
      <c r="A3" s="9" t="s">
        <v>670</v>
      </c>
    </row>
    <row r="4" spans="1:5" ht="13.5" customHeight="1" x14ac:dyDescent="0.35">
      <c r="B4" s="237" t="s">
        <v>1</v>
      </c>
      <c r="C4" s="171" t="s">
        <v>575</v>
      </c>
      <c r="D4" s="66"/>
      <c r="E4" s="67"/>
    </row>
    <row r="5" spans="1:5" x14ac:dyDescent="0.35">
      <c r="B5" s="255"/>
      <c r="C5" s="94" t="s">
        <v>65</v>
      </c>
      <c r="D5" s="94" t="s">
        <v>572</v>
      </c>
      <c r="E5" s="94" t="s">
        <v>573</v>
      </c>
    </row>
    <row r="6" spans="1:5" x14ac:dyDescent="0.35">
      <c r="B6" s="238"/>
      <c r="C6" s="4" t="s">
        <v>576</v>
      </c>
      <c r="D6" s="4" t="s">
        <v>44</v>
      </c>
      <c r="E6" s="4" t="s">
        <v>577</v>
      </c>
    </row>
    <row r="7" spans="1:5" x14ac:dyDescent="0.3">
      <c r="B7" s="116">
        <f>ROW() - 6</f>
        <v>1</v>
      </c>
      <c r="C7" s="131" t="s">
        <v>689</v>
      </c>
      <c r="D7" s="131" t="s">
        <v>815</v>
      </c>
      <c r="E7" s="131" t="s">
        <v>816</v>
      </c>
    </row>
    <row r="8" spans="1:5" x14ac:dyDescent="0.3">
      <c r="B8" s="116">
        <f t="shared" ref="B8:B24" si="0">ROW() - 6</f>
        <v>2</v>
      </c>
      <c r="C8" s="131"/>
      <c r="D8" s="131"/>
      <c r="E8" s="131"/>
    </row>
    <row r="9" spans="1:5" x14ac:dyDescent="0.3">
      <c r="B9" s="116">
        <f t="shared" si="0"/>
        <v>3</v>
      </c>
      <c r="C9" s="131"/>
      <c r="D9" s="131"/>
      <c r="E9" s="131"/>
    </row>
    <row r="10" spans="1:5" x14ac:dyDescent="0.3">
      <c r="B10" s="116">
        <f t="shared" si="0"/>
        <v>4</v>
      </c>
      <c r="C10" s="131"/>
      <c r="D10" s="131"/>
      <c r="E10" s="131"/>
    </row>
    <row r="11" spans="1:5" x14ac:dyDescent="0.3">
      <c r="B11" s="116">
        <f t="shared" si="0"/>
        <v>5</v>
      </c>
      <c r="C11" s="131"/>
      <c r="D11" s="131"/>
      <c r="E11" s="131"/>
    </row>
    <row r="12" spans="1:5" x14ac:dyDescent="0.3">
      <c r="B12" s="116">
        <f t="shared" si="0"/>
        <v>6</v>
      </c>
      <c r="C12" s="131"/>
      <c r="D12" s="131"/>
      <c r="E12" s="131"/>
    </row>
    <row r="13" spans="1:5" x14ac:dyDescent="0.3">
      <c r="B13" s="116">
        <f t="shared" si="0"/>
        <v>7</v>
      </c>
      <c r="C13" s="131"/>
      <c r="D13" s="131"/>
      <c r="E13" s="131"/>
    </row>
    <row r="14" spans="1:5" x14ac:dyDescent="0.3">
      <c r="B14" s="116">
        <f t="shared" si="0"/>
        <v>8</v>
      </c>
      <c r="C14" s="131"/>
      <c r="D14" s="131"/>
      <c r="E14" s="131"/>
    </row>
    <row r="15" spans="1:5" x14ac:dyDescent="0.3">
      <c r="B15" s="116">
        <f t="shared" si="0"/>
        <v>9</v>
      </c>
      <c r="C15" s="131"/>
      <c r="D15" s="131"/>
      <c r="E15" s="131"/>
    </row>
    <row r="16" spans="1:5" x14ac:dyDescent="0.3">
      <c r="B16" s="116">
        <f t="shared" si="0"/>
        <v>10</v>
      </c>
      <c r="C16" s="131"/>
      <c r="D16" s="131"/>
      <c r="E16" s="131"/>
    </row>
    <row r="17" spans="2:5" x14ac:dyDescent="0.3">
      <c r="B17" s="116">
        <f t="shared" si="0"/>
        <v>11</v>
      </c>
      <c r="C17" s="131"/>
      <c r="D17" s="131"/>
      <c r="E17" s="131"/>
    </row>
    <row r="18" spans="2:5" x14ac:dyDescent="0.3">
      <c r="B18" s="116">
        <f t="shared" si="0"/>
        <v>12</v>
      </c>
      <c r="C18" s="116"/>
      <c r="D18" s="116"/>
      <c r="E18" s="116"/>
    </row>
    <row r="19" spans="2:5" x14ac:dyDescent="0.3">
      <c r="B19" s="116">
        <f t="shared" si="0"/>
        <v>13</v>
      </c>
      <c r="C19" s="131"/>
      <c r="D19" s="131"/>
      <c r="E19" s="131"/>
    </row>
    <row r="20" spans="2:5" x14ac:dyDescent="0.3">
      <c r="B20" s="116">
        <f t="shared" si="0"/>
        <v>14</v>
      </c>
      <c r="C20" s="131"/>
      <c r="D20" s="131"/>
      <c r="E20" s="131"/>
    </row>
    <row r="21" spans="2:5" x14ac:dyDescent="0.3">
      <c r="B21" s="116">
        <f t="shared" si="0"/>
        <v>15</v>
      </c>
      <c r="C21" s="131"/>
      <c r="D21" s="131"/>
      <c r="E21" s="131"/>
    </row>
    <row r="22" spans="2:5" x14ac:dyDescent="0.3">
      <c r="B22" s="116">
        <f t="shared" si="0"/>
        <v>16</v>
      </c>
      <c r="C22" s="131"/>
      <c r="D22" s="131"/>
      <c r="E22" s="131"/>
    </row>
    <row r="23" spans="2:5" x14ac:dyDescent="0.3">
      <c r="B23" s="116">
        <f t="shared" si="0"/>
        <v>17</v>
      </c>
      <c r="C23" s="131"/>
      <c r="D23" s="131"/>
      <c r="E23" s="131"/>
    </row>
    <row r="24" spans="2:5" x14ac:dyDescent="0.3">
      <c r="B24" s="116">
        <f t="shared" si="0"/>
        <v>18</v>
      </c>
      <c r="C24" s="131"/>
      <c r="D24" s="131"/>
      <c r="E24" s="131"/>
    </row>
  </sheetData>
  <sheetProtection insertRows="0" deleteRows="0" sort="0" autoFilter="0"/>
  <dataConsolidate/>
  <mergeCells count="1">
    <mergeCell ref="B4:B6"/>
  </mergeCells>
  <phoneticPr fontId="13"/>
  <hyperlinks>
    <hyperlink ref="A3" location="パラメータ設定一覧!A1" display="パラメータ設定一覧へ" xr:uid="{E10DBFD6-AB37-4D99-978F-ED7E40027A1B}"/>
  </hyperlinks>
  <pageMargins left="0.7" right="0.7" top="0.75" bottom="0.75" header="0.3" footer="0.3"/>
  <pageSetup paperSize="9"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CED7C6-D1B7-45FC-B950-EA3966FF428A}">
  <dimension ref="A1:L9"/>
  <sheetViews>
    <sheetView showGridLines="0" zoomScaleNormal="100" workbookViewId="0">
      <pane xSplit="6" ySplit="5" topLeftCell="H6" activePane="bottomRight" state="frozen"/>
      <selection activeCell="B3" sqref="B3"/>
      <selection pane="topRight" activeCell="B3" sqref="B3"/>
      <selection pane="bottomLeft" activeCell="B3" sqref="B3"/>
      <selection pane="bottomRight" activeCell="B3" sqref="B3"/>
    </sheetView>
  </sheetViews>
  <sheetFormatPr defaultColWidth="8.78515625" defaultRowHeight="13.5" x14ac:dyDescent="0.35"/>
  <cols>
    <col min="1" max="1" width="2.78515625" style="38" customWidth="1"/>
    <col min="2" max="2" width="3.78515625" style="38" customWidth="1"/>
    <col min="3" max="3" width="16.78515625" style="38" customWidth="1"/>
    <col min="4" max="4" width="19.2109375" style="38" customWidth="1"/>
    <col min="5" max="5" width="16.5703125" style="38" customWidth="1"/>
    <col min="6" max="6" width="22.5703125" style="38" customWidth="1"/>
    <col min="7" max="7" width="44.640625" style="38" customWidth="1"/>
    <col min="8" max="8" width="27.5703125" style="38" customWidth="1"/>
    <col min="9" max="9" width="17.42578125" style="40" customWidth="1"/>
    <col min="10" max="10" width="22.42578125" style="38" customWidth="1"/>
    <col min="11" max="11" width="18.2109375" style="38" customWidth="1"/>
    <col min="12" max="12" width="13.2109375" style="38" customWidth="1"/>
    <col min="13" max="16384" width="8.78515625" style="38"/>
  </cols>
  <sheetData>
    <row r="1" spans="1:12" customFormat="1" ht="19.5" x14ac:dyDescent="0.35">
      <c r="A1" s="184" t="s">
        <v>778</v>
      </c>
      <c r="C1" s="38"/>
      <c r="D1" s="38"/>
      <c r="E1" s="38"/>
      <c r="F1" s="38"/>
      <c r="G1" s="38"/>
      <c r="H1" s="38"/>
      <c r="I1" s="40"/>
    </row>
    <row r="2" spans="1:12" customFormat="1" ht="15" x14ac:dyDescent="0.35">
      <c r="B2" t="s">
        <v>783</v>
      </c>
      <c r="C2" s="38"/>
      <c r="D2" s="38"/>
      <c r="E2" s="38"/>
      <c r="F2" s="38"/>
      <c r="G2" s="38"/>
      <c r="H2" s="38"/>
      <c r="I2" s="40"/>
    </row>
    <row r="3" spans="1:12" customFormat="1" ht="15" x14ac:dyDescent="0.35">
      <c r="A3" s="185"/>
      <c r="B3" t="s">
        <v>784</v>
      </c>
      <c r="C3" s="38"/>
      <c r="D3" s="38"/>
      <c r="E3" s="38"/>
      <c r="F3" s="38"/>
      <c r="G3" s="38"/>
      <c r="H3" s="38"/>
      <c r="I3" s="40"/>
    </row>
    <row r="4" spans="1:12" customFormat="1" ht="15" x14ac:dyDescent="0.35">
      <c r="A4" s="9" t="s">
        <v>670</v>
      </c>
      <c r="C4" s="38"/>
      <c r="D4" s="38"/>
      <c r="E4" s="38"/>
      <c r="F4" s="38"/>
      <c r="G4" s="38"/>
      <c r="H4" s="38"/>
      <c r="I4" s="40"/>
    </row>
    <row r="5" spans="1:12" x14ac:dyDescent="0.35">
      <c r="B5" s="10" t="s">
        <v>1</v>
      </c>
      <c r="C5" s="10" t="s">
        <v>32</v>
      </c>
      <c r="D5" s="10" t="s">
        <v>33</v>
      </c>
      <c r="E5" s="10" t="s">
        <v>34</v>
      </c>
      <c r="F5" s="18" t="s">
        <v>35</v>
      </c>
      <c r="G5" s="18" t="s">
        <v>36</v>
      </c>
      <c r="H5" s="10" t="s">
        <v>37</v>
      </c>
      <c r="I5" s="41" t="s">
        <v>38</v>
      </c>
      <c r="J5" s="10" t="s">
        <v>39</v>
      </c>
      <c r="K5" s="12" t="s">
        <v>40</v>
      </c>
      <c r="L5" s="12" t="s">
        <v>41</v>
      </c>
    </row>
    <row r="6" spans="1:12" ht="27" x14ac:dyDescent="0.35">
      <c r="B6" s="19">
        <f>ROW() - 5</f>
        <v>1</v>
      </c>
      <c r="C6" s="14"/>
      <c r="D6" s="14"/>
      <c r="E6" s="99"/>
      <c r="F6" s="20" t="s">
        <v>785</v>
      </c>
      <c r="G6" s="20"/>
      <c r="H6" s="39" t="s">
        <v>44</v>
      </c>
      <c r="I6" s="37" t="s">
        <v>539</v>
      </c>
      <c r="J6" s="21"/>
      <c r="K6" s="1" t="s">
        <v>786</v>
      </c>
      <c r="L6" s="2"/>
    </row>
    <row r="7" spans="1:12" ht="27" x14ac:dyDescent="0.35">
      <c r="B7" s="19">
        <f t="shared" ref="B7:B9" si="0">ROW() - 5</f>
        <v>2</v>
      </c>
      <c r="C7" s="73"/>
      <c r="D7" s="35"/>
      <c r="E7" s="100"/>
      <c r="F7" s="20" t="s">
        <v>43</v>
      </c>
      <c r="G7" s="20"/>
      <c r="H7" s="39" t="s">
        <v>44</v>
      </c>
      <c r="I7" s="37" t="s">
        <v>539</v>
      </c>
      <c r="J7" s="21"/>
      <c r="K7" s="1" t="s">
        <v>786</v>
      </c>
      <c r="L7" s="2"/>
    </row>
    <row r="8" spans="1:12" ht="27" x14ac:dyDescent="0.35">
      <c r="B8" s="19">
        <f t="shared" si="0"/>
        <v>3</v>
      </c>
      <c r="C8" s="73"/>
      <c r="D8" s="35"/>
      <c r="E8" s="100"/>
      <c r="F8" s="20" t="s">
        <v>787</v>
      </c>
      <c r="G8" s="20"/>
      <c r="H8" s="39" t="s">
        <v>788</v>
      </c>
      <c r="I8" s="37" t="s">
        <v>539</v>
      </c>
      <c r="J8" s="21"/>
      <c r="K8" s="1" t="s">
        <v>786</v>
      </c>
      <c r="L8" s="2"/>
    </row>
    <row r="9" spans="1:12" ht="27" x14ac:dyDescent="0.35">
      <c r="B9" s="19">
        <f t="shared" si="0"/>
        <v>4</v>
      </c>
      <c r="C9" s="17"/>
      <c r="D9" s="36"/>
      <c r="E9" s="17"/>
      <c r="F9" s="20" t="s">
        <v>789</v>
      </c>
      <c r="G9" s="20"/>
      <c r="H9" s="39" t="s">
        <v>109</v>
      </c>
      <c r="I9" s="37" t="s">
        <v>539</v>
      </c>
      <c r="J9" s="21"/>
      <c r="K9" s="1" t="s">
        <v>786</v>
      </c>
      <c r="L9" s="2"/>
    </row>
  </sheetData>
  <phoneticPr fontId="13"/>
  <hyperlinks>
    <hyperlink ref="A4" location="パラメータ設定一覧!A1" display="パラメータ設定一覧へ" xr:uid="{20AD8F78-4C36-4B8D-94B3-398F29534003}"/>
  </hyperlinks>
  <pageMargins left="0.7" right="0.7" top="0.75" bottom="0.75" header="0.3" footer="0.3"/>
  <pageSetup paperSize="9" orientation="portrait" horizontalDpi="1200" verticalDpi="1200"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1ABE30-B5B2-4C1A-B268-016AC54B88CB}">
  <dimension ref="A1:F24"/>
  <sheetViews>
    <sheetView showGridLines="0" zoomScaleNormal="100" workbookViewId="0">
      <pane ySplit="6" topLeftCell="A7" activePane="bottomLeft" state="frozen"/>
      <selection activeCell="B3" sqref="B3"/>
      <selection pane="bottomLeft" activeCell="B3" sqref="B3"/>
    </sheetView>
  </sheetViews>
  <sheetFormatPr defaultColWidth="8.78515625" defaultRowHeight="13.5" x14ac:dyDescent="0.35"/>
  <cols>
    <col min="1" max="1" width="2.78515625" style="38" customWidth="1"/>
    <col min="2" max="2" width="3.5703125" style="38" bestFit="1" customWidth="1"/>
    <col min="3" max="3" width="17.2109375" style="38" customWidth="1"/>
    <col min="4" max="6" width="19.78515625" style="38" customWidth="1"/>
    <col min="7" max="16384" width="8.78515625" style="38"/>
  </cols>
  <sheetData>
    <row r="1" spans="1:6" customFormat="1" ht="19.5" x14ac:dyDescent="0.35">
      <c r="A1" s="184" t="s">
        <v>790</v>
      </c>
    </row>
    <row r="2" spans="1:6" customFormat="1" ht="15" x14ac:dyDescent="0.35">
      <c r="A2" t="s">
        <v>791</v>
      </c>
    </row>
    <row r="3" spans="1:6" customFormat="1" ht="15" x14ac:dyDescent="0.35">
      <c r="A3" s="9" t="s">
        <v>670</v>
      </c>
    </row>
    <row r="4" spans="1:6" ht="13.5" customHeight="1" x14ac:dyDescent="0.35">
      <c r="B4" s="237" t="s">
        <v>1</v>
      </c>
      <c r="C4" s="171"/>
      <c r="D4" s="66"/>
      <c r="E4" s="66"/>
      <c r="F4" s="104"/>
    </row>
    <row r="5" spans="1:6" x14ac:dyDescent="0.35">
      <c r="B5" s="255"/>
      <c r="C5" s="186" t="s">
        <v>785</v>
      </c>
      <c r="D5" s="186" t="s">
        <v>43</v>
      </c>
      <c r="E5" s="186" t="s">
        <v>787</v>
      </c>
      <c r="F5" s="186" t="s">
        <v>789</v>
      </c>
    </row>
    <row r="6" spans="1:6" x14ac:dyDescent="0.35">
      <c r="B6" s="238"/>
      <c r="C6" s="187" t="s">
        <v>44</v>
      </c>
      <c r="D6" s="187" t="s">
        <v>44</v>
      </c>
      <c r="E6" s="187" t="s">
        <v>788</v>
      </c>
      <c r="F6" s="187" t="s">
        <v>109</v>
      </c>
    </row>
    <row r="7" spans="1:6" x14ac:dyDescent="0.3">
      <c r="B7" s="116">
        <f>ROW() - 6</f>
        <v>1</v>
      </c>
      <c r="C7" s="131" t="s">
        <v>792</v>
      </c>
      <c r="D7" s="131" t="s">
        <v>792</v>
      </c>
      <c r="E7" s="131"/>
      <c r="F7" s="131"/>
    </row>
    <row r="8" spans="1:6" x14ac:dyDescent="0.3">
      <c r="B8" s="116">
        <f t="shared" ref="B8:B24" si="0">ROW() - 6</f>
        <v>2</v>
      </c>
      <c r="C8" s="131"/>
      <c r="D8" s="131"/>
      <c r="E8" s="131"/>
      <c r="F8" s="131"/>
    </row>
    <row r="9" spans="1:6" x14ac:dyDescent="0.3">
      <c r="B9" s="116">
        <f t="shared" si="0"/>
        <v>3</v>
      </c>
      <c r="C9" s="131"/>
      <c r="D9" s="131"/>
      <c r="E9" s="131"/>
      <c r="F9" s="131"/>
    </row>
    <row r="10" spans="1:6" x14ac:dyDescent="0.3">
      <c r="B10" s="116">
        <f t="shared" si="0"/>
        <v>4</v>
      </c>
      <c r="C10" s="131"/>
      <c r="D10" s="131"/>
      <c r="E10" s="131"/>
      <c r="F10" s="131"/>
    </row>
    <row r="11" spans="1:6" x14ac:dyDescent="0.3">
      <c r="B11" s="116">
        <f t="shared" si="0"/>
        <v>5</v>
      </c>
      <c r="C11" s="131"/>
      <c r="D11" s="131"/>
      <c r="E11" s="131"/>
      <c r="F11" s="131"/>
    </row>
    <row r="12" spans="1:6" x14ac:dyDescent="0.3">
      <c r="B12" s="116">
        <f t="shared" si="0"/>
        <v>6</v>
      </c>
      <c r="C12" s="131"/>
      <c r="D12" s="131"/>
      <c r="E12" s="131"/>
      <c r="F12" s="131"/>
    </row>
    <row r="13" spans="1:6" x14ac:dyDescent="0.3">
      <c r="B13" s="116">
        <f t="shared" si="0"/>
        <v>7</v>
      </c>
      <c r="C13" s="131"/>
      <c r="D13" s="131"/>
      <c r="E13" s="131"/>
      <c r="F13" s="131"/>
    </row>
    <row r="14" spans="1:6" x14ac:dyDescent="0.3">
      <c r="B14" s="116">
        <f t="shared" si="0"/>
        <v>8</v>
      </c>
      <c r="C14" s="131"/>
      <c r="D14" s="131"/>
      <c r="E14" s="131"/>
      <c r="F14" s="131"/>
    </row>
    <row r="15" spans="1:6" x14ac:dyDescent="0.3">
      <c r="B15" s="116">
        <f t="shared" si="0"/>
        <v>9</v>
      </c>
      <c r="C15" s="131"/>
      <c r="D15" s="131"/>
      <c r="E15" s="131"/>
      <c r="F15" s="131"/>
    </row>
    <row r="16" spans="1:6" x14ac:dyDescent="0.3">
      <c r="B16" s="116">
        <f t="shared" si="0"/>
        <v>10</v>
      </c>
      <c r="C16" s="131"/>
      <c r="D16" s="131"/>
      <c r="E16" s="131"/>
      <c r="F16" s="131"/>
    </row>
    <row r="17" spans="2:6" x14ac:dyDescent="0.3">
      <c r="B17" s="116">
        <f t="shared" si="0"/>
        <v>11</v>
      </c>
      <c r="C17" s="131"/>
      <c r="D17" s="131"/>
      <c r="E17" s="131"/>
      <c r="F17" s="131"/>
    </row>
    <row r="18" spans="2:6" x14ac:dyDescent="0.3">
      <c r="B18" s="116">
        <f t="shared" si="0"/>
        <v>12</v>
      </c>
      <c r="C18" s="116"/>
      <c r="D18" s="116"/>
      <c r="E18" s="116"/>
      <c r="F18" s="116"/>
    </row>
    <row r="19" spans="2:6" x14ac:dyDescent="0.3">
      <c r="B19" s="116">
        <f t="shared" si="0"/>
        <v>13</v>
      </c>
      <c r="C19" s="131"/>
      <c r="D19" s="131"/>
      <c r="E19" s="131"/>
      <c r="F19" s="131"/>
    </row>
    <row r="20" spans="2:6" x14ac:dyDescent="0.3">
      <c r="B20" s="116">
        <f t="shared" si="0"/>
        <v>14</v>
      </c>
      <c r="C20" s="131"/>
      <c r="D20" s="131"/>
      <c r="E20" s="131"/>
      <c r="F20" s="131"/>
    </row>
    <row r="21" spans="2:6" x14ac:dyDescent="0.3">
      <c r="B21" s="116">
        <f t="shared" si="0"/>
        <v>15</v>
      </c>
      <c r="C21" s="131"/>
      <c r="D21" s="131"/>
      <c r="E21" s="131"/>
      <c r="F21" s="131"/>
    </row>
    <row r="22" spans="2:6" x14ac:dyDescent="0.3">
      <c r="B22" s="116">
        <f t="shared" si="0"/>
        <v>16</v>
      </c>
      <c r="C22" s="131"/>
      <c r="D22" s="131"/>
      <c r="E22" s="131"/>
      <c r="F22" s="131"/>
    </row>
    <row r="23" spans="2:6" x14ac:dyDescent="0.3">
      <c r="B23" s="116">
        <f t="shared" si="0"/>
        <v>17</v>
      </c>
      <c r="C23" s="131"/>
      <c r="D23" s="131"/>
      <c r="E23" s="131"/>
      <c r="F23" s="131"/>
    </row>
    <row r="24" spans="2:6" x14ac:dyDescent="0.3">
      <c r="B24" s="116">
        <f t="shared" si="0"/>
        <v>18</v>
      </c>
      <c r="C24" s="131"/>
      <c r="D24" s="131"/>
      <c r="E24" s="131"/>
      <c r="F24" s="131"/>
    </row>
  </sheetData>
  <sheetProtection insertRows="0" deleteRows="0" sort="0" autoFilter="0"/>
  <dataConsolidate/>
  <mergeCells count="1">
    <mergeCell ref="B4:B6"/>
  </mergeCells>
  <phoneticPr fontId="13"/>
  <hyperlinks>
    <hyperlink ref="A3" location="パラメータ設定一覧!A1" display="パラメータ設定一覧へ" xr:uid="{C78DD1F5-9140-44EA-92D6-D97F46348B0E}"/>
  </hyperlinks>
  <pageMargins left="0.7" right="0.7" top="0.75" bottom="0.75" header="0.3" footer="0.3"/>
  <pageSetup paperSize="9"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07DF3-A8DE-429E-9257-D79A743687B7}">
  <dimension ref="A1:L35"/>
  <sheetViews>
    <sheetView showGridLines="0" zoomScaleNormal="100" workbookViewId="0">
      <pane xSplit="6" ySplit="5" topLeftCell="G6" activePane="bottomRight" state="frozen"/>
      <selection activeCell="B3" sqref="B3"/>
      <selection pane="topRight" activeCell="B3" sqref="B3"/>
      <selection pane="bottomLeft" activeCell="B3" sqref="B3"/>
      <selection pane="bottomRight" activeCell="B3" sqref="B3"/>
    </sheetView>
  </sheetViews>
  <sheetFormatPr defaultColWidth="8.78515625" defaultRowHeight="13.5" x14ac:dyDescent="0.35"/>
  <cols>
    <col min="1" max="1" width="2.78515625" style="38" customWidth="1"/>
    <col min="2" max="2" width="3.78515625" style="38" customWidth="1"/>
    <col min="3" max="3" width="16.78515625" style="38" customWidth="1"/>
    <col min="4" max="4" width="19.2109375" style="38" customWidth="1"/>
    <col min="5" max="5" width="16.5703125" style="38" customWidth="1"/>
    <col min="6" max="6" width="22.5703125" style="38" customWidth="1"/>
    <col min="7" max="7" width="44.640625" style="38" customWidth="1"/>
    <col min="8" max="8" width="27.5703125" style="38" customWidth="1"/>
    <col min="9" max="9" width="17.42578125" style="40" customWidth="1"/>
    <col min="10" max="10" width="22.42578125" style="38" customWidth="1"/>
    <col min="11" max="11" width="18.2109375" style="38" customWidth="1"/>
    <col min="12" max="12" width="13.2109375" style="38" customWidth="1"/>
    <col min="13" max="16384" width="8.78515625" style="38"/>
  </cols>
  <sheetData>
    <row r="1" spans="1:12" customFormat="1" ht="19.5" x14ac:dyDescent="0.35">
      <c r="A1" s="184" t="s">
        <v>781</v>
      </c>
      <c r="C1" s="38"/>
      <c r="D1" s="38"/>
      <c r="E1" s="38"/>
      <c r="F1" s="38"/>
      <c r="G1" s="38"/>
      <c r="H1" s="38"/>
      <c r="I1" s="40"/>
    </row>
    <row r="2" spans="1:12" customFormat="1" ht="15" x14ac:dyDescent="0.35">
      <c r="B2" t="s">
        <v>793</v>
      </c>
      <c r="C2" s="38"/>
      <c r="D2" s="38"/>
      <c r="E2" s="38"/>
      <c r="F2" s="38"/>
      <c r="G2" s="38"/>
      <c r="H2" s="38"/>
      <c r="I2" s="40"/>
    </row>
    <row r="3" spans="1:12" customFormat="1" ht="15" x14ac:dyDescent="0.35">
      <c r="A3" s="185"/>
      <c r="B3" t="s">
        <v>794</v>
      </c>
      <c r="C3" s="38"/>
      <c r="D3" s="38"/>
      <c r="E3" s="38"/>
      <c r="F3" s="38"/>
      <c r="G3" s="38"/>
      <c r="H3" s="38"/>
      <c r="I3" s="40"/>
    </row>
    <row r="4" spans="1:12" customFormat="1" ht="15" x14ac:dyDescent="0.35">
      <c r="A4" s="9" t="s">
        <v>670</v>
      </c>
      <c r="C4" s="38"/>
      <c r="D4" s="38"/>
      <c r="E4" s="38"/>
      <c r="F4" s="38"/>
      <c r="G4" s="38"/>
      <c r="H4" s="38"/>
      <c r="I4" s="40"/>
    </row>
    <row r="5" spans="1:12" x14ac:dyDescent="0.35">
      <c r="B5" s="10" t="s">
        <v>1</v>
      </c>
      <c r="C5" s="10" t="s">
        <v>32</v>
      </c>
      <c r="D5" s="10" t="s">
        <v>33</v>
      </c>
      <c r="E5" s="10" t="s">
        <v>34</v>
      </c>
      <c r="F5" s="18" t="s">
        <v>35</v>
      </c>
      <c r="G5" s="18" t="s">
        <v>36</v>
      </c>
      <c r="H5" s="10" t="s">
        <v>37</v>
      </c>
      <c r="I5" s="41" t="s">
        <v>38</v>
      </c>
      <c r="J5" s="10" t="s">
        <v>39</v>
      </c>
      <c r="K5" s="12" t="s">
        <v>40</v>
      </c>
      <c r="L5" s="12" t="s">
        <v>41</v>
      </c>
    </row>
    <row r="6" spans="1:12" ht="27" x14ac:dyDescent="0.35">
      <c r="B6" s="19">
        <f>ROW() - 5</f>
        <v>1</v>
      </c>
      <c r="C6" s="14"/>
      <c r="D6" s="14"/>
      <c r="E6" s="99"/>
      <c r="F6" s="20" t="s">
        <v>781</v>
      </c>
      <c r="G6" s="20"/>
      <c r="H6" s="39" t="s">
        <v>44</v>
      </c>
      <c r="I6" s="37" t="s">
        <v>539</v>
      </c>
      <c r="J6" s="21"/>
      <c r="K6" s="1" t="s">
        <v>795</v>
      </c>
      <c r="L6" s="2"/>
    </row>
    <row r="7" spans="1:12" ht="27" x14ac:dyDescent="0.35">
      <c r="B7" s="19">
        <f t="shared" ref="B7:B35" si="0">ROW() - 5</f>
        <v>2</v>
      </c>
      <c r="C7" s="73"/>
      <c r="D7" s="35"/>
      <c r="E7" s="100"/>
      <c r="F7" s="20" t="s">
        <v>43</v>
      </c>
      <c r="G7" s="20"/>
      <c r="H7" s="39" t="s">
        <v>44</v>
      </c>
      <c r="I7" s="37" t="s">
        <v>539</v>
      </c>
      <c r="J7" s="21"/>
      <c r="K7" s="1" t="s">
        <v>795</v>
      </c>
      <c r="L7" s="2"/>
    </row>
    <row r="8" spans="1:12" ht="27" x14ac:dyDescent="0.35">
      <c r="B8" s="19">
        <f t="shared" si="0"/>
        <v>3</v>
      </c>
      <c r="C8" s="73"/>
      <c r="D8" s="35"/>
      <c r="E8" s="99" t="s">
        <v>796</v>
      </c>
      <c r="F8" s="20" t="s">
        <v>797</v>
      </c>
      <c r="G8" s="20"/>
      <c r="H8" s="39" t="s">
        <v>798</v>
      </c>
      <c r="I8" s="188">
        <v>0</v>
      </c>
      <c r="J8" s="21"/>
      <c r="K8" s="1" t="s">
        <v>795</v>
      </c>
      <c r="L8" s="2"/>
    </row>
    <row r="9" spans="1:12" ht="27" x14ac:dyDescent="0.35">
      <c r="B9" s="19">
        <f t="shared" si="0"/>
        <v>4</v>
      </c>
      <c r="C9" s="73"/>
      <c r="D9" s="35"/>
      <c r="E9" s="100"/>
      <c r="F9" s="20" t="s">
        <v>799</v>
      </c>
      <c r="G9" s="20"/>
      <c r="H9" s="39" t="s">
        <v>798</v>
      </c>
      <c r="I9" s="189">
        <v>1</v>
      </c>
      <c r="J9" s="21"/>
      <c r="K9" s="1" t="s">
        <v>795</v>
      </c>
      <c r="L9" s="2"/>
    </row>
    <row r="10" spans="1:12" ht="27" x14ac:dyDescent="0.35">
      <c r="B10" s="19">
        <f t="shared" si="0"/>
        <v>5</v>
      </c>
      <c r="C10" s="73"/>
      <c r="D10" s="35"/>
      <c r="E10" s="100"/>
      <c r="F10" s="20" t="s">
        <v>800</v>
      </c>
      <c r="G10" s="20"/>
      <c r="H10" s="39" t="s">
        <v>109</v>
      </c>
      <c r="I10" s="37">
        <v>100</v>
      </c>
      <c r="J10" s="21"/>
      <c r="K10" s="1" t="s">
        <v>795</v>
      </c>
      <c r="L10" s="2"/>
    </row>
    <row r="11" spans="1:12" ht="27" x14ac:dyDescent="0.35">
      <c r="B11" s="19">
        <f t="shared" si="0"/>
        <v>6</v>
      </c>
      <c r="C11" s="73"/>
      <c r="D11" s="35"/>
      <c r="E11" s="100"/>
      <c r="F11" s="20" t="s">
        <v>801</v>
      </c>
      <c r="G11" s="20"/>
      <c r="H11" s="39" t="s">
        <v>802</v>
      </c>
      <c r="I11" s="37" t="s">
        <v>539</v>
      </c>
      <c r="J11" s="21"/>
      <c r="K11" s="1" t="s">
        <v>795</v>
      </c>
      <c r="L11" s="2"/>
    </row>
    <row r="12" spans="1:12" ht="27" x14ac:dyDescent="0.35">
      <c r="B12" s="19">
        <f t="shared" si="0"/>
        <v>7</v>
      </c>
      <c r="C12" s="73"/>
      <c r="D12" s="35"/>
      <c r="E12" s="99" t="s">
        <v>803</v>
      </c>
      <c r="F12" s="20" t="s">
        <v>797</v>
      </c>
      <c r="G12" s="20"/>
      <c r="H12" s="39" t="s">
        <v>798</v>
      </c>
      <c r="I12" s="188">
        <v>0</v>
      </c>
      <c r="J12" s="21"/>
      <c r="K12" s="1" t="s">
        <v>795</v>
      </c>
      <c r="L12" s="2"/>
    </row>
    <row r="13" spans="1:12" ht="27" x14ac:dyDescent="0.35">
      <c r="B13" s="19">
        <f t="shared" si="0"/>
        <v>8</v>
      </c>
      <c r="C13" s="73"/>
      <c r="D13" s="35"/>
      <c r="E13" s="100"/>
      <c r="F13" s="20" t="s">
        <v>799</v>
      </c>
      <c r="G13" s="20"/>
      <c r="H13" s="39" t="s">
        <v>798</v>
      </c>
      <c r="I13" s="189">
        <v>1</v>
      </c>
      <c r="J13" s="21"/>
      <c r="K13" s="1" t="s">
        <v>795</v>
      </c>
      <c r="L13" s="2"/>
    </row>
    <row r="14" spans="1:12" ht="27" x14ac:dyDescent="0.35">
      <c r="B14" s="19">
        <f t="shared" si="0"/>
        <v>9</v>
      </c>
      <c r="C14" s="73"/>
      <c r="D14" s="35"/>
      <c r="E14" s="100"/>
      <c r="F14" s="20" t="s">
        <v>800</v>
      </c>
      <c r="G14" s="20"/>
      <c r="H14" s="39" t="s">
        <v>109</v>
      </c>
      <c r="I14" s="37">
        <v>100</v>
      </c>
      <c r="J14" s="21"/>
      <c r="K14" s="1" t="s">
        <v>795</v>
      </c>
      <c r="L14" s="2"/>
    </row>
    <row r="15" spans="1:12" ht="27" x14ac:dyDescent="0.35">
      <c r="B15" s="19">
        <f t="shared" si="0"/>
        <v>10</v>
      </c>
      <c r="C15" s="73"/>
      <c r="D15" s="35"/>
      <c r="E15" s="100"/>
      <c r="F15" s="20" t="s">
        <v>801</v>
      </c>
      <c r="G15" s="20"/>
      <c r="H15" s="39" t="s">
        <v>802</v>
      </c>
      <c r="I15" s="37" t="s">
        <v>539</v>
      </c>
      <c r="J15" s="21"/>
      <c r="K15" s="1" t="s">
        <v>795</v>
      </c>
      <c r="L15" s="2"/>
    </row>
    <row r="16" spans="1:12" ht="27" x14ac:dyDescent="0.35">
      <c r="B16" s="19">
        <f t="shared" si="0"/>
        <v>11</v>
      </c>
      <c r="C16" s="73"/>
      <c r="D16" s="35"/>
      <c r="E16" s="99" t="s">
        <v>804</v>
      </c>
      <c r="F16" s="20" t="s">
        <v>797</v>
      </c>
      <c r="G16" s="20"/>
      <c r="H16" s="39" t="s">
        <v>798</v>
      </c>
      <c r="I16" s="188">
        <v>0</v>
      </c>
      <c r="J16" s="21"/>
      <c r="K16" s="1" t="s">
        <v>795</v>
      </c>
      <c r="L16" s="2"/>
    </row>
    <row r="17" spans="2:12" ht="27" x14ac:dyDescent="0.35">
      <c r="B17" s="19">
        <f t="shared" si="0"/>
        <v>12</v>
      </c>
      <c r="C17" s="73"/>
      <c r="D17" s="35"/>
      <c r="E17" s="100"/>
      <c r="F17" s="20" t="s">
        <v>799</v>
      </c>
      <c r="G17" s="20"/>
      <c r="H17" s="39" t="s">
        <v>798</v>
      </c>
      <c r="I17" s="189">
        <v>1</v>
      </c>
      <c r="J17" s="21"/>
      <c r="K17" s="1" t="s">
        <v>795</v>
      </c>
      <c r="L17" s="2"/>
    </row>
    <row r="18" spans="2:12" ht="27" x14ac:dyDescent="0.35">
      <c r="B18" s="19">
        <f t="shared" si="0"/>
        <v>13</v>
      </c>
      <c r="C18" s="73"/>
      <c r="D18" s="35"/>
      <c r="E18" s="100"/>
      <c r="F18" s="20" t="s">
        <v>800</v>
      </c>
      <c r="G18" s="20"/>
      <c r="H18" s="39" t="s">
        <v>109</v>
      </c>
      <c r="I18" s="37">
        <v>100</v>
      </c>
      <c r="J18" s="21"/>
      <c r="K18" s="1" t="s">
        <v>795</v>
      </c>
      <c r="L18" s="2"/>
    </row>
    <row r="19" spans="2:12" ht="27" x14ac:dyDescent="0.35">
      <c r="B19" s="19">
        <f t="shared" si="0"/>
        <v>14</v>
      </c>
      <c r="C19" s="73"/>
      <c r="D19" s="35"/>
      <c r="E19" s="100"/>
      <c r="F19" s="20" t="s">
        <v>801</v>
      </c>
      <c r="G19" s="20"/>
      <c r="H19" s="39" t="s">
        <v>802</v>
      </c>
      <c r="I19" s="37" t="s">
        <v>539</v>
      </c>
      <c r="J19" s="21"/>
      <c r="K19" s="1" t="s">
        <v>795</v>
      </c>
      <c r="L19" s="2"/>
    </row>
    <row r="20" spans="2:12" ht="27" x14ac:dyDescent="0.35">
      <c r="B20" s="19">
        <f t="shared" si="0"/>
        <v>15</v>
      </c>
      <c r="C20" s="73"/>
      <c r="D20" s="35"/>
      <c r="E20" s="99" t="s">
        <v>805</v>
      </c>
      <c r="F20" s="20" t="s">
        <v>797</v>
      </c>
      <c r="G20" s="20"/>
      <c r="H20" s="39" t="s">
        <v>798</v>
      </c>
      <c r="I20" s="188">
        <v>0</v>
      </c>
      <c r="J20" s="21"/>
      <c r="K20" s="1" t="s">
        <v>795</v>
      </c>
      <c r="L20" s="2"/>
    </row>
    <row r="21" spans="2:12" ht="27" x14ac:dyDescent="0.35">
      <c r="B21" s="19">
        <f t="shared" si="0"/>
        <v>16</v>
      </c>
      <c r="C21" s="73"/>
      <c r="D21" s="35"/>
      <c r="E21" s="100"/>
      <c r="F21" s="20" t="s">
        <v>799</v>
      </c>
      <c r="G21" s="20"/>
      <c r="H21" s="39" t="s">
        <v>798</v>
      </c>
      <c r="I21" s="189">
        <v>1</v>
      </c>
      <c r="J21" s="21"/>
      <c r="K21" s="1" t="s">
        <v>795</v>
      </c>
      <c r="L21" s="2"/>
    </row>
    <row r="22" spans="2:12" ht="27" x14ac:dyDescent="0.35">
      <c r="B22" s="19">
        <f t="shared" si="0"/>
        <v>17</v>
      </c>
      <c r="C22" s="73"/>
      <c r="D22" s="35"/>
      <c r="E22" s="100"/>
      <c r="F22" s="20" t="s">
        <v>800</v>
      </c>
      <c r="G22" s="20"/>
      <c r="H22" s="39" t="s">
        <v>109</v>
      </c>
      <c r="I22" s="37">
        <v>100</v>
      </c>
      <c r="J22" s="21"/>
      <c r="K22" s="1" t="s">
        <v>795</v>
      </c>
      <c r="L22" s="2"/>
    </row>
    <row r="23" spans="2:12" ht="27" x14ac:dyDescent="0.35">
      <c r="B23" s="19">
        <f t="shared" si="0"/>
        <v>18</v>
      </c>
      <c r="C23" s="73"/>
      <c r="D23" s="35"/>
      <c r="E23" s="100"/>
      <c r="F23" s="20" t="s">
        <v>801</v>
      </c>
      <c r="G23" s="20"/>
      <c r="H23" s="39" t="s">
        <v>802</v>
      </c>
      <c r="I23" s="37" t="s">
        <v>539</v>
      </c>
      <c r="J23" s="21"/>
      <c r="K23" s="1" t="s">
        <v>795</v>
      </c>
      <c r="L23" s="2"/>
    </row>
    <row r="24" spans="2:12" ht="27" x14ac:dyDescent="0.35">
      <c r="B24" s="19">
        <f t="shared" si="0"/>
        <v>19</v>
      </c>
      <c r="C24" s="73"/>
      <c r="D24" s="35"/>
      <c r="E24" s="99" t="s">
        <v>806</v>
      </c>
      <c r="F24" s="20" t="s">
        <v>797</v>
      </c>
      <c r="G24" s="20"/>
      <c r="H24" s="39" t="s">
        <v>798</v>
      </c>
      <c r="I24" s="188">
        <v>0</v>
      </c>
      <c r="J24" s="21"/>
      <c r="K24" s="1" t="s">
        <v>795</v>
      </c>
      <c r="L24" s="2"/>
    </row>
    <row r="25" spans="2:12" ht="27" x14ac:dyDescent="0.35">
      <c r="B25" s="19">
        <f t="shared" si="0"/>
        <v>20</v>
      </c>
      <c r="C25" s="73"/>
      <c r="D25" s="35"/>
      <c r="E25" s="100"/>
      <c r="F25" s="20" t="s">
        <v>799</v>
      </c>
      <c r="G25" s="20"/>
      <c r="H25" s="39" t="s">
        <v>798</v>
      </c>
      <c r="I25" s="189">
        <v>1</v>
      </c>
      <c r="J25" s="21"/>
      <c r="K25" s="1" t="s">
        <v>795</v>
      </c>
      <c r="L25" s="2"/>
    </row>
    <row r="26" spans="2:12" ht="27" x14ac:dyDescent="0.35">
      <c r="B26" s="19">
        <f t="shared" si="0"/>
        <v>21</v>
      </c>
      <c r="C26" s="73"/>
      <c r="D26" s="35"/>
      <c r="E26" s="100"/>
      <c r="F26" s="20" t="s">
        <v>800</v>
      </c>
      <c r="G26" s="20"/>
      <c r="H26" s="39" t="s">
        <v>109</v>
      </c>
      <c r="I26" s="37">
        <v>100</v>
      </c>
      <c r="J26" s="21"/>
      <c r="K26" s="1" t="s">
        <v>795</v>
      </c>
      <c r="L26" s="2"/>
    </row>
    <row r="27" spans="2:12" ht="27" x14ac:dyDescent="0.35">
      <c r="B27" s="19">
        <f t="shared" si="0"/>
        <v>22</v>
      </c>
      <c r="C27" s="73"/>
      <c r="D27" s="35"/>
      <c r="E27" s="100"/>
      <c r="F27" s="20" t="s">
        <v>801</v>
      </c>
      <c r="G27" s="20"/>
      <c r="H27" s="39" t="s">
        <v>802</v>
      </c>
      <c r="I27" s="37" t="s">
        <v>539</v>
      </c>
      <c r="J27" s="21"/>
      <c r="K27" s="1" t="s">
        <v>795</v>
      </c>
      <c r="L27" s="2"/>
    </row>
    <row r="28" spans="2:12" ht="27" x14ac:dyDescent="0.35">
      <c r="B28" s="19">
        <f t="shared" si="0"/>
        <v>23</v>
      </c>
      <c r="C28" s="73"/>
      <c r="D28" s="35"/>
      <c r="E28" s="99" t="s">
        <v>807</v>
      </c>
      <c r="F28" s="20" t="s">
        <v>797</v>
      </c>
      <c r="G28" s="20"/>
      <c r="H28" s="39" t="s">
        <v>798</v>
      </c>
      <c r="I28" s="188">
        <v>0</v>
      </c>
      <c r="J28" s="21"/>
      <c r="K28" s="1" t="s">
        <v>795</v>
      </c>
      <c r="L28" s="2"/>
    </row>
    <row r="29" spans="2:12" ht="27" x14ac:dyDescent="0.35">
      <c r="B29" s="19">
        <f t="shared" si="0"/>
        <v>24</v>
      </c>
      <c r="C29" s="73"/>
      <c r="D29" s="35"/>
      <c r="E29" s="100"/>
      <c r="F29" s="20" t="s">
        <v>799</v>
      </c>
      <c r="G29" s="20"/>
      <c r="H29" s="39" t="s">
        <v>798</v>
      </c>
      <c r="I29" s="189">
        <v>1</v>
      </c>
      <c r="J29" s="21"/>
      <c r="K29" s="1" t="s">
        <v>795</v>
      </c>
      <c r="L29" s="2"/>
    </row>
    <row r="30" spans="2:12" ht="27" x14ac:dyDescent="0.35">
      <c r="B30" s="19">
        <f t="shared" si="0"/>
        <v>25</v>
      </c>
      <c r="C30" s="73"/>
      <c r="D30" s="35"/>
      <c r="E30" s="100"/>
      <c r="F30" s="20" t="s">
        <v>800</v>
      </c>
      <c r="G30" s="20"/>
      <c r="H30" s="39" t="s">
        <v>109</v>
      </c>
      <c r="I30" s="37">
        <v>100</v>
      </c>
      <c r="J30" s="21"/>
      <c r="K30" s="1" t="s">
        <v>795</v>
      </c>
      <c r="L30" s="2"/>
    </row>
    <row r="31" spans="2:12" ht="27" x14ac:dyDescent="0.35">
      <c r="B31" s="19">
        <f t="shared" si="0"/>
        <v>26</v>
      </c>
      <c r="C31" s="73"/>
      <c r="D31" s="35"/>
      <c r="E31" s="100"/>
      <c r="F31" s="20" t="s">
        <v>801</v>
      </c>
      <c r="G31" s="20"/>
      <c r="H31" s="39" t="s">
        <v>802</v>
      </c>
      <c r="I31" s="37" t="s">
        <v>539</v>
      </c>
      <c r="J31" s="21"/>
      <c r="K31" s="1" t="s">
        <v>795</v>
      </c>
      <c r="L31" s="2"/>
    </row>
    <row r="32" spans="2:12" ht="27" x14ac:dyDescent="0.35">
      <c r="B32" s="19">
        <f t="shared" si="0"/>
        <v>27</v>
      </c>
      <c r="C32" s="73"/>
      <c r="D32" s="35"/>
      <c r="E32" s="99" t="s">
        <v>808</v>
      </c>
      <c r="F32" s="20" t="s">
        <v>797</v>
      </c>
      <c r="G32" s="20"/>
      <c r="H32" s="39" t="s">
        <v>798</v>
      </c>
      <c r="I32" s="188">
        <v>0</v>
      </c>
      <c r="J32" s="21"/>
      <c r="K32" s="1" t="s">
        <v>795</v>
      </c>
      <c r="L32" s="2"/>
    </row>
    <row r="33" spans="2:12" ht="27" x14ac:dyDescent="0.35">
      <c r="B33" s="19">
        <f t="shared" si="0"/>
        <v>28</v>
      </c>
      <c r="C33" s="73"/>
      <c r="D33" s="35"/>
      <c r="E33" s="100"/>
      <c r="F33" s="20" t="s">
        <v>799</v>
      </c>
      <c r="G33" s="20"/>
      <c r="H33" s="39" t="s">
        <v>798</v>
      </c>
      <c r="I33" s="189">
        <v>1</v>
      </c>
      <c r="J33" s="21"/>
      <c r="K33" s="1" t="s">
        <v>795</v>
      </c>
      <c r="L33" s="2"/>
    </row>
    <row r="34" spans="2:12" ht="27" x14ac:dyDescent="0.35">
      <c r="B34" s="19">
        <f t="shared" si="0"/>
        <v>29</v>
      </c>
      <c r="C34" s="73"/>
      <c r="D34" s="35"/>
      <c r="E34" s="100"/>
      <c r="F34" s="20" t="s">
        <v>800</v>
      </c>
      <c r="G34" s="20"/>
      <c r="H34" s="39" t="s">
        <v>109</v>
      </c>
      <c r="I34" s="37">
        <v>100</v>
      </c>
      <c r="J34" s="21"/>
      <c r="K34" s="1" t="s">
        <v>795</v>
      </c>
      <c r="L34" s="2"/>
    </row>
    <row r="35" spans="2:12" ht="27" x14ac:dyDescent="0.35">
      <c r="B35" s="19">
        <f t="shared" si="0"/>
        <v>30</v>
      </c>
      <c r="C35" s="17"/>
      <c r="D35" s="36"/>
      <c r="E35" s="179"/>
      <c r="F35" s="20" t="s">
        <v>801</v>
      </c>
      <c r="G35" s="20"/>
      <c r="H35" s="39" t="s">
        <v>802</v>
      </c>
      <c r="I35" s="37" t="s">
        <v>539</v>
      </c>
      <c r="J35" s="21"/>
      <c r="K35" s="1" t="s">
        <v>795</v>
      </c>
      <c r="L35" s="2"/>
    </row>
  </sheetData>
  <phoneticPr fontId="13"/>
  <hyperlinks>
    <hyperlink ref="A4" location="パラメータ設定一覧!A1" display="パラメータ設定一覧へ" xr:uid="{25C4BFFF-36DD-44DA-A4D5-683E3480BE6E}"/>
  </hyperlinks>
  <pageMargins left="0.7" right="0.7" top="0.75" bottom="0.75" header="0.3" footer="0.3"/>
  <pageSetup paperSize="9" orientation="portrait" horizontalDpi="1200" verticalDpi="1200"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56BD0F-A2F7-4B1B-AC5D-D3F12A562CB9}">
  <dimension ref="A1:BS24"/>
  <sheetViews>
    <sheetView showGridLines="0" zoomScaleNormal="100" workbookViewId="0">
      <pane ySplit="6" topLeftCell="A7" activePane="bottomLeft" state="frozen"/>
      <selection activeCell="B3" sqref="B3"/>
      <selection pane="bottomLeft" activeCell="B3" sqref="B3"/>
    </sheetView>
  </sheetViews>
  <sheetFormatPr defaultColWidth="8.78515625" defaultRowHeight="15" x14ac:dyDescent="0.35"/>
  <cols>
    <col min="1" max="1" width="2.78515625" style="38" customWidth="1"/>
    <col min="2" max="2" width="3.5703125" style="38" bestFit="1" customWidth="1"/>
    <col min="3" max="3" width="17.2109375" style="38" customWidth="1"/>
    <col min="4" max="32" width="19.78515625" style="38" customWidth="1"/>
    <col min="33" max="70" width="8.78515625" style="38"/>
    <col min="72" max="16384" width="8.78515625" style="38"/>
  </cols>
  <sheetData>
    <row r="1" spans="1:32" customFormat="1" ht="19.5" x14ac:dyDescent="0.35">
      <c r="A1" s="184" t="s">
        <v>809</v>
      </c>
    </row>
    <row r="2" spans="1:32" customFormat="1" x14ac:dyDescent="0.35"/>
    <row r="3" spans="1:32" customFormat="1" x14ac:dyDescent="0.35">
      <c r="A3" s="9" t="s">
        <v>670</v>
      </c>
    </row>
    <row r="4" spans="1:32" ht="13.5" customHeight="1" x14ac:dyDescent="0.35">
      <c r="B4" s="237" t="s">
        <v>1</v>
      </c>
      <c r="C4" s="171"/>
      <c r="D4" s="66"/>
      <c r="E4" s="105" t="s">
        <v>796</v>
      </c>
      <c r="F4" s="66"/>
      <c r="G4" s="66"/>
      <c r="H4" s="67"/>
      <c r="I4" s="105" t="s">
        <v>803</v>
      </c>
      <c r="J4" s="66"/>
      <c r="K4" s="66"/>
      <c r="L4" s="67"/>
      <c r="M4" s="105" t="s">
        <v>804</v>
      </c>
      <c r="N4" s="66"/>
      <c r="O4" s="66"/>
      <c r="P4" s="67"/>
      <c r="Q4" s="105" t="s">
        <v>805</v>
      </c>
      <c r="R4" s="66"/>
      <c r="S4" s="66"/>
      <c r="T4" s="67"/>
      <c r="U4" s="105" t="s">
        <v>806</v>
      </c>
      <c r="V4" s="66"/>
      <c r="W4" s="66"/>
      <c r="X4" s="67"/>
      <c r="Y4" s="105" t="s">
        <v>807</v>
      </c>
      <c r="Z4" s="66"/>
      <c r="AA4" s="66"/>
      <c r="AB4" s="67"/>
      <c r="AC4" s="105" t="s">
        <v>808</v>
      </c>
      <c r="AD4" s="66"/>
      <c r="AE4" s="66"/>
      <c r="AF4" s="67"/>
    </row>
    <row r="5" spans="1:32" x14ac:dyDescent="0.35">
      <c r="B5" s="255"/>
      <c r="C5" s="186" t="s">
        <v>781</v>
      </c>
      <c r="D5" s="186" t="s">
        <v>43</v>
      </c>
      <c r="E5" s="186" t="s">
        <v>797</v>
      </c>
      <c r="F5" s="186" t="s">
        <v>799</v>
      </c>
      <c r="G5" s="186" t="s">
        <v>800</v>
      </c>
      <c r="H5" s="186" t="s">
        <v>801</v>
      </c>
      <c r="I5" s="186" t="s">
        <v>797</v>
      </c>
      <c r="J5" s="186" t="s">
        <v>799</v>
      </c>
      <c r="K5" s="186" t="s">
        <v>800</v>
      </c>
      <c r="L5" s="186" t="s">
        <v>801</v>
      </c>
      <c r="M5" s="186" t="s">
        <v>797</v>
      </c>
      <c r="N5" s="186" t="s">
        <v>799</v>
      </c>
      <c r="O5" s="186" t="s">
        <v>800</v>
      </c>
      <c r="P5" s="186" t="s">
        <v>801</v>
      </c>
      <c r="Q5" s="186" t="s">
        <v>797</v>
      </c>
      <c r="R5" s="186" t="s">
        <v>799</v>
      </c>
      <c r="S5" s="186" t="s">
        <v>800</v>
      </c>
      <c r="T5" s="186" t="s">
        <v>801</v>
      </c>
      <c r="U5" s="186" t="s">
        <v>797</v>
      </c>
      <c r="V5" s="186" t="s">
        <v>799</v>
      </c>
      <c r="W5" s="186" t="s">
        <v>800</v>
      </c>
      <c r="X5" s="186" t="s">
        <v>801</v>
      </c>
      <c r="Y5" s="186" t="s">
        <v>797</v>
      </c>
      <c r="Z5" s="186" t="s">
        <v>799</v>
      </c>
      <c r="AA5" s="186" t="s">
        <v>800</v>
      </c>
      <c r="AB5" s="186" t="s">
        <v>801</v>
      </c>
      <c r="AC5" s="186" t="s">
        <v>797</v>
      </c>
      <c r="AD5" s="186" t="s">
        <v>799</v>
      </c>
      <c r="AE5" s="186" t="s">
        <v>800</v>
      </c>
      <c r="AF5" s="186" t="s">
        <v>801</v>
      </c>
    </row>
    <row r="6" spans="1:32" x14ac:dyDescent="0.35">
      <c r="B6" s="238"/>
      <c r="C6" s="187" t="s">
        <v>44</v>
      </c>
      <c r="D6" s="187" t="s">
        <v>44</v>
      </c>
      <c r="E6" s="187" t="s">
        <v>798</v>
      </c>
      <c r="F6" s="187" t="s">
        <v>798</v>
      </c>
      <c r="G6" s="187" t="s">
        <v>109</v>
      </c>
      <c r="H6" s="187" t="s">
        <v>802</v>
      </c>
      <c r="I6" s="187" t="s">
        <v>798</v>
      </c>
      <c r="J6" s="187" t="s">
        <v>798</v>
      </c>
      <c r="K6" s="187" t="s">
        <v>109</v>
      </c>
      <c r="L6" s="187" t="s">
        <v>802</v>
      </c>
      <c r="M6" s="187" t="s">
        <v>798</v>
      </c>
      <c r="N6" s="187" t="s">
        <v>798</v>
      </c>
      <c r="O6" s="187" t="s">
        <v>109</v>
      </c>
      <c r="P6" s="187" t="s">
        <v>802</v>
      </c>
      <c r="Q6" s="187" t="s">
        <v>798</v>
      </c>
      <c r="R6" s="187" t="s">
        <v>798</v>
      </c>
      <c r="S6" s="187" t="s">
        <v>109</v>
      </c>
      <c r="T6" s="187" t="s">
        <v>802</v>
      </c>
      <c r="U6" s="187" t="s">
        <v>798</v>
      </c>
      <c r="V6" s="187" t="s">
        <v>798</v>
      </c>
      <c r="W6" s="187" t="s">
        <v>109</v>
      </c>
      <c r="X6" s="187" t="s">
        <v>802</v>
      </c>
      <c r="Y6" s="187" t="s">
        <v>798</v>
      </c>
      <c r="Z6" s="187" t="s">
        <v>798</v>
      </c>
      <c r="AA6" s="187" t="s">
        <v>109</v>
      </c>
      <c r="AB6" s="187" t="s">
        <v>802</v>
      </c>
      <c r="AC6" s="187" t="s">
        <v>798</v>
      </c>
      <c r="AD6" s="187" t="s">
        <v>798</v>
      </c>
      <c r="AE6" s="187" t="s">
        <v>109</v>
      </c>
      <c r="AF6" s="187" t="s">
        <v>802</v>
      </c>
    </row>
    <row r="7" spans="1:32" x14ac:dyDescent="0.3">
      <c r="B7" s="116">
        <f>ROW() - 6</f>
        <v>1</v>
      </c>
      <c r="C7" s="131" t="s">
        <v>792</v>
      </c>
      <c r="D7" s="131" t="s">
        <v>792</v>
      </c>
      <c r="E7" s="188">
        <v>0</v>
      </c>
      <c r="F7" s="189">
        <v>1</v>
      </c>
      <c r="G7" s="131">
        <v>100</v>
      </c>
      <c r="H7" s="131"/>
      <c r="I7" s="188">
        <v>0</v>
      </c>
      <c r="J7" s="189">
        <v>1</v>
      </c>
      <c r="K7" s="131">
        <v>100</v>
      </c>
      <c r="L7" s="131"/>
      <c r="M7" s="188">
        <v>0</v>
      </c>
      <c r="N7" s="189">
        <v>1</v>
      </c>
      <c r="O7" s="131">
        <v>100</v>
      </c>
      <c r="P7" s="131"/>
      <c r="Q7" s="188">
        <v>0</v>
      </c>
      <c r="R7" s="189">
        <v>1</v>
      </c>
      <c r="S7" s="131">
        <v>100</v>
      </c>
      <c r="T7" s="131"/>
      <c r="U7" s="188">
        <v>0</v>
      </c>
      <c r="V7" s="189">
        <v>1</v>
      </c>
      <c r="W7" s="131">
        <v>100</v>
      </c>
      <c r="X7" s="131"/>
      <c r="Y7" s="190"/>
      <c r="Z7" s="191"/>
      <c r="AA7" s="192"/>
      <c r="AB7" s="192"/>
      <c r="AC7" s="190"/>
      <c r="AD7" s="191"/>
      <c r="AE7" s="192"/>
      <c r="AF7" s="192"/>
    </row>
    <row r="8" spans="1:32" x14ac:dyDescent="0.3">
      <c r="B8" s="116">
        <f t="shared" ref="B8:B24" si="0">ROW() - 6</f>
        <v>2</v>
      </c>
      <c r="C8" s="131"/>
      <c r="D8" s="131"/>
      <c r="E8" s="131"/>
      <c r="F8" s="131"/>
      <c r="G8" s="131"/>
      <c r="H8" s="131"/>
      <c r="I8" s="131"/>
      <c r="J8" s="131"/>
      <c r="K8" s="131"/>
      <c r="L8" s="131"/>
      <c r="M8" s="131"/>
      <c r="N8" s="131"/>
      <c r="O8" s="131"/>
      <c r="P8" s="131"/>
      <c r="Q8" s="131"/>
      <c r="R8" s="131"/>
      <c r="S8" s="131"/>
      <c r="T8" s="131"/>
      <c r="U8" s="131"/>
      <c r="V8" s="131"/>
      <c r="W8" s="131"/>
      <c r="X8" s="131"/>
      <c r="Y8" s="131"/>
      <c r="Z8" s="131"/>
      <c r="AA8" s="131"/>
      <c r="AB8" s="131"/>
      <c r="AC8" s="131"/>
      <c r="AD8" s="131"/>
      <c r="AE8" s="131"/>
      <c r="AF8" s="131"/>
    </row>
    <row r="9" spans="1:32" x14ac:dyDescent="0.3">
      <c r="B9" s="116">
        <f t="shared" si="0"/>
        <v>3</v>
      </c>
      <c r="C9" s="131"/>
      <c r="D9" s="131"/>
      <c r="E9" s="131"/>
      <c r="F9" s="131"/>
      <c r="G9" s="131"/>
      <c r="H9" s="131"/>
      <c r="I9" s="131"/>
      <c r="J9" s="131"/>
      <c r="K9" s="131"/>
      <c r="L9" s="131"/>
      <c r="M9" s="131"/>
      <c r="N9" s="131"/>
      <c r="O9" s="131"/>
      <c r="P9" s="131"/>
      <c r="Q9" s="131"/>
      <c r="R9" s="131"/>
      <c r="S9" s="131"/>
      <c r="T9" s="131"/>
      <c r="U9" s="131"/>
      <c r="V9" s="131"/>
      <c r="W9" s="131"/>
      <c r="X9" s="131"/>
      <c r="Y9" s="131"/>
      <c r="Z9" s="131"/>
      <c r="AA9" s="131"/>
      <c r="AB9" s="131"/>
      <c r="AC9" s="131"/>
      <c r="AD9" s="131"/>
      <c r="AE9" s="131"/>
      <c r="AF9" s="131"/>
    </row>
    <row r="10" spans="1:32" x14ac:dyDescent="0.3">
      <c r="B10" s="116">
        <f t="shared" si="0"/>
        <v>4</v>
      </c>
      <c r="C10" s="131"/>
      <c r="D10" s="131"/>
      <c r="E10" s="131"/>
      <c r="F10" s="131"/>
      <c r="G10" s="131"/>
      <c r="H10" s="131"/>
      <c r="I10" s="131"/>
      <c r="J10" s="131"/>
      <c r="K10" s="131"/>
      <c r="L10" s="131"/>
      <c r="M10" s="131"/>
      <c r="N10" s="131"/>
      <c r="O10" s="131"/>
      <c r="P10" s="131"/>
      <c r="Q10" s="131"/>
      <c r="R10" s="131"/>
      <c r="S10" s="131"/>
      <c r="T10" s="131"/>
      <c r="U10" s="131"/>
      <c r="V10" s="131"/>
      <c r="W10" s="131"/>
      <c r="X10" s="131"/>
      <c r="Y10" s="131"/>
      <c r="Z10" s="131"/>
      <c r="AA10" s="131"/>
      <c r="AB10" s="131"/>
      <c r="AC10" s="131"/>
      <c r="AD10" s="131"/>
      <c r="AE10" s="131"/>
      <c r="AF10" s="131"/>
    </row>
    <row r="11" spans="1:32" x14ac:dyDescent="0.3">
      <c r="B11" s="116">
        <f t="shared" si="0"/>
        <v>5</v>
      </c>
      <c r="C11" s="131"/>
      <c r="D11" s="131"/>
      <c r="E11" s="131"/>
      <c r="F11" s="131"/>
      <c r="G11" s="131"/>
      <c r="H11" s="131"/>
      <c r="I11" s="131"/>
      <c r="J11" s="131"/>
      <c r="K11" s="131"/>
      <c r="L11" s="131"/>
      <c r="M11" s="131"/>
      <c r="N11" s="131"/>
      <c r="O11" s="131"/>
      <c r="P11" s="131"/>
      <c r="Q11" s="131"/>
      <c r="R11" s="131"/>
      <c r="S11" s="131"/>
      <c r="T11" s="131"/>
      <c r="U11" s="131"/>
      <c r="V11" s="131"/>
      <c r="W11" s="131"/>
      <c r="X11" s="131"/>
      <c r="Y11" s="131"/>
      <c r="Z11" s="131"/>
      <c r="AA11" s="131"/>
      <c r="AB11" s="131"/>
      <c r="AC11" s="131"/>
      <c r="AD11" s="131"/>
      <c r="AE11" s="131"/>
      <c r="AF11" s="131"/>
    </row>
    <row r="12" spans="1:32" x14ac:dyDescent="0.3">
      <c r="B12" s="116">
        <f t="shared" si="0"/>
        <v>6</v>
      </c>
      <c r="C12" s="131"/>
      <c r="D12" s="131"/>
      <c r="E12" s="131"/>
      <c r="F12" s="131"/>
      <c r="G12" s="131"/>
      <c r="H12" s="131"/>
      <c r="I12" s="131"/>
      <c r="J12" s="131"/>
      <c r="K12" s="131"/>
      <c r="L12" s="131"/>
      <c r="M12" s="131"/>
      <c r="N12" s="131"/>
      <c r="O12" s="131"/>
      <c r="P12" s="131"/>
      <c r="Q12" s="131"/>
      <c r="R12" s="131"/>
      <c r="S12" s="131"/>
      <c r="T12" s="131"/>
      <c r="U12" s="131"/>
      <c r="V12" s="131"/>
      <c r="W12" s="131"/>
      <c r="X12" s="131"/>
      <c r="Y12" s="131"/>
      <c r="Z12" s="131"/>
      <c r="AA12" s="131"/>
      <c r="AB12" s="131"/>
      <c r="AC12" s="131"/>
      <c r="AD12" s="131"/>
      <c r="AE12" s="131"/>
      <c r="AF12" s="131"/>
    </row>
    <row r="13" spans="1:32" x14ac:dyDescent="0.3">
      <c r="B13" s="116">
        <f t="shared" si="0"/>
        <v>7</v>
      </c>
      <c r="C13" s="131"/>
      <c r="D13" s="131"/>
      <c r="E13" s="131"/>
      <c r="F13" s="131"/>
      <c r="G13" s="131"/>
      <c r="H13" s="131"/>
      <c r="I13" s="131"/>
      <c r="J13" s="131"/>
      <c r="K13" s="131"/>
      <c r="L13" s="131"/>
      <c r="M13" s="131"/>
      <c r="N13" s="131"/>
      <c r="O13" s="131"/>
      <c r="P13" s="131"/>
      <c r="Q13" s="131"/>
      <c r="R13" s="131"/>
      <c r="S13" s="131"/>
      <c r="T13" s="131"/>
      <c r="U13" s="131"/>
      <c r="V13" s="131"/>
      <c r="W13" s="131"/>
      <c r="X13" s="131"/>
      <c r="Y13" s="131"/>
      <c r="Z13" s="131"/>
      <c r="AA13" s="131"/>
      <c r="AB13" s="131"/>
      <c r="AC13" s="131"/>
      <c r="AD13" s="131"/>
      <c r="AE13" s="131"/>
      <c r="AF13" s="131"/>
    </row>
    <row r="14" spans="1:32" x14ac:dyDescent="0.3">
      <c r="B14" s="116">
        <f t="shared" si="0"/>
        <v>8</v>
      </c>
      <c r="C14" s="131"/>
      <c r="D14" s="131"/>
      <c r="E14" s="131"/>
      <c r="F14" s="131"/>
      <c r="G14" s="131"/>
      <c r="H14" s="131"/>
      <c r="I14" s="131"/>
      <c r="J14" s="131"/>
      <c r="K14" s="131"/>
      <c r="L14" s="131"/>
      <c r="M14" s="131"/>
      <c r="N14" s="131"/>
      <c r="O14" s="131"/>
      <c r="P14" s="131"/>
      <c r="Q14" s="131"/>
      <c r="R14" s="131"/>
      <c r="S14" s="131"/>
      <c r="T14" s="131"/>
      <c r="U14" s="131"/>
      <c r="V14" s="131"/>
      <c r="W14" s="131"/>
      <c r="X14" s="131"/>
      <c r="Y14" s="131"/>
      <c r="Z14" s="131"/>
      <c r="AA14" s="131"/>
      <c r="AB14" s="131"/>
      <c r="AC14" s="131"/>
      <c r="AD14" s="131"/>
      <c r="AE14" s="131"/>
      <c r="AF14" s="131"/>
    </row>
    <row r="15" spans="1:32" x14ac:dyDescent="0.3">
      <c r="B15" s="116">
        <f t="shared" si="0"/>
        <v>9</v>
      </c>
      <c r="C15" s="131"/>
      <c r="D15" s="131"/>
      <c r="E15" s="131"/>
      <c r="F15" s="131"/>
      <c r="G15" s="131"/>
      <c r="H15" s="131"/>
      <c r="I15" s="131"/>
      <c r="J15" s="131"/>
      <c r="K15" s="131"/>
      <c r="L15" s="131"/>
      <c r="M15" s="131"/>
      <c r="N15" s="131"/>
      <c r="O15" s="131"/>
      <c r="P15" s="131"/>
      <c r="Q15" s="131"/>
      <c r="R15" s="131"/>
      <c r="S15" s="131"/>
      <c r="T15" s="131"/>
      <c r="U15" s="131"/>
      <c r="V15" s="131"/>
      <c r="W15" s="131"/>
      <c r="X15" s="131"/>
      <c r="Y15" s="131"/>
      <c r="Z15" s="131"/>
      <c r="AA15" s="131"/>
      <c r="AB15" s="131"/>
      <c r="AC15" s="131"/>
      <c r="AD15" s="131"/>
      <c r="AE15" s="131"/>
      <c r="AF15" s="131"/>
    </row>
    <row r="16" spans="1:32" x14ac:dyDescent="0.3">
      <c r="B16" s="116">
        <f t="shared" si="0"/>
        <v>10</v>
      </c>
      <c r="C16" s="131"/>
      <c r="D16" s="131"/>
      <c r="E16" s="131"/>
      <c r="F16" s="131"/>
      <c r="G16" s="131"/>
      <c r="H16" s="131"/>
      <c r="I16" s="131"/>
      <c r="J16" s="131"/>
      <c r="K16" s="131"/>
      <c r="L16" s="131"/>
      <c r="M16" s="131"/>
      <c r="N16" s="131"/>
      <c r="O16" s="131"/>
      <c r="P16" s="131"/>
      <c r="Q16" s="131"/>
      <c r="R16" s="131"/>
      <c r="S16" s="131"/>
      <c r="T16" s="131"/>
      <c r="U16" s="131"/>
      <c r="V16" s="131"/>
      <c r="W16" s="131"/>
      <c r="X16" s="131"/>
      <c r="Y16" s="131"/>
      <c r="Z16" s="131"/>
      <c r="AA16" s="131"/>
      <c r="AB16" s="131"/>
      <c r="AC16" s="131"/>
      <c r="AD16" s="131"/>
      <c r="AE16" s="131"/>
      <c r="AF16" s="131"/>
    </row>
    <row r="17" spans="2:32" x14ac:dyDescent="0.3">
      <c r="B17" s="116">
        <f t="shared" si="0"/>
        <v>11</v>
      </c>
      <c r="C17" s="131"/>
      <c r="D17" s="131"/>
      <c r="E17" s="131"/>
      <c r="F17" s="131"/>
      <c r="G17" s="131"/>
      <c r="H17" s="131"/>
      <c r="I17" s="131"/>
      <c r="J17" s="131"/>
      <c r="K17" s="131"/>
      <c r="L17" s="131"/>
      <c r="M17" s="131"/>
      <c r="N17" s="131"/>
      <c r="O17" s="131"/>
      <c r="P17" s="131"/>
      <c r="Q17" s="131"/>
      <c r="R17" s="131"/>
      <c r="S17" s="131"/>
      <c r="T17" s="131"/>
      <c r="U17" s="131"/>
      <c r="V17" s="131"/>
      <c r="W17" s="131"/>
      <c r="X17" s="131"/>
      <c r="Y17" s="131"/>
      <c r="Z17" s="131"/>
      <c r="AA17" s="131"/>
      <c r="AB17" s="131"/>
      <c r="AC17" s="131"/>
      <c r="AD17" s="131"/>
      <c r="AE17" s="131"/>
      <c r="AF17" s="131"/>
    </row>
    <row r="18" spans="2:32" x14ac:dyDescent="0.3">
      <c r="B18" s="116">
        <f t="shared" si="0"/>
        <v>12</v>
      </c>
      <c r="C18" s="116"/>
      <c r="D18" s="116"/>
      <c r="E18" s="116"/>
      <c r="F18" s="116"/>
      <c r="G18" s="116"/>
      <c r="H18" s="116"/>
      <c r="I18" s="116"/>
      <c r="J18" s="116"/>
      <c r="K18" s="116"/>
      <c r="L18" s="116"/>
      <c r="M18" s="116"/>
      <c r="N18" s="116"/>
      <c r="O18" s="116"/>
      <c r="P18" s="116"/>
      <c r="Q18" s="116"/>
      <c r="R18" s="116"/>
      <c r="S18" s="116"/>
      <c r="T18" s="116"/>
      <c r="U18" s="116"/>
      <c r="V18" s="116"/>
      <c r="W18" s="116"/>
      <c r="X18" s="116"/>
      <c r="Y18" s="116"/>
      <c r="Z18" s="116"/>
      <c r="AA18" s="116"/>
      <c r="AB18" s="116"/>
      <c r="AC18" s="116"/>
      <c r="AD18" s="116"/>
      <c r="AE18" s="116"/>
      <c r="AF18" s="116"/>
    </row>
    <row r="19" spans="2:32" x14ac:dyDescent="0.3">
      <c r="B19" s="116">
        <f t="shared" si="0"/>
        <v>13</v>
      </c>
      <c r="C19" s="131"/>
      <c r="D19" s="131"/>
      <c r="E19" s="131"/>
      <c r="F19" s="131"/>
      <c r="G19" s="131"/>
      <c r="H19" s="131"/>
      <c r="I19" s="131"/>
      <c r="J19" s="131"/>
      <c r="K19" s="131"/>
      <c r="L19" s="131"/>
      <c r="M19" s="131"/>
      <c r="N19" s="131"/>
      <c r="O19" s="131"/>
      <c r="P19" s="131"/>
      <c r="Q19" s="131"/>
      <c r="R19" s="131"/>
      <c r="S19" s="131"/>
      <c r="T19" s="131"/>
      <c r="U19" s="131"/>
      <c r="V19" s="131"/>
      <c r="W19" s="131"/>
      <c r="X19" s="131"/>
      <c r="Y19" s="131"/>
      <c r="Z19" s="131"/>
      <c r="AA19" s="131"/>
      <c r="AB19" s="131"/>
      <c r="AC19" s="131"/>
      <c r="AD19" s="131"/>
      <c r="AE19" s="131"/>
      <c r="AF19" s="131"/>
    </row>
    <row r="20" spans="2:32" x14ac:dyDescent="0.3">
      <c r="B20" s="116">
        <f t="shared" si="0"/>
        <v>14</v>
      </c>
      <c r="C20" s="131"/>
      <c r="D20" s="131"/>
      <c r="E20" s="131"/>
      <c r="F20" s="131"/>
      <c r="G20" s="131"/>
      <c r="H20" s="131"/>
      <c r="I20" s="131"/>
      <c r="J20" s="131"/>
      <c r="K20" s="131"/>
      <c r="L20" s="131"/>
      <c r="M20" s="131"/>
      <c r="N20" s="131"/>
      <c r="O20" s="131"/>
      <c r="P20" s="131"/>
      <c r="Q20" s="131"/>
      <c r="R20" s="131"/>
      <c r="S20" s="131"/>
      <c r="T20" s="131"/>
      <c r="U20" s="131"/>
      <c r="V20" s="131"/>
      <c r="W20" s="131"/>
      <c r="X20" s="131"/>
      <c r="Y20" s="131"/>
      <c r="Z20" s="131"/>
      <c r="AA20" s="131"/>
      <c r="AB20" s="131"/>
      <c r="AC20" s="131"/>
      <c r="AD20" s="131"/>
      <c r="AE20" s="131"/>
      <c r="AF20" s="131"/>
    </row>
    <row r="21" spans="2:32" x14ac:dyDescent="0.3">
      <c r="B21" s="116">
        <f t="shared" si="0"/>
        <v>15</v>
      </c>
      <c r="C21" s="131"/>
      <c r="D21" s="131"/>
      <c r="E21" s="131"/>
      <c r="F21" s="131"/>
      <c r="G21" s="131"/>
      <c r="H21" s="131"/>
      <c r="I21" s="131"/>
      <c r="J21" s="131"/>
      <c r="K21" s="131"/>
      <c r="L21" s="131"/>
      <c r="M21" s="131"/>
      <c r="N21" s="131"/>
      <c r="O21" s="131"/>
      <c r="P21" s="131"/>
      <c r="Q21" s="131"/>
      <c r="R21" s="131"/>
      <c r="S21" s="131"/>
      <c r="T21" s="131"/>
      <c r="U21" s="131"/>
      <c r="V21" s="131"/>
      <c r="W21" s="131"/>
      <c r="X21" s="131"/>
      <c r="Y21" s="131"/>
      <c r="Z21" s="131"/>
      <c r="AA21" s="131"/>
      <c r="AB21" s="131"/>
      <c r="AC21" s="131"/>
      <c r="AD21" s="131"/>
      <c r="AE21" s="131"/>
      <c r="AF21" s="131"/>
    </row>
    <row r="22" spans="2:32" x14ac:dyDescent="0.3">
      <c r="B22" s="116">
        <f t="shared" si="0"/>
        <v>16</v>
      </c>
      <c r="C22" s="131"/>
      <c r="D22" s="131"/>
      <c r="E22" s="131"/>
      <c r="F22" s="131"/>
      <c r="G22" s="131"/>
      <c r="H22" s="131"/>
      <c r="I22" s="131"/>
      <c r="J22" s="131"/>
      <c r="K22" s="131"/>
      <c r="L22" s="131"/>
      <c r="M22" s="131"/>
      <c r="N22" s="131"/>
      <c r="O22" s="131"/>
      <c r="P22" s="131"/>
      <c r="Q22" s="131"/>
      <c r="R22" s="131"/>
      <c r="S22" s="131"/>
      <c r="T22" s="131"/>
      <c r="U22" s="131"/>
      <c r="V22" s="131"/>
      <c r="W22" s="131"/>
      <c r="X22" s="131"/>
      <c r="Y22" s="131"/>
      <c r="Z22" s="131"/>
      <c r="AA22" s="131"/>
      <c r="AB22" s="131"/>
      <c r="AC22" s="131"/>
      <c r="AD22" s="131"/>
      <c r="AE22" s="131"/>
      <c r="AF22" s="131"/>
    </row>
    <row r="23" spans="2:32" x14ac:dyDescent="0.3">
      <c r="B23" s="116">
        <f t="shared" si="0"/>
        <v>17</v>
      </c>
      <c r="C23" s="131"/>
      <c r="D23" s="131"/>
      <c r="E23" s="131"/>
      <c r="F23" s="131"/>
      <c r="G23" s="131"/>
      <c r="H23" s="131"/>
      <c r="I23" s="131"/>
      <c r="J23" s="131"/>
      <c r="K23" s="131"/>
      <c r="L23" s="131"/>
      <c r="M23" s="131"/>
      <c r="N23" s="131"/>
      <c r="O23" s="131"/>
      <c r="P23" s="131"/>
      <c r="Q23" s="131"/>
      <c r="R23" s="131"/>
      <c r="S23" s="131"/>
      <c r="T23" s="131"/>
      <c r="U23" s="131"/>
      <c r="V23" s="131"/>
      <c r="W23" s="131"/>
      <c r="X23" s="131"/>
      <c r="Y23" s="131"/>
      <c r="Z23" s="131"/>
      <c r="AA23" s="131"/>
      <c r="AB23" s="131"/>
      <c r="AC23" s="131"/>
      <c r="AD23" s="131"/>
      <c r="AE23" s="131"/>
      <c r="AF23" s="131"/>
    </row>
    <row r="24" spans="2:32" x14ac:dyDescent="0.3">
      <c r="B24" s="116">
        <f t="shared" si="0"/>
        <v>18</v>
      </c>
      <c r="C24" s="131"/>
      <c r="D24" s="131"/>
      <c r="E24" s="131"/>
      <c r="F24" s="131"/>
      <c r="G24" s="131"/>
      <c r="H24" s="131"/>
      <c r="I24" s="131"/>
      <c r="J24" s="131"/>
      <c r="K24" s="131"/>
      <c r="L24" s="131"/>
      <c r="M24" s="131"/>
      <c r="N24" s="131"/>
      <c r="O24" s="131"/>
      <c r="P24" s="131"/>
      <c r="Q24" s="131"/>
      <c r="R24" s="131"/>
      <c r="S24" s="131"/>
      <c r="T24" s="131"/>
      <c r="U24" s="131"/>
      <c r="V24" s="131"/>
      <c r="W24" s="131"/>
      <c r="X24" s="131"/>
      <c r="Y24" s="131"/>
      <c r="Z24" s="131"/>
      <c r="AA24" s="131"/>
      <c r="AB24" s="131"/>
      <c r="AC24" s="131"/>
      <c r="AD24" s="131"/>
      <c r="AE24" s="131"/>
      <c r="AF24" s="131"/>
    </row>
  </sheetData>
  <sheetProtection insertRows="0" deleteRows="0" sort="0" autoFilter="0"/>
  <dataConsolidate/>
  <mergeCells count="1">
    <mergeCell ref="B4:B6"/>
  </mergeCells>
  <phoneticPr fontId="13"/>
  <hyperlinks>
    <hyperlink ref="A3" location="パラメータ設定一覧!A1" display="パラメータ設定一覧へ" xr:uid="{A3FDFAA1-C5AB-44B7-AD08-7184C294D959}"/>
  </hyperlink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2927D8DE12D48B47B0D44EEF0BC44240" ma:contentTypeVersion="3" ma:contentTypeDescription="Create a new document." ma:contentTypeScope="" ma:versionID="16c51bd49fd1e4ed1770dd35df481b43">
  <xsd:schema xmlns:xsd="http://www.w3.org/2001/XMLSchema" xmlns:xs="http://www.w3.org/2001/XMLSchema" xmlns:p="http://schemas.microsoft.com/office/2006/metadata/properties" xmlns:ns2="cfe21c4c-392e-4d25-9e26-4c8da30b5bfc" targetNamespace="http://schemas.microsoft.com/office/2006/metadata/properties" ma:root="true" ma:fieldsID="153b58a2c46f1fad70237535d3299674" ns2:_="">
    <xsd:import namespace="cfe21c4c-392e-4d25-9e26-4c8da30b5bfc"/>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e21c4c-392e-4d25-9e26-4c8da30b5bf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91605AE-180C-4357-9531-2DC69F7FC83D}">
  <ds:schemaRefs>
    <ds:schemaRef ds:uri="http://schemas.microsoft.com/office/2006/documentManagement/types"/>
    <ds:schemaRef ds:uri="http://schemas.microsoft.com/office/infopath/2007/PartnerControls"/>
    <ds:schemaRef ds:uri="1df7edc7-a6f5-4c90-ac32-5bbbd499fd6a"/>
    <ds:schemaRef ds:uri="http://schemas.openxmlformats.org/package/2006/metadata/core-properties"/>
    <ds:schemaRef ds:uri="http://schemas.microsoft.com/office/2006/metadata/properties"/>
    <ds:schemaRef ds:uri="http://purl.org/dc/dcmitype/"/>
    <ds:schemaRef ds:uri="http://purl.org/dc/elements/1.1/"/>
    <ds:schemaRef ds:uri="1f1f8a3f-673e-4aee-b429-7a8185133956"/>
    <ds:schemaRef ds:uri="http://www.w3.org/XML/1998/namespace"/>
    <ds:schemaRef ds:uri="http://purl.org/dc/terms/"/>
  </ds:schemaRefs>
</ds:datastoreItem>
</file>

<file path=customXml/itemProps2.xml><?xml version="1.0" encoding="utf-8"?>
<ds:datastoreItem xmlns:ds="http://schemas.openxmlformats.org/officeDocument/2006/customXml" ds:itemID="{C2DE05E9-9F9C-482E-8A2F-60E8FCD11549}">
  <ds:schemaRefs>
    <ds:schemaRef ds:uri="http://schemas.microsoft.com/sharepoint/v3/contenttype/forms"/>
  </ds:schemaRefs>
</ds:datastoreItem>
</file>

<file path=customXml/itemProps3.xml><?xml version="1.0" encoding="utf-8"?>
<ds:datastoreItem xmlns:ds="http://schemas.openxmlformats.org/officeDocument/2006/customXml" ds:itemID="{191364AC-5F80-4F66-B7A6-65D1C511336A}"/>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ワークシート</vt:lpstr>
      </vt:variant>
      <vt:variant>
        <vt:i4>29</vt:i4>
      </vt:variant>
    </vt:vector>
  </HeadingPairs>
  <TitlesOfParts>
    <vt:vector size="29" baseType="lpstr">
      <vt:lpstr>表紙</vt:lpstr>
      <vt:lpstr>パラメータ設定一覧</vt:lpstr>
      <vt:lpstr>法人</vt:lpstr>
      <vt:lpstr>法人-設定値</vt:lpstr>
      <vt:lpstr>法人-住所</vt:lpstr>
      <vt:lpstr>法人-連絡先情報</vt:lpstr>
      <vt:lpstr>法人-番号順序 </vt:lpstr>
      <vt:lpstr>法人-規制施設</vt:lpstr>
      <vt:lpstr>法人-TransportationPermission</vt:lpstr>
      <vt:lpstr>グローバルアドレス帳パラメーター</vt:lpstr>
      <vt:lpstr>アドレス帳</vt:lpstr>
      <vt:lpstr>名前の順序</vt:lpstr>
      <vt:lpstr>名前の順序-設定値</vt:lpstr>
      <vt:lpstr>住所と連絡先情報の目的</vt:lpstr>
      <vt:lpstr>住所と連絡先情報の目的-設定値</vt:lpstr>
      <vt:lpstr>組織階層</vt:lpstr>
      <vt:lpstr>組織階層-設定値</vt:lpstr>
      <vt:lpstr>組織階層の目的</vt:lpstr>
      <vt:lpstr>組織階層の目的-設定値</vt:lpstr>
      <vt:lpstr>番号順序</vt:lpstr>
      <vt:lpstr>番号順序-設定値</vt:lpstr>
      <vt:lpstr>ドキュメント タイプ</vt:lpstr>
      <vt:lpstr>ドキュメント タイプ-設定値</vt:lpstr>
      <vt:lpstr>組織の電子メール テンプレート</vt:lpstr>
      <vt:lpstr>組織の電子メール テンプレート-設定値</vt:lpstr>
      <vt:lpstr>作業時間カレンダー</vt:lpstr>
      <vt:lpstr>作業時間カレンダー-設定値</vt:lpstr>
      <vt:lpstr>作業時間テンプレート</vt:lpstr>
      <vt:lpstr>作業時間テンプレート-設定値</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Kobayashi, Rio</dc:creator>
  <cp:keywords/>
  <dc:description/>
  <cp:lastModifiedBy>Akinobu, Saki</cp:lastModifiedBy>
  <cp:revision/>
  <dcterms:created xsi:type="dcterms:W3CDTF">2019-08-21T01:28:53Z</dcterms:created>
  <dcterms:modified xsi:type="dcterms:W3CDTF">2025-04-23T11:19:57Z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0x0101002927D8DE12D48B47B0D44EEF0BC44240</vt:lpwstr>
  </property>
  <property fmtid="{D5CDD505-2E9C-101B-9397-08002B2CF9AE}" pid="3" name="Workbook id">
    <vt:lpwstr>afa3468a-951d-4d5b-ba9a-1bd8da34ad84</vt:lpwstr>
  </property>
  <property fmtid="{D5CDD505-2E9C-101B-9397-08002B2CF9AE}" pid="4" name="Workbook type">
    <vt:lpwstr>Custom</vt:lpwstr>
  </property>
  <property fmtid="{D5CDD505-2E9C-101B-9397-08002B2CF9AE}" pid="5" name="Workbook version">
    <vt:lpwstr>Custom</vt:lpwstr>
  </property>
  <property fmtid="{D5CDD505-2E9C-101B-9397-08002B2CF9AE}" pid="6" name="MediaServiceImageTags">
    <vt:lpwstr/>
  </property>
</Properties>
</file>